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8" windowWidth="14808" windowHeight="8016" activeTab="2"/>
  </bookViews>
  <sheets>
    <sheet name="FIRST SHEET" sheetId="6" r:id="rId1"/>
    <sheet name="BUFFS" sheetId="7" r:id="rId2"/>
    <sheet name="NUM1" sheetId="3" r:id="rId3"/>
    <sheet name="NUM2" sheetId="4" r:id="rId4"/>
    <sheet name="NUM3" sheetId="5" r:id="rId5"/>
    <sheet name="NUM4" sheetId="8" r:id="rId6"/>
    <sheet name="NUM5" sheetId="9" r:id="rId7"/>
    <sheet name="NUM6" sheetId="14" r:id="rId8"/>
    <sheet name="NUM7" sheetId="10" r:id="rId9"/>
    <sheet name="NUM8" sheetId="15" r:id="rId10"/>
    <sheet name="NUM9" sheetId="11" r:id="rId11"/>
    <sheet name="NUM10" sheetId="12" r:id="rId12"/>
    <sheet name="NUM11" sheetId="13" r:id="rId13"/>
  </sheets>
  <definedNames>
    <definedName name="BUFFS">OFFSET(BUFFS!$K$5,,,COUNTIF(BUFFS!$K$5:$K$200,"?*"))</definedName>
    <definedName name="Modifiers_List">OFFSET(BUFFS!$E$5,,,COUNTIF(BUFFS!$E$5:$E$30,"?*"))</definedName>
    <definedName name="Types">BUFFS!$F$8:$F$25</definedName>
  </definedNames>
  <calcPr calcId="152511"/>
</workbook>
</file>

<file path=xl/calcChain.xml><?xml version="1.0" encoding="utf-8"?>
<calcChain xmlns="http://schemas.openxmlformats.org/spreadsheetml/2006/main">
  <c r="G8" i="6" l="1"/>
  <c r="D55" i="3"/>
  <c r="F55" i="3"/>
  <c r="G55" i="3"/>
  <c r="H55" i="3"/>
  <c r="I55" i="3"/>
  <c r="J55" i="3"/>
  <c r="K55" i="3"/>
  <c r="L55" i="3"/>
  <c r="M55" i="3"/>
  <c r="O55" i="3"/>
  <c r="P55" i="3"/>
  <c r="Q55" i="3"/>
  <c r="R55" i="3"/>
  <c r="T55" i="3"/>
  <c r="D51" i="3"/>
  <c r="F51" i="3"/>
  <c r="G51" i="3"/>
  <c r="H51" i="3"/>
  <c r="I51" i="3"/>
  <c r="J51" i="3"/>
  <c r="K51" i="3"/>
  <c r="L51" i="3"/>
  <c r="M51" i="3"/>
  <c r="O51" i="3"/>
  <c r="P51" i="3"/>
  <c r="Q51" i="3"/>
  <c r="R51" i="3"/>
  <c r="T51" i="3"/>
  <c r="D61" i="3"/>
  <c r="F61" i="3"/>
  <c r="G61" i="3"/>
  <c r="H61" i="3"/>
  <c r="I61" i="3"/>
  <c r="J61" i="3"/>
  <c r="K61" i="3"/>
  <c r="L61" i="3"/>
  <c r="M61" i="3"/>
  <c r="O61" i="3"/>
  <c r="P61" i="3"/>
  <c r="Q61" i="3"/>
  <c r="R61" i="3"/>
  <c r="T61" i="3"/>
  <c r="D58" i="3"/>
  <c r="F58" i="3"/>
  <c r="G58" i="3"/>
  <c r="H58" i="3"/>
  <c r="I58" i="3"/>
  <c r="J58" i="3"/>
  <c r="K58" i="3"/>
  <c r="L58" i="3"/>
  <c r="M58" i="3"/>
  <c r="O58" i="3"/>
  <c r="P58" i="3"/>
  <c r="Q58" i="3"/>
  <c r="R58" i="3"/>
  <c r="T58" i="3"/>
  <c r="D56" i="3"/>
  <c r="F56" i="3"/>
  <c r="G56" i="3"/>
  <c r="H56" i="3"/>
  <c r="I56" i="3"/>
  <c r="J56" i="3"/>
  <c r="K56" i="3"/>
  <c r="L56" i="3"/>
  <c r="M56" i="3"/>
  <c r="O56" i="3"/>
  <c r="P56" i="3"/>
  <c r="Q56" i="3"/>
  <c r="R56" i="3"/>
  <c r="T56" i="3"/>
  <c r="D48" i="3"/>
  <c r="F48" i="3"/>
  <c r="G48" i="3"/>
  <c r="H48" i="3"/>
  <c r="I48" i="3"/>
  <c r="J48" i="3"/>
  <c r="K48" i="3"/>
  <c r="L48" i="3"/>
  <c r="M48" i="3"/>
  <c r="O48" i="3"/>
  <c r="P48" i="3"/>
  <c r="Q48" i="3"/>
  <c r="R48" i="3"/>
  <c r="T48" i="3"/>
  <c r="D57" i="3"/>
  <c r="F57" i="3"/>
  <c r="G57" i="3"/>
  <c r="H57" i="3"/>
  <c r="I57" i="3"/>
  <c r="J57" i="3"/>
  <c r="K57" i="3"/>
  <c r="L57" i="3"/>
  <c r="M57" i="3"/>
  <c r="O57" i="3"/>
  <c r="P57" i="3"/>
  <c r="Q57" i="3"/>
  <c r="R57" i="3"/>
  <c r="T57" i="3"/>
  <c r="D50" i="3"/>
  <c r="F50" i="3"/>
  <c r="G50" i="3"/>
  <c r="H50" i="3"/>
  <c r="I50" i="3"/>
  <c r="J50" i="3"/>
  <c r="K50" i="3"/>
  <c r="L50" i="3"/>
  <c r="M50" i="3"/>
  <c r="O50" i="3"/>
  <c r="P50" i="3"/>
  <c r="Q50" i="3"/>
  <c r="R50" i="3"/>
  <c r="T50" i="3"/>
  <c r="D59" i="3"/>
  <c r="F59" i="3"/>
  <c r="G59" i="3"/>
  <c r="H59" i="3"/>
  <c r="I59" i="3"/>
  <c r="J59" i="3"/>
  <c r="K59" i="3"/>
  <c r="L59" i="3"/>
  <c r="M59" i="3"/>
  <c r="O59" i="3"/>
  <c r="P59" i="3"/>
  <c r="Q59" i="3"/>
  <c r="R59" i="3"/>
  <c r="T59" i="3"/>
  <c r="D60" i="3"/>
  <c r="F60" i="3"/>
  <c r="G60" i="3"/>
  <c r="H60" i="3"/>
  <c r="I60" i="3"/>
  <c r="J60" i="3"/>
  <c r="K60" i="3"/>
  <c r="L60" i="3"/>
  <c r="M60" i="3"/>
  <c r="O60" i="3"/>
  <c r="P60" i="3"/>
  <c r="Q60" i="3"/>
  <c r="R60" i="3"/>
  <c r="T60" i="3"/>
  <c r="D62" i="3"/>
  <c r="F62" i="3"/>
  <c r="G62" i="3"/>
  <c r="H62" i="3"/>
  <c r="I62" i="3"/>
  <c r="J62" i="3"/>
  <c r="K62" i="3"/>
  <c r="L62" i="3"/>
  <c r="M62" i="3"/>
  <c r="O62" i="3"/>
  <c r="P62" i="3"/>
  <c r="Q62" i="3"/>
  <c r="R62" i="3"/>
  <c r="T62" i="3"/>
  <c r="D63" i="3"/>
  <c r="F63" i="3"/>
  <c r="G63" i="3"/>
  <c r="H63" i="3"/>
  <c r="I63" i="3"/>
  <c r="J63" i="3"/>
  <c r="K63" i="3"/>
  <c r="L63" i="3"/>
  <c r="M63" i="3"/>
  <c r="O63" i="3"/>
  <c r="P63" i="3"/>
  <c r="Q63" i="3"/>
  <c r="R63" i="3"/>
  <c r="T63" i="3"/>
  <c r="D64" i="3"/>
  <c r="F64" i="3"/>
  <c r="G64" i="3"/>
  <c r="H64" i="3"/>
  <c r="I64" i="3"/>
  <c r="J64" i="3"/>
  <c r="K64" i="3"/>
  <c r="L64" i="3"/>
  <c r="M64" i="3"/>
  <c r="O64" i="3"/>
  <c r="P64" i="3"/>
  <c r="Q64" i="3"/>
  <c r="R64" i="3"/>
  <c r="T64" i="3"/>
  <c r="N40" i="6"/>
  <c r="C48" i="6"/>
  <c r="G16" i="6" l="1"/>
  <c r="R61" i="6"/>
  <c r="O63" i="6"/>
  <c r="N44" i="6" l="1"/>
  <c r="N42" i="6"/>
  <c r="Q35" i="6" s="1"/>
  <c r="Q38" i="6" s="1"/>
  <c r="N32" i="6"/>
  <c r="Q30" i="6"/>
  <c r="Q31" i="6" s="1"/>
  <c r="F3" i="3" l="1"/>
  <c r="E3" i="3"/>
  <c r="E3" i="4"/>
  <c r="T49" i="8" l="1"/>
  <c r="R49" i="8"/>
  <c r="Q49" i="8"/>
  <c r="P49" i="8"/>
  <c r="O49" i="8"/>
  <c r="M49" i="8"/>
  <c r="L49" i="8"/>
  <c r="K49" i="8"/>
  <c r="J49" i="8"/>
  <c r="I49" i="8"/>
  <c r="H49" i="8"/>
  <c r="G49" i="8"/>
  <c r="F49" i="8"/>
  <c r="D49" i="8"/>
  <c r="T53" i="8"/>
  <c r="R53" i="8"/>
  <c r="Q53" i="8"/>
  <c r="P53" i="8"/>
  <c r="O53" i="8"/>
  <c r="M53" i="8"/>
  <c r="L53" i="8"/>
  <c r="K53" i="8"/>
  <c r="J53" i="8"/>
  <c r="I53" i="8"/>
  <c r="H53" i="8"/>
  <c r="G53" i="8"/>
  <c r="F53" i="8"/>
  <c r="D53" i="8"/>
  <c r="T48" i="8"/>
  <c r="R48" i="8"/>
  <c r="Q48" i="8"/>
  <c r="P48" i="8"/>
  <c r="O48" i="8"/>
  <c r="M48" i="8"/>
  <c r="L48" i="8"/>
  <c r="K48" i="8"/>
  <c r="J48" i="8"/>
  <c r="I48" i="8"/>
  <c r="H48" i="8"/>
  <c r="G48" i="8"/>
  <c r="F48" i="8"/>
  <c r="D48" i="8"/>
  <c r="T47" i="8"/>
  <c r="R47" i="8"/>
  <c r="Q47" i="8"/>
  <c r="P47" i="8"/>
  <c r="O47" i="8"/>
  <c r="M47" i="8"/>
  <c r="L47" i="8"/>
  <c r="K47" i="8"/>
  <c r="J47" i="8"/>
  <c r="I47" i="8"/>
  <c r="H47" i="8"/>
  <c r="G47" i="8"/>
  <c r="F47" i="8"/>
  <c r="D47" i="8"/>
  <c r="T51" i="8"/>
  <c r="R51" i="8"/>
  <c r="Q51" i="8"/>
  <c r="P51" i="8"/>
  <c r="O51" i="8"/>
  <c r="M51" i="8"/>
  <c r="L51" i="8"/>
  <c r="K51" i="8"/>
  <c r="J51" i="8"/>
  <c r="I51" i="8"/>
  <c r="H51" i="8"/>
  <c r="G51" i="8"/>
  <c r="F51" i="8"/>
  <c r="D51" i="8"/>
  <c r="T45" i="8"/>
  <c r="R45" i="8"/>
  <c r="Q45" i="8"/>
  <c r="P45" i="8"/>
  <c r="O45" i="8"/>
  <c r="M45" i="8"/>
  <c r="L45" i="8"/>
  <c r="K45" i="8"/>
  <c r="J45" i="8"/>
  <c r="I45" i="8"/>
  <c r="H45" i="8"/>
  <c r="G45" i="8"/>
  <c r="F45" i="8"/>
  <c r="D45" i="8"/>
  <c r="T44" i="8"/>
  <c r="R44" i="8"/>
  <c r="Q44" i="8"/>
  <c r="P44" i="8"/>
  <c r="O44" i="8"/>
  <c r="M44" i="8"/>
  <c r="L44" i="8"/>
  <c r="K44" i="8"/>
  <c r="J44" i="8"/>
  <c r="I44" i="8"/>
  <c r="H44" i="8"/>
  <c r="G44" i="8"/>
  <c r="F44" i="8"/>
  <c r="D44" i="8"/>
  <c r="T43" i="8"/>
  <c r="R43" i="8"/>
  <c r="Q43" i="8"/>
  <c r="P43" i="8"/>
  <c r="O43" i="8"/>
  <c r="M43" i="8"/>
  <c r="L43" i="8"/>
  <c r="K43" i="8"/>
  <c r="J43" i="8"/>
  <c r="I43" i="8"/>
  <c r="H43" i="8"/>
  <c r="G43" i="8"/>
  <c r="F43" i="8"/>
  <c r="D43" i="8"/>
  <c r="T52" i="8"/>
  <c r="R52" i="8"/>
  <c r="Q52" i="8"/>
  <c r="P52" i="8"/>
  <c r="O52" i="8"/>
  <c r="M52" i="8"/>
  <c r="L52" i="8"/>
  <c r="K52" i="8"/>
  <c r="J52" i="8"/>
  <c r="I52" i="8"/>
  <c r="H52" i="8"/>
  <c r="G52" i="8"/>
  <c r="F52" i="8"/>
  <c r="D52" i="8"/>
  <c r="T46" i="8"/>
  <c r="R46" i="8"/>
  <c r="Q46" i="8"/>
  <c r="P46" i="8"/>
  <c r="O46" i="8"/>
  <c r="M46" i="8"/>
  <c r="L46" i="8"/>
  <c r="K46" i="8"/>
  <c r="J46" i="8"/>
  <c r="I46" i="8"/>
  <c r="H46" i="8"/>
  <c r="G46" i="8"/>
  <c r="F46" i="8"/>
  <c r="D46" i="8"/>
  <c r="T40" i="8"/>
  <c r="R40" i="8"/>
  <c r="Q40" i="8"/>
  <c r="P40" i="8"/>
  <c r="O40" i="8"/>
  <c r="M40" i="8"/>
  <c r="L40" i="8"/>
  <c r="K40" i="8"/>
  <c r="J40" i="8"/>
  <c r="I40" i="8"/>
  <c r="H40" i="8"/>
  <c r="G40" i="8"/>
  <c r="F40" i="8"/>
  <c r="D40" i="8"/>
  <c r="T39" i="8"/>
  <c r="R39" i="8"/>
  <c r="Q39" i="8"/>
  <c r="P39" i="8"/>
  <c r="O39" i="8"/>
  <c r="M39" i="8"/>
  <c r="L39" i="8"/>
  <c r="K39" i="8"/>
  <c r="J39" i="8"/>
  <c r="I39" i="8"/>
  <c r="H39" i="8"/>
  <c r="G39" i="8"/>
  <c r="F39" i="8"/>
  <c r="D39" i="8"/>
  <c r="T38" i="8"/>
  <c r="R38" i="8"/>
  <c r="Q38" i="8"/>
  <c r="P38" i="8"/>
  <c r="O38" i="8"/>
  <c r="M38" i="8"/>
  <c r="L38" i="8"/>
  <c r="K38" i="8"/>
  <c r="J38" i="8"/>
  <c r="I38" i="8"/>
  <c r="H38" i="8"/>
  <c r="G38" i="8"/>
  <c r="F38" i="8"/>
  <c r="D38" i="8"/>
  <c r="T37" i="8"/>
  <c r="R37" i="8"/>
  <c r="Q37" i="8"/>
  <c r="P37" i="8"/>
  <c r="O37" i="8"/>
  <c r="M37" i="8"/>
  <c r="L37" i="8"/>
  <c r="K37" i="8"/>
  <c r="J37" i="8"/>
  <c r="I37" i="8"/>
  <c r="H37" i="8"/>
  <c r="G37" i="8"/>
  <c r="F37" i="8"/>
  <c r="D37" i="8"/>
  <c r="T36" i="8"/>
  <c r="R36" i="8"/>
  <c r="Q36" i="8"/>
  <c r="P36" i="8"/>
  <c r="O36" i="8"/>
  <c r="M36" i="8"/>
  <c r="L36" i="8"/>
  <c r="K36" i="8"/>
  <c r="J36" i="8"/>
  <c r="I36" i="8"/>
  <c r="H36" i="8"/>
  <c r="G36" i="8"/>
  <c r="F36" i="8"/>
  <c r="D36" i="8"/>
  <c r="T35" i="8"/>
  <c r="R35" i="8"/>
  <c r="Q35" i="8"/>
  <c r="P35" i="8"/>
  <c r="O35" i="8"/>
  <c r="M35" i="8"/>
  <c r="L35" i="8"/>
  <c r="K35" i="8"/>
  <c r="J35" i="8"/>
  <c r="I35" i="8"/>
  <c r="H35" i="8"/>
  <c r="G35" i="8"/>
  <c r="F35" i="8"/>
  <c r="D35" i="8"/>
  <c r="D47" i="3"/>
  <c r="F47" i="3"/>
  <c r="G47" i="3"/>
  <c r="H47" i="3"/>
  <c r="I47" i="3"/>
  <c r="J47" i="3"/>
  <c r="K47" i="3"/>
  <c r="L47" i="3"/>
  <c r="M47" i="3"/>
  <c r="O47" i="3"/>
  <c r="P47" i="3"/>
  <c r="Q47" i="3"/>
  <c r="R47" i="3"/>
  <c r="T47" i="3"/>
  <c r="D53" i="4"/>
  <c r="D44" i="4"/>
  <c r="B25" i="9"/>
  <c r="D42" i="9"/>
  <c r="F42" i="9"/>
  <c r="G42" i="9"/>
  <c r="H42" i="9"/>
  <c r="I42" i="9"/>
  <c r="J42" i="9"/>
  <c r="K42" i="9"/>
  <c r="L42" i="9"/>
  <c r="M42" i="9"/>
  <c r="O42" i="9"/>
  <c r="P42" i="9"/>
  <c r="Q42" i="9"/>
  <c r="R42" i="9"/>
  <c r="T42" i="9"/>
  <c r="D43" i="9"/>
  <c r="F43" i="9"/>
  <c r="G43" i="9"/>
  <c r="H43" i="9"/>
  <c r="I43" i="9"/>
  <c r="J43" i="9"/>
  <c r="K43" i="9"/>
  <c r="L43" i="9"/>
  <c r="M43" i="9"/>
  <c r="O43" i="9"/>
  <c r="P43" i="9"/>
  <c r="Q43" i="9"/>
  <c r="R43" i="9"/>
  <c r="T43" i="9"/>
  <c r="D45" i="9"/>
  <c r="F45" i="9"/>
  <c r="G45" i="9"/>
  <c r="H45" i="9"/>
  <c r="I45" i="9"/>
  <c r="J45" i="9"/>
  <c r="K45" i="9"/>
  <c r="L45" i="9"/>
  <c r="M45" i="9"/>
  <c r="O45" i="9"/>
  <c r="P45" i="9"/>
  <c r="Q45" i="9"/>
  <c r="R45" i="9"/>
  <c r="T45" i="9"/>
  <c r="T163" i="9"/>
  <c r="R163" i="9"/>
  <c r="Q163" i="9"/>
  <c r="P163" i="9"/>
  <c r="O163" i="9"/>
  <c r="M163" i="9"/>
  <c r="L163" i="9"/>
  <c r="K163" i="9"/>
  <c r="J163" i="9"/>
  <c r="I163" i="9"/>
  <c r="H163" i="9"/>
  <c r="G163" i="9"/>
  <c r="F163" i="9"/>
  <c r="D163" i="9"/>
  <c r="T162" i="9"/>
  <c r="R162" i="9"/>
  <c r="Q162" i="9"/>
  <c r="P162" i="9"/>
  <c r="O162" i="9"/>
  <c r="M162" i="9"/>
  <c r="L162" i="9"/>
  <c r="K162" i="9"/>
  <c r="J162" i="9"/>
  <c r="I162" i="9"/>
  <c r="H162" i="9"/>
  <c r="G162" i="9"/>
  <c r="F162" i="9"/>
  <c r="D162" i="9"/>
  <c r="T161" i="9"/>
  <c r="R161" i="9"/>
  <c r="Q161" i="9"/>
  <c r="P161" i="9"/>
  <c r="O161" i="9"/>
  <c r="M161" i="9"/>
  <c r="L161" i="9"/>
  <c r="K161" i="9"/>
  <c r="J161" i="9"/>
  <c r="I161" i="9"/>
  <c r="H161" i="9"/>
  <c r="G161" i="9"/>
  <c r="F161" i="9"/>
  <c r="D161" i="9"/>
  <c r="T160" i="9"/>
  <c r="R160" i="9"/>
  <c r="Q160" i="9"/>
  <c r="P160" i="9"/>
  <c r="O160" i="9"/>
  <c r="M160" i="9"/>
  <c r="L160" i="9"/>
  <c r="K160" i="9"/>
  <c r="J160" i="9"/>
  <c r="I160" i="9"/>
  <c r="H160" i="9"/>
  <c r="G160" i="9"/>
  <c r="F160" i="9"/>
  <c r="D160" i="9"/>
  <c r="T159" i="9"/>
  <c r="R159" i="9"/>
  <c r="Q159" i="9"/>
  <c r="P159" i="9"/>
  <c r="O159" i="9"/>
  <c r="M159" i="9"/>
  <c r="L159" i="9"/>
  <c r="K159" i="9"/>
  <c r="J159" i="9"/>
  <c r="I159" i="9"/>
  <c r="H159" i="9"/>
  <c r="G159" i="9"/>
  <c r="F159" i="9"/>
  <c r="D159" i="9"/>
  <c r="T158" i="9"/>
  <c r="R158" i="9"/>
  <c r="Q158" i="9"/>
  <c r="P158" i="9"/>
  <c r="O158" i="9"/>
  <c r="M158" i="9"/>
  <c r="L158" i="9"/>
  <c r="K158" i="9"/>
  <c r="J158" i="9"/>
  <c r="I158" i="9"/>
  <c r="H158" i="9"/>
  <c r="G158" i="9"/>
  <c r="F158" i="9"/>
  <c r="D158" i="9"/>
  <c r="T157" i="9"/>
  <c r="R157" i="9"/>
  <c r="Q157" i="9"/>
  <c r="P157" i="9"/>
  <c r="O157" i="9"/>
  <c r="M157" i="9"/>
  <c r="L157" i="9"/>
  <c r="K157" i="9"/>
  <c r="J157" i="9"/>
  <c r="I157" i="9"/>
  <c r="H157" i="9"/>
  <c r="G157" i="9"/>
  <c r="F157" i="9"/>
  <c r="D157" i="9"/>
  <c r="T156" i="9"/>
  <c r="R156" i="9"/>
  <c r="Q156" i="9"/>
  <c r="P156" i="9"/>
  <c r="O156" i="9"/>
  <c r="M156" i="9"/>
  <c r="L156" i="9"/>
  <c r="K156" i="9"/>
  <c r="J156" i="9"/>
  <c r="I156" i="9"/>
  <c r="H156" i="9"/>
  <c r="G156" i="9"/>
  <c r="F156" i="9"/>
  <c r="D156" i="9"/>
  <c r="T155" i="9"/>
  <c r="R155" i="9"/>
  <c r="Q155" i="9"/>
  <c r="P155" i="9"/>
  <c r="O155" i="9"/>
  <c r="M155" i="9"/>
  <c r="L155" i="9"/>
  <c r="K155" i="9"/>
  <c r="J155" i="9"/>
  <c r="I155" i="9"/>
  <c r="H155" i="9"/>
  <c r="G155" i="9"/>
  <c r="F155" i="9"/>
  <c r="D155" i="9"/>
  <c r="T154" i="9"/>
  <c r="R154" i="9"/>
  <c r="Q154" i="9"/>
  <c r="P154" i="9"/>
  <c r="O154" i="9"/>
  <c r="M154" i="9"/>
  <c r="L154" i="9"/>
  <c r="K154" i="9"/>
  <c r="J154" i="9"/>
  <c r="I154" i="9"/>
  <c r="H154" i="9"/>
  <c r="G154" i="9"/>
  <c r="F154" i="9"/>
  <c r="D154" i="9"/>
  <c r="T153" i="9"/>
  <c r="R153" i="9"/>
  <c r="Q153" i="9"/>
  <c r="P153" i="9"/>
  <c r="O153" i="9"/>
  <c r="M153" i="9"/>
  <c r="L153" i="9"/>
  <c r="K153" i="9"/>
  <c r="J153" i="9"/>
  <c r="I153" i="9"/>
  <c r="H153" i="9"/>
  <c r="G153" i="9"/>
  <c r="F153" i="9"/>
  <c r="D153" i="9"/>
  <c r="T152" i="9"/>
  <c r="R152" i="9"/>
  <c r="Q152" i="9"/>
  <c r="P152" i="9"/>
  <c r="O152" i="9"/>
  <c r="M152" i="9"/>
  <c r="L152" i="9"/>
  <c r="K152" i="9"/>
  <c r="J152" i="9"/>
  <c r="I152" i="9"/>
  <c r="H152" i="9"/>
  <c r="G152" i="9"/>
  <c r="F152" i="9"/>
  <c r="D152" i="9"/>
  <c r="T151" i="9"/>
  <c r="R151" i="9"/>
  <c r="Q151" i="9"/>
  <c r="P151" i="9"/>
  <c r="O151" i="9"/>
  <c r="M151" i="9"/>
  <c r="L151" i="9"/>
  <c r="K151" i="9"/>
  <c r="J151" i="9"/>
  <c r="I151" i="9"/>
  <c r="H151" i="9"/>
  <c r="G151" i="9"/>
  <c r="F151" i="9"/>
  <c r="D151" i="9"/>
  <c r="T150" i="9"/>
  <c r="R150" i="9"/>
  <c r="Q150" i="9"/>
  <c r="P150" i="9"/>
  <c r="O150" i="9"/>
  <c r="M150" i="9"/>
  <c r="L150" i="9"/>
  <c r="K150" i="9"/>
  <c r="J150" i="9"/>
  <c r="I150" i="9"/>
  <c r="H150" i="9"/>
  <c r="G150" i="9"/>
  <c r="F150" i="9"/>
  <c r="D150" i="9"/>
  <c r="T149" i="9"/>
  <c r="R149" i="9"/>
  <c r="Q149" i="9"/>
  <c r="P149" i="9"/>
  <c r="O149" i="9"/>
  <c r="M149" i="9"/>
  <c r="L149" i="9"/>
  <c r="K149" i="9"/>
  <c r="J149" i="9"/>
  <c r="I149" i="9"/>
  <c r="H149" i="9"/>
  <c r="G149" i="9"/>
  <c r="F149" i="9"/>
  <c r="D149" i="9"/>
  <c r="T148" i="9"/>
  <c r="R148" i="9"/>
  <c r="Q148" i="9"/>
  <c r="P148" i="9"/>
  <c r="O148" i="9"/>
  <c r="M148" i="9"/>
  <c r="L148" i="9"/>
  <c r="K148" i="9"/>
  <c r="J148" i="9"/>
  <c r="I148" i="9"/>
  <c r="H148" i="9"/>
  <c r="G148" i="9"/>
  <c r="F148" i="9"/>
  <c r="D148" i="9"/>
  <c r="T147" i="9"/>
  <c r="R147" i="9"/>
  <c r="Q147" i="9"/>
  <c r="P147" i="9"/>
  <c r="O147" i="9"/>
  <c r="M147" i="9"/>
  <c r="L147" i="9"/>
  <c r="K147" i="9"/>
  <c r="J147" i="9"/>
  <c r="I147" i="9"/>
  <c r="H147" i="9"/>
  <c r="G147" i="9"/>
  <c r="F147" i="9"/>
  <c r="D147" i="9"/>
  <c r="T146" i="9"/>
  <c r="R146" i="9"/>
  <c r="Q146" i="9"/>
  <c r="P146" i="9"/>
  <c r="O146" i="9"/>
  <c r="M146" i="9"/>
  <c r="L146" i="9"/>
  <c r="K146" i="9"/>
  <c r="J146" i="9"/>
  <c r="I146" i="9"/>
  <c r="H146" i="9"/>
  <c r="G146" i="9"/>
  <c r="F146" i="9"/>
  <c r="D146" i="9"/>
  <c r="T145" i="9"/>
  <c r="R145" i="9"/>
  <c r="Q145" i="9"/>
  <c r="P145" i="9"/>
  <c r="O145" i="9"/>
  <c r="M145" i="9"/>
  <c r="L145" i="9"/>
  <c r="K145" i="9"/>
  <c r="J145" i="9"/>
  <c r="I145" i="9"/>
  <c r="H145" i="9"/>
  <c r="G145" i="9"/>
  <c r="F145" i="9"/>
  <c r="D145" i="9"/>
  <c r="T144" i="9"/>
  <c r="R144" i="9"/>
  <c r="Q144" i="9"/>
  <c r="P144" i="9"/>
  <c r="O144" i="9"/>
  <c r="M144" i="9"/>
  <c r="L144" i="9"/>
  <c r="K144" i="9"/>
  <c r="J144" i="9"/>
  <c r="I144" i="9"/>
  <c r="H144" i="9"/>
  <c r="G144" i="9"/>
  <c r="F144" i="9"/>
  <c r="D144" i="9"/>
  <c r="T143" i="9"/>
  <c r="R143" i="9"/>
  <c r="Q143" i="9"/>
  <c r="P143" i="9"/>
  <c r="O143" i="9"/>
  <c r="M143" i="9"/>
  <c r="L143" i="9"/>
  <c r="K143" i="9"/>
  <c r="J143" i="9"/>
  <c r="I143" i="9"/>
  <c r="H143" i="9"/>
  <c r="G143" i="9"/>
  <c r="F143" i="9"/>
  <c r="D143" i="9"/>
  <c r="T142" i="9"/>
  <c r="R142" i="9"/>
  <c r="Q142" i="9"/>
  <c r="P142" i="9"/>
  <c r="O142" i="9"/>
  <c r="M142" i="9"/>
  <c r="L142" i="9"/>
  <c r="K142" i="9"/>
  <c r="J142" i="9"/>
  <c r="I142" i="9"/>
  <c r="H142" i="9"/>
  <c r="G142" i="9"/>
  <c r="F142" i="9"/>
  <c r="D142" i="9"/>
  <c r="T141" i="9"/>
  <c r="R141" i="9"/>
  <c r="Q141" i="9"/>
  <c r="P141" i="9"/>
  <c r="O141" i="9"/>
  <c r="M141" i="9"/>
  <c r="L141" i="9"/>
  <c r="K141" i="9"/>
  <c r="J141" i="9"/>
  <c r="I141" i="9"/>
  <c r="H141" i="9"/>
  <c r="G141" i="9"/>
  <c r="F141" i="9"/>
  <c r="D141" i="9"/>
  <c r="T140" i="9"/>
  <c r="R140" i="9"/>
  <c r="Q140" i="9"/>
  <c r="P140" i="9"/>
  <c r="O140" i="9"/>
  <c r="M140" i="9"/>
  <c r="L140" i="9"/>
  <c r="K140" i="9"/>
  <c r="J140" i="9"/>
  <c r="I140" i="9"/>
  <c r="H140" i="9"/>
  <c r="G140" i="9"/>
  <c r="F140" i="9"/>
  <c r="D140" i="9"/>
  <c r="T139" i="9"/>
  <c r="R139" i="9"/>
  <c r="Q139" i="9"/>
  <c r="P139" i="9"/>
  <c r="O139" i="9"/>
  <c r="M139" i="9"/>
  <c r="L139" i="9"/>
  <c r="K139" i="9"/>
  <c r="J139" i="9"/>
  <c r="I139" i="9"/>
  <c r="H139" i="9"/>
  <c r="G139" i="9"/>
  <c r="F139" i="9"/>
  <c r="D139" i="9"/>
  <c r="T138" i="9"/>
  <c r="R138" i="9"/>
  <c r="Q138" i="9"/>
  <c r="P138" i="9"/>
  <c r="O138" i="9"/>
  <c r="M138" i="9"/>
  <c r="L138" i="9"/>
  <c r="K138" i="9"/>
  <c r="J138" i="9"/>
  <c r="I138" i="9"/>
  <c r="H138" i="9"/>
  <c r="G138" i="9"/>
  <c r="F138" i="9"/>
  <c r="D138" i="9"/>
  <c r="T137" i="9"/>
  <c r="R137" i="9"/>
  <c r="Q137" i="9"/>
  <c r="P137" i="9"/>
  <c r="O137" i="9"/>
  <c r="M137" i="9"/>
  <c r="L137" i="9"/>
  <c r="K137" i="9"/>
  <c r="J137" i="9"/>
  <c r="I137" i="9"/>
  <c r="H137" i="9"/>
  <c r="G137" i="9"/>
  <c r="F137" i="9"/>
  <c r="D137" i="9"/>
  <c r="T136" i="9"/>
  <c r="R136" i="9"/>
  <c r="Q136" i="9"/>
  <c r="P136" i="9"/>
  <c r="O136" i="9"/>
  <c r="M136" i="9"/>
  <c r="L136" i="9"/>
  <c r="K136" i="9"/>
  <c r="J136" i="9"/>
  <c r="I136" i="9"/>
  <c r="H136" i="9"/>
  <c r="G136" i="9"/>
  <c r="F136" i="9"/>
  <c r="D136" i="9"/>
  <c r="T135" i="9"/>
  <c r="R135" i="9"/>
  <c r="Q135" i="9"/>
  <c r="P135" i="9"/>
  <c r="O135" i="9"/>
  <c r="M135" i="9"/>
  <c r="L135" i="9"/>
  <c r="K135" i="9"/>
  <c r="J135" i="9"/>
  <c r="I135" i="9"/>
  <c r="H135" i="9"/>
  <c r="G135" i="9"/>
  <c r="F135" i="9"/>
  <c r="D135" i="9"/>
  <c r="T134" i="9"/>
  <c r="R134" i="9"/>
  <c r="Q134" i="9"/>
  <c r="P134" i="9"/>
  <c r="O134" i="9"/>
  <c r="M134" i="9"/>
  <c r="L134" i="9"/>
  <c r="K134" i="9"/>
  <c r="J134" i="9"/>
  <c r="I134" i="9"/>
  <c r="H134" i="9"/>
  <c r="G134" i="9"/>
  <c r="F134" i="9"/>
  <c r="D134" i="9"/>
  <c r="T133" i="9"/>
  <c r="R133" i="9"/>
  <c r="Q133" i="9"/>
  <c r="P133" i="9"/>
  <c r="O133" i="9"/>
  <c r="M133" i="9"/>
  <c r="L133" i="9"/>
  <c r="K133" i="9"/>
  <c r="J133" i="9"/>
  <c r="I133" i="9"/>
  <c r="H133" i="9"/>
  <c r="G133" i="9"/>
  <c r="F133" i="9"/>
  <c r="D133" i="9"/>
  <c r="T132" i="9"/>
  <c r="R132" i="9"/>
  <c r="Q132" i="9"/>
  <c r="P132" i="9"/>
  <c r="O132" i="9"/>
  <c r="M132" i="9"/>
  <c r="L132" i="9"/>
  <c r="K132" i="9"/>
  <c r="J132" i="9"/>
  <c r="I132" i="9"/>
  <c r="H132" i="9"/>
  <c r="G132" i="9"/>
  <c r="F132" i="9"/>
  <c r="D132" i="9"/>
  <c r="T131" i="9"/>
  <c r="R131" i="9"/>
  <c r="Q131" i="9"/>
  <c r="P131" i="9"/>
  <c r="O131" i="9"/>
  <c r="M131" i="9"/>
  <c r="L131" i="9"/>
  <c r="K131" i="9"/>
  <c r="J131" i="9"/>
  <c r="I131" i="9"/>
  <c r="H131" i="9"/>
  <c r="G131" i="9"/>
  <c r="F131" i="9"/>
  <c r="D131" i="9"/>
  <c r="T130" i="9"/>
  <c r="R130" i="9"/>
  <c r="Q130" i="9"/>
  <c r="P130" i="9"/>
  <c r="O130" i="9"/>
  <c r="M130" i="9"/>
  <c r="L130" i="9"/>
  <c r="K130" i="9"/>
  <c r="J130" i="9"/>
  <c r="I130" i="9"/>
  <c r="H130" i="9"/>
  <c r="G130" i="9"/>
  <c r="F130" i="9"/>
  <c r="D130" i="9"/>
  <c r="T129" i="9"/>
  <c r="R129" i="9"/>
  <c r="Q129" i="9"/>
  <c r="P129" i="9"/>
  <c r="O129" i="9"/>
  <c r="M129" i="9"/>
  <c r="L129" i="9"/>
  <c r="K129" i="9"/>
  <c r="J129" i="9"/>
  <c r="I129" i="9"/>
  <c r="H129" i="9"/>
  <c r="G129" i="9"/>
  <c r="F129" i="9"/>
  <c r="D129" i="9"/>
  <c r="T128" i="9"/>
  <c r="R128" i="9"/>
  <c r="Q128" i="9"/>
  <c r="P128" i="9"/>
  <c r="O128" i="9"/>
  <c r="M128" i="9"/>
  <c r="L128" i="9"/>
  <c r="K128" i="9"/>
  <c r="J128" i="9"/>
  <c r="I128" i="9"/>
  <c r="H128" i="9"/>
  <c r="G128" i="9"/>
  <c r="F128" i="9"/>
  <c r="D128" i="9"/>
  <c r="T127" i="9"/>
  <c r="R127" i="9"/>
  <c r="Q127" i="9"/>
  <c r="P127" i="9"/>
  <c r="O127" i="9"/>
  <c r="M127" i="9"/>
  <c r="L127" i="9"/>
  <c r="K127" i="9"/>
  <c r="J127" i="9"/>
  <c r="I127" i="9"/>
  <c r="H127" i="9"/>
  <c r="G127" i="9"/>
  <c r="F127" i="9"/>
  <c r="D127" i="9"/>
  <c r="T126" i="9"/>
  <c r="R126" i="9"/>
  <c r="Q126" i="9"/>
  <c r="P126" i="9"/>
  <c r="O126" i="9"/>
  <c r="M126" i="9"/>
  <c r="L126" i="9"/>
  <c r="K126" i="9"/>
  <c r="J126" i="9"/>
  <c r="I126" i="9"/>
  <c r="H126" i="9"/>
  <c r="G126" i="9"/>
  <c r="F126" i="9"/>
  <c r="D126" i="9"/>
  <c r="T125" i="9"/>
  <c r="R125" i="9"/>
  <c r="Q125" i="9"/>
  <c r="P125" i="9"/>
  <c r="O125" i="9"/>
  <c r="M125" i="9"/>
  <c r="L125" i="9"/>
  <c r="K125" i="9"/>
  <c r="J125" i="9"/>
  <c r="I125" i="9"/>
  <c r="H125" i="9"/>
  <c r="G125" i="9"/>
  <c r="F125" i="9"/>
  <c r="D125" i="9"/>
  <c r="T124" i="9"/>
  <c r="R124" i="9"/>
  <c r="Q124" i="9"/>
  <c r="P124" i="9"/>
  <c r="O124" i="9"/>
  <c r="M124" i="9"/>
  <c r="L124" i="9"/>
  <c r="K124" i="9"/>
  <c r="J124" i="9"/>
  <c r="I124" i="9"/>
  <c r="H124" i="9"/>
  <c r="G124" i="9"/>
  <c r="F124" i="9"/>
  <c r="D124" i="9"/>
  <c r="T123" i="9"/>
  <c r="R123" i="9"/>
  <c r="Q123" i="9"/>
  <c r="P123" i="9"/>
  <c r="O123" i="9"/>
  <c r="M123" i="9"/>
  <c r="L123" i="9"/>
  <c r="K123" i="9"/>
  <c r="J123" i="9"/>
  <c r="I123" i="9"/>
  <c r="H123" i="9"/>
  <c r="G123" i="9"/>
  <c r="F123" i="9"/>
  <c r="D123" i="9"/>
  <c r="T122" i="9"/>
  <c r="R122" i="9"/>
  <c r="Q122" i="9"/>
  <c r="P122" i="9"/>
  <c r="O122" i="9"/>
  <c r="M122" i="9"/>
  <c r="L122" i="9"/>
  <c r="K122" i="9"/>
  <c r="J122" i="9"/>
  <c r="I122" i="9"/>
  <c r="H122" i="9"/>
  <c r="G122" i="9"/>
  <c r="F122" i="9"/>
  <c r="D122" i="9"/>
  <c r="T121" i="9"/>
  <c r="R121" i="9"/>
  <c r="Q121" i="9"/>
  <c r="P121" i="9"/>
  <c r="O121" i="9"/>
  <c r="M121" i="9"/>
  <c r="L121" i="9"/>
  <c r="K121" i="9"/>
  <c r="J121" i="9"/>
  <c r="I121" i="9"/>
  <c r="H121" i="9"/>
  <c r="G121" i="9"/>
  <c r="F121" i="9"/>
  <c r="D121" i="9"/>
  <c r="T120" i="9"/>
  <c r="R120" i="9"/>
  <c r="Q120" i="9"/>
  <c r="P120" i="9"/>
  <c r="O120" i="9"/>
  <c r="M120" i="9"/>
  <c r="L120" i="9"/>
  <c r="K120" i="9"/>
  <c r="J120" i="9"/>
  <c r="I120" i="9"/>
  <c r="H120" i="9"/>
  <c r="G120" i="9"/>
  <c r="F120" i="9"/>
  <c r="D120" i="9"/>
  <c r="T119" i="9"/>
  <c r="R119" i="9"/>
  <c r="Q119" i="9"/>
  <c r="P119" i="9"/>
  <c r="O119" i="9"/>
  <c r="M119" i="9"/>
  <c r="L119" i="9"/>
  <c r="K119" i="9"/>
  <c r="J119" i="9"/>
  <c r="I119" i="9"/>
  <c r="H119" i="9"/>
  <c r="G119" i="9"/>
  <c r="F119" i="9"/>
  <c r="D119" i="9"/>
  <c r="T118" i="9"/>
  <c r="R118" i="9"/>
  <c r="Q118" i="9"/>
  <c r="P118" i="9"/>
  <c r="O118" i="9"/>
  <c r="M118" i="9"/>
  <c r="L118" i="9"/>
  <c r="K118" i="9"/>
  <c r="J118" i="9"/>
  <c r="I118" i="9"/>
  <c r="H118" i="9"/>
  <c r="G118" i="9"/>
  <c r="F118" i="9"/>
  <c r="D118" i="9"/>
  <c r="T117" i="9"/>
  <c r="R117" i="9"/>
  <c r="Q117" i="9"/>
  <c r="P117" i="9"/>
  <c r="O117" i="9"/>
  <c r="M117" i="9"/>
  <c r="L117" i="9"/>
  <c r="K117" i="9"/>
  <c r="J117" i="9"/>
  <c r="I117" i="9"/>
  <c r="H117" i="9"/>
  <c r="G117" i="9"/>
  <c r="F117" i="9"/>
  <c r="D117" i="9"/>
  <c r="T116" i="9"/>
  <c r="R116" i="9"/>
  <c r="Q116" i="9"/>
  <c r="P116" i="9"/>
  <c r="O116" i="9"/>
  <c r="M116" i="9"/>
  <c r="L116" i="9"/>
  <c r="K116" i="9"/>
  <c r="J116" i="9"/>
  <c r="I116" i="9"/>
  <c r="H116" i="9"/>
  <c r="G116" i="9"/>
  <c r="F116" i="9"/>
  <c r="D116" i="9"/>
  <c r="T115" i="9"/>
  <c r="R115" i="9"/>
  <c r="Q115" i="9"/>
  <c r="P115" i="9"/>
  <c r="O115" i="9"/>
  <c r="M115" i="9"/>
  <c r="L115" i="9"/>
  <c r="K115" i="9"/>
  <c r="J115" i="9"/>
  <c r="I115" i="9"/>
  <c r="H115" i="9"/>
  <c r="G115" i="9"/>
  <c r="F115" i="9"/>
  <c r="D115" i="9"/>
  <c r="T114" i="9"/>
  <c r="R114" i="9"/>
  <c r="Q114" i="9"/>
  <c r="P114" i="9"/>
  <c r="O114" i="9"/>
  <c r="M114" i="9"/>
  <c r="L114" i="9"/>
  <c r="K114" i="9"/>
  <c r="J114" i="9"/>
  <c r="I114" i="9"/>
  <c r="H114" i="9"/>
  <c r="G114" i="9"/>
  <c r="F114" i="9"/>
  <c r="D114" i="9"/>
  <c r="T113" i="9"/>
  <c r="R113" i="9"/>
  <c r="Q113" i="9"/>
  <c r="P113" i="9"/>
  <c r="O113" i="9"/>
  <c r="M113" i="9"/>
  <c r="L113" i="9"/>
  <c r="K113" i="9"/>
  <c r="J113" i="9"/>
  <c r="I113" i="9"/>
  <c r="H113" i="9"/>
  <c r="G113" i="9"/>
  <c r="F113" i="9"/>
  <c r="D113" i="9"/>
  <c r="T112" i="9"/>
  <c r="R112" i="9"/>
  <c r="Q112" i="9"/>
  <c r="P112" i="9"/>
  <c r="O112" i="9"/>
  <c r="M112" i="9"/>
  <c r="L112" i="9"/>
  <c r="K112" i="9"/>
  <c r="J112" i="9"/>
  <c r="I112" i="9"/>
  <c r="H112" i="9"/>
  <c r="G112" i="9"/>
  <c r="F112" i="9"/>
  <c r="D112" i="9"/>
  <c r="T111" i="9"/>
  <c r="R111" i="9"/>
  <c r="Q111" i="9"/>
  <c r="P111" i="9"/>
  <c r="O111" i="9"/>
  <c r="M111" i="9"/>
  <c r="L111" i="9"/>
  <c r="K111" i="9"/>
  <c r="J111" i="9"/>
  <c r="I111" i="9"/>
  <c r="H111" i="9"/>
  <c r="G111" i="9"/>
  <c r="F111" i="9"/>
  <c r="D111" i="9"/>
  <c r="T110" i="9"/>
  <c r="R110" i="9"/>
  <c r="Q110" i="9"/>
  <c r="P110" i="9"/>
  <c r="O110" i="9"/>
  <c r="M110" i="9"/>
  <c r="L110" i="9"/>
  <c r="K110" i="9"/>
  <c r="J110" i="9"/>
  <c r="I110" i="9"/>
  <c r="H110" i="9"/>
  <c r="G110" i="9"/>
  <c r="F110" i="9"/>
  <c r="D110" i="9"/>
  <c r="T109" i="9"/>
  <c r="R109" i="9"/>
  <c r="Q109" i="9"/>
  <c r="P109" i="9"/>
  <c r="O109" i="9"/>
  <c r="M109" i="9"/>
  <c r="L109" i="9"/>
  <c r="K109" i="9"/>
  <c r="J109" i="9"/>
  <c r="I109" i="9"/>
  <c r="H109" i="9"/>
  <c r="G109" i="9"/>
  <c r="F109" i="9"/>
  <c r="D109" i="9"/>
  <c r="T108" i="9"/>
  <c r="R108" i="9"/>
  <c r="Q108" i="9"/>
  <c r="P108" i="9"/>
  <c r="O108" i="9"/>
  <c r="M108" i="9"/>
  <c r="L108" i="9"/>
  <c r="K108" i="9"/>
  <c r="J108" i="9"/>
  <c r="I108" i="9"/>
  <c r="H108" i="9"/>
  <c r="G108" i="9"/>
  <c r="F108" i="9"/>
  <c r="D108" i="9"/>
  <c r="T107" i="9"/>
  <c r="R107" i="9"/>
  <c r="Q107" i="9"/>
  <c r="P107" i="9"/>
  <c r="O107" i="9"/>
  <c r="M107" i="9"/>
  <c r="L107" i="9"/>
  <c r="K107" i="9"/>
  <c r="J107" i="9"/>
  <c r="I107" i="9"/>
  <c r="H107" i="9"/>
  <c r="G107" i="9"/>
  <c r="F107" i="9"/>
  <c r="D107" i="9"/>
  <c r="T106" i="9"/>
  <c r="R106" i="9"/>
  <c r="Q106" i="9"/>
  <c r="P106" i="9"/>
  <c r="O106" i="9"/>
  <c r="M106" i="9"/>
  <c r="L106" i="9"/>
  <c r="K106" i="9"/>
  <c r="J106" i="9"/>
  <c r="I106" i="9"/>
  <c r="H106" i="9"/>
  <c r="G106" i="9"/>
  <c r="F106" i="9"/>
  <c r="D106" i="9"/>
  <c r="T105" i="9"/>
  <c r="R105" i="9"/>
  <c r="Q105" i="9"/>
  <c r="P105" i="9"/>
  <c r="O105" i="9"/>
  <c r="M105" i="9"/>
  <c r="L105" i="9"/>
  <c r="K105" i="9"/>
  <c r="J105" i="9"/>
  <c r="I105" i="9"/>
  <c r="H105" i="9"/>
  <c r="G105" i="9"/>
  <c r="F105" i="9"/>
  <c r="D105" i="9"/>
  <c r="T104" i="9"/>
  <c r="R104" i="9"/>
  <c r="Q104" i="9"/>
  <c r="P104" i="9"/>
  <c r="O104" i="9"/>
  <c r="M104" i="9"/>
  <c r="L104" i="9"/>
  <c r="K104" i="9"/>
  <c r="J104" i="9"/>
  <c r="I104" i="9"/>
  <c r="H104" i="9"/>
  <c r="G104" i="9"/>
  <c r="F104" i="9"/>
  <c r="D104" i="9"/>
  <c r="T103" i="9"/>
  <c r="R103" i="9"/>
  <c r="Q103" i="9"/>
  <c r="P103" i="9"/>
  <c r="O103" i="9"/>
  <c r="M103" i="9"/>
  <c r="L103" i="9"/>
  <c r="K103" i="9"/>
  <c r="J103" i="9"/>
  <c r="I103" i="9"/>
  <c r="H103" i="9"/>
  <c r="G103" i="9"/>
  <c r="F103" i="9"/>
  <c r="D103" i="9"/>
  <c r="T102" i="9"/>
  <c r="R102" i="9"/>
  <c r="Q102" i="9"/>
  <c r="P102" i="9"/>
  <c r="O102" i="9"/>
  <c r="M102" i="9"/>
  <c r="L102" i="9"/>
  <c r="K102" i="9"/>
  <c r="J102" i="9"/>
  <c r="I102" i="9"/>
  <c r="H102" i="9"/>
  <c r="G102" i="9"/>
  <c r="F102" i="9"/>
  <c r="D102" i="9"/>
  <c r="T101" i="9"/>
  <c r="R101" i="9"/>
  <c r="Q101" i="9"/>
  <c r="P101" i="9"/>
  <c r="O101" i="9"/>
  <c r="M101" i="9"/>
  <c r="L101" i="9"/>
  <c r="K101" i="9"/>
  <c r="J101" i="9"/>
  <c r="I101" i="9"/>
  <c r="H101" i="9"/>
  <c r="G101" i="9"/>
  <c r="F101" i="9"/>
  <c r="D101" i="9"/>
  <c r="T100" i="9"/>
  <c r="R100" i="9"/>
  <c r="Q100" i="9"/>
  <c r="P100" i="9"/>
  <c r="O100" i="9"/>
  <c r="M100" i="9"/>
  <c r="L100" i="9"/>
  <c r="K100" i="9"/>
  <c r="J100" i="9"/>
  <c r="I100" i="9"/>
  <c r="H100" i="9"/>
  <c r="G100" i="9"/>
  <c r="F100" i="9"/>
  <c r="D100" i="9"/>
  <c r="T99" i="9"/>
  <c r="R99" i="9"/>
  <c r="Q99" i="9"/>
  <c r="P99" i="9"/>
  <c r="O99" i="9"/>
  <c r="M99" i="9"/>
  <c r="L99" i="9"/>
  <c r="K99" i="9"/>
  <c r="J99" i="9"/>
  <c r="I99" i="9"/>
  <c r="H99" i="9"/>
  <c r="G99" i="9"/>
  <c r="F99" i="9"/>
  <c r="D99" i="9"/>
  <c r="T98" i="9"/>
  <c r="R98" i="9"/>
  <c r="Q98" i="9"/>
  <c r="P98" i="9"/>
  <c r="O98" i="9"/>
  <c r="M98" i="9"/>
  <c r="L98" i="9"/>
  <c r="K98" i="9"/>
  <c r="J98" i="9"/>
  <c r="I98" i="9"/>
  <c r="H98" i="9"/>
  <c r="G98" i="9"/>
  <c r="F98" i="9"/>
  <c r="D98" i="9"/>
  <c r="T97" i="9"/>
  <c r="R97" i="9"/>
  <c r="Q97" i="9"/>
  <c r="P97" i="9"/>
  <c r="O97" i="9"/>
  <c r="M97" i="9"/>
  <c r="L97" i="9"/>
  <c r="K97" i="9"/>
  <c r="J97" i="9"/>
  <c r="I97" i="9"/>
  <c r="H97" i="9"/>
  <c r="G97" i="9"/>
  <c r="F97" i="9"/>
  <c r="D97" i="9"/>
  <c r="T96" i="9"/>
  <c r="R96" i="9"/>
  <c r="Q96" i="9"/>
  <c r="P96" i="9"/>
  <c r="O96" i="9"/>
  <c r="M96" i="9"/>
  <c r="L96" i="9"/>
  <c r="K96" i="9"/>
  <c r="J96" i="9"/>
  <c r="I96" i="9"/>
  <c r="H96" i="9"/>
  <c r="G96" i="9"/>
  <c r="F96" i="9"/>
  <c r="D96" i="9"/>
  <c r="T95" i="9"/>
  <c r="R95" i="9"/>
  <c r="Q95" i="9"/>
  <c r="P95" i="9"/>
  <c r="O95" i="9"/>
  <c r="M95" i="9"/>
  <c r="L95" i="9"/>
  <c r="K95" i="9"/>
  <c r="J95" i="9"/>
  <c r="I95" i="9"/>
  <c r="H95" i="9"/>
  <c r="G95" i="9"/>
  <c r="F95" i="9"/>
  <c r="D95" i="9"/>
  <c r="T94" i="9"/>
  <c r="R94" i="9"/>
  <c r="Q94" i="9"/>
  <c r="P94" i="9"/>
  <c r="O94" i="9"/>
  <c r="M94" i="9"/>
  <c r="L94" i="9"/>
  <c r="K94" i="9"/>
  <c r="J94" i="9"/>
  <c r="I94" i="9"/>
  <c r="H94" i="9"/>
  <c r="G94" i="9"/>
  <c r="F94" i="9"/>
  <c r="D94" i="9"/>
  <c r="T93" i="9"/>
  <c r="R93" i="9"/>
  <c r="Q93" i="9"/>
  <c r="P93" i="9"/>
  <c r="O93" i="9"/>
  <c r="M93" i="9"/>
  <c r="L93" i="9"/>
  <c r="K93" i="9"/>
  <c r="J93" i="9"/>
  <c r="I93" i="9"/>
  <c r="H93" i="9"/>
  <c r="G93" i="9"/>
  <c r="F93" i="9"/>
  <c r="D93" i="9"/>
  <c r="T92" i="9"/>
  <c r="R92" i="9"/>
  <c r="Q92" i="9"/>
  <c r="P92" i="9"/>
  <c r="O92" i="9"/>
  <c r="M92" i="9"/>
  <c r="L92" i="9"/>
  <c r="K92" i="9"/>
  <c r="J92" i="9"/>
  <c r="I92" i="9"/>
  <c r="H92" i="9"/>
  <c r="G92" i="9"/>
  <c r="F92" i="9"/>
  <c r="D92" i="9"/>
  <c r="T91" i="9"/>
  <c r="R91" i="9"/>
  <c r="Q91" i="9"/>
  <c r="P91" i="9"/>
  <c r="O91" i="9"/>
  <c r="M91" i="9"/>
  <c r="L91" i="9"/>
  <c r="K91" i="9"/>
  <c r="J91" i="9"/>
  <c r="I91" i="9"/>
  <c r="H91" i="9"/>
  <c r="G91" i="9"/>
  <c r="F91" i="9"/>
  <c r="D91" i="9"/>
  <c r="T90" i="9"/>
  <c r="R90" i="9"/>
  <c r="Q90" i="9"/>
  <c r="P90" i="9"/>
  <c r="O90" i="9"/>
  <c r="M90" i="9"/>
  <c r="L90" i="9"/>
  <c r="K90" i="9"/>
  <c r="J90" i="9"/>
  <c r="I90" i="9"/>
  <c r="H90" i="9"/>
  <c r="G90" i="9"/>
  <c r="F90" i="9"/>
  <c r="D90" i="9"/>
  <c r="T89" i="9"/>
  <c r="R89" i="9"/>
  <c r="Q89" i="9"/>
  <c r="P89" i="9"/>
  <c r="O89" i="9"/>
  <c r="M89" i="9"/>
  <c r="L89" i="9"/>
  <c r="K89" i="9"/>
  <c r="J89" i="9"/>
  <c r="I89" i="9"/>
  <c r="H89" i="9"/>
  <c r="G89" i="9"/>
  <c r="F89" i="9"/>
  <c r="D89" i="9"/>
  <c r="T88" i="9"/>
  <c r="R88" i="9"/>
  <c r="Q88" i="9"/>
  <c r="P88" i="9"/>
  <c r="O88" i="9"/>
  <c r="M88" i="9"/>
  <c r="L88" i="9"/>
  <c r="K88" i="9"/>
  <c r="J88" i="9"/>
  <c r="I88" i="9"/>
  <c r="H88" i="9"/>
  <c r="G88" i="9"/>
  <c r="F88" i="9"/>
  <c r="D88" i="9"/>
  <c r="T87" i="9"/>
  <c r="R87" i="9"/>
  <c r="Q87" i="9"/>
  <c r="P87" i="9"/>
  <c r="O87" i="9"/>
  <c r="M87" i="9"/>
  <c r="L87" i="9"/>
  <c r="K87" i="9"/>
  <c r="J87" i="9"/>
  <c r="I87" i="9"/>
  <c r="H87" i="9"/>
  <c r="G87" i="9"/>
  <c r="F87" i="9"/>
  <c r="D87" i="9"/>
  <c r="T86" i="9"/>
  <c r="R86" i="9"/>
  <c r="Q86" i="9"/>
  <c r="P86" i="9"/>
  <c r="O86" i="9"/>
  <c r="M86" i="9"/>
  <c r="L86" i="9"/>
  <c r="K86" i="9"/>
  <c r="J86" i="9"/>
  <c r="I86" i="9"/>
  <c r="H86" i="9"/>
  <c r="G86" i="9"/>
  <c r="F86" i="9"/>
  <c r="D86" i="9"/>
  <c r="T85" i="9"/>
  <c r="R85" i="9"/>
  <c r="Q85" i="9"/>
  <c r="P85" i="9"/>
  <c r="O85" i="9"/>
  <c r="M85" i="9"/>
  <c r="L85" i="9"/>
  <c r="K85" i="9"/>
  <c r="J85" i="9"/>
  <c r="I85" i="9"/>
  <c r="H85" i="9"/>
  <c r="G85" i="9"/>
  <c r="F85" i="9"/>
  <c r="D85" i="9"/>
  <c r="T84" i="9"/>
  <c r="R84" i="9"/>
  <c r="Q84" i="9"/>
  <c r="P84" i="9"/>
  <c r="O84" i="9"/>
  <c r="M84" i="9"/>
  <c r="L84" i="9"/>
  <c r="K84" i="9"/>
  <c r="J84" i="9"/>
  <c r="I84" i="9"/>
  <c r="H84" i="9"/>
  <c r="G84" i="9"/>
  <c r="F84" i="9"/>
  <c r="D84" i="9"/>
  <c r="T83" i="9"/>
  <c r="R83" i="9"/>
  <c r="Q83" i="9"/>
  <c r="P83" i="9"/>
  <c r="O83" i="9"/>
  <c r="M83" i="9"/>
  <c r="L83" i="9"/>
  <c r="K83" i="9"/>
  <c r="J83" i="9"/>
  <c r="I83" i="9"/>
  <c r="H83" i="9"/>
  <c r="G83" i="9"/>
  <c r="F83" i="9"/>
  <c r="D83" i="9"/>
  <c r="T82" i="9"/>
  <c r="R82" i="9"/>
  <c r="Q82" i="9"/>
  <c r="P82" i="9"/>
  <c r="O82" i="9"/>
  <c r="M82" i="9"/>
  <c r="L82" i="9"/>
  <c r="K82" i="9"/>
  <c r="J82" i="9"/>
  <c r="I82" i="9"/>
  <c r="H82" i="9"/>
  <c r="G82" i="9"/>
  <c r="F82" i="9"/>
  <c r="D82" i="9"/>
  <c r="T81" i="9"/>
  <c r="R81" i="9"/>
  <c r="Q81" i="9"/>
  <c r="P81" i="9"/>
  <c r="O81" i="9"/>
  <c r="M81" i="9"/>
  <c r="L81" i="9"/>
  <c r="K81" i="9"/>
  <c r="J81" i="9"/>
  <c r="I81" i="9"/>
  <c r="H81" i="9"/>
  <c r="G81" i="9"/>
  <c r="F81" i="9"/>
  <c r="D81" i="9"/>
  <c r="T80" i="9"/>
  <c r="R80" i="9"/>
  <c r="Q80" i="9"/>
  <c r="P80" i="9"/>
  <c r="O80" i="9"/>
  <c r="M80" i="9"/>
  <c r="L80" i="9"/>
  <c r="K80" i="9"/>
  <c r="J80" i="9"/>
  <c r="I80" i="9"/>
  <c r="H80" i="9"/>
  <c r="G80" i="9"/>
  <c r="F80" i="9"/>
  <c r="D80" i="9"/>
  <c r="T79" i="9"/>
  <c r="R79" i="9"/>
  <c r="Q79" i="9"/>
  <c r="P79" i="9"/>
  <c r="O79" i="9"/>
  <c r="M79" i="9"/>
  <c r="L79" i="9"/>
  <c r="K79" i="9"/>
  <c r="J79" i="9"/>
  <c r="I79" i="9"/>
  <c r="H79" i="9"/>
  <c r="G79" i="9"/>
  <c r="F79" i="9"/>
  <c r="D79" i="9"/>
  <c r="T78" i="9"/>
  <c r="R78" i="9"/>
  <c r="Q78" i="9"/>
  <c r="P78" i="9"/>
  <c r="O78" i="9"/>
  <c r="M78" i="9"/>
  <c r="L78" i="9"/>
  <c r="K78" i="9"/>
  <c r="J78" i="9"/>
  <c r="I78" i="9"/>
  <c r="H78" i="9"/>
  <c r="G78" i="9"/>
  <c r="F78" i="9"/>
  <c r="D78" i="9"/>
  <c r="T77" i="9"/>
  <c r="R77" i="9"/>
  <c r="Q77" i="9"/>
  <c r="P77" i="9"/>
  <c r="O77" i="9"/>
  <c r="M77" i="9"/>
  <c r="L77" i="9"/>
  <c r="K77" i="9"/>
  <c r="J77" i="9"/>
  <c r="I77" i="9"/>
  <c r="H77" i="9"/>
  <c r="G77" i="9"/>
  <c r="F77" i="9"/>
  <c r="D77" i="9"/>
  <c r="T76" i="9"/>
  <c r="R76" i="9"/>
  <c r="Q76" i="9"/>
  <c r="P76" i="9"/>
  <c r="O76" i="9"/>
  <c r="M76" i="9"/>
  <c r="L76" i="9"/>
  <c r="K76" i="9"/>
  <c r="J76" i="9"/>
  <c r="I76" i="9"/>
  <c r="H76" i="9"/>
  <c r="G76" i="9"/>
  <c r="F76" i="9"/>
  <c r="D76" i="9"/>
  <c r="T75" i="9"/>
  <c r="R75" i="9"/>
  <c r="Q75" i="9"/>
  <c r="P75" i="9"/>
  <c r="O75" i="9"/>
  <c r="M75" i="9"/>
  <c r="L75" i="9"/>
  <c r="K75" i="9"/>
  <c r="J75" i="9"/>
  <c r="I75" i="9"/>
  <c r="H75" i="9"/>
  <c r="G75" i="9"/>
  <c r="F75" i="9"/>
  <c r="D75" i="9"/>
  <c r="T74" i="9"/>
  <c r="R74" i="9"/>
  <c r="Q74" i="9"/>
  <c r="P74" i="9"/>
  <c r="O74" i="9"/>
  <c r="M74" i="9"/>
  <c r="L74" i="9"/>
  <c r="K74" i="9"/>
  <c r="J74" i="9"/>
  <c r="I74" i="9"/>
  <c r="H74" i="9"/>
  <c r="G74" i="9"/>
  <c r="F74" i="9"/>
  <c r="D74" i="9"/>
  <c r="T73" i="9"/>
  <c r="R73" i="9"/>
  <c r="Q73" i="9"/>
  <c r="P73" i="9"/>
  <c r="O73" i="9"/>
  <c r="M73" i="9"/>
  <c r="L73" i="9"/>
  <c r="K73" i="9"/>
  <c r="J73" i="9"/>
  <c r="I73" i="9"/>
  <c r="H73" i="9"/>
  <c r="G73" i="9"/>
  <c r="F73" i="9"/>
  <c r="D73" i="9"/>
  <c r="T72" i="9"/>
  <c r="R72" i="9"/>
  <c r="Q72" i="9"/>
  <c r="P72" i="9"/>
  <c r="O72" i="9"/>
  <c r="M72" i="9"/>
  <c r="L72" i="9"/>
  <c r="K72" i="9"/>
  <c r="J72" i="9"/>
  <c r="I72" i="9"/>
  <c r="H72" i="9"/>
  <c r="G72" i="9"/>
  <c r="F72" i="9"/>
  <c r="D72" i="9"/>
  <c r="T71" i="9"/>
  <c r="R71" i="9"/>
  <c r="Q71" i="9"/>
  <c r="P71" i="9"/>
  <c r="O71" i="9"/>
  <c r="M71" i="9"/>
  <c r="L71" i="9"/>
  <c r="K71" i="9"/>
  <c r="J71" i="9"/>
  <c r="I71" i="9"/>
  <c r="H71" i="9"/>
  <c r="G71" i="9"/>
  <c r="F71" i="9"/>
  <c r="D71" i="9"/>
  <c r="T70" i="9"/>
  <c r="R70" i="9"/>
  <c r="Q70" i="9"/>
  <c r="P70" i="9"/>
  <c r="O70" i="9"/>
  <c r="M70" i="9"/>
  <c r="L70" i="9"/>
  <c r="K70" i="9"/>
  <c r="J70" i="9"/>
  <c r="I70" i="9"/>
  <c r="H70" i="9"/>
  <c r="G70" i="9"/>
  <c r="F70" i="9"/>
  <c r="D70" i="9"/>
  <c r="T69" i="9"/>
  <c r="R69" i="9"/>
  <c r="Q69" i="9"/>
  <c r="P69" i="9"/>
  <c r="O69" i="9"/>
  <c r="M69" i="9"/>
  <c r="L69" i="9"/>
  <c r="K69" i="9"/>
  <c r="J69" i="9"/>
  <c r="I69" i="9"/>
  <c r="H69" i="9"/>
  <c r="G69" i="9"/>
  <c r="F69" i="9"/>
  <c r="D69" i="9"/>
  <c r="T68" i="9"/>
  <c r="R68" i="9"/>
  <c r="Q68" i="9"/>
  <c r="P68" i="9"/>
  <c r="O68" i="9"/>
  <c r="M68" i="9"/>
  <c r="L68" i="9"/>
  <c r="K68" i="9"/>
  <c r="J68" i="9"/>
  <c r="I68" i="9"/>
  <c r="H68" i="9"/>
  <c r="G68" i="9"/>
  <c r="F68" i="9"/>
  <c r="D68" i="9"/>
  <c r="T67" i="9"/>
  <c r="R67" i="9"/>
  <c r="Q67" i="9"/>
  <c r="P67" i="9"/>
  <c r="O67" i="9"/>
  <c r="M67" i="9"/>
  <c r="L67" i="9"/>
  <c r="K67" i="9"/>
  <c r="J67" i="9"/>
  <c r="I67" i="9"/>
  <c r="H67" i="9"/>
  <c r="G67" i="9"/>
  <c r="F67" i="9"/>
  <c r="D67" i="9"/>
  <c r="T66" i="9"/>
  <c r="R66" i="9"/>
  <c r="Q66" i="9"/>
  <c r="P66" i="9"/>
  <c r="O66" i="9"/>
  <c r="M66" i="9"/>
  <c r="L66" i="9"/>
  <c r="K66" i="9"/>
  <c r="J66" i="9"/>
  <c r="I66" i="9"/>
  <c r="H66" i="9"/>
  <c r="G66" i="9"/>
  <c r="F66" i="9"/>
  <c r="D66" i="9"/>
  <c r="T65" i="9"/>
  <c r="R65" i="9"/>
  <c r="Q65" i="9"/>
  <c r="P65" i="9"/>
  <c r="O65" i="9"/>
  <c r="M65" i="9"/>
  <c r="L65" i="9"/>
  <c r="K65" i="9"/>
  <c r="J65" i="9"/>
  <c r="I65" i="9"/>
  <c r="H65" i="9"/>
  <c r="G65" i="9"/>
  <c r="F65" i="9"/>
  <c r="D65" i="9"/>
  <c r="T64" i="9"/>
  <c r="R64" i="9"/>
  <c r="Q64" i="9"/>
  <c r="P64" i="9"/>
  <c r="O64" i="9"/>
  <c r="M64" i="9"/>
  <c r="L64" i="9"/>
  <c r="K64" i="9"/>
  <c r="J64" i="9"/>
  <c r="I64" i="9"/>
  <c r="H64" i="9"/>
  <c r="G64" i="9"/>
  <c r="F64" i="9"/>
  <c r="D64" i="9"/>
  <c r="T63" i="9"/>
  <c r="R63" i="9"/>
  <c r="Q63" i="9"/>
  <c r="P63" i="9"/>
  <c r="O63" i="9"/>
  <c r="M63" i="9"/>
  <c r="L63" i="9"/>
  <c r="K63" i="9"/>
  <c r="J63" i="9"/>
  <c r="I63" i="9"/>
  <c r="H63" i="9"/>
  <c r="G63" i="9"/>
  <c r="F63" i="9"/>
  <c r="D63" i="9"/>
  <c r="T62" i="9"/>
  <c r="R62" i="9"/>
  <c r="Q62" i="9"/>
  <c r="P62" i="9"/>
  <c r="O62" i="9"/>
  <c r="M62" i="9"/>
  <c r="L62" i="9"/>
  <c r="K62" i="9"/>
  <c r="J62" i="9"/>
  <c r="I62" i="9"/>
  <c r="H62" i="9"/>
  <c r="G62" i="9"/>
  <c r="F62" i="9"/>
  <c r="D62" i="9"/>
  <c r="T61" i="9"/>
  <c r="R61" i="9"/>
  <c r="Q61" i="9"/>
  <c r="P61" i="9"/>
  <c r="O61" i="9"/>
  <c r="M61" i="9"/>
  <c r="L61" i="9"/>
  <c r="K61" i="9"/>
  <c r="J61" i="9"/>
  <c r="I61" i="9"/>
  <c r="H61" i="9"/>
  <c r="G61" i="9"/>
  <c r="F61" i="9"/>
  <c r="D61" i="9"/>
  <c r="T60" i="9"/>
  <c r="R60" i="9"/>
  <c r="Q60" i="9"/>
  <c r="P60" i="9"/>
  <c r="O60" i="9"/>
  <c r="M60" i="9"/>
  <c r="L60" i="9"/>
  <c r="K60" i="9"/>
  <c r="J60" i="9"/>
  <c r="I60" i="9"/>
  <c r="H60" i="9"/>
  <c r="G60" i="9"/>
  <c r="F60" i="9"/>
  <c r="D60" i="9"/>
  <c r="T59" i="9"/>
  <c r="R59" i="9"/>
  <c r="Q59" i="9"/>
  <c r="P59" i="9"/>
  <c r="O59" i="9"/>
  <c r="M59" i="9"/>
  <c r="L59" i="9"/>
  <c r="K59" i="9"/>
  <c r="J59" i="9"/>
  <c r="I59" i="9"/>
  <c r="H59" i="9"/>
  <c r="G59" i="9"/>
  <c r="F59" i="9"/>
  <c r="D59" i="9"/>
  <c r="T58" i="9"/>
  <c r="R58" i="9"/>
  <c r="Q58" i="9"/>
  <c r="P58" i="9"/>
  <c r="O58" i="9"/>
  <c r="M58" i="9"/>
  <c r="L58" i="9"/>
  <c r="K58" i="9"/>
  <c r="J58" i="9"/>
  <c r="I58" i="9"/>
  <c r="H58" i="9"/>
  <c r="G58" i="9"/>
  <c r="F58" i="9"/>
  <c r="D58" i="9"/>
  <c r="T57" i="9"/>
  <c r="R57" i="9"/>
  <c r="Q57" i="9"/>
  <c r="P57" i="9"/>
  <c r="O57" i="9"/>
  <c r="M57" i="9"/>
  <c r="L57" i="9"/>
  <c r="K57" i="9"/>
  <c r="J57" i="9"/>
  <c r="I57" i="9"/>
  <c r="H57" i="9"/>
  <c r="G57" i="9"/>
  <c r="F57" i="9"/>
  <c r="D57" i="9"/>
  <c r="T56" i="9"/>
  <c r="R56" i="9"/>
  <c r="Q56" i="9"/>
  <c r="P56" i="9"/>
  <c r="O56" i="9"/>
  <c r="M56" i="9"/>
  <c r="L56" i="9"/>
  <c r="K56" i="9"/>
  <c r="J56" i="9"/>
  <c r="I56" i="9"/>
  <c r="H56" i="9"/>
  <c r="G56" i="9"/>
  <c r="F56" i="9"/>
  <c r="D56" i="9"/>
  <c r="T55" i="9"/>
  <c r="R55" i="9"/>
  <c r="Q55" i="9"/>
  <c r="P55" i="9"/>
  <c r="O55" i="9"/>
  <c r="M55" i="9"/>
  <c r="L55" i="9"/>
  <c r="K55" i="9"/>
  <c r="J55" i="9"/>
  <c r="I55" i="9"/>
  <c r="H55" i="9"/>
  <c r="G55" i="9"/>
  <c r="F55" i="9"/>
  <c r="D55" i="9"/>
  <c r="T54" i="9"/>
  <c r="R54" i="9"/>
  <c r="Q54" i="9"/>
  <c r="P54" i="9"/>
  <c r="O54" i="9"/>
  <c r="M54" i="9"/>
  <c r="L54" i="9"/>
  <c r="K54" i="9"/>
  <c r="J54" i="9"/>
  <c r="I54" i="9"/>
  <c r="H54" i="9"/>
  <c r="G54" i="9"/>
  <c r="F54" i="9"/>
  <c r="D54" i="9"/>
  <c r="T53" i="9"/>
  <c r="R53" i="9"/>
  <c r="Q53" i="9"/>
  <c r="P53" i="9"/>
  <c r="O53" i="9"/>
  <c r="M53" i="9"/>
  <c r="L53" i="9"/>
  <c r="K53" i="9"/>
  <c r="J53" i="9"/>
  <c r="I53" i="9"/>
  <c r="H53" i="9"/>
  <c r="G53" i="9"/>
  <c r="F53" i="9"/>
  <c r="D53" i="9"/>
  <c r="T52" i="9"/>
  <c r="R52" i="9"/>
  <c r="Q52" i="9"/>
  <c r="P52" i="9"/>
  <c r="O52" i="9"/>
  <c r="M52" i="9"/>
  <c r="L52" i="9"/>
  <c r="K52" i="9"/>
  <c r="J52" i="9"/>
  <c r="I52" i="9"/>
  <c r="H52" i="9"/>
  <c r="G52" i="9"/>
  <c r="F52" i="9"/>
  <c r="D52" i="9"/>
  <c r="T51" i="9"/>
  <c r="R51" i="9"/>
  <c r="Q51" i="9"/>
  <c r="P51" i="9"/>
  <c r="O51" i="9"/>
  <c r="M51" i="9"/>
  <c r="L51" i="9"/>
  <c r="K51" i="9"/>
  <c r="J51" i="9"/>
  <c r="I51" i="9"/>
  <c r="H51" i="9"/>
  <c r="G51" i="9"/>
  <c r="F51" i="9"/>
  <c r="D51" i="9"/>
  <c r="T41" i="9"/>
  <c r="R41" i="9"/>
  <c r="Q41" i="9"/>
  <c r="P41" i="9"/>
  <c r="O41" i="9"/>
  <c r="M41" i="9"/>
  <c r="L41" i="9"/>
  <c r="K41" i="9"/>
  <c r="J41" i="9"/>
  <c r="I41" i="9"/>
  <c r="H41" i="9"/>
  <c r="G41" i="9"/>
  <c r="F41" i="9"/>
  <c r="D41" i="9"/>
  <c r="T40" i="9"/>
  <c r="R40" i="9"/>
  <c r="Q40" i="9"/>
  <c r="P40" i="9"/>
  <c r="O40" i="9"/>
  <c r="M40" i="9"/>
  <c r="L40" i="9"/>
  <c r="K40" i="9"/>
  <c r="J40" i="9"/>
  <c r="I40" i="9"/>
  <c r="H40" i="9"/>
  <c r="G40" i="9"/>
  <c r="F40" i="9"/>
  <c r="D40" i="9"/>
  <c r="T48" i="9"/>
  <c r="R48" i="9"/>
  <c r="Q48" i="9"/>
  <c r="P48" i="9"/>
  <c r="O48" i="9"/>
  <c r="M48" i="9"/>
  <c r="L48" i="9"/>
  <c r="K48" i="9"/>
  <c r="J48" i="9"/>
  <c r="I48" i="9"/>
  <c r="H48" i="9"/>
  <c r="G48" i="9"/>
  <c r="F48" i="9"/>
  <c r="D48" i="9"/>
  <c r="T49" i="9"/>
  <c r="R49" i="9"/>
  <c r="Q49" i="9"/>
  <c r="P49" i="9"/>
  <c r="O49" i="9"/>
  <c r="M49" i="9"/>
  <c r="L49" i="9"/>
  <c r="K49" i="9"/>
  <c r="J49" i="9"/>
  <c r="I49" i="9"/>
  <c r="H49" i="9"/>
  <c r="G49" i="9"/>
  <c r="F49" i="9"/>
  <c r="D49" i="9"/>
  <c r="T47" i="9"/>
  <c r="R47" i="9"/>
  <c r="Q47" i="9"/>
  <c r="P47" i="9"/>
  <c r="O47" i="9"/>
  <c r="M47" i="9"/>
  <c r="L47" i="9"/>
  <c r="K47" i="9"/>
  <c r="J47" i="9"/>
  <c r="I47" i="9"/>
  <c r="H47" i="9"/>
  <c r="G47" i="9"/>
  <c r="F47" i="9"/>
  <c r="D47" i="9"/>
  <c r="T50" i="9"/>
  <c r="R50" i="9"/>
  <c r="Q50" i="9"/>
  <c r="P50" i="9"/>
  <c r="O50" i="9"/>
  <c r="M50" i="9"/>
  <c r="L50" i="9"/>
  <c r="K50" i="9"/>
  <c r="J50" i="9"/>
  <c r="I50" i="9"/>
  <c r="H50" i="9"/>
  <c r="G50" i="9"/>
  <c r="F50" i="9"/>
  <c r="D50" i="9"/>
  <c r="T46" i="9"/>
  <c r="R46" i="9"/>
  <c r="Q46" i="9"/>
  <c r="P46" i="9"/>
  <c r="O46" i="9"/>
  <c r="M46" i="9"/>
  <c r="L46" i="9"/>
  <c r="K46" i="9"/>
  <c r="J46" i="9"/>
  <c r="I46" i="9"/>
  <c r="H46" i="9"/>
  <c r="G46" i="9"/>
  <c r="F46" i="9"/>
  <c r="D46" i="9"/>
  <c r="T44" i="9"/>
  <c r="R44" i="9"/>
  <c r="Q44" i="9"/>
  <c r="P44" i="9"/>
  <c r="O44" i="9"/>
  <c r="M44" i="9"/>
  <c r="L44" i="9"/>
  <c r="K44" i="9"/>
  <c r="J44" i="9"/>
  <c r="I44" i="9"/>
  <c r="H44" i="9"/>
  <c r="G44" i="9"/>
  <c r="F44" i="9"/>
  <c r="D44" i="9"/>
  <c r="T39" i="9"/>
  <c r="R39" i="9"/>
  <c r="Q39" i="9"/>
  <c r="P39" i="9"/>
  <c r="O39" i="9"/>
  <c r="M39" i="9"/>
  <c r="L39" i="9"/>
  <c r="K39" i="9"/>
  <c r="J39" i="9"/>
  <c r="I39" i="9"/>
  <c r="H39" i="9"/>
  <c r="G39" i="9"/>
  <c r="F39" i="9"/>
  <c r="D39" i="9"/>
  <c r="T38" i="9"/>
  <c r="R38" i="9"/>
  <c r="Q38" i="9"/>
  <c r="P38" i="9"/>
  <c r="O38" i="9"/>
  <c r="M38" i="9"/>
  <c r="L38" i="9"/>
  <c r="K38" i="9"/>
  <c r="J38" i="9"/>
  <c r="I38" i="9"/>
  <c r="H38" i="9"/>
  <c r="G38" i="9"/>
  <c r="F38" i="9"/>
  <c r="D38" i="9"/>
  <c r="T37" i="9"/>
  <c r="R37" i="9"/>
  <c r="Q37" i="9"/>
  <c r="P37" i="9"/>
  <c r="O37" i="9"/>
  <c r="M37" i="9"/>
  <c r="L37" i="9"/>
  <c r="K37" i="9"/>
  <c r="J37" i="9"/>
  <c r="I37" i="9"/>
  <c r="H37" i="9"/>
  <c r="G37" i="9"/>
  <c r="F37" i="9"/>
  <c r="D37" i="9"/>
  <c r="T36" i="9"/>
  <c r="R36" i="9"/>
  <c r="Q36" i="9"/>
  <c r="P36" i="9"/>
  <c r="O36" i="9"/>
  <c r="M36" i="9"/>
  <c r="L36" i="9"/>
  <c r="K36" i="9"/>
  <c r="J36" i="9"/>
  <c r="I36" i="9"/>
  <c r="H36" i="9"/>
  <c r="G36" i="9"/>
  <c r="F36" i="9"/>
  <c r="D36" i="9"/>
  <c r="T35" i="9"/>
  <c r="R35" i="9"/>
  <c r="Q35" i="9"/>
  <c r="P35" i="9"/>
  <c r="O35" i="9"/>
  <c r="M35" i="9"/>
  <c r="L35" i="9"/>
  <c r="K35" i="9"/>
  <c r="J35" i="9"/>
  <c r="I35" i="9"/>
  <c r="H35" i="9"/>
  <c r="G35" i="9"/>
  <c r="F35" i="9"/>
  <c r="D35" i="9"/>
  <c r="B33" i="9"/>
  <c r="BE26" i="9"/>
  <c r="AY24" i="9"/>
  <c r="BA24" i="9" s="1"/>
  <c r="B23" i="9"/>
  <c r="B24" i="9" s="1"/>
  <c r="AY21" i="9"/>
  <c r="BB21" i="9" s="1"/>
  <c r="N19" i="9"/>
  <c r="I19" i="9"/>
  <c r="F19" i="9"/>
  <c r="B17" i="9"/>
  <c r="C17" i="9" s="1"/>
  <c r="M16" i="9"/>
  <c r="B16" i="9"/>
  <c r="C16" i="9" s="1"/>
  <c r="B15" i="9"/>
  <c r="C15" i="9" s="1"/>
  <c r="M14" i="9"/>
  <c r="B14" i="9"/>
  <c r="C14" i="9" s="1"/>
  <c r="B13" i="9"/>
  <c r="C13" i="9" s="1"/>
  <c r="M12" i="9"/>
  <c r="B12" i="9"/>
  <c r="C12" i="9" s="1"/>
  <c r="BB10" i="9"/>
  <c r="BA10" i="9"/>
  <c r="H8" i="9"/>
  <c r="BG7" i="9"/>
  <c r="L7" i="9"/>
  <c r="BG6" i="9"/>
  <c r="BG5" i="9"/>
  <c r="BG4" i="9"/>
  <c r="BG3" i="9"/>
  <c r="B3" i="9"/>
  <c r="H1" i="9"/>
  <c r="E38" i="8" l="1"/>
  <c r="N38" i="8"/>
  <c r="S37" i="8"/>
  <c r="N39" i="8"/>
  <c r="S46" i="8"/>
  <c r="N43" i="8"/>
  <c r="S45" i="8"/>
  <c r="S53" i="8"/>
  <c r="E53" i="8"/>
  <c r="S38" i="8"/>
  <c r="E52" i="8"/>
  <c r="N52" i="8"/>
  <c r="S52" i="8"/>
  <c r="E51" i="8"/>
  <c r="N51" i="8"/>
  <c r="N49" i="8"/>
  <c r="S49" i="8"/>
  <c r="N37" i="8"/>
  <c r="N46" i="8"/>
  <c r="N45" i="8"/>
  <c r="S48" i="8"/>
  <c r="N53" i="8"/>
  <c r="E49" i="8"/>
  <c r="E35" i="8"/>
  <c r="E39" i="8"/>
  <c r="E43" i="8"/>
  <c r="E47" i="8"/>
  <c r="S36" i="8"/>
  <c r="S40" i="8"/>
  <c r="S44" i="8"/>
  <c r="N35" i="8"/>
  <c r="E36" i="8"/>
  <c r="E40" i="8"/>
  <c r="E44" i="8"/>
  <c r="S51" i="8"/>
  <c r="N47" i="8"/>
  <c r="E48" i="8"/>
  <c r="S35" i="8"/>
  <c r="N36" i="8"/>
  <c r="E37" i="8"/>
  <c r="S39" i="8"/>
  <c r="N40" i="8"/>
  <c r="E46" i="8"/>
  <c r="S43" i="8"/>
  <c r="N44" i="8"/>
  <c r="E45" i="8"/>
  <c r="S47" i="8"/>
  <c r="N48" i="8"/>
  <c r="N42" i="9"/>
  <c r="S42" i="9"/>
  <c r="S43" i="9"/>
  <c r="N43" i="9"/>
  <c r="E64" i="9"/>
  <c r="E43" i="9"/>
  <c r="E42" i="9"/>
  <c r="S45" i="9"/>
  <c r="N45" i="9"/>
  <c r="E45" i="9"/>
  <c r="B21" i="9"/>
  <c r="B19" i="9"/>
  <c r="S36" i="9"/>
  <c r="BB24" i="9"/>
  <c r="BC21" i="9"/>
  <c r="BC24" i="9" s="1"/>
  <c r="BD21" i="9"/>
  <c r="BD24" i="9" s="1"/>
  <c r="N37" i="9"/>
  <c r="B20" i="9"/>
  <c r="AZ24" i="9"/>
  <c r="N62" i="9"/>
  <c r="B10" i="9"/>
  <c r="BD25" i="9"/>
  <c r="N12" i="9" s="1"/>
  <c r="N13" i="9" s="1"/>
  <c r="BA25" i="9"/>
  <c r="AZ25" i="9"/>
  <c r="C6" i="9"/>
  <c r="B6" i="9" s="1"/>
  <c r="E49" i="9"/>
  <c r="N49" i="9"/>
  <c r="N64" i="9"/>
  <c r="N66" i="9"/>
  <c r="N70" i="9"/>
  <c r="N78" i="9"/>
  <c r="N35" i="9"/>
  <c r="N36" i="9"/>
  <c r="E37" i="9"/>
  <c r="E38" i="9"/>
  <c r="N38" i="9"/>
  <c r="S38" i="9"/>
  <c r="E46" i="9"/>
  <c r="N46" i="9"/>
  <c r="E41" i="9"/>
  <c r="N41" i="9"/>
  <c r="S41" i="9"/>
  <c r="N54" i="9"/>
  <c r="N59" i="9"/>
  <c r="S59" i="9"/>
  <c r="E63" i="9"/>
  <c r="N63" i="9"/>
  <c r="S39" i="9"/>
  <c r="S50" i="9"/>
  <c r="S60" i="9"/>
  <c r="E66" i="9"/>
  <c r="S66" i="9"/>
  <c r="E78" i="9"/>
  <c r="BC25" i="9"/>
  <c r="BB25" i="9"/>
  <c r="B7" i="9"/>
  <c r="S35" i="9"/>
  <c r="S37" i="9"/>
  <c r="N40" i="9"/>
  <c r="S40" i="9"/>
  <c r="S58" i="9"/>
  <c r="S62" i="9"/>
  <c r="S65" i="9"/>
  <c r="N67" i="9"/>
  <c r="S69" i="9"/>
  <c r="S77" i="9"/>
  <c r="E107" i="9"/>
  <c r="E155" i="9"/>
  <c r="E162" i="9"/>
  <c r="N161" i="9"/>
  <c r="S160" i="9"/>
  <c r="E158" i="9"/>
  <c r="N157" i="9"/>
  <c r="S156" i="9"/>
  <c r="E154" i="9"/>
  <c r="N153" i="9"/>
  <c r="S152" i="9"/>
  <c r="E150" i="9"/>
  <c r="N149" i="9"/>
  <c r="S148" i="9"/>
  <c r="E146" i="9"/>
  <c r="N145" i="9"/>
  <c r="S144" i="9"/>
  <c r="E142" i="9"/>
  <c r="N141" i="9"/>
  <c r="S140" i="9"/>
  <c r="E138" i="9"/>
  <c r="N137" i="9"/>
  <c r="S136" i="9"/>
  <c r="E134" i="9"/>
  <c r="N133" i="9"/>
  <c r="S132" i="9"/>
  <c r="E130" i="9"/>
  <c r="N129" i="9"/>
  <c r="S128" i="9"/>
  <c r="E126" i="9"/>
  <c r="N125" i="9"/>
  <c r="S124" i="9"/>
  <c r="E122" i="9"/>
  <c r="N121" i="9"/>
  <c r="S120" i="9"/>
  <c r="E118" i="9"/>
  <c r="N117" i="9"/>
  <c r="S116" i="9"/>
  <c r="E114" i="9"/>
  <c r="N113" i="9"/>
  <c r="S112" i="9"/>
  <c r="E110" i="9"/>
  <c r="N109" i="9"/>
  <c r="S108" i="9"/>
  <c r="E106" i="9"/>
  <c r="N105" i="9"/>
  <c r="S104" i="9"/>
  <c r="E102" i="9"/>
  <c r="N101" i="9"/>
  <c r="S100" i="9"/>
  <c r="E98" i="9"/>
  <c r="N97" i="9"/>
  <c r="S96" i="9"/>
  <c r="E94" i="9"/>
  <c r="N93" i="9"/>
  <c r="S92" i="9"/>
  <c r="E90" i="9"/>
  <c r="N89" i="9"/>
  <c r="S88" i="9"/>
  <c r="E86" i="9"/>
  <c r="N85" i="9"/>
  <c r="S84" i="9"/>
  <c r="E161" i="9"/>
  <c r="N160" i="9"/>
  <c r="S159" i="9"/>
  <c r="E157" i="9"/>
  <c r="N156" i="9"/>
  <c r="S155" i="9"/>
  <c r="E153" i="9"/>
  <c r="E149" i="9"/>
  <c r="E145" i="9"/>
  <c r="E141" i="9"/>
  <c r="E137" i="9"/>
  <c r="E133" i="9"/>
  <c r="E129" i="9"/>
  <c r="E125" i="9"/>
  <c r="E121" i="9"/>
  <c r="E117" i="9"/>
  <c r="E113" i="9"/>
  <c r="E109" i="9"/>
  <c r="E105" i="9"/>
  <c r="E101" i="9"/>
  <c r="E97" i="9"/>
  <c r="E93" i="9"/>
  <c r="E89" i="9"/>
  <c r="E85" i="9"/>
  <c r="E81" i="9"/>
  <c r="E77" i="9"/>
  <c r="E73" i="9"/>
  <c r="E69" i="9"/>
  <c r="E65" i="9"/>
  <c r="E61" i="9"/>
  <c r="E57" i="9"/>
  <c r="E53" i="9"/>
  <c r="E160" i="9"/>
  <c r="E156" i="9"/>
  <c r="E152" i="9"/>
  <c r="E148" i="9"/>
  <c r="E144" i="9"/>
  <c r="E140" i="9"/>
  <c r="E136" i="9"/>
  <c r="E132" i="9"/>
  <c r="E128" i="9"/>
  <c r="E124" i="9"/>
  <c r="E120" i="9"/>
  <c r="E116" i="9"/>
  <c r="E112" i="9"/>
  <c r="E108" i="9"/>
  <c r="E104" i="9"/>
  <c r="E100" i="9"/>
  <c r="E96" i="9"/>
  <c r="E92" i="9"/>
  <c r="E88" i="9"/>
  <c r="E84" i="9"/>
  <c r="E80" i="9"/>
  <c r="E76" i="9"/>
  <c r="N162" i="9"/>
  <c r="E159" i="9"/>
  <c r="S149" i="9"/>
  <c r="N146" i="9"/>
  <c r="E143" i="9"/>
  <c r="S133" i="9"/>
  <c r="N130" i="9"/>
  <c r="E127" i="9"/>
  <c r="S117" i="9"/>
  <c r="N114" i="9"/>
  <c r="E111" i="9"/>
  <c r="S101" i="9"/>
  <c r="N98" i="9"/>
  <c r="E95" i="9"/>
  <c r="S85" i="9"/>
  <c r="N82" i="9"/>
  <c r="S81" i="9"/>
  <c r="S80" i="9"/>
  <c r="N74" i="9"/>
  <c r="S73" i="9"/>
  <c r="S72" i="9"/>
  <c r="N71" i="9"/>
  <c r="S70" i="9"/>
  <c r="E62" i="9"/>
  <c r="N61" i="9"/>
  <c r="E60" i="9"/>
  <c r="E59" i="9"/>
  <c r="N58" i="9"/>
  <c r="S57" i="9"/>
  <c r="S56" i="9"/>
  <c r="N55" i="9"/>
  <c r="S54" i="9"/>
  <c r="E40" i="9"/>
  <c r="N48" i="9"/>
  <c r="S49" i="9"/>
  <c r="E47" i="9"/>
  <c r="N50" i="9"/>
  <c r="S46" i="9"/>
  <c r="E163" i="9"/>
  <c r="S153" i="9"/>
  <c r="N150" i="9"/>
  <c r="E147" i="9"/>
  <c r="S137" i="9"/>
  <c r="N134" i="9"/>
  <c r="E131" i="9"/>
  <c r="S121" i="9"/>
  <c r="N118" i="9"/>
  <c r="E115" i="9"/>
  <c r="S105" i="9"/>
  <c r="N102" i="9"/>
  <c r="E99" i="9"/>
  <c r="S89" i="9"/>
  <c r="N86" i="9"/>
  <c r="E83" i="9"/>
  <c r="E82" i="9"/>
  <c r="N81" i="9"/>
  <c r="E75" i="9"/>
  <c r="E74" i="9"/>
  <c r="N73" i="9"/>
  <c r="E72" i="9"/>
  <c r="E71" i="9"/>
  <c r="S68" i="9"/>
  <c r="E58" i="9"/>
  <c r="N57" i="9"/>
  <c r="E56" i="9"/>
  <c r="E55" i="9"/>
  <c r="S52" i="9"/>
  <c r="E48" i="9"/>
  <c r="E50" i="9"/>
  <c r="E36" i="9"/>
  <c r="E39" i="9"/>
  <c r="E35" i="9"/>
  <c r="S161" i="9"/>
  <c r="E123" i="9"/>
  <c r="S113" i="9"/>
  <c r="N110" i="9"/>
  <c r="N77" i="9"/>
  <c r="S157" i="9"/>
  <c r="N154" i="9"/>
  <c r="E151" i="9"/>
  <c r="S141" i="9"/>
  <c r="N138" i="9"/>
  <c r="E135" i="9"/>
  <c r="S125" i="9"/>
  <c r="N122" i="9"/>
  <c r="E119" i="9"/>
  <c r="S109" i="9"/>
  <c r="N106" i="9"/>
  <c r="E103" i="9"/>
  <c r="S93" i="9"/>
  <c r="N90" i="9"/>
  <c r="E87" i="9"/>
  <c r="S76" i="9"/>
  <c r="E70" i="9"/>
  <c r="N69" i="9"/>
  <c r="E68" i="9"/>
  <c r="E67" i="9"/>
  <c r="S64" i="9"/>
  <c r="E54" i="9"/>
  <c r="N53" i="9"/>
  <c r="E52" i="9"/>
  <c r="E51" i="9"/>
  <c r="N158" i="9"/>
  <c r="S145" i="9"/>
  <c r="N142" i="9"/>
  <c r="E139" i="9"/>
  <c r="S129" i="9"/>
  <c r="N126" i="9"/>
  <c r="S97" i="9"/>
  <c r="N94" i="9"/>
  <c r="E91" i="9"/>
  <c r="E79" i="9"/>
  <c r="N65" i="9"/>
  <c r="N39" i="9"/>
  <c r="E44" i="9"/>
  <c r="N44" i="9"/>
  <c r="S44" i="9"/>
  <c r="N47" i="9"/>
  <c r="S47" i="9"/>
  <c r="S48" i="9"/>
  <c r="N51" i="9"/>
  <c r="S53" i="9"/>
  <c r="S61" i="9"/>
  <c r="N76" i="9"/>
  <c r="N84" i="9"/>
  <c r="S91" i="9"/>
  <c r="S94" i="9"/>
  <c r="N100" i="9"/>
  <c r="N123" i="9"/>
  <c r="N132" i="9"/>
  <c r="N139" i="9"/>
  <c r="N148" i="9"/>
  <c r="N52" i="9"/>
  <c r="S63" i="9"/>
  <c r="N68" i="9"/>
  <c r="S78" i="9"/>
  <c r="N87" i="9"/>
  <c r="S87" i="9"/>
  <c r="S90" i="9"/>
  <c r="N96" i="9"/>
  <c r="N103" i="9"/>
  <c r="S103" i="9"/>
  <c r="S106" i="9"/>
  <c r="N112" i="9"/>
  <c r="N119" i="9"/>
  <c r="S119" i="9"/>
  <c r="S122" i="9"/>
  <c r="N128" i="9"/>
  <c r="N135" i="9"/>
  <c r="S135" i="9"/>
  <c r="S138" i="9"/>
  <c r="N144" i="9"/>
  <c r="N151" i="9"/>
  <c r="S151" i="9"/>
  <c r="S154" i="9"/>
  <c r="N79" i="9"/>
  <c r="S79" i="9"/>
  <c r="N91" i="9"/>
  <c r="N107" i="9"/>
  <c r="S107" i="9"/>
  <c r="S110" i="9"/>
  <c r="N116" i="9"/>
  <c r="S123" i="9"/>
  <c r="S126" i="9"/>
  <c r="S139" i="9"/>
  <c r="S142" i="9"/>
  <c r="N155" i="9"/>
  <c r="S158" i="9"/>
  <c r="B26" i="9"/>
  <c r="S51" i="9"/>
  <c r="N56" i="9"/>
  <c r="S67" i="9"/>
  <c r="N72" i="9"/>
  <c r="N75" i="9"/>
  <c r="S75" i="9"/>
  <c r="N80" i="9"/>
  <c r="N83" i="9"/>
  <c r="S83" i="9"/>
  <c r="S86" i="9"/>
  <c r="N92" i="9"/>
  <c r="N99" i="9"/>
  <c r="S99" i="9"/>
  <c r="S102" i="9"/>
  <c r="N108" i="9"/>
  <c r="N115" i="9"/>
  <c r="S115" i="9"/>
  <c r="S118" i="9"/>
  <c r="N124" i="9"/>
  <c r="N131" i="9"/>
  <c r="S131" i="9"/>
  <c r="S134" i="9"/>
  <c r="N140" i="9"/>
  <c r="N147" i="9"/>
  <c r="S147" i="9"/>
  <c r="S150" i="9"/>
  <c r="N163" i="9"/>
  <c r="S163" i="9"/>
  <c r="S55" i="9"/>
  <c r="N60" i="9"/>
  <c r="S71" i="9"/>
  <c r="S74" i="9"/>
  <c r="S82" i="9"/>
  <c r="N88" i="9"/>
  <c r="N95" i="9"/>
  <c r="S95" i="9"/>
  <c r="S98" i="9"/>
  <c r="N104" i="9"/>
  <c r="N111" i="9"/>
  <c r="S111" i="9"/>
  <c r="S114" i="9"/>
  <c r="N120" i="9"/>
  <c r="N127" i="9"/>
  <c r="S127" i="9"/>
  <c r="S130" i="9"/>
  <c r="N136" i="9"/>
  <c r="N143" i="9"/>
  <c r="S143" i="9"/>
  <c r="S146" i="9"/>
  <c r="N152" i="9"/>
  <c r="N159" i="9"/>
  <c r="S162" i="9"/>
  <c r="B3" i="3"/>
  <c r="B3" i="4"/>
  <c r="B3" i="8"/>
  <c r="I19" i="8"/>
  <c r="N19" i="8"/>
  <c r="F19" i="8"/>
  <c r="D52" i="5"/>
  <c r="H8" i="8"/>
  <c r="L7" i="8"/>
  <c r="BE25" i="9" l="1"/>
  <c r="I12" i="9"/>
  <c r="G12" i="9"/>
  <c r="G14" i="9"/>
  <c r="BE24" i="9"/>
  <c r="G16" i="9"/>
  <c r="B9" i="9"/>
  <c r="B8" i="9"/>
  <c r="N16" i="9"/>
  <c r="N17" i="9" s="1"/>
  <c r="I16" i="9" s="1"/>
  <c r="N14" i="9"/>
  <c r="N15" i="9" s="1"/>
  <c r="I14" i="9" s="1"/>
  <c r="D55" i="5"/>
  <c r="F55" i="5"/>
  <c r="G55" i="5"/>
  <c r="H55" i="5"/>
  <c r="I55" i="5"/>
  <c r="J55" i="5"/>
  <c r="K55" i="5"/>
  <c r="L55" i="5"/>
  <c r="M55" i="5"/>
  <c r="O55" i="5"/>
  <c r="P55" i="5"/>
  <c r="Q55" i="5"/>
  <c r="R55" i="5"/>
  <c r="T55" i="5"/>
  <c r="D45" i="5"/>
  <c r="F45" i="5"/>
  <c r="G45" i="5"/>
  <c r="H45" i="5"/>
  <c r="I45" i="5"/>
  <c r="J45" i="5"/>
  <c r="K45" i="5"/>
  <c r="L45" i="5"/>
  <c r="M45" i="5"/>
  <c r="O45" i="5"/>
  <c r="P45" i="5"/>
  <c r="Q45" i="5"/>
  <c r="R45" i="5"/>
  <c r="T45" i="5"/>
  <c r="D44" i="5"/>
  <c r="F44" i="5"/>
  <c r="G44" i="5"/>
  <c r="H44" i="5"/>
  <c r="I44" i="5"/>
  <c r="J44" i="5"/>
  <c r="K44" i="5"/>
  <c r="L44" i="5"/>
  <c r="M44" i="5"/>
  <c r="O44" i="5"/>
  <c r="P44" i="5"/>
  <c r="Q44" i="5"/>
  <c r="R44" i="5"/>
  <c r="T44" i="5"/>
  <c r="D47" i="5"/>
  <c r="F47" i="5"/>
  <c r="G47" i="5"/>
  <c r="H47" i="5"/>
  <c r="I47" i="5"/>
  <c r="J47" i="5"/>
  <c r="K47" i="5"/>
  <c r="L47" i="5"/>
  <c r="M47" i="5"/>
  <c r="O47" i="5"/>
  <c r="P47" i="5"/>
  <c r="Q47" i="5"/>
  <c r="R47" i="5"/>
  <c r="T47" i="5"/>
  <c r="D51" i="5"/>
  <c r="F51" i="5"/>
  <c r="G51" i="5"/>
  <c r="H51" i="5"/>
  <c r="I51" i="5"/>
  <c r="J51" i="5"/>
  <c r="K51" i="5"/>
  <c r="L51" i="5"/>
  <c r="M51" i="5"/>
  <c r="O51" i="5"/>
  <c r="P51" i="5"/>
  <c r="Q51" i="5"/>
  <c r="R51" i="5"/>
  <c r="T51" i="5"/>
  <c r="D42" i="5"/>
  <c r="F42" i="5"/>
  <c r="G42" i="5"/>
  <c r="H42" i="5"/>
  <c r="I42" i="5"/>
  <c r="J42" i="5"/>
  <c r="K42" i="5"/>
  <c r="L42" i="5"/>
  <c r="M42" i="5"/>
  <c r="O42" i="5"/>
  <c r="P42" i="5"/>
  <c r="Q42" i="5"/>
  <c r="R42" i="5"/>
  <c r="T42" i="5"/>
  <c r="D49" i="4"/>
  <c r="F49" i="4"/>
  <c r="G49" i="4"/>
  <c r="H49" i="4"/>
  <c r="I49" i="4"/>
  <c r="J49" i="4"/>
  <c r="K49" i="4"/>
  <c r="L49" i="4"/>
  <c r="M49" i="4"/>
  <c r="O49" i="4"/>
  <c r="P49" i="4"/>
  <c r="Q49" i="4"/>
  <c r="R49" i="4"/>
  <c r="T49" i="4"/>
  <c r="D50" i="4"/>
  <c r="F50" i="4"/>
  <c r="G50" i="4"/>
  <c r="H50" i="4"/>
  <c r="I50" i="4"/>
  <c r="J50" i="4"/>
  <c r="K50" i="4"/>
  <c r="L50" i="4"/>
  <c r="M50" i="4"/>
  <c r="O50" i="4"/>
  <c r="P50" i="4"/>
  <c r="Q50" i="4"/>
  <c r="R50" i="4"/>
  <c r="T50" i="4"/>
  <c r="D54" i="4"/>
  <c r="F54" i="4"/>
  <c r="G54" i="4"/>
  <c r="H54" i="4"/>
  <c r="I54" i="4"/>
  <c r="J54" i="4"/>
  <c r="K54" i="4"/>
  <c r="L54" i="4"/>
  <c r="M54" i="4"/>
  <c r="O54" i="4"/>
  <c r="P54" i="4"/>
  <c r="Q54" i="4"/>
  <c r="R54" i="4"/>
  <c r="T54" i="4"/>
  <c r="D46" i="4"/>
  <c r="F46" i="4"/>
  <c r="G46" i="4"/>
  <c r="H46" i="4"/>
  <c r="I46" i="4"/>
  <c r="J46" i="4"/>
  <c r="K46" i="4"/>
  <c r="L46" i="4"/>
  <c r="M46" i="4"/>
  <c r="O46" i="4"/>
  <c r="P46" i="4"/>
  <c r="Q46" i="4"/>
  <c r="R46" i="4"/>
  <c r="T46" i="4"/>
  <c r="D47" i="4"/>
  <c r="F47" i="4"/>
  <c r="G47" i="4"/>
  <c r="H47" i="4"/>
  <c r="I47" i="4"/>
  <c r="J47" i="4"/>
  <c r="K47" i="4"/>
  <c r="L47" i="4"/>
  <c r="M47" i="4"/>
  <c r="O47" i="4"/>
  <c r="P47" i="4"/>
  <c r="Q47" i="4"/>
  <c r="R47" i="4"/>
  <c r="T47" i="4"/>
  <c r="D57" i="4"/>
  <c r="F57" i="4"/>
  <c r="G57" i="4"/>
  <c r="H57" i="4"/>
  <c r="I57" i="4"/>
  <c r="J57" i="4"/>
  <c r="K57" i="4"/>
  <c r="L57" i="4"/>
  <c r="M57" i="4"/>
  <c r="O57" i="4"/>
  <c r="P57" i="4"/>
  <c r="Q57" i="4"/>
  <c r="R57" i="4"/>
  <c r="T57" i="4"/>
  <c r="D48" i="4"/>
  <c r="F48" i="4"/>
  <c r="G48" i="4"/>
  <c r="H48" i="4"/>
  <c r="I48" i="4"/>
  <c r="J48" i="4"/>
  <c r="K48" i="4"/>
  <c r="L48" i="4"/>
  <c r="M48" i="4"/>
  <c r="O48" i="4"/>
  <c r="P48" i="4"/>
  <c r="Q48" i="4"/>
  <c r="R48" i="4"/>
  <c r="T48" i="4"/>
  <c r="D45" i="4"/>
  <c r="F45" i="4"/>
  <c r="G45" i="4"/>
  <c r="H45" i="4"/>
  <c r="I45" i="4"/>
  <c r="J45" i="4"/>
  <c r="K45" i="4"/>
  <c r="L45" i="4"/>
  <c r="M45" i="4"/>
  <c r="O45" i="4"/>
  <c r="P45" i="4"/>
  <c r="Q45" i="4"/>
  <c r="R45" i="4"/>
  <c r="T45" i="4"/>
  <c r="D52" i="4"/>
  <c r="F52" i="4"/>
  <c r="G52" i="4"/>
  <c r="H52" i="4"/>
  <c r="I52" i="4"/>
  <c r="J52" i="4"/>
  <c r="K52" i="4"/>
  <c r="L52" i="4"/>
  <c r="M52" i="4"/>
  <c r="O52" i="4"/>
  <c r="P52" i="4"/>
  <c r="Q52" i="4"/>
  <c r="R52" i="4"/>
  <c r="T52" i="4"/>
  <c r="G17" i="9" l="1"/>
  <c r="G15" i="9"/>
  <c r="A31" i="7" l="1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15" i="7"/>
  <c r="Z24" i="7" l="1"/>
  <c r="U24" i="7"/>
  <c r="P24" i="7"/>
  <c r="B23" i="3"/>
  <c r="BG7" i="3"/>
  <c r="BA10" i="3"/>
  <c r="B13" i="3"/>
  <c r="C13" i="3" s="1"/>
  <c r="M12" i="3"/>
  <c r="AY21" i="3"/>
  <c r="BB21" i="3"/>
  <c r="AY24" i="3"/>
  <c r="BB24" i="3"/>
  <c r="B12" i="3"/>
  <c r="C12" i="3" s="1"/>
  <c r="B25" i="3"/>
  <c r="AY21" i="8"/>
  <c r="BD21" i="8" s="1"/>
  <c r="BD24" i="8" s="1"/>
  <c r="BE24" i="8" s="1"/>
  <c r="BB21" i="8"/>
  <c r="BB24" i="8" s="1"/>
  <c r="AY24" i="8"/>
  <c r="B12" i="8"/>
  <c r="C12" i="8" s="1"/>
  <c r="M16" i="8"/>
  <c r="B24" i="8"/>
  <c r="B25" i="8"/>
  <c r="M14" i="8"/>
  <c r="M12" i="8"/>
  <c r="M14" i="5"/>
  <c r="B12" i="5"/>
  <c r="C12" i="5" s="1"/>
  <c r="B23" i="5"/>
  <c r="B25" i="5"/>
  <c r="M16" i="5"/>
  <c r="M12" i="5"/>
  <c r="AY21" i="5"/>
  <c r="BB21" i="5"/>
  <c r="BB24" i="5"/>
  <c r="AY24" i="5"/>
  <c r="BA24" i="5"/>
  <c r="BC21" i="5"/>
  <c r="BC24" i="5"/>
  <c r="BD21" i="5"/>
  <c r="BD24" i="5"/>
  <c r="AZ24" i="5"/>
  <c r="B14" i="4"/>
  <c r="C14" i="4" s="1"/>
  <c r="B14" i="5"/>
  <c r="C14" i="5" s="1"/>
  <c r="B14" i="8"/>
  <c r="C14" i="8" s="1"/>
  <c r="B14" i="3"/>
  <c r="C14" i="3" s="1"/>
  <c r="BG3" i="3"/>
  <c r="B13" i="4"/>
  <c r="C13" i="4" s="1"/>
  <c r="H1" i="8"/>
  <c r="D41" i="8"/>
  <c r="I41" i="8"/>
  <c r="F41" i="8"/>
  <c r="G41" i="8"/>
  <c r="H41" i="8"/>
  <c r="J41" i="8"/>
  <c r="K41" i="8"/>
  <c r="L41" i="8"/>
  <c r="M41" i="8"/>
  <c r="O41" i="8"/>
  <c r="P41" i="8"/>
  <c r="Q41" i="8"/>
  <c r="R41" i="8"/>
  <c r="T41" i="8"/>
  <c r="D50" i="8"/>
  <c r="I50" i="8"/>
  <c r="F50" i="8"/>
  <c r="G50" i="8"/>
  <c r="H50" i="8"/>
  <c r="J50" i="8"/>
  <c r="K50" i="8"/>
  <c r="L50" i="8"/>
  <c r="M50" i="8"/>
  <c r="O50" i="8"/>
  <c r="P50" i="8"/>
  <c r="Q50" i="8"/>
  <c r="R50" i="8"/>
  <c r="T50" i="8"/>
  <c r="D42" i="8"/>
  <c r="I42" i="8"/>
  <c r="F42" i="8"/>
  <c r="G42" i="8"/>
  <c r="H42" i="8"/>
  <c r="J42" i="8"/>
  <c r="K42" i="8"/>
  <c r="L42" i="8"/>
  <c r="M42" i="8"/>
  <c r="O42" i="8"/>
  <c r="P42" i="8"/>
  <c r="Q42" i="8"/>
  <c r="R42" i="8"/>
  <c r="T42" i="8"/>
  <c r="D54" i="8"/>
  <c r="I54" i="8"/>
  <c r="F54" i="8"/>
  <c r="G54" i="8"/>
  <c r="H54" i="8"/>
  <c r="J54" i="8"/>
  <c r="K54" i="8"/>
  <c r="L54" i="8"/>
  <c r="M54" i="8"/>
  <c r="N54" i="8" s="1"/>
  <c r="O54" i="8"/>
  <c r="P54" i="8"/>
  <c r="Q54" i="8"/>
  <c r="R54" i="8"/>
  <c r="S54" i="8" s="1"/>
  <c r="T54" i="8"/>
  <c r="D55" i="8"/>
  <c r="I55" i="8"/>
  <c r="F55" i="8"/>
  <c r="G55" i="8"/>
  <c r="H55" i="8"/>
  <c r="J55" i="8"/>
  <c r="K55" i="8"/>
  <c r="L55" i="8"/>
  <c r="M55" i="8"/>
  <c r="O55" i="8"/>
  <c r="P55" i="8"/>
  <c r="Q55" i="8"/>
  <c r="R55" i="8"/>
  <c r="T55" i="8"/>
  <c r="D56" i="8"/>
  <c r="I56" i="8"/>
  <c r="F56" i="8"/>
  <c r="G56" i="8"/>
  <c r="H56" i="8"/>
  <c r="J56" i="8"/>
  <c r="K56" i="8"/>
  <c r="L56" i="8"/>
  <c r="M56" i="8"/>
  <c r="N56" i="8" s="1"/>
  <c r="O56" i="8"/>
  <c r="P56" i="8"/>
  <c r="Q56" i="8"/>
  <c r="R56" i="8"/>
  <c r="S56" i="8" s="1"/>
  <c r="T56" i="8"/>
  <c r="D57" i="8"/>
  <c r="I57" i="8"/>
  <c r="F57" i="8"/>
  <c r="G57" i="8"/>
  <c r="H57" i="8"/>
  <c r="J57" i="8"/>
  <c r="K57" i="8"/>
  <c r="L57" i="8"/>
  <c r="M57" i="8"/>
  <c r="O57" i="8"/>
  <c r="P57" i="8"/>
  <c r="Q57" i="8"/>
  <c r="R57" i="8"/>
  <c r="T57" i="8"/>
  <c r="D58" i="8"/>
  <c r="I58" i="8"/>
  <c r="F58" i="8"/>
  <c r="G58" i="8"/>
  <c r="H58" i="8"/>
  <c r="J58" i="8"/>
  <c r="K58" i="8"/>
  <c r="L58" i="8"/>
  <c r="M58" i="8"/>
  <c r="N58" i="8" s="1"/>
  <c r="O58" i="8"/>
  <c r="P58" i="8"/>
  <c r="Q58" i="8"/>
  <c r="R58" i="8"/>
  <c r="S58" i="8" s="1"/>
  <c r="T58" i="8"/>
  <c r="D59" i="8"/>
  <c r="I59" i="8"/>
  <c r="F59" i="8"/>
  <c r="G59" i="8"/>
  <c r="H59" i="8"/>
  <c r="J59" i="8"/>
  <c r="K59" i="8"/>
  <c r="L59" i="8"/>
  <c r="M59" i="8"/>
  <c r="O59" i="8"/>
  <c r="P59" i="8"/>
  <c r="Q59" i="8"/>
  <c r="R59" i="8"/>
  <c r="T59" i="8"/>
  <c r="D60" i="8"/>
  <c r="I60" i="8"/>
  <c r="F60" i="8"/>
  <c r="G60" i="8"/>
  <c r="H60" i="8"/>
  <c r="J60" i="8"/>
  <c r="K60" i="8"/>
  <c r="L60" i="8"/>
  <c r="M60" i="8"/>
  <c r="N60" i="8" s="1"/>
  <c r="O60" i="8"/>
  <c r="P60" i="8"/>
  <c r="Q60" i="8"/>
  <c r="R60" i="8"/>
  <c r="S60" i="8" s="1"/>
  <c r="T60" i="8"/>
  <c r="D61" i="8"/>
  <c r="I61" i="8"/>
  <c r="F61" i="8"/>
  <c r="G61" i="8"/>
  <c r="H61" i="8"/>
  <c r="J61" i="8"/>
  <c r="K61" i="8"/>
  <c r="L61" i="8"/>
  <c r="M61" i="8"/>
  <c r="O61" i="8"/>
  <c r="P61" i="8"/>
  <c r="Q61" i="8"/>
  <c r="R61" i="8"/>
  <c r="T61" i="8"/>
  <c r="D62" i="8"/>
  <c r="I62" i="8"/>
  <c r="F62" i="8"/>
  <c r="G62" i="8"/>
  <c r="H62" i="8"/>
  <c r="J62" i="8"/>
  <c r="K62" i="8"/>
  <c r="L62" i="8"/>
  <c r="M62" i="8"/>
  <c r="N62" i="8" s="1"/>
  <c r="O62" i="8"/>
  <c r="P62" i="8"/>
  <c r="Q62" i="8"/>
  <c r="R62" i="8"/>
  <c r="S62" i="8" s="1"/>
  <c r="T62" i="8"/>
  <c r="D63" i="8"/>
  <c r="I63" i="8"/>
  <c r="F63" i="8"/>
  <c r="G63" i="8"/>
  <c r="H63" i="8"/>
  <c r="J63" i="8"/>
  <c r="K63" i="8"/>
  <c r="L63" i="8"/>
  <c r="M63" i="8"/>
  <c r="O63" i="8"/>
  <c r="P63" i="8"/>
  <c r="Q63" i="8"/>
  <c r="R63" i="8"/>
  <c r="T63" i="8"/>
  <c r="D64" i="8"/>
  <c r="I64" i="8"/>
  <c r="F64" i="8"/>
  <c r="G64" i="8"/>
  <c r="H64" i="8"/>
  <c r="J64" i="8"/>
  <c r="K64" i="8"/>
  <c r="L64" i="8"/>
  <c r="M64" i="8"/>
  <c r="N64" i="8" s="1"/>
  <c r="O64" i="8"/>
  <c r="P64" i="8"/>
  <c r="Q64" i="8"/>
  <c r="R64" i="8"/>
  <c r="S64" i="8" s="1"/>
  <c r="T64" i="8"/>
  <c r="D65" i="8"/>
  <c r="I65" i="8"/>
  <c r="F65" i="8"/>
  <c r="G65" i="8"/>
  <c r="H65" i="8"/>
  <c r="J65" i="8"/>
  <c r="K65" i="8"/>
  <c r="L65" i="8"/>
  <c r="M65" i="8"/>
  <c r="O65" i="8"/>
  <c r="P65" i="8"/>
  <c r="Q65" i="8"/>
  <c r="R65" i="8"/>
  <c r="T65" i="8"/>
  <c r="D66" i="8"/>
  <c r="I66" i="8"/>
  <c r="F66" i="8"/>
  <c r="G66" i="8"/>
  <c r="H66" i="8"/>
  <c r="J66" i="8"/>
  <c r="K66" i="8"/>
  <c r="L66" i="8"/>
  <c r="M66" i="8"/>
  <c r="N66" i="8" s="1"/>
  <c r="O66" i="8"/>
  <c r="P66" i="8"/>
  <c r="Q66" i="8"/>
  <c r="R66" i="8"/>
  <c r="S66" i="8" s="1"/>
  <c r="T66" i="8"/>
  <c r="D67" i="8"/>
  <c r="I67" i="8"/>
  <c r="F67" i="8"/>
  <c r="G67" i="8"/>
  <c r="H67" i="8"/>
  <c r="J67" i="8"/>
  <c r="K67" i="8"/>
  <c r="L67" i="8"/>
  <c r="M67" i="8"/>
  <c r="O67" i="8"/>
  <c r="P67" i="8"/>
  <c r="Q67" i="8"/>
  <c r="R67" i="8"/>
  <c r="T67" i="8"/>
  <c r="D68" i="8"/>
  <c r="I68" i="8"/>
  <c r="F68" i="8"/>
  <c r="G68" i="8"/>
  <c r="H68" i="8"/>
  <c r="J68" i="8"/>
  <c r="K68" i="8"/>
  <c r="L68" i="8"/>
  <c r="M68" i="8"/>
  <c r="N68" i="8" s="1"/>
  <c r="O68" i="8"/>
  <c r="P68" i="8"/>
  <c r="Q68" i="8"/>
  <c r="R68" i="8"/>
  <c r="S68" i="8" s="1"/>
  <c r="T68" i="8"/>
  <c r="D69" i="8"/>
  <c r="I69" i="8"/>
  <c r="F69" i="8"/>
  <c r="G69" i="8"/>
  <c r="H69" i="8"/>
  <c r="J69" i="8"/>
  <c r="K69" i="8"/>
  <c r="L69" i="8"/>
  <c r="M69" i="8"/>
  <c r="O69" i="8"/>
  <c r="P69" i="8"/>
  <c r="Q69" i="8"/>
  <c r="R69" i="8"/>
  <c r="T69" i="8"/>
  <c r="D70" i="8"/>
  <c r="I70" i="8"/>
  <c r="F70" i="8"/>
  <c r="G70" i="8"/>
  <c r="H70" i="8"/>
  <c r="J70" i="8"/>
  <c r="K70" i="8"/>
  <c r="L70" i="8"/>
  <c r="M70" i="8"/>
  <c r="N70" i="8" s="1"/>
  <c r="O70" i="8"/>
  <c r="P70" i="8"/>
  <c r="Q70" i="8"/>
  <c r="R70" i="8"/>
  <c r="S70" i="8" s="1"/>
  <c r="T70" i="8"/>
  <c r="D71" i="8"/>
  <c r="I71" i="8"/>
  <c r="F71" i="8"/>
  <c r="G71" i="8"/>
  <c r="H71" i="8"/>
  <c r="J71" i="8"/>
  <c r="K71" i="8"/>
  <c r="L71" i="8"/>
  <c r="M71" i="8"/>
  <c r="O71" i="8"/>
  <c r="P71" i="8"/>
  <c r="Q71" i="8"/>
  <c r="R71" i="8"/>
  <c r="T71" i="8"/>
  <c r="D72" i="8"/>
  <c r="I72" i="8"/>
  <c r="F72" i="8"/>
  <c r="G72" i="8"/>
  <c r="H72" i="8"/>
  <c r="J72" i="8"/>
  <c r="K72" i="8"/>
  <c r="L72" i="8"/>
  <c r="M72" i="8"/>
  <c r="N72" i="8" s="1"/>
  <c r="O72" i="8"/>
  <c r="P72" i="8"/>
  <c r="Q72" i="8"/>
  <c r="R72" i="8"/>
  <c r="S72" i="8" s="1"/>
  <c r="T72" i="8"/>
  <c r="D73" i="8"/>
  <c r="I73" i="8"/>
  <c r="F73" i="8"/>
  <c r="G73" i="8"/>
  <c r="H73" i="8"/>
  <c r="J73" i="8"/>
  <c r="K73" i="8"/>
  <c r="L73" i="8"/>
  <c r="M73" i="8"/>
  <c r="O73" i="8"/>
  <c r="P73" i="8"/>
  <c r="Q73" i="8"/>
  <c r="R73" i="8"/>
  <c r="T73" i="8"/>
  <c r="D74" i="8"/>
  <c r="I74" i="8"/>
  <c r="F74" i="8"/>
  <c r="G74" i="8"/>
  <c r="H74" i="8"/>
  <c r="J74" i="8"/>
  <c r="K74" i="8"/>
  <c r="L74" i="8"/>
  <c r="M74" i="8"/>
  <c r="N74" i="8" s="1"/>
  <c r="O74" i="8"/>
  <c r="P74" i="8"/>
  <c r="Q74" i="8"/>
  <c r="R74" i="8"/>
  <c r="S74" i="8" s="1"/>
  <c r="T74" i="8"/>
  <c r="D75" i="8"/>
  <c r="I75" i="8"/>
  <c r="F75" i="8"/>
  <c r="G75" i="8"/>
  <c r="H75" i="8"/>
  <c r="J75" i="8"/>
  <c r="K75" i="8"/>
  <c r="L75" i="8"/>
  <c r="M75" i="8"/>
  <c r="O75" i="8"/>
  <c r="P75" i="8"/>
  <c r="Q75" i="8"/>
  <c r="R75" i="8"/>
  <c r="T75" i="8"/>
  <c r="D76" i="8"/>
  <c r="I76" i="8"/>
  <c r="F76" i="8"/>
  <c r="G76" i="8"/>
  <c r="H76" i="8"/>
  <c r="J76" i="8"/>
  <c r="K76" i="8"/>
  <c r="L76" i="8"/>
  <c r="M76" i="8"/>
  <c r="N76" i="8" s="1"/>
  <c r="O76" i="8"/>
  <c r="P76" i="8"/>
  <c r="Q76" i="8"/>
  <c r="R76" i="8"/>
  <c r="S76" i="8" s="1"/>
  <c r="T76" i="8"/>
  <c r="D77" i="8"/>
  <c r="I77" i="8"/>
  <c r="F77" i="8"/>
  <c r="G77" i="8"/>
  <c r="H77" i="8"/>
  <c r="J77" i="8"/>
  <c r="K77" i="8"/>
  <c r="L77" i="8"/>
  <c r="M77" i="8"/>
  <c r="O77" i="8"/>
  <c r="P77" i="8"/>
  <c r="Q77" i="8"/>
  <c r="R77" i="8"/>
  <c r="T77" i="8"/>
  <c r="D78" i="8"/>
  <c r="I78" i="8"/>
  <c r="F78" i="8"/>
  <c r="G78" i="8"/>
  <c r="H78" i="8"/>
  <c r="J78" i="8"/>
  <c r="K78" i="8"/>
  <c r="L78" i="8"/>
  <c r="M78" i="8"/>
  <c r="N78" i="8" s="1"/>
  <c r="O78" i="8"/>
  <c r="P78" i="8"/>
  <c r="Q78" i="8"/>
  <c r="R78" i="8"/>
  <c r="S78" i="8" s="1"/>
  <c r="T78" i="8"/>
  <c r="D79" i="8"/>
  <c r="I79" i="8"/>
  <c r="F79" i="8"/>
  <c r="G79" i="8"/>
  <c r="H79" i="8"/>
  <c r="J79" i="8"/>
  <c r="K79" i="8"/>
  <c r="L79" i="8"/>
  <c r="M79" i="8"/>
  <c r="O79" i="8"/>
  <c r="P79" i="8"/>
  <c r="Q79" i="8"/>
  <c r="R79" i="8"/>
  <c r="T79" i="8"/>
  <c r="D80" i="8"/>
  <c r="I80" i="8"/>
  <c r="F80" i="8"/>
  <c r="G80" i="8"/>
  <c r="H80" i="8"/>
  <c r="J80" i="8"/>
  <c r="K80" i="8"/>
  <c r="L80" i="8"/>
  <c r="M80" i="8"/>
  <c r="N80" i="8" s="1"/>
  <c r="O80" i="8"/>
  <c r="P80" i="8"/>
  <c r="Q80" i="8"/>
  <c r="R80" i="8"/>
  <c r="S80" i="8" s="1"/>
  <c r="T80" i="8"/>
  <c r="D81" i="8"/>
  <c r="I81" i="8"/>
  <c r="F81" i="8"/>
  <c r="G81" i="8"/>
  <c r="H81" i="8"/>
  <c r="J81" i="8"/>
  <c r="K81" i="8"/>
  <c r="L81" i="8"/>
  <c r="M81" i="8"/>
  <c r="O81" i="8"/>
  <c r="P81" i="8"/>
  <c r="Q81" i="8"/>
  <c r="R81" i="8"/>
  <c r="T81" i="8"/>
  <c r="D82" i="8"/>
  <c r="I82" i="8"/>
  <c r="F82" i="8"/>
  <c r="G82" i="8"/>
  <c r="H82" i="8"/>
  <c r="J82" i="8"/>
  <c r="K82" i="8"/>
  <c r="L82" i="8"/>
  <c r="M82" i="8"/>
  <c r="N82" i="8" s="1"/>
  <c r="O82" i="8"/>
  <c r="P82" i="8"/>
  <c r="Q82" i="8"/>
  <c r="R82" i="8"/>
  <c r="S82" i="8" s="1"/>
  <c r="T82" i="8"/>
  <c r="D83" i="8"/>
  <c r="I83" i="8"/>
  <c r="F83" i="8"/>
  <c r="G83" i="8"/>
  <c r="H83" i="8"/>
  <c r="J83" i="8"/>
  <c r="K83" i="8"/>
  <c r="L83" i="8"/>
  <c r="M83" i="8"/>
  <c r="O83" i="8"/>
  <c r="P83" i="8"/>
  <c r="Q83" i="8"/>
  <c r="R83" i="8"/>
  <c r="T83" i="8"/>
  <c r="D84" i="8"/>
  <c r="I84" i="8"/>
  <c r="F84" i="8"/>
  <c r="G84" i="8"/>
  <c r="H84" i="8"/>
  <c r="J84" i="8"/>
  <c r="K84" i="8"/>
  <c r="L84" i="8"/>
  <c r="M84" i="8"/>
  <c r="N84" i="8" s="1"/>
  <c r="O84" i="8"/>
  <c r="P84" i="8"/>
  <c r="Q84" i="8"/>
  <c r="R84" i="8"/>
  <c r="S84" i="8" s="1"/>
  <c r="T84" i="8"/>
  <c r="D85" i="8"/>
  <c r="I85" i="8"/>
  <c r="F85" i="8"/>
  <c r="G85" i="8"/>
  <c r="H85" i="8"/>
  <c r="J85" i="8"/>
  <c r="K85" i="8"/>
  <c r="L85" i="8"/>
  <c r="M85" i="8"/>
  <c r="O85" i="8"/>
  <c r="P85" i="8"/>
  <c r="Q85" i="8"/>
  <c r="R85" i="8"/>
  <c r="T85" i="8"/>
  <c r="D86" i="8"/>
  <c r="I86" i="8"/>
  <c r="F86" i="8"/>
  <c r="G86" i="8"/>
  <c r="H86" i="8"/>
  <c r="J86" i="8"/>
  <c r="K86" i="8"/>
  <c r="L86" i="8"/>
  <c r="M86" i="8"/>
  <c r="N86" i="8" s="1"/>
  <c r="O86" i="8"/>
  <c r="P86" i="8"/>
  <c r="Q86" i="8"/>
  <c r="R86" i="8"/>
  <c r="S86" i="8" s="1"/>
  <c r="T86" i="8"/>
  <c r="D87" i="8"/>
  <c r="I87" i="8"/>
  <c r="F87" i="8"/>
  <c r="G87" i="8"/>
  <c r="H87" i="8"/>
  <c r="J87" i="8"/>
  <c r="K87" i="8"/>
  <c r="L87" i="8"/>
  <c r="M87" i="8"/>
  <c r="O87" i="8"/>
  <c r="P87" i="8"/>
  <c r="Q87" i="8"/>
  <c r="R87" i="8"/>
  <c r="T87" i="8"/>
  <c r="D88" i="8"/>
  <c r="I88" i="8"/>
  <c r="F88" i="8"/>
  <c r="G88" i="8"/>
  <c r="H88" i="8"/>
  <c r="J88" i="8"/>
  <c r="K88" i="8"/>
  <c r="L88" i="8"/>
  <c r="M88" i="8"/>
  <c r="N88" i="8" s="1"/>
  <c r="O88" i="8"/>
  <c r="P88" i="8"/>
  <c r="Q88" i="8"/>
  <c r="R88" i="8"/>
  <c r="S88" i="8" s="1"/>
  <c r="T88" i="8"/>
  <c r="D89" i="8"/>
  <c r="I89" i="8"/>
  <c r="F89" i="8"/>
  <c r="G89" i="8"/>
  <c r="H89" i="8"/>
  <c r="J89" i="8"/>
  <c r="K89" i="8"/>
  <c r="L89" i="8"/>
  <c r="M89" i="8"/>
  <c r="O89" i="8"/>
  <c r="P89" i="8"/>
  <c r="Q89" i="8"/>
  <c r="R89" i="8"/>
  <c r="T89" i="8"/>
  <c r="D90" i="8"/>
  <c r="I90" i="8"/>
  <c r="F90" i="8"/>
  <c r="G90" i="8"/>
  <c r="H90" i="8"/>
  <c r="J90" i="8"/>
  <c r="K90" i="8"/>
  <c r="L90" i="8"/>
  <c r="M90" i="8"/>
  <c r="N90" i="8" s="1"/>
  <c r="O90" i="8"/>
  <c r="P90" i="8"/>
  <c r="Q90" i="8"/>
  <c r="R90" i="8"/>
  <c r="S90" i="8" s="1"/>
  <c r="T90" i="8"/>
  <c r="D91" i="8"/>
  <c r="I91" i="8"/>
  <c r="F91" i="8"/>
  <c r="G91" i="8"/>
  <c r="H91" i="8"/>
  <c r="J91" i="8"/>
  <c r="K91" i="8"/>
  <c r="L91" i="8"/>
  <c r="M91" i="8"/>
  <c r="O91" i="8"/>
  <c r="P91" i="8"/>
  <c r="Q91" i="8"/>
  <c r="R91" i="8"/>
  <c r="T91" i="8"/>
  <c r="D92" i="8"/>
  <c r="I92" i="8"/>
  <c r="F92" i="8"/>
  <c r="G92" i="8"/>
  <c r="H92" i="8"/>
  <c r="J92" i="8"/>
  <c r="K92" i="8"/>
  <c r="L92" i="8"/>
  <c r="M92" i="8"/>
  <c r="N92" i="8" s="1"/>
  <c r="O92" i="8"/>
  <c r="P92" i="8"/>
  <c r="Q92" i="8"/>
  <c r="R92" i="8"/>
  <c r="S92" i="8" s="1"/>
  <c r="T92" i="8"/>
  <c r="D93" i="8"/>
  <c r="I93" i="8"/>
  <c r="F93" i="8"/>
  <c r="G93" i="8"/>
  <c r="H93" i="8"/>
  <c r="J93" i="8"/>
  <c r="K93" i="8"/>
  <c r="L93" i="8"/>
  <c r="M93" i="8"/>
  <c r="O93" i="8"/>
  <c r="P93" i="8"/>
  <c r="Q93" i="8"/>
  <c r="R93" i="8"/>
  <c r="T93" i="8"/>
  <c r="D94" i="8"/>
  <c r="I94" i="8"/>
  <c r="F94" i="8"/>
  <c r="G94" i="8"/>
  <c r="H94" i="8"/>
  <c r="J94" i="8"/>
  <c r="K94" i="8"/>
  <c r="L94" i="8"/>
  <c r="M94" i="8"/>
  <c r="N94" i="8" s="1"/>
  <c r="O94" i="8"/>
  <c r="P94" i="8"/>
  <c r="Q94" i="8"/>
  <c r="R94" i="8"/>
  <c r="S94" i="8" s="1"/>
  <c r="T94" i="8"/>
  <c r="D95" i="8"/>
  <c r="I95" i="8"/>
  <c r="F95" i="8"/>
  <c r="G95" i="8"/>
  <c r="H95" i="8"/>
  <c r="J95" i="8"/>
  <c r="K95" i="8"/>
  <c r="L95" i="8"/>
  <c r="M95" i="8"/>
  <c r="O95" i="8"/>
  <c r="P95" i="8"/>
  <c r="Q95" i="8"/>
  <c r="R95" i="8"/>
  <c r="T95" i="8"/>
  <c r="D96" i="8"/>
  <c r="I96" i="8"/>
  <c r="F96" i="8"/>
  <c r="G96" i="8"/>
  <c r="H96" i="8"/>
  <c r="J96" i="8"/>
  <c r="K96" i="8"/>
  <c r="L96" i="8"/>
  <c r="M96" i="8"/>
  <c r="N96" i="8" s="1"/>
  <c r="O96" i="8"/>
  <c r="P96" i="8"/>
  <c r="Q96" i="8"/>
  <c r="R96" i="8"/>
  <c r="S96" i="8" s="1"/>
  <c r="T96" i="8"/>
  <c r="D97" i="8"/>
  <c r="I97" i="8"/>
  <c r="F97" i="8"/>
  <c r="G97" i="8"/>
  <c r="H97" i="8"/>
  <c r="J97" i="8"/>
  <c r="K97" i="8"/>
  <c r="L97" i="8"/>
  <c r="M97" i="8"/>
  <c r="O97" i="8"/>
  <c r="P97" i="8"/>
  <c r="Q97" i="8"/>
  <c r="R97" i="8"/>
  <c r="T97" i="8"/>
  <c r="D98" i="8"/>
  <c r="I98" i="8"/>
  <c r="F98" i="8"/>
  <c r="G98" i="8"/>
  <c r="H98" i="8"/>
  <c r="J98" i="8"/>
  <c r="K98" i="8"/>
  <c r="L98" i="8"/>
  <c r="M98" i="8"/>
  <c r="N98" i="8" s="1"/>
  <c r="O98" i="8"/>
  <c r="P98" i="8"/>
  <c r="Q98" i="8"/>
  <c r="R98" i="8"/>
  <c r="S98" i="8" s="1"/>
  <c r="T98" i="8"/>
  <c r="D99" i="8"/>
  <c r="I99" i="8"/>
  <c r="F99" i="8"/>
  <c r="G99" i="8"/>
  <c r="H99" i="8"/>
  <c r="J99" i="8"/>
  <c r="K99" i="8"/>
  <c r="L99" i="8"/>
  <c r="M99" i="8"/>
  <c r="O99" i="8"/>
  <c r="P99" i="8"/>
  <c r="Q99" i="8"/>
  <c r="R99" i="8"/>
  <c r="T99" i="8"/>
  <c r="D100" i="8"/>
  <c r="I100" i="8"/>
  <c r="F100" i="8"/>
  <c r="G100" i="8"/>
  <c r="H100" i="8"/>
  <c r="J100" i="8"/>
  <c r="K100" i="8"/>
  <c r="L100" i="8"/>
  <c r="M100" i="8"/>
  <c r="N100" i="8" s="1"/>
  <c r="O100" i="8"/>
  <c r="P100" i="8"/>
  <c r="Q100" i="8"/>
  <c r="R100" i="8"/>
  <c r="S100" i="8" s="1"/>
  <c r="T100" i="8"/>
  <c r="D101" i="8"/>
  <c r="I101" i="8"/>
  <c r="F101" i="8"/>
  <c r="G101" i="8"/>
  <c r="H101" i="8"/>
  <c r="J101" i="8"/>
  <c r="K101" i="8"/>
  <c r="L101" i="8"/>
  <c r="M101" i="8"/>
  <c r="O101" i="8"/>
  <c r="P101" i="8"/>
  <c r="Q101" i="8"/>
  <c r="R101" i="8"/>
  <c r="T101" i="8"/>
  <c r="D102" i="8"/>
  <c r="I102" i="8"/>
  <c r="F102" i="8"/>
  <c r="G102" i="8"/>
  <c r="H102" i="8"/>
  <c r="J102" i="8"/>
  <c r="K102" i="8"/>
  <c r="L102" i="8"/>
  <c r="M102" i="8"/>
  <c r="N102" i="8" s="1"/>
  <c r="O102" i="8"/>
  <c r="P102" i="8"/>
  <c r="Q102" i="8"/>
  <c r="R102" i="8"/>
  <c r="S102" i="8" s="1"/>
  <c r="T102" i="8"/>
  <c r="D103" i="8"/>
  <c r="I103" i="8"/>
  <c r="F103" i="8"/>
  <c r="G103" i="8"/>
  <c r="H103" i="8"/>
  <c r="J103" i="8"/>
  <c r="K103" i="8"/>
  <c r="L103" i="8"/>
  <c r="M103" i="8"/>
  <c r="O103" i="8"/>
  <c r="P103" i="8"/>
  <c r="Q103" i="8"/>
  <c r="R103" i="8"/>
  <c r="T103" i="8"/>
  <c r="D104" i="8"/>
  <c r="I104" i="8"/>
  <c r="F104" i="8"/>
  <c r="G104" i="8"/>
  <c r="H104" i="8"/>
  <c r="J104" i="8"/>
  <c r="K104" i="8"/>
  <c r="L104" i="8"/>
  <c r="M104" i="8"/>
  <c r="N104" i="8" s="1"/>
  <c r="O104" i="8"/>
  <c r="P104" i="8"/>
  <c r="Q104" i="8"/>
  <c r="R104" i="8"/>
  <c r="S104" i="8" s="1"/>
  <c r="T104" i="8"/>
  <c r="D105" i="8"/>
  <c r="I105" i="8"/>
  <c r="F105" i="8"/>
  <c r="G105" i="8"/>
  <c r="H105" i="8"/>
  <c r="J105" i="8"/>
  <c r="K105" i="8"/>
  <c r="L105" i="8"/>
  <c r="M105" i="8"/>
  <c r="O105" i="8"/>
  <c r="P105" i="8"/>
  <c r="Q105" i="8"/>
  <c r="R105" i="8"/>
  <c r="T105" i="8"/>
  <c r="D106" i="8"/>
  <c r="I106" i="8"/>
  <c r="F106" i="8"/>
  <c r="G106" i="8"/>
  <c r="H106" i="8"/>
  <c r="J106" i="8"/>
  <c r="K106" i="8"/>
  <c r="L106" i="8"/>
  <c r="M106" i="8"/>
  <c r="N106" i="8" s="1"/>
  <c r="O106" i="8"/>
  <c r="P106" i="8"/>
  <c r="Q106" i="8"/>
  <c r="R106" i="8"/>
  <c r="S106" i="8" s="1"/>
  <c r="T106" i="8"/>
  <c r="D107" i="8"/>
  <c r="I107" i="8"/>
  <c r="F107" i="8"/>
  <c r="G107" i="8"/>
  <c r="H107" i="8"/>
  <c r="J107" i="8"/>
  <c r="K107" i="8"/>
  <c r="L107" i="8"/>
  <c r="M107" i="8"/>
  <c r="O107" i="8"/>
  <c r="P107" i="8"/>
  <c r="Q107" i="8"/>
  <c r="R107" i="8"/>
  <c r="T107" i="8"/>
  <c r="D108" i="8"/>
  <c r="I108" i="8"/>
  <c r="F108" i="8"/>
  <c r="G108" i="8"/>
  <c r="H108" i="8"/>
  <c r="J108" i="8"/>
  <c r="K108" i="8"/>
  <c r="L108" i="8"/>
  <c r="M108" i="8"/>
  <c r="N108" i="8" s="1"/>
  <c r="O108" i="8"/>
  <c r="P108" i="8"/>
  <c r="Q108" i="8"/>
  <c r="R108" i="8"/>
  <c r="S108" i="8" s="1"/>
  <c r="T108" i="8"/>
  <c r="D109" i="8"/>
  <c r="I109" i="8"/>
  <c r="F109" i="8"/>
  <c r="G109" i="8"/>
  <c r="H109" i="8"/>
  <c r="J109" i="8"/>
  <c r="K109" i="8"/>
  <c r="L109" i="8"/>
  <c r="M109" i="8"/>
  <c r="O109" i="8"/>
  <c r="P109" i="8"/>
  <c r="Q109" i="8"/>
  <c r="R109" i="8"/>
  <c r="T109" i="8"/>
  <c r="D110" i="8"/>
  <c r="I110" i="8"/>
  <c r="F110" i="8"/>
  <c r="G110" i="8"/>
  <c r="H110" i="8"/>
  <c r="J110" i="8"/>
  <c r="K110" i="8"/>
  <c r="L110" i="8"/>
  <c r="M110" i="8"/>
  <c r="N110" i="8" s="1"/>
  <c r="O110" i="8"/>
  <c r="P110" i="8"/>
  <c r="Q110" i="8"/>
  <c r="R110" i="8"/>
  <c r="S110" i="8" s="1"/>
  <c r="T110" i="8"/>
  <c r="D111" i="8"/>
  <c r="I111" i="8"/>
  <c r="F111" i="8"/>
  <c r="G111" i="8"/>
  <c r="H111" i="8"/>
  <c r="J111" i="8"/>
  <c r="K111" i="8"/>
  <c r="L111" i="8"/>
  <c r="M111" i="8"/>
  <c r="O111" i="8"/>
  <c r="P111" i="8"/>
  <c r="Q111" i="8"/>
  <c r="R111" i="8"/>
  <c r="T111" i="8"/>
  <c r="D112" i="8"/>
  <c r="I112" i="8"/>
  <c r="E112" i="8" s="1"/>
  <c r="F112" i="8"/>
  <c r="G112" i="8"/>
  <c r="H112" i="8"/>
  <c r="J112" i="8"/>
  <c r="K112" i="8"/>
  <c r="L112" i="8"/>
  <c r="M112" i="8"/>
  <c r="N112" i="8" s="1"/>
  <c r="O112" i="8"/>
  <c r="P112" i="8"/>
  <c r="Q112" i="8"/>
  <c r="R112" i="8"/>
  <c r="S112" i="8" s="1"/>
  <c r="T112" i="8"/>
  <c r="D113" i="8"/>
  <c r="I113" i="8"/>
  <c r="F113" i="8"/>
  <c r="G113" i="8"/>
  <c r="H113" i="8"/>
  <c r="J113" i="8"/>
  <c r="K113" i="8"/>
  <c r="L113" i="8"/>
  <c r="M113" i="8"/>
  <c r="O113" i="8"/>
  <c r="P113" i="8"/>
  <c r="Q113" i="8"/>
  <c r="R113" i="8"/>
  <c r="T113" i="8"/>
  <c r="D114" i="8"/>
  <c r="I114" i="8"/>
  <c r="E114" i="8" s="1"/>
  <c r="F114" i="8"/>
  <c r="G114" i="8"/>
  <c r="H114" i="8"/>
  <c r="J114" i="8"/>
  <c r="K114" i="8"/>
  <c r="L114" i="8"/>
  <c r="M114" i="8"/>
  <c r="N114" i="8" s="1"/>
  <c r="O114" i="8"/>
  <c r="P114" i="8"/>
  <c r="Q114" i="8"/>
  <c r="R114" i="8"/>
  <c r="S114" i="8" s="1"/>
  <c r="T114" i="8"/>
  <c r="D115" i="8"/>
  <c r="I115" i="8"/>
  <c r="F115" i="8"/>
  <c r="G115" i="8"/>
  <c r="H115" i="8"/>
  <c r="J115" i="8"/>
  <c r="K115" i="8"/>
  <c r="L115" i="8"/>
  <c r="M115" i="8"/>
  <c r="O115" i="8"/>
  <c r="P115" i="8"/>
  <c r="Q115" i="8"/>
  <c r="R115" i="8"/>
  <c r="T115" i="8"/>
  <c r="D116" i="8"/>
  <c r="I116" i="8"/>
  <c r="E116" i="8" s="1"/>
  <c r="F116" i="8"/>
  <c r="G116" i="8"/>
  <c r="H116" i="8"/>
  <c r="J116" i="8"/>
  <c r="K116" i="8"/>
  <c r="L116" i="8"/>
  <c r="M116" i="8"/>
  <c r="N116" i="8" s="1"/>
  <c r="O116" i="8"/>
  <c r="P116" i="8"/>
  <c r="Q116" i="8"/>
  <c r="R116" i="8"/>
  <c r="S116" i="8" s="1"/>
  <c r="T116" i="8"/>
  <c r="D117" i="8"/>
  <c r="I117" i="8"/>
  <c r="F117" i="8"/>
  <c r="G117" i="8"/>
  <c r="H117" i="8"/>
  <c r="J117" i="8"/>
  <c r="K117" i="8"/>
  <c r="L117" i="8"/>
  <c r="M117" i="8"/>
  <c r="O117" i="8"/>
  <c r="P117" i="8"/>
  <c r="Q117" i="8"/>
  <c r="R117" i="8"/>
  <c r="T117" i="8"/>
  <c r="D118" i="8"/>
  <c r="I118" i="8"/>
  <c r="E118" i="8" s="1"/>
  <c r="F118" i="8"/>
  <c r="G118" i="8"/>
  <c r="H118" i="8"/>
  <c r="J118" i="8"/>
  <c r="K118" i="8"/>
  <c r="L118" i="8"/>
  <c r="M118" i="8"/>
  <c r="N118" i="8" s="1"/>
  <c r="O118" i="8"/>
  <c r="P118" i="8"/>
  <c r="Q118" i="8"/>
  <c r="R118" i="8"/>
  <c r="S118" i="8" s="1"/>
  <c r="T118" i="8"/>
  <c r="D119" i="8"/>
  <c r="I119" i="8"/>
  <c r="F119" i="8"/>
  <c r="G119" i="8"/>
  <c r="H119" i="8"/>
  <c r="J119" i="8"/>
  <c r="K119" i="8"/>
  <c r="L119" i="8"/>
  <c r="M119" i="8"/>
  <c r="O119" i="8"/>
  <c r="P119" i="8"/>
  <c r="Q119" i="8"/>
  <c r="R119" i="8"/>
  <c r="T119" i="8"/>
  <c r="D120" i="8"/>
  <c r="I120" i="8"/>
  <c r="E120" i="8" s="1"/>
  <c r="F120" i="8"/>
  <c r="G120" i="8"/>
  <c r="H120" i="8"/>
  <c r="J120" i="8"/>
  <c r="K120" i="8"/>
  <c r="L120" i="8"/>
  <c r="M120" i="8"/>
  <c r="N120" i="8" s="1"/>
  <c r="O120" i="8"/>
  <c r="P120" i="8"/>
  <c r="Q120" i="8"/>
  <c r="R120" i="8"/>
  <c r="S120" i="8" s="1"/>
  <c r="T120" i="8"/>
  <c r="D121" i="8"/>
  <c r="I121" i="8"/>
  <c r="F121" i="8"/>
  <c r="G121" i="8"/>
  <c r="H121" i="8"/>
  <c r="J121" i="8"/>
  <c r="K121" i="8"/>
  <c r="L121" i="8"/>
  <c r="M121" i="8"/>
  <c r="O121" i="8"/>
  <c r="P121" i="8"/>
  <c r="Q121" i="8"/>
  <c r="R121" i="8"/>
  <c r="T121" i="8"/>
  <c r="D122" i="8"/>
  <c r="I122" i="8"/>
  <c r="E122" i="8" s="1"/>
  <c r="F122" i="8"/>
  <c r="G122" i="8"/>
  <c r="H122" i="8"/>
  <c r="J122" i="8"/>
  <c r="K122" i="8"/>
  <c r="L122" i="8"/>
  <c r="M122" i="8"/>
  <c r="N122" i="8" s="1"/>
  <c r="O122" i="8"/>
  <c r="P122" i="8"/>
  <c r="Q122" i="8"/>
  <c r="R122" i="8"/>
  <c r="S122" i="8" s="1"/>
  <c r="T122" i="8"/>
  <c r="D123" i="8"/>
  <c r="I123" i="8"/>
  <c r="F123" i="8"/>
  <c r="G123" i="8"/>
  <c r="H123" i="8"/>
  <c r="J123" i="8"/>
  <c r="K123" i="8"/>
  <c r="L123" i="8"/>
  <c r="M123" i="8"/>
  <c r="O123" i="8"/>
  <c r="P123" i="8"/>
  <c r="Q123" i="8"/>
  <c r="R123" i="8"/>
  <c r="T123" i="8"/>
  <c r="D124" i="8"/>
  <c r="I124" i="8"/>
  <c r="E124" i="8" s="1"/>
  <c r="F124" i="8"/>
  <c r="G124" i="8"/>
  <c r="H124" i="8"/>
  <c r="J124" i="8"/>
  <c r="K124" i="8"/>
  <c r="L124" i="8"/>
  <c r="M124" i="8"/>
  <c r="N124" i="8" s="1"/>
  <c r="O124" i="8"/>
  <c r="P124" i="8"/>
  <c r="Q124" i="8"/>
  <c r="R124" i="8"/>
  <c r="S124" i="8" s="1"/>
  <c r="T124" i="8"/>
  <c r="D125" i="8"/>
  <c r="I125" i="8"/>
  <c r="F125" i="8"/>
  <c r="G125" i="8"/>
  <c r="H125" i="8"/>
  <c r="J125" i="8"/>
  <c r="K125" i="8"/>
  <c r="L125" i="8"/>
  <c r="M125" i="8"/>
  <c r="O125" i="8"/>
  <c r="P125" i="8"/>
  <c r="Q125" i="8"/>
  <c r="R125" i="8"/>
  <c r="T125" i="8"/>
  <c r="D126" i="8"/>
  <c r="I126" i="8"/>
  <c r="E126" i="8" s="1"/>
  <c r="F126" i="8"/>
  <c r="G126" i="8"/>
  <c r="H126" i="8"/>
  <c r="J126" i="8"/>
  <c r="K126" i="8"/>
  <c r="L126" i="8"/>
  <c r="M126" i="8"/>
  <c r="N126" i="8" s="1"/>
  <c r="O126" i="8"/>
  <c r="P126" i="8"/>
  <c r="Q126" i="8"/>
  <c r="R126" i="8"/>
  <c r="S126" i="8" s="1"/>
  <c r="T126" i="8"/>
  <c r="D127" i="8"/>
  <c r="I127" i="8"/>
  <c r="F127" i="8"/>
  <c r="G127" i="8"/>
  <c r="H127" i="8"/>
  <c r="J127" i="8"/>
  <c r="K127" i="8"/>
  <c r="L127" i="8"/>
  <c r="M127" i="8"/>
  <c r="O127" i="8"/>
  <c r="P127" i="8"/>
  <c r="Q127" i="8"/>
  <c r="R127" i="8"/>
  <c r="T127" i="8"/>
  <c r="D128" i="8"/>
  <c r="I128" i="8"/>
  <c r="E128" i="8" s="1"/>
  <c r="F128" i="8"/>
  <c r="G128" i="8"/>
  <c r="H128" i="8"/>
  <c r="J128" i="8"/>
  <c r="K128" i="8"/>
  <c r="L128" i="8"/>
  <c r="M128" i="8"/>
  <c r="N128" i="8" s="1"/>
  <c r="O128" i="8"/>
  <c r="P128" i="8"/>
  <c r="Q128" i="8"/>
  <c r="R128" i="8"/>
  <c r="S128" i="8" s="1"/>
  <c r="T128" i="8"/>
  <c r="D129" i="8"/>
  <c r="I129" i="8"/>
  <c r="F129" i="8"/>
  <c r="G129" i="8"/>
  <c r="H129" i="8"/>
  <c r="J129" i="8"/>
  <c r="K129" i="8"/>
  <c r="L129" i="8"/>
  <c r="M129" i="8"/>
  <c r="O129" i="8"/>
  <c r="P129" i="8"/>
  <c r="Q129" i="8"/>
  <c r="R129" i="8"/>
  <c r="T129" i="8"/>
  <c r="D130" i="8"/>
  <c r="I130" i="8"/>
  <c r="E130" i="8" s="1"/>
  <c r="F130" i="8"/>
  <c r="G130" i="8"/>
  <c r="H130" i="8"/>
  <c r="J130" i="8"/>
  <c r="K130" i="8"/>
  <c r="L130" i="8"/>
  <c r="M130" i="8"/>
  <c r="N130" i="8" s="1"/>
  <c r="O130" i="8"/>
  <c r="P130" i="8"/>
  <c r="Q130" i="8"/>
  <c r="R130" i="8"/>
  <c r="S130" i="8" s="1"/>
  <c r="T130" i="8"/>
  <c r="D131" i="8"/>
  <c r="I131" i="8"/>
  <c r="F131" i="8"/>
  <c r="G131" i="8"/>
  <c r="H131" i="8"/>
  <c r="J131" i="8"/>
  <c r="K131" i="8"/>
  <c r="L131" i="8"/>
  <c r="M131" i="8"/>
  <c r="O131" i="8"/>
  <c r="P131" i="8"/>
  <c r="Q131" i="8"/>
  <c r="R131" i="8"/>
  <c r="T131" i="8"/>
  <c r="D132" i="8"/>
  <c r="I132" i="8"/>
  <c r="E132" i="8" s="1"/>
  <c r="F132" i="8"/>
  <c r="G132" i="8"/>
  <c r="H132" i="8"/>
  <c r="J132" i="8"/>
  <c r="K132" i="8"/>
  <c r="L132" i="8"/>
  <c r="M132" i="8"/>
  <c r="N132" i="8" s="1"/>
  <c r="O132" i="8"/>
  <c r="P132" i="8"/>
  <c r="Q132" i="8"/>
  <c r="R132" i="8"/>
  <c r="S132" i="8" s="1"/>
  <c r="T132" i="8"/>
  <c r="D133" i="8"/>
  <c r="I133" i="8"/>
  <c r="F133" i="8"/>
  <c r="G133" i="8"/>
  <c r="H133" i="8"/>
  <c r="J133" i="8"/>
  <c r="K133" i="8"/>
  <c r="L133" i="8"/>
  <c r="M133" i="8"/>
  <c r="O133" i="8"/>
  <c r="P133" i="8"/>
  <c r="Q133" i="8"/>
  <c r="R133" i="8"/>
  <c r="T133" i="8"/>
  <c r="D134" i="8"/>
  <c r="I134" i="8"/>
  <c r="E134" i="8" s="1"/>
  <c r="F134" i="8"/>
  <c r="G134" i="8"/>
  <c r="H134" i="8"/>
  <c r="J134" i="8"/>
  <c r="K134" i="8"/>
  <c r="L134" i="8"/>
  <c r="M134" i="8"/>
  <c r="N134" i="8" s="1"/>
  <c r="O134" i="8"/>
  <c r="P134" i="8"/>
  <c r="Q134" i="8"/>
  <c r="R134" i="8"/>
  <c r="S134" i="8" s="1"/>
  <c r="T134" i="8"/>
  <c r="D135" i="8"/>
  <c r="I135" i="8"/>
  <c r="F135" i="8"/>
  <c r="G135" i="8"/>
  <c r="H135" i="8"/>
  <c r="J135" i="8"/>
  <c r="K135" i="8"/>
  <c r="L135" i="8"/>
  <c r="M135" i="8"/>
  <c r="O135" i="8"/>
  <c r="P135" i="8"/>
  <c r="Q135" i="8"/>
  <c r="R135" i="8"/>
  <c r="T135" i="8"/>
  <c r="D136" i="8"/>
  <c r="I136" i="8"/>
  <c r="E136" i="8" s="1"/>
  <c r="F136" i="8"/>
  <c r="G136" i="8"/>
  <c r="H136" i="8"/>
  <c r="J136" i="8"/>
  <c r="K136" i="8"/>
  <c r="L136" i="8"/>
  <c r="M136" i="8"/>
  <c r="N136" i="8" s="1"/>
  <c r="O136" i="8"/>
  <c r="P136" i="8"/>
  <c r="Q136" i="8"/>
  <c r="R136" i="8"/>
  <c r="S136" i="8" s="1"/>
  <c r="T136" i="8"/>
  <c r="D137" i="8"/>
  <c r="I137" i="8"/>
  <c r="F137" i="8"/>
  <c r="G137" i="8"/>
  <c r="H137" i="8"/>
  <c r="J137" i="8"/>
  <c r="K137" i="8"/>
  <c r="L137" i="8"/>
  <c r="M137" i="8"/>
  <c r="O137" i="8"/>
  <c r="P137" i="8"/>
  <c r="Q137" i="8"/>
  <c r="R137" i="8"/>
  <c r="T137" i="8"/>
  <c r="D138" i="8"/>
  <c r="I138" i="8"/>
  <c r="E138" i="8" s="1"/>
  <c r="F138" i="8"/>
  <c r="G138" i="8"/>
  <c r="H138" i="8"/>
  <c r="J138" i="8"/>
  <c r="K138" i="8"/>
  <c r="L138" i="8"/>
  <c r="M138" i="8"/>
  <c r="N138" i="8" s="1"/>
  <c r="O138" i="8"/>
  <c r="P138" i="8"/>
  <c r="Q138" i="8"/>
  <c r="R138" i="8"/>
  <c r="S138" i="8" s="1"/>
  <c r="T138" i="8"/>
  <c r="D139" i="8"/>
  <c r="I139" i="8"/>
  <c r="F139" i="8"/>
  <c r="G139" i="8"/>
  <c r="H139" i="8"/>
  <c r="J139" i="8"/>
  <c r="K139" i="8"/>
  <c r="L139" i="8"/>
  <c r="M139" i="8"/>
  <c r="O139" i="8"/>
  <c r="P139" i="8"/>
  <c r="Q139" i="8"/>
  <c r="R139" i="8"/>
  <c r="T139" i="8"/>
  <c r="D140" i="8"/>
  <c r="I140" i="8"/>
  <c r="E140" i="8" s="1"/>
  <c r="F140" i="8"/>
  <c r="G140" i="8"/>
  <c r="H140" i="8"/>
  <c r="J140" i="8"/>
  <c r="K140" i="8"/>
  <c r="L140" i="8"/>
  <c r="M140" i="8"/>
  <c r="N140" i="8" s="1"/>
  <c r="O140" i="8"/>
  <c r="P140" i="8"/>
  <c r="Q140" i="8"/>
  <c r="R140" i="8"/>
  <c r="S140" i="8" s="1"/>
  <c r="T140" i="8"/>
  <c r="T163" i="8"/>
  <c r="R163" i="8"/>
  <c r="S163" i="8" s="1"/>
  <c r="Q163" i="8"/>
  <c r="P163" i="8"/>
  <c r="O163" i="8"/>
  <c r="M163" i="8"/>
  <c r="N163" i="8" s="1"/>
  <c r="L163" i="8"/>
  <c r="K163" i="8"/>
  <c r="J163" i="8"/>
  <c r="I163" i="8"/>
  <c r="E163" i="8" s="1"/>
  <c r="H163" i="8"/>
  <c r="G163" i="8"/>
  <c r="F163" i="8"/>
  <c r="D163" i="8"/>
  <c r="T162" i="8"/>
  <c r="R162" i="8"/>
  <c r="Q162" i="8"/>
  <c r="P162" i="8"/>
  <c r="O162" i="8"/>
  <c r="M162" i="8"/>
  <c r="L162" i="8"/>
  <c r="K162" i="8"/>
  <c r="J162" i="8"/>
  <c r="I162" i="8"/>
  <c r="H162" i="8"/>
  <c r="G162" i="8"/>
  <c r="F162" i="8"/>
  <c r="D162" i="8"/>
  <c r="T161" i="8"/>
  <c r="R161" i="8"/>
  <c r="S161" i="8" s="1"/>
  <c r="Q161" i="8"/>
  <c r="P161" i="8"/>
  <c r="O161" i="8"/>
  <c r="M161" i="8"/>
  <c r="N161" i="8" s="1"/>
  <c r="L161" i="8"/>
  <c r="K161" i="8"/>
  <c r="J161" i="8"/>
  <c r="I161" i="8"/>
  <c r="E161" i="8" s="1"/>
  <c r="H161" i="8"/>
  <c r="G161" i="8"/>
  <c r="F161" i="8"/>
  <c r="D161" i="8"/>
  <c r="T160" i="8"/>
  <c r="R160" i="8"/>
  <c r="Q160" i="8"/>
  <c r="P160" i="8"/>
  <c r="O160" i="8"/>
  <c r="M160" i="8"/>
  <c r="L160" i="8"/>
  <c r="K160" i="8"/>
  <c r="J160" i="8"/>
  <c r="I160" i="8"/>
  <c r="H160" i="8"/>
  <c r="G160" i="8"/>
  <c r="F160" i="8"/>
  <c r="D160" i="8"/>
  <c r="T159" i="8"/>
  <c r="R159" i="8"/>
  <c r="Q159" i="8"/>
  <c r="P159" i="8"/>
  <c r="O159" i="8"/>
  <c r="M159" i="8"/>
  <c r="L159" i="8"/>
  <c r="K159" i="8"/>
  <c r="J159" i="8"/>
  <c r="I159" i="8"/>
  <c r="H159" i="8"/>
  <c r="G159" i="8"/>
  <c r="F159" i="8"/>
  <c r="D159" i="8"/>
  <c r="T158" i="8"/>
  <c r="R158" i="8"/>
  <c r="S158" i="8" s="1"/>
  <c r="Q158" i="8"/>
  <c r="P158" i="8"/>
  <c r="O158" i="8"/>
  <c r="M158" i="8"/>
  <c r="N158" i="8" s="1"/>
  <c r="L158" i="8"/>
  <c r="K158" i="8"/>
  <c r="J158" i="8"/>
  <c r="I158" i="8"/>
  <c r="E158" i="8" s="1"/>
  <c r="H158" i="8"/>
  <c r="G158" i="8"/>
  <c r="F158" i="8"/>
  <c r="D158" i="8"/>
  <c r="T157" i="8"/>
  <c r="R157" i="8"/>
  <c r="Q157" i="8"/>
  <c r="P157" i="8"/>
  <c r="O157" i="8"/>
  <c r="M157" i="8"/>
  <c r="L157" i="8"/>
  <c r="K157" i="8"/>
  <c r="J157" i="8"/>
  <c r="I157" i="8"/>
  <c r="H157" i="8"/>
  <c r="G157" i="8"/>
  <c r="F157" i="8"/>
  <c r="D157" i="8"/>
  <c r="T156" i="8"/>
  <c r="R156" i="8"/>
  <c r="S156" i="8" s="1"/>
  <c r="Q156" i="8"/>
  <c r="P156" i="8"/>
  <c r="O156" i="8"/>
  <c r="M156" i="8"/>
  <c r="N156" i="8" s="1"/>
  <c r="L156" i="8"/>
  <c r="K156" i="8"/>
  <c r="J156" i="8"/>
  <c r="I156" i="8"/>
  <c r="E156" i="8" s="1"/>
  <c r="H156" i="8"/>
  <c r="G156" i="8"/>
  <c r="F156" i="8"/>
  <c r="D156" i="8"/>
  <c r="T155" i="8"/>
  <c r="R155" i="8"/>
  <c r="Q155" i="8"/>
  <c r="P155" i="8"/>
  <c r="O155" i="8"/>
  <c r="M155" i="8"/>
  <c r="L155" i="8"/>
  <c r="K155" i="8"/>
  <c r="J155" i="8"/>
  <c r="I155" i="8"/>
  <c r="H155" i="8"/>
  <c r="G155" i="8"/>
  <c r="F155" i="8"/>
  <c r="D155" i="8"/>
  <c r="T154" i="8"/>
  <c r="R154" i="8"/>
  <c r="S154" i="8" s="1"/>
  <c r="Q154" i="8"/>
  <c r="P154" i="8"/>
  <c r="O154" i="8"/>
  <c r="M154" i="8"/>
  <c r="N154" i="8" s="1"/>
  <c r="L154" i="8"/>
  <c r="K154" i="8"/>
  <c r="J154" i="8"/>
  <c r="I154" i="8"/>
  <c r="E154" i="8" s="1"/>
  <c r="H154" i="8"/>
  <c r="G154" i="8"/>
  <c r="F154" i="8"/>
  <c r="D154" i="8"/>
  <c r="T153" i="8"/>
  <c r="R153" i="8"/>
  <c r="Q153" i="8"/>
  <c r="P153" i="8"/>
  <c r="O153" i="8"/>
  <c r="M153" i="8"/>
  <c r="L153" i="8"/>
  <c r="K153" i="8"/>
  <c r="J153" i="8"/>
  <c r="I153" i="8"/>
  <c r="H153" i="8"/>
  <c r="G153" i="8"/>
  <c r="F153" i="8"/>
  <c r="D153" i="8"/>
  <c r="T152" i="8"/>
  <c r="R152" i="8"/>
  <c r="S152" i="8" s="1"/>
  <c r="Q152" i="8"/>
  <c r="P152" i="8"/>
  <c r="O152" i="8"/>
  <c r="M152" i="8"/>
  <c r="N152" i="8" s="1"/>
  <c r="L152" i="8"/>
  <c r="K152" i="8"/>
  <c r="J152" i="8"/>
  <c r="I152" i="8"/>
  <c r="E152" i="8" s="1"/>
  <c r="H152" i="8"/>
  <c r="G152" i="8"/>
  <c r="F152" i="8"/>
  <c r="D152" i="8"/>
  <c r="T151" i="8"/>
  <c r="R151" i="8"/>
  <c r="Q151" i="8"/>
  <c r="P151" i="8"/>
  <c r="O151" i="8"/>
  <c r="M151" i="8"/>
  <c r="L151" i="8"/>
  <c r="K151" i="8"/>
  <c r="J151" i="8"/>
  <c r="I151" i="8"/>
  <c r="H151" i="8"/>
  <c r="G151" i="8"/>
  <c r="F151" i="8"/>
  <c r="D151" i="8"/>
  <c r="T150" i="8"/>
  <c r="R150" i="8"/>
  <c r="S150" i="8" s="1"/>
  <c r="Q150" i="8"/>
  <c r="P150" i="8"/>
  <c r="O150" i="8"/>
  <c r="M150" i="8"/>
  <c r="N150" i="8" s="1"/>
  <c r="L150" i="8"/>
  <c r="K150" i="8"/>
  <c r="J150" i="8"/>
  <c r="I150" i="8"/>
  <c r="E150" i="8" s="1"/>
  <c r="H150" i="8"/>
  <c r="G150" i="8"/>
  <c r="F150" i="8"/>
  <c r="D150" i="8"/>
  <c r="T149" i="8"/>
  <c r="R149" i="8"/>
  <c r="Q149" i="8"/>
  <c r="P149" i="8"/>
  <c r="O149" i="8"/>
  <c r="M149" i="8"/>
  <c r="L149" i="8"/>
  <c r="K149" i="8"/>
  <c r="J149" i="8"/>
  <c r="I149" i="8"/>
  <c r="H149" i="8"/>
  <c r="G149" i="8"/>
  <c r="F149" i="8"/>
  <c r="D149" i="8"/>
  <c r="T148" i="8"/>
  <c r="R148" i="8"/>
  <c r="S148" i="8" s="1"/>
  <c r="Q148" i="8"/>
  <c r="P148" i="8"/>
  <c r="O148" i="8"/>
  <c r="M148" i="8"/>
  <c r="N148" i="8" s="1"/>
  <c r="L148" i="8"/>
  <c r="K148" i="8"/>
  <c r="J148" i="8"/>
  <c r="I148" i="8"/>
  <c r="E148" i="8" s="1"/>
  <c r="H148" i="8"/>
  <c r="G148" i="8"/>
  <c r="F148" i="8"/>
  <c r="D148" i="8"/>
  <c r="T147" i="8"/>
  <c r="R147" i="8"/>
  <c r="Q147" i="8"/>
  <c r="P147" i="8"/>
  <c r="O147" i="8"/>
  <c r="M147" i="8"/>
  <c r="L147" i="8"/>
  <c r="K147" i="8"/>
  <c r="J147" i="8"/>
  <c r="I147" i="8"/>
  <c r="H147" i="8"/>
  <c r="G147" i="8"/>
  <c r="F147" i="8"/>
  <c r="D147" i="8"/>
  <c r="T146" i="8"/>
  <c r="R146" i="8"/>
  <c r="S146" i="8" s="1"/>
  <c r="Q146" i="8"/>
  <c r="P146" i="8"/>
  <c r="O146" i="8"/>
  <c r="M146" i="8"/>
  <c r="N146" i="8" s="1"/>
  <c r="L146" i="8"/>
  <c r="K146" i="8"/>
  <c r="J146" i="8"/>
  <c r="I146" i="8"/>
  <c r="E146" i="8" s="1"/>
  <c r="H146" i="8"/>
  <c r="G146" i="8"/>
  <c r="F146" i="8"/>
  <c r="D146" i="8"/>
  <c r="T145" i="8"/>
  <c r="R145" i="8"/>
  <c r="Q145" i="8"/>
  <c r="P145" i="8"/>
  <c r="O145" i="8"/>
  <c r="M145" i="8"/>
  <c r="L145" i="8"/>
  <c r="K145" i="8"/>
  <c r="J145" i="8"/>
  <c r="I145" i="8"/>
  <c r="H145" i="8"/>
  <c r="G145" i="8"/>
  <c r="F145" i="8"/>
  <c r="D145" i="8"/>
  <c r="T144" i="8"/>
  <c r="R144" i="8"/>
  <c r="S144" i="8" s="1"/>
  <c r="Q144" i="8"/>
  <c r="P144" i="8"/>
  <c r="O144" i="8"/>
  <c r="M144" i="8"/>
  <c r="N144" i="8" s="1"/>
  <c r="L144" i="8"/>
  <c r="K144" i="8"/>
  <c r="J144" i="8"/>
  <c r="I144" i="8"/>
  <c r="E144" i="8" s="1"/>
  <c r="H144" i="8"/>
  <c r="G144" i="8"/>
  <c r="F144" i="8"/>
  <c r="D144" i="8"/>
  <c r="T143" i="8"/>
  <c r="R143" i="8"/>
  <c r="Q143" i="8"/>
  <c r="P143" i="8"/>
  <c r="O143" i="8"/>
  <c r="M143" i="8"/>
  <c r="L143" i="8"/>
  <c r="K143" i="8"/>
  <c r="J143" i="8"/>
  <c r="I143" i="8"/>
  <c r="H143" i="8"/>
  <c r="G143" i="8"/>
  <c r="F143" i="8"/>
  <c r="D143" i="8"/>
  <c r="T142" i="8"/>
  <c r="R142" i="8"/>
  <c r="S142" i="8" s="1"/>
  <c r="Q142" i="8"/>
  <c r="P142" i="8"/>
  <c r="O142" i="8"/>
  <c r="M142" i="8"/>
  <c r="N142" i="8" s="1"/>
  <c r="L142" i="8"/>
  <c r="K142" i="8"/>
  <c r="J142" i="8"/>
  <c r="I142" i="8"/>
  <c r="E142" i="8" s="1"/>
  <c r="H142" i="8"/>
  <c r="G142" i="8"/>
  <c r="F142" i="8"/>
  <c r="D142" i="8"/>
  <c r="T141" i="8"/>
  <c r="R141" i="8"/>
  <c r="Q141" i="8"/>
  <c r="P141" i="8"/>
  <c r="O141" i="8"/>
  <c r="M141" i="8"/>
  <c r="L141" i="8"/>
  <c r="K141" i="8"/>
  <c r="J141" i="8"/>
  <c r="I141" i="8"/>
  <c r="H141" i="8"/>
  <c r="G141" i="8"/>
  <c r="F141" i="8"/>
  <c r="D141" i="8"/>
  <c r="B33" i="8"/>
  <c r="BE26" i="8"/>
  <c r="BB10" i="8"/>
  <c r="AZ24" i="8"/>
  <c r="BC21" i="8"/>
  <c r="BC24" i="8"/>
  <c r="BA24" i="8"/>
  <c r="BG7" i="8"/>
  <c r="BA10" i="8"/>
  <c r="B16" i="8"/>
  <c r="C16" i="8" s="1"/>
  <c r="B21" i="8" s="1"/>
  <c r="BG6" i="8"/>
  <c r="B13" i="8"/>
  <c r="C13" i="8" s="1"/>
  <c r="BG5" i="8"/>
  <c r="BG4" i="8"/>
  <c r="B17" i="8"/>
  <c r="C17" i="8" s="1"/>
  <c r="B15" i="8"/>
  <c r="C15" i="8" s="1"/>
  <c r="BG3" i="8"/>
  <c r="D41" i="5"/>
  <c r="I41" i="5"/>
  <c r="H41" i="5"/>
  <c r="T35" i="5"/>
  <c r="F41" i="5"/>
  <c r="G41" i="5"/>
  <c r="J41" i="5"/>
  <c r="K41" i="5"/>
  <c r="L41" i="5"/>
  <c r="M41" i="5"/>
  <c r="O41" i="5"/>
  <c r="P41" i="5"/>
  <c r="Q41" i="5"/>
  <c r="R41" i="5"/>
  <c r="T41" i="5"/>
  <c r="D46" i="5"/>
  <c r="I46" i="5"/>
  <c r="H46" i="5"/>
  <c r="F46" i="5"/>
  <c r="G46" i="5"/>
  <c r="J46" i="5"/>
  <c r="K46" i="5"/>
  <c r="L46" i="5"/>
  <c r="M46" i="5"/>
  <c r="O46" i="5"/>
  <c r="P46" i="5"/>
  <c r="Q46" i="5"/>
  <c r="R46" i="5"/>
  <c r="T46" i="5"/>
  <c r="I52" i="5"/>
  <c r="F52" i="5"/>
  <c r="G52" i="5"/>
  <c r="H52" i="5"/>
  <c r="J52" i="5"/>
  <c r="K52" i="5"/>
  <c r="L52" i="5"/>
  <c r="M52" i="5"/>
  <c r="O52" i="5"/>
  <c r="P52" i="5"/>
  <c r="Q52" i="5"/>
  <c r="R52" i="5"/>
  <c r="T52" i="5"/>
  <c r="D53" i="5"/>
  <c r="I53" i="5"/>
  <c r="F53" i="5"/>
  <c r="G53" i="5"/>
  <c r="H53" i="5"/>
  <c r="J53" i="5"/>
  <c r="K53" i="5"/>
  <c r="L53" i="5"/>
  <c r="M53" i="5"/>
  <c r="O53" i="5"/>
  <c r="P53" i="5"/>
  <c r="Q53" i="5"/>
  <c r="R53" i="5"/>
  <c r="T53" i="5"/>
  <c r="D54" i="5"/>
  <c r="I54" i="5"/>
  <c r="F54" i="5"/>
  <c r="G54" i="5"/>
  <c r="H54" i="5"/>
  <c r="J54" i="5"/>
  <c r="K54" i="5"/>
  <c r="L54" i="5"/>
  <c r="M54" i="5"/>
  <c r="O54" i="5"/>
  <c r="P54" i="5"/>
  <c r="Q54" i="5"/>
  <c r="R54" i="5"/>
  <c r="T54" i="5"/>
  <c r="D50" i="5"/>
  <c r="I50" i="5"/>
  <c r="F50" i="5"/>
  <c r="G50" i="5"/>
  <c r="H50" i="5"/>
  <c r="J50" i="5"/>
  <c r="K50" i="5"/>
  <c r="L50" i="5"/>
  <c r="M50" i="5"/>
  <c r="O50" i="5"/>
  <c r="P50" i="5"/>
  <c r="Q50" i="5"/>
  <c r="R50" i="5"/>
  <c r="T50" i="5"/>
  <c r="D49" i="5"/>
  <c r="I49" i="5"/>
  <c r="F49" i="5"/>
  <c r="G49" i="5"/>
  <c r="H49" i="5"/>
  <c r="J49" i="5"/>
  <c r="K49" i="5"/>
  <c r="L49" i="5"/>
  <c r="M49" i="5"/>
  <c r="O49" i="5"/>
  <c r="P49" i="5"/>
  <c r="Q49" i="5"/>
  <c r="R49" i="5"/>
  <c r="T49" i="5"/>
  <c r="D43" i="5"/>
  <c r="I43" i="5"/>
  <c r="F43" i="5"/>
  <c r="G43" i="5"/>
  <c r="H43" i="5"/>
  <c r="J43" i="5"/>
  <c r="K43" i="5"/>
  <c r="L43" i="5"/>
  <c r="M43" i="5"/>
  <c r="O43" i="5"/>
  <c r="P43" i="5"/>
  <c r="Q43" i="5"/>
  <c r="R43" i="5"/>
  <c r="T43" i="5"/>
  <c r="D48" i="5"/>
  <c r="I48" i="5"/>
  <c r="F48" i="5"/>
  <c r="G48" i="5"/>
  <c r="H48" i="5"/>
  <c r="J48" i="5"/>
  <c r="K48" i="5"/>
  <c r="L48" i="5"/>
  <c r="M48" i="5"/>
  <c r="O48" i="5"/>
  <c r="P48" i="5"/>
  <c r="Q48" i="5"/>
  <c r="R48" i="5"/>
  <c r="T48" i="5"/>
  <c r="D56" i="5"/>
  <c r="I56" i="5"/>
  <c r="F56" i="5"/>
  <c r="G56" i="5"/>
  <c r="H56" i="5"/>
  <c r="J56" i="5"/>
  <c r="K56" i="5"/>
  <c r="L56" i="5"/>
  <c r="M56" i="5"/>
  <c r="O56" i="5"/>
  <c r="P56" i="5"/>
  <c r="Q56" i="5"/>
  <c r="R56" i="5"/>
  <c r="T56" i="5"/>
  <c r="D57" i="5"/>
  <c r="I57" i="5"/>
  <c r="F57" i="5"/>
  <c r="G57" i="5"/>
  <c r="H57" i="5"/>
  <c r="J57" i="5"/>
  <c r="K57" i="5"/>
  <c r="L57" i="5"/>
  <c r="M57" i="5"/>
  <c r="O57" i="5"/>
  <c r="P57" i="5"/>
  <c r="Q57" i="5"/>
  <c r="R57" i="5"/>
  <c r="T57" i="5"/>
  <c r="D58" i="5"/>
  <c r="I58" i="5"/>
  <c r="F58" i="5"/>
  <c r="G58" i="5"/>
  <c r="H58" i="5"/>
  <c r="J58" i="5"/>
  <c r="K58" i="5"/>
  <c r="L58" i="5"/>
  <c r="M58" i="5"/>
  <c r="O58" i="5"/>
  <c r="P58" i="5"/>
  <c r="Q58" i="5"/>
  <c r="R58" i="5"/>
  <c r="T58" i="5"/>
  <c r="D59" i="5"/>
  <c r="I59" i="5"/>
  <c r="F59" i="5"/>
  <c r="G59" i="5"/>
  <c r="H59" i="5"/>
  <c r="J59" i="5"/>
  <c r="K59" i="5"/>
  <c r="L59" i="5"/>
  <c r="M59" i="5"/>
  <c r="O59" i="5"/>
  <c r="P59" i="5"/>
  <c r="Q59" i="5"/>
  <c r="R59" i="5"/>
  <c r="T59" i="5"/>
  <c r="D60" i="5"/>
  <c r="I60" i="5"/>
  <c r="F60" i="5"/>
  <c r="G60" i="5"/>
  <c r="H60" i="5"/>
  <c r="J60" i="5"/>
  <c r="K60" i="5"/>
  <c r="L60" i="5"/>
  <c r="M60" i="5"/>
  <c r="O60" i="5"/>
  <c r="P60" i="5"/>
  <c r="Q60" i="5"/>
  <c r="R60" i="5"/>
  <c r="T60" i="5"/>
  <c r="D61" i="5"/>
  <c r="I61" i="5"/>
  <c r="F61" i="5"/>
  <c r="G61" i="5"/>
  <c r="H61" i="5"/>
  <c r="J61" i="5"/>
  <c r="K61" i="5"/>
  <c r="L61" i="5"/>
  <c r="M61" i="5"/>
  <c r="O61" i="5"/>
  <c r="P61" i="5"/>
  <c r="Q61" i="5"/>
  <c r="R61" i="5"/>
  <c r="T61" i="5"/>
  <c r="D62" i="5"/>
  <c r="I62" i="5"/>
  <c r="F62" i="5"/>
  <c r="G62" i="5"/>
  <c r="H62" i="5"/>
  <c r="J62" i="5"/>
  <c r="K62" i="5"/>
  <c r="L62" i="5"/>
  <c r="M62" i="5"/>
  <c r="O62" i="5"/>
  <c r="P62" i="5"/>
  <c r="Q62" i="5"/>
  <c r="R62" i="5"/>
  <c r="T62" i="5"/>
  <c r="D63" i="5"/>
  <c r="I63" i="5"/>
  <c r="F63" i="5"/>
  <c r="G63" i="5"/>
  <c r="H63" i="5"/>
  <c r="J63" i="5"/>
  <c r="K63" i="5"/>
  <c r="L63" i="5"/>
  <c r="M63" i="5"/>
  <c r="O63" i="5"/>
  <c r="P63" i="5"/>
  <c r="Q63" i="5"/>
  <c r="R63" i="5"/>
  <c r="T63" i="5"/>
  <c r="D64" i="5"/>
  <c r="I64" i="5"/>
  <c r="F64" i="5"/>
  <c r="G64" i="5"/>
  <c r="H64" i="5"/>
  <c r="J64" i="5"/>
  <c r="K64" i="5"/>
  <c r="L64" i="5"/>
  <c r="M64" i="5"/>
  <c r="O64" i="5"/>
  <c r="P64" i="5"/>
  <c r="Q64" i="5"/>
  <c r="R64" i="5"/>
  <c r="T64" i="5"/>
  <c r="D65" i="5"/>
  <c r="I65" i="5"/>
  <c r="F65" i="5"/>
  <c r="G65" i="5"/>
  <c r="H65" i="5"/>
  <c r="J65" i="5"/>
  <c r="K65" i="5"/>
  <c r="L65" i="5"/>
  <c r="M65" i="5"/>
  <c r="O65" i="5"/>
  <c r="P65" i="5"/>
  <c r="Q65" i="5"/>
  <c r="R65" i="5"/>
  <c r="T65" i="5"/>
  <c r="D66" i="5"/>
  <c r="I66" i="5"/>
  <c r="F66" i="5"/>
  <c r="G66" i="5"/>
  <c r="H66" i="5"/>
  <c r="J66" i="5"/>
  <c r="K66" i="5"/>
  <c r="L66" i="5"/>
  <c r="M66" i="5"/>
  <c r="O66" i="5"/>
  <c r="P66" i="5"/>
  <c r="Q66" i="5"/>
  <c r="R66" i="5"/>
  <c r="T66" i="5"/>
  <c r="D67" i="5"/>
  <c r="I67" i="5"/>
  <c r="F67" i="5"/>
  <c r="G67" i="5"/>
  <c r="H67" i="5"/>
  <c r="J67" i="5"/>
  <c r="K67" i="5"/>
  <c r="L67" i="5"/>
  <c r="M67" i="5"/>
  <c r="O67" i="5"/>
  <c r="P67" i="5"/>
  <c r="Q67" i="5"/>
  <c r="R67" i="5"/>
  <c r="T67" i="5"/>
  <c r="D68" i="5"/>
  <c r="I68" i="5"/>
  <c r="F68" i="5"/>
  <c r="G68" i="5"/>
  <c r="H68" i="5"/>
  <c r="J68" i="5"/>
  <c r="K68" i="5"/>
  <c r="L68" i="5"/>
  <c r="M68" i="5"/>
  <c r="O68" i="5"/>
  <c r="P68" i="5"/>
  <c r="Q68" i="5"/>
  <c r="R68" i="5"/>
  <c r="T68" i="5"/>
  <c r="D69" i="5"/>
  <c r="I69" i="5"/>
  <c r="F69" i="5"/>
  <c r="G69" i="5"/>
  <c r="H69" i="5"/>
  <c r="J69" i="5"/>
  <c r="K69" i="5"/>
  <c r="L69" i="5"/>
  <c r="M69" i="5"/>
  <c r="O69" i="5"/>
  <c r="P69" i="5"/>
  <c r="Q69" i="5"/>
  <c r="R69" i="5"/>
  <c r="T69" i="5"/>
  <c r="D70" i="5"/>
  <c r="I70" i="5"/>
  <c r="F70" i="5"/>
  <c r="G70" i="5"/>
  <c r="H70" i="5"/>
  <c r="J70" i="5"/>
  <c r="K70" i="5"/>
  <c r="L70" i="5"/>
  <c r="M70" i="5"/>
  <c r="O70" i="5"/>
  <c r="P70" i="5"/>
  <c r="Q70" i="5"/>
  <c r="R70" i="5"/>
  <c r="T70" i="5"/>
  <c r="D71" i="5"/>
  <c r="I71" i="5"/>
  <c r="F71" i="5"/>
  <c r="G71" i="5"/>
  <c r="H71" i="5"/>
  <c r="J71" i="5"/>
  <c r="K71" i="5"/>
  <c r="L71" i="5"/>
  <c r="M71" i="5"/>
  <c r="O71" i="5"/>
  <c r="P71" i="5"/>
  <c r="Q71" i="5"/>
  <c r="R71" i="5"/>
  <c r="T71" i="5"/>
  <c r="D72" i="5"/>
  <c r="I72" i="5"/>
  <c r="F72" i="5"/>
  <c r="G72" i="5"/>
  <c r="H72" i="5"/>
  <c r="J72" i="5"/>
  <c r="K72" i="5"/>
  <c r="L72" i="5"/>
  <c r="M72" i="5"/>
  <c r="O72" i="5"/>
  <c r="P72" i="5"/>
  <c r="Q72" i="5"/>
  <c r="R72" i="5"/>
  <c r="T72" i="5"/>
  <c r="D73" i="5"/>
  <c r="I73" i="5"/>
  <c r="F73" i="5"/>
  <c r="G73" i="5"/>
  <c r="H73" i="5"/>
  <c r="J73" i="5"/>
  <c r="K73" i="5"/>
  <c r="L73" i="5"/>
  <c r="M73" i="5"/>
  <c r="O73" i="5"/>
  <c r="P73" i="5"/>
  <c r="Q73" i="5"/>
  <c r="R73" i="5"/>
  <c r="T73" i="5"/>
  <c r="D74" i="5"/>
  <c r="I74" i="5"/>
  <c r="F74" i="5"/>
  <c r="G74" i="5"/>
  <c r="H74" i="5"/>
  <c r="J74" i="5"/>
  <c r="K74" i="5"/>
  <c r="L74" i="5"/>
  <c r="M74" i="5"/>
  <c r="O74" i="5"/>
  <c r="P74" i="5"/>
  <c r="Q74" i="5"/>
  <c r="R74" i="5"/>
  <c r="T74" i="5"/>
  <c r="D75" i="5"/>
  <c r="I75" i="5"/>
  <c r="F75" i="5"/>
  <c r="G75" i="5"/>
  <c r="H75" i="5"/>
  <c r="J75" i="5"/>
  <c r="K75" i="5"/>
  <c r="L75" i="5"/>
  <c r="M75" i="5"/>
  <c r="O75" i="5"/>
  <c r="P75" i="5"/>
  <c r="Q75" i="5"/>
  <c r="R75" i="5"/>
  <c r="T75" i="5"/>
  <c r="D76" i="5"/>
  <c r="I76" i="5"/>
  <c r="F76" i="5"/>
  <c r="G76" i="5"/>
  <c r="H76" i="5"/>
  <c r="J76" i="5"/>
  <c r="K76" i="5"/>
  <c r="L76" i="5"/>
  <c r="M76" i="5"/>
  <c r="O76" i="5"/>
  <c r="P76" i="5"/>
  <c r="Q76" i="5"/>
  <c r="R76" i="5"/>
  <c r="T76" i="5"/>
  <c r="D77" i="5"/>
  <c r="I77" i="5"/>
  <c r="F77" i="5"/>
  <c r="G77" i="5"/>
  <c r="H77" i="5"/>
  <c r="J77" i="5"/>
  <c r="K77" i="5"/>
  <c r="L77" i="5"/>
  <c r="M77" i="5"/>
  <c r="O77" i="5"/>
  <c r="P77" i="5"/>
  <c r="Q77" i="5"/>
  <c r="R77" i="5"/>
  <c r="T77" i="5"/>
  <c r="D78" i="5"/>
  <c r="I78" i="5"/>
  <c r="F78" i="5"/>
  <c r="G78" i="5"/>
  <c r="H78" i="5"/>
  <c r="J78" i="5"/>
  <c r="K78" i="5"/>
  <c r="L78" i="5"/>
  <c r="M78" i="5"/>
  <c r="O78" i="5"/>
  <c r="P78" i="5"/>
  <c r="Q78" i="5"/>
  <c r="R78" i="5"/>
  <c r="T78" i="5"/>
  <c r="D79" i="5"/>
  <c r="I79" i="5"/>
  <c r="F79" i="5"/>
  <c r="G79" i="5"/>
  <c r="H79" i="5"/>
  <c r="J79" i="5"/>
  <c r="K79" i="5"/>
  <c r="L79" i="5"/>
  <c r="M79" i="5"/>
  <c r="O79" i="5"/>
  <c r="P79" i="5"/>
  <c r="Q79" i="5"/>
  <c r="R79" i="5"/>
  <c r="T79" i="5"/>
  <c r="D80" i="5"/>
  <c r="I80" i="5"/>
  <c r="F80" i="5"/>
  <c r="G80" i="5"/>
  <c r="H80" i="5"/>
  <c r="J80" i="5"/>
  <c r="K80" i="5"/>
  <c r="L80" i="5"/>
  <c r="M80" i="5"/>
  <c r="O80" i="5"/>
  <c r="P80" i="5"/>
  <c r="Q80" i="5"/>
  <c r="R80" i="5"/>
  <c r="T80" i="5"/>
  <c r="D81" i="5"/>
  <c r="I81" i="5"/>
  <c r="F81" i="5"/>
  <c r="G81" i="5"/>
  <c r="H81" i="5"/>
  <c r="J81" i="5"/>
  <c r="K81" i="5"/>
  <c r="L81" i="5"/>
  <c r="M81" i="5"/>
  <c r="O81" i="5"/>
  <c r="P81" i="5"/>
  <c r="Q81" i="5"/>
  <c r="R81" i="5"/>
  <c r="T81" i="5"/>
  <c r="D82" i="5"/>
  <c r="I82" i="5"/>
  <c r="F82" i="5"/>
  <c r="G82" i="5"/>
  <c r="H82" i="5"/>
  <c r="J82" i="5"/>
  <c r="K82" i="5"/>
  <c r="L82" i="5"/>
  <c r="M82" i="5"/>
  <c r="O82" i="5"/>
  <c r="P82" i="5"/>
  <c r="Q82" i="5"/>
  <c r="R82" i="5"/>
  <c r="T82" i="5"/>
  <c r="D83" i="5"/>
  <c r="I83" i="5"/>
  <c r="F83" i="5"/>
  <c r="G83" i="5"/>
  <c r="H83" i="5"/>
  <c r="J83" i="5"/>
  <c r="K83" i="5"/>
  <c r="L83" i="5"/>
  <c r="M83" i="5"/>
  <c r="O83" i="5"/>
  <c r="P83" i="5"/>
  <c r="Q83" i="5"/>
  <c r="R83" i="5"/>
  <c r="T83" i="5"/>
  <c r="D84" i="5"/>
  <c r="I84" i="5"/>
  <c r="F84" i="5"/>
  <c r="G84" i="5"/>
  <c r="H84" i="5"/>
  <c r="J84" i="5"/>
  <c r="K84" i="5"/>
  <c r="L84" i="5"/>
  <c r="M84" i="5"/>
  <c r="O84" i="5"/>
  <c r="P84" i="5"/>
  <c r="Q84" i="5"/>
  <c r="R84" i="5"/>
  <c r="T84" i="5"/>
  <c r="D85" i="5"/>
  <c r="I85" i="5"/>
  <c r="F85" i="5"/>
  <c r="G85" i="5"/>
  <c r="H85" i="5"/>
  <c r="J85" i="5"/>
  <c r="K85" i="5"/>
  <c r="L85" i="5"/>
  <c r="M85" i="5"/>
  <c r="O85" i="5"/>
  <c r="P85" i="5"/>
  <c r="Q85" i="5"/>
  <c r="R85" i="5"/>
  <c r="T85" i="5"/>
  <c r="D86" i="5"/>
  <c r="I86" i="5"/>
  <c r="F86" i="5"/>
  <c r="G86" i="5"/>
  <c r="H86" i="5"/>
  <c r="J86" i="5"/>
  <c r="K86" i="5"/>
  <c r="L86" i="5"/>
  <c r="M86" i="5"/>
  <c r="O86" i="5"/>
  <c r="P86" i="5"/>
  <c r="Q86" i="5"/>
  <c r="R86" i="5"/>
  <c r="T86" i="5"/>
  <c r="D87" i="5"/>
  <c r="I87" i="5"/>
  <c r="F87" i="5"/>
  <c r="G87" i="5"/>
  <c r="H87" i="5"/>
  <c r="J87" i="5"/>
  <c r="K87" i="5"/>
  <c r="L87" i="5"/>
  <c r="M87" i="5"/>
  <c r="O87" i="5"/>
  <c r="P87" i="5"/>
  <c r="Q87" i="5"/>
  <c r="R87" i="5"/>
  <c r="T87" i="5"/>
  <c r="D88" i="5"/>
  <c r="I88" i="5"/>
  <c r="F88" i="5"/>
  <c r="G88" i="5"/>
  <c r="H88" i="5"/>
  <c r="J88" i="5"/>
  <c r="K88" i="5"/>
  <c r="L88" i="5"/>
  <c r="M88" i="5"/>
  <c r="O88" i="5"/>
  <c r="P88" i="5"/>
  <c r="Q88" i="5"/>
  <c r="R88" i="5"/>
  <c r="T88" i="5"/>
  <c r="D89" i="5"/>
  <c r="I89" i="5"/>
  <c r="F89" i="5"/>
  <c r="G89" i="5"/>
  <c r="H89" i="5"/>
  <c r="J89" i="5"/>
  <c r="K89" i="5"/>
  <c r="L89" i="5"/>
  <c r="M89" i="5"/>
  <c r="O89" i="5"/>
  <c r="P89" i="5"/>
  <c r="Q89" i="5"/>
  <c r="R89" i="5"/>
  <c r="T89" i="5"/>
  <c r="D90" i="5"/>
  <c r="I90" i="5"/>
  <c r="F90" i="5"/>
  <c r="G90" i="5"/>
  <c r="H90" i="5"/>
  <c r="J90" i="5"/>
  <c r="K90" i="5"/>
  <c r="L90" i="5"/>
  <c r="M90" i="5"/>
  <c r="O90" i="5"/>
  <c r="P90" i="5"/>
  <c r="Q90" i="5"/>
  <c r="R90" i="5"/>
  <c r="T90" i="5"/>
  <c r="D91" i="5"/>
  <c r="I91" i="5"/>
  <c r="F91" i="5"/>
  <c r="G91" i="5"/>
  <c r="H91" i="5"/>
  <c r="J91" i="5"/>
  <c r="K91" i="5"/>
  <c r="L91" i="5"/>
  <c r="M91" i="5"/>
  <c r="O91" i="5"/>
  <c r="P91" i="5"/>
  <c r="Q91" i="5"/>
  <c r="R91" i="5"/>
  <c r="T91" i="5"/>
  <c r="D92" i="5"/>
  <c r="I92" i="5"/>
  <c r="F92" i="5"/>
  <c r="G92" i="5"/>
  <c r="H92" i="5"/>
  <c r="J92" i="5"/>
  <c r="K92" i="5"/>
  <c r="L92" i="5"/>
  <c r="M92" i="5"/>
  <c r="O92" i="5"/>
  <c r="P92" i="5"/>
  <c r="Q92" i="5"/>
  <c r="R92" i="5"/>
  <c r="T92" i="5"/>
  <c r="D93" i="5"/>
  <c r="I93" i="5"/>
  <c r="F93" i="5"/>
  <c r="G93" i="5"/>
  <c r="H93" i="5"/>
  <c r="J93" i="5"/>
  <c r="K93" i="5"/>
  <c r="L93" i="5"/>
  <c r="M93" i="5"/>
  <c r="O93" i="5"/>
  <c r="P93" i="5"/>
  <c r="Q93" i="5"/>
  <c r="R93" i="5"/>
  <c r="T93" i="5"/>
  <c r="D94" i="5"/>
  <c r="I94" i="5"/>
  <c r="F94" i="5"/>
  <c r="G94" i="5"/>
  <c r="H94" i="5"/>
  <c r="J94" i="5"/>
  <c r="K94" i="5"/>
  <c r="L94" i="5"/>
  <c r="M94" i="5"/>
  <c r="O94" i="5"/>
  <c r="P94" i="5"/>
  <c r="Q94" i="5"/>
  <c r="R94" i="5"/>
  <c r="T94" i="5"/>
  <c r="D95" i="5"/>
  <c r="I95" i="5"/>
  <c r="F95" i="5"/>
  <c r="G95" i="5"/>
  <c r="H95" i="5"/>
  <c r="J95" i="5"/>
  <c r="K95" i="5"/>
  <c r="L95" i="5"/>
  <c r="M95" i="5"/>
  <c r="O95" i="5"/>
  <c r="P95" i="5"/>
  <c r="Q95" i="5"/>
  <c r="R95" i="5"/>
  <c r="T95" i="5"/>
  <c r="D96" i="5"/>
  <c r="I96" i="5"/>
  <c r="F96" i="5"/>
  <c r="G96" i="5"/>
  <c r="H96" i="5"/>
  <c r="J96" i="5"/>
  <c r="K96" i="5"/>
  <c r="L96" i="5"/>
  <c r="M96" i="5"/>
  <c r="O96" i="5"/>
  <c r="P96" i="5"/>
  <c r="Q96" i="5"/>
  <c r="R96" i="5"/>
  <c r="T96" i="5"/>
  <c r="D97" i="5"/>
  <c r="I97" i="5"/>
  <c r="F97" i="5"/>
  <c r="G97" i="5"/>
  <c r="H97" i="5"/>
  <c r="J97" i="5"/>
  <c r="K97" i="5"/>
  <c r="L97" i="5"/>
  <c r="M97" i="5"/>
  <c r="O97" i="5"/>
  <c r="P97" i="5"/>
  <c r="Q97" i="5"/>
  <c r="R97" i="5"/>
  <c r="T97" i="5"/>
  <c r="D98" i="5"/>
  <c r="I98" i="5"/>
  <c r="F98" i="5"/>
  <c r="G98" i="5"/>
  <c r="H98" i="5"/>
  <c r="J98" i="5"/>
  <c r="K98" i="5"/>
  <c r="L98" i="5"/>
  <c r="M98" i="5"/>
  <c r="O98" i="5"/>
  <c r="P98" i="5"/>
  <c r="Q98" i="5"/>
  <c r="R98" i="5"/>
  <c r="T98" i="5"/>
  <c r="D99" i="5"/>
  <c r="I99" i="5"/>
  <c r="F99" i="5"/>
  <c r="G99" i="5"/>
  <c r="H99" i="5"/>
  <c r="J99" i="5"/>
  <c r="K99" i="5"/>
  <c r="L99" i="5"/>
  <c r="M99" i="5"/>
  <c r="O99" i="5"/>
  <c r="P99" i="5"/>
  <c r="Q99" i="5"/>
  <c r="R99" i="5"/>
  <c r="T99" i="5"/>
  <c r="D100" i="5"/>
  <c r="I100" i="5"/>
  <c r="F100" i="5"/>
  <c r="G100" i="5"/>
  <c r="H100" i="5"/>
  <c r="J100" i="5"/>
  <c r="K100" i="5"/>
  <c r="L100" i="5"/>
  <c r="M100" i="5"/>
  <c r="O100" i="5"/>
  <c r="P100" i="5"/>
  <c r="Q100" i="5"/>
  <c r="R100" i="5"/>
  <c r="T100" i="5"/>
  <c r="D101" i="5"/>
  <c r="I101" i="5"/>
  <c r="F101" i="5"/>
  <c r="G101" i="5"/>
  <c r="H101" i="5"/>
  <c r="J101" i="5"/>
  <c r="K101" i="5"/>
  <c r="L101" i="5"/>
  <c r="M101" i="5"/>
  <c r="O101" i="5"/>
  <c r="P101" i="5"/>
  <c r="Q101" i="5"/>
  <c r="R101" i="5"/>
  <c r="T101" i="5"/>
  <c r="D102" i="5"/>
  <c r="I102" i="5"/>
  <c r="F102" i="5"/>
  <c r="G102" i="5"/>
  <c r="H102" i="5"/>
  <c r="J102" i="5"/>
  <c r="K102" i="5"/>
  <c r="L102" i="5"/>
  <c r="M102" i="5"/>
  <c r="O102" i="5"/>
  <c r="P102" i="5"/>
  <c r="Q102" i="5"/>
  <c r="R102" i="5"/>
  <c r="T102" i="5"/>
  <c r="D103" i="5"/>
  <c r="I103" i="5"/>
  <c r="F103" i="5"/>
  <c r="G103" i="5"/>
  <c r="H103" i="5"/>
  <c r="J103" i="5"/>
  <c r="K103" i="5"/>
  <c r="L103" i="5"/>
  <c r="M103" i="5"/>
  <c r="O103" i="5"/>
  <c r="P103" i="5"/>
  <c r="Q103" i="5"/>
  <c r="R103" i="5"/>
  <c r="T103" i="5"/>
  <c r="D104" i="5"/>
  <c r="I104" i="5"/>
  <c r="F104" i="5"/>
  <c r="G104" i="5"/>
  <c r="H104" i="5"/>
  <c r="J104" i="5"/>
  <c r="K104" i="5"/>
  <c r="L104" i="5"/>
  <c r="M104" i="5"/>
  <c r="O104" i="5"/>
  <c r="P104" i="5"/>
  <c r="Q104" i="5"/>
  <c r="R104" i="5"/>
  <c r="T104" i="5"/>
  <c r="D105" i="5"/>
  <c r="I105" i="5"/>
  <c r="F105" i="5"/>
  <c r="G105" i="5"/>
  <c r="H105" i="5"/>
  <c r="J105" i="5"/>
  <c r="K105" i="5"/>
  <c r="L105" i="5"/>
  <c r="M105" i="5"/>
  <c r="O105" i="5"/>
  <c r="P105" i="5"/>
  <c r="Q105" i="5"/>
  <c r="R105" i="5"/>
  <c r="T105" i="5"/>
  <c r="D106" i="5"/>
  <c r="I106" i="5"/>
  <c r="F106" i="5"/>
  <c r="G106" i="5"/>
  <c r="H106" i="5"/>
  <c r="J106" i="5"/>
  <c r="K106" i="5"/>
  <c r="L106" i="5"/>
  <c r="M106" i="5"/>
  <c r="O106" i="5"/>
  <c r="P106" i="5"/>
  <c r="Q106" i="5"/>
  <c r="R106" i="5"/>
  <c r="T106" i="5"/>
  <c r="D107" i="5"/>
  <c r="I107" i="5"/>
  <c r="F107" i="5"/>
  <c r="G107" i="5"/>
  <c r="H107" i="5"/>
  <c r="J107" i="5"/>
  <c r="K107" i="5"/>
  <c r="L107" i="5"/>
  <c r="M107" i="5"/>
  <c r="O107" i="5"/>
  <c r="P107" i="5"/>
  <c r="Q107" i="5"/>
  <c r="R107" i="5"/>
  <c r="T107" i="5"/>
  <c r="D108" i="5"/>
  <c r="I108" i="5"/>
  <c r="F108" i="5"/>
  <c r="G108" i="5"/>
  <c r="H108" i="5"/>
  <c r="J108" i="5"/>
  <c r="K108" i="5"/>
  <c r="L108" i="5"/>
  <c r="M108" i="5"/>
  <c r="O108" i="5"/>
  <c r="P108" i="5"/>
  <c r="Q108" i="5"/>
  <c r="R108" i="5"/>
  <c r="T108" i="5"/>
  <c r="D109" i="5"/>
  <c r="I109" i="5"/>
  <c r="F109" i="5"/>
  <c r="G109" i="5"/>
  <c r="H109" i="5"/>
  <c r="J109" i="5"/>
  <c r="K109" i="5"/>
  <c r="L109" i="5"/>
  <c r="M109" i="5"/>
  <c r="O109" i="5"/>
  <c r="P109" i="5"/>
  <c r="Q109" i="5"/>
  <c r="R109" i="5"/>
  <c r="T109" i="5"/>
  <c r="D110" i="5"/>
  <c r="I110" i="5"/>
  <c r="F110" i="5"/>
  <c r="G110" i="5"/>
  <c r="H110" i="5"/>
  <c r="J110" i="5"/>
  <c r="K110" i="5"/>
  <c r="L110" i="5"/>
  <c r="M110" i="5"/>
  <c r="O110" i="5"/>
  <c r="P110" i="5"/>
  <c r="Q110" i="5"/>
  <c r="R110" i="5"/>
  <c r="T110" i="5"/>
  <c r="D111" i="5"/>
  <c r="I111" i="5"/>
  <c r="F111" i="5"/>
  <c r="G111" i="5"/>
  <c r="H111" i="5"/>
  <c r="J111" i="5"/>
  <c r="K111" i="5"/>
  <c r="L111" i="5"/>
  <c r="M111" i="5"/>
  <c r="O111" i="5"/>
  <c r="P111" i="5"/>
  <c r="Q111" i="5"/>
  <c r="R111" i="5"/>
  <c r="T111" i="5"/>
  <c r="D112" i="5"/>
  <c r="I112" i="5"/>
  <c r="F112" i="5"/>
  <c r="G112" i="5"/>
  <c r="H112" i="5"/>
  <c r="J112" i="5"/>
  <c r="K112" i="5"/>
  <c r="L112" i="5"/>
  <c r="M112" i="5"/>
  <c r="O112" i="5"/>
  <c r="P112" i="5"/>
  <c r="Q112" i="5"/>
  <c r="R112" i="5"/>
  <c r="T112" i="5"/>
  <c r="D113" i="5"/>
  <c r="I113" i="5"/>
  <c r="F113" i="5"/>
  <c r="G113" i="5"/>
  <c r="H113" i="5"/>
  <c r="J113" i="5"/>
  <c r="K113" i="5"/>
  <c r="L113" i="5"/>
  <c r="M113" i="5"/>
  <c r="O113" i="5"/>
  <c r="P113" i="5"/>
  <c r="Q113" i="5"/>
  <c r="R113" i="5"/>
  <c r="T113" i="5"/>
  <c r="D114" i="5"/>
  <c r="I114" i="5"/>
  <c r="F114" i="5"/>
  <c r="G114" i="5"/>
  <c r="H114" i="5"/>
  <c r="J114" i="5"/>
  <c r="K114" i="5"/>
  <c r="L114" i="5"/>
  <c r="M114" i="5"/>
  <c r="O114" i="5"/>
  <c r="P114" i="5"/>
  <c r="Q114" i="5"/>
  <c r="R114" i="5"/>
  <c r="T114" i="5"/>
  <c r="D115" i="5"/>
  <c r="I115" i="5"/>
  <c r="F115" i="5"/>
  <c r="G115" i="5"/>
  <c r="H115" i="5"/>
  <c r="J115" i="5"/>
  <c r="K115" i="5"/>
  <c r="L115" i="5"/>
  <c r="M115" i="5"/>
  <c r="O115" i="5"/>
  <c r="P115" i="5"/>
  <c r="Q115" i="5"/>
  <c r="R115" i="5"/>
  <c r="T115" i="5"/>
  <c r="D116" i="5"/>
  <c r="I116" i="5"/>
  <c r="F116" i="5"/>
  <c r="G116" i="5"/>
  <c r="H116" i="5"/>
  <c r="J116" i="5"/>
  <c r="K116" i="5"/>
  <c r="L116" i="5"/>
  <c r="M116" i="5"/>
  <c r="O116" i="5"/>
  <c r="P116" i="5"/>
  <c r="Q116" i="5"/>
  <c r="R116" i="5"/>
  <c r="T116" i="5"/>
  <c r="D117" i="5"/>
  <c r="I117" i="5"/>
  <c r="F117" i="5"/>
  <c r="G117" i="5"/>
  <c r="H117" i="5"/>
  <c r="J117" i="5"/>
  <c r="K117" i="5"/>
  <c r="L117" i="5"/>
  <c r="M117" i="5"/>
  <c r="O117" i="5"/>
  <c r="P117" i="5"/>
  <c r="Q117" i="5"/>
  <c r="R117" i="5"/>
  <c r="T117" i="5"/>
  <c r="D118" i="5"/>
  <c r="I118" i="5"/>
  <c r="F118" i="5"/>
  <c r="G118" i="5"/>
  <c r="H118" i="5"/>
  <c r="J118" i="5"/>
  <c r="K118" i="5"/>
  <c r="L118" i="5"/>
  <c r="M118" i="5"/>
  <c r="O118" i="5"/>
  <c r="P118" i="5"/>
  <c r="Q118" i="5"/>
  <c r="R118" i="5"/>
  <c r="T118" i="5"/>
  <c r="D119" i="5"/>
  <c r="I119" i="5"/>
  <c r="F119" i="5"/>
  <c r="G119" i="5"/>
  <c r="H119" i="5"/>
  <c r="J119" i="5"/>
  <c r="K119" i="5"/>
  <c r="L119" i="5"/>
  <c r="M119" i="5"/>
  <c r="O119" i="5"/>
  <c r="P119" i="5"/>
  <c r="Q119" i="5"/>
  <c r="R119" i="5"/>
  <c r="T119" i="5"/>
  <c r="D120" i="5"/>
  <c r="I120" i="5"/>
  <c r="F120" i="5"/>
  <c r="G120" i="5"/>
  <c r="H120" i="5"/>
  <c r="J120" i="5"/>
  <c r="K120" i="5"/>
  <c r="L120" i="5"/>
  <c r="M120" i="5"/>
  <c r="O120" i="5"/>
  <c r="P120" i="5"/>
  <c r="Q120" i="5"/>
  <c r="R120" i="5"/>
  <c r="T120" i="5"/>
  <c r="D121" i="5"/>
  <c r="I121" i="5"/>
  <c r="F121" i="5"/>
  <c r="G121" i="5"/>
  <c r="H121" i="5"/>
  <c r="J121" i="5"/>
  <c r="K121" i="5"/>
  <c r="L121" i="5"/>
  <c r="M121" i="5"/>
  <c r="O121" i="5"/>
  <c r="P121" i="5"/>
  <c r="Q121" i="5"/>
  <c r="R121" i="5"/>
  <c r="T121" i="5"/>
  <c r="D122" i="5"/>
  <c r="I122" i="5"/>
  <c r="F122" i="5"/>
  <c r="G122" i="5"/>
  <c r="H122" i="5"/>
  <c r="J122" i="5"/>
  <c r="K122" i="5"/>
  <c r="L122" i="5"/>
  <c r="M122" i="5"/>
  <c r="O122" i="5"/>
  <c r="P122" i="5"/>
  <c r="Q122" i="5"/>
  <c r="R122" i="5"/>
  <c r="T122" i="5"/>
  <c r="D123" i="5"/>
  <c r="I123" i="5"/>
  <c r="F123" i="5"/>
  <c r="G123" i="5"/>
  <c r="H123" i="5"/>
  <c r="J123" i="5"/>
  <c r="K123" i="5"/>
  <c r="L123" i="5"/>
  <c r="M123" i="5"/>
  <c r="O123" i="5"/>
  <c r="P123" i="5"/>
  <c r="Q123" i="5"/>
  <c r="R123" i="5"/>
  <c r="T123" i="5"/>
  <c r="D124" i="5"/>
  <c r="I124" i="5"/>
  <c r="F124" i="5"/>
  <c r="G124" i="5"/>
  <c r="H124" i="5"/>
  <c r="J124" i="5"/>
  <c r="K124" i="5"/>
  <c r="L124" i="5"/>
  <c r="M124" i="5"/>
  <c r="O124" i="5"/>
  <c r="P124" i="5"/>
  <c r="Q124" i="5"/>
  <c r="R124" i="5"/>
  <c r="T124" i="5"/>
  <c r="D125" i="5"/>
  <c r="I125" i="5"/>
  <c r="F125" i="5"/>
  <c r="G125" i="5"/>
  <c r="H125" i="5"/>
  <c r="J125" i="5"/>
  <c r="K125" i="5"/>
  <c r="L125" i="5"/>
  <c r="M125" i="5"/>
  <c r="O125" i="5"/>
  <c r="P125" i="5"/>
  <c r="Q125" i="5"/>
  <c r="R125" i="5"/>
  <c r="T125" i="5"/>
  <c r="D126" i="5"/>
  <c r="I126" i="5"/>
  <c r="F126" i="5"/>
  <c r="G126" i="5"/>
  <c r="H126" i="5"/>
  <c r="J126" i="5"/>
  <c r="K126" i="5"/>
  <c r="L126" i="5"/>
  <c r="M126" i="5"/>
  <c r="O126" i="5"/>
  <c r="P126" i="5"/>
  <c r="Q126" i="5"/>
  <c r="R126" i="5"/>
  <c r="T126" i="5"/>
  <c r="D127" i="5"/>
  <c r="I127" i="5"/>
  <c r="F127" i="5"/>
  <c r="G127" i="5"/>
  <c r="H127" i="5"/>
  <c r="J127" i="5"/>
  <c r="K127" i="5"/>
  <c r="L127" i="5"/>
  <c r="M127" i="5"/>
  <c r="O127" i="5"/>
  <c r="P127" i="5"/>
  <c r="Q127" i="5"/>
  <c r="R127" i="5"/>
  <c r="T127" i="5"/>
  <c r="D128" i="5"/>
  <c r="I128" i="5"/>
  <c r="F128" i="5"/>
  <c r="G128" i="5"/>
  <c r="H128" i="5"/>
  <c r="J128" i="5"/>
  <c r="K128" i="5"/>
  <c r="L128" i="5"/>
  <c r="M128" i="5"/>
  <c r="O128" i="5"/>
  <c r="P128" i="5"/>
  <c r="Q128" i="5"/>
  <c r="R128" i="5"/>
  <c r="T128" i="5"/>
  <c r="D129" i="5"/>
  <c r="I129" i="5"/>
  <c r="F129" i="5"/>
  <c r="G129" i="5"/>
  <c r="H129" i="5"/>
  <c r="J129" i="5"/>
  <c r="K129" i="5"/>
  <c r="L129" i="5"/>
  <c r="M129" i="5"/>
  <c r="O129" i="5"/>
  <c r="P129" i="5"/>
  <c r="Q129" i="5"/>
  <c r="R129" i="5"/>
  <c r="T129" i="5"/>
  <c r="D130" i="5"/>
  <c r="I130" i="5"/>
  <c r="F130" i="5"/>
  <c r="G130" i="5"/>
  <c r="H130" i="5"/>
  <c r="J130" i="5"/>
  <c r="K130" i="5"/>
  <c r="L130" i="5"/>
  <c r="M130" i="5"/>
  <c r="O130" i="5"/>
  <c r="P130" i="5"/>
  <c r="Q130" i="5"/>
  <c r="R130" i="5"/>
  <c r="T130" i="5"/>
  <c r="D131" i="5"/>
  <c r="I131" i="5"/>
  <c r="F131" i="5"/>
  <c r="G131" i="5"/>
  <c r="H131" i="5"/>
  <c r="J131" i="5"/>
  <c r="K131" i="5"/>
  <c r="L131" i="5"/>
  <c r="M131" i="5"/>
  <c r="O131" i="5"/>
  <c r="P131" i="5"/>
  <c r="Q131" i="5"/>
  <c r="R131" i="5"/>
  <c r="T131" i="5"/>
  <c r="D132" i="5"/>
  <c r="I132" i="5"/>
  <c r="F132" i="5"/>
  <c r="G132" i="5"/>
  <c r="H132" i="5"/>
  <c r="J132" i="5"/>
  <c r="K132" i="5"/>
  <c r="L132" i="5"/>
  <c r="M132" i="5"/>
  <c r="O132" i="5"/>
  <c r="P132" i="5"/>
  <c r="Q132" i="5"/>
  <c r="R132" i="5"/>
  <c r="T132" i="5"/>
  <c r="D133" i="5"/>
  <c r="I133" i="5"/>
  <c r="F133" i="5"/>
  <c r="G133" i="5"/>
  <c r="H133" i="5"/>
  <c r="J133" i="5"/>
  <c r="K133" i="5"/>
  <c r="L133" i="5"/>
  <c r="M133" i="5"/>
  <c r="O133" i="5"/>
  <c r="P133" i="5"/>
  <c r="Q133" i="5"/>
  <c r="R133" i="5"/>
  <c r="T133" i="5"/>
  <c r="D134" i="5"/>
  <c r="I134" i="5"/>
  <c r="F134" i="5"/>
  <c r="G134" i="5"/>
  <c r="H134" i="5"/>
  <c r="J134" i="5"/>
  <c r="K134" i="5"/>
  <c r="L134" i="5"/>
  <c r="M134" i="5"/>
  <c r="O134" i="5"/>
  <c r="P134" i="5"/>
  <c r="Q134" i="5"/>
  <c r="R134" i="5"/>
  <c r="T134" i="5"/>
  <c r="D135" i="5"/>
  <c r="I135" i="5"/>
  <c r="F135" i="5"/>
  <c r="G135" i="5"/>
  <c r="H135" i="5"/>
  <c r="J135" i="5"/>
  <c r="K135" i="5"/>
  <c r="L135" i="5"/>
  <c r="M135" i="5"/>
  <c r="O135" i="5"/>
  <c r="P135" i="5"/>
  <c r="Q135" i="5"/>
  <c r="R135" i="5"/>
  <c r="T135" i="5"/>
  <c r="D136" i="5"/>
  <c r="I136" i="5"/>
  <c r="F136" i="5"/>
  <c r="G136" i="5"/>
  <c r="H136" i="5"/>
  <c r="J136" i="5"/>
  <c r="K136" i="5"/>
  <c r="L136" i="5"/>
  <c r="M136" i="5"/>
  <c r="O136" i="5"/>
  <c r="P136" i="5"/>
  <c r="Q136" i="5"/>
  <c r="R136" i="5"/>
  <c r="T136" i="5"/>
  <c r="D137" i="5"/>
  <c r="I137" i="5"/>
  <c r="F137" i="5"/>
  <c r="G137" i="5"/>
  <c r="H137" i="5"/>
  <c r="J137" i="5"/>
  <c r="K137" i="5"/>
  <c r="L137" i="5"/>
  <c r="M137" i="5"/>
  <c r="O137" i="5"/>
  <c r="P137" i="5"/>
  <c r="Q137" i="5"/>
  <c r="R137" i="5"/>
  <c r="T137" i="5"/>
  <c r="D138" i="5"/>
  <c r="I138" i="5"/>
  <c r="F138" i="5"/>
  <c r="G138" i="5"/>
  <c r="H138" i="5"/>
  <c r="J138" i="5"/>
  <c r="K138" i="5"/>
  <c r="L138" i="5"/>
  <c r="M138" i="5"/>
  <c r="O138" i="5"/>
  <c r="P138" i="5"/>
  <c r="Q138" i="5"/>
  <c r="R138" i="5"/>
  <c r="T138" i="5"/>
  <c r="D139" i="5"/>
  <c r="I139" i="5"/>
  <c r="F139" i="5"/>
  <c r="G139" i="5"/>
  <c r="H139" i="5"/>
  <c r="J139" i="5"/>
  <c r="K139" i="5"/>
  <c r="L139" i="5"/>
  <c r="M139" i="5"/>
  <c r="O139" i="5"/>
  <c r="P139" i="5"/>
  <c r="Q139" i="5"/>
  <c r="R139" i="5"/>
  <c r="T139" i="5"/>
  <c r="D140" i="5"/>
  <c r="I140" i="5"/>
  <c r="F140" i="5"/>
  <c r="G140" i="5"/>
  <c r="H140" i="5"/>
  <c r="J140" i="5"/>
  <c r="K140" i="5"/>
  <c r="L140" i="5"/>
  <c r="M140" i="5"/>
  <c r="O140" i="5"/>
  <c r="P140" i="5"/>
  <c r="Q140" i="5"/>
  <c r="R140" i="5"/>
  <c r="T140" i="5"/>
  <c r="D141" i="5"/>
  <c r="I141" i="5"/>
  <c r="F141" i="5"/>
  <c r="G141" i="5"/>
  <c r="H141" i="5"/>
  <c r="J141" i="5"/>
  <c r="K141" i="5"/>
  <c r="L141" i="5"/>
  <c r="M141" i="5"/>
  <c r="O141" i="5"/>
  <c r="P141" i="5"/>
  <c r="Q141" i="5"/>
  <c r="R141" i="5"/>
  <c r="T141" i="5"/>
  <c r="D142" i="5"/>
  <c r="I142" i="5"/>
  <c r="F142" i="5"/>
  <c r="G142" i="5"/>
  <c r="H142" i="5"/>
  <c r="J142" i="5"/>
  <c r="K142" i="5"/>
  <c r="L142" i="5"/>
  <c r="M142" i="5"/>
  <c r="O142" i="5"/>
  <c r="P142" i="5"/>
  <c r="Q142" i="5"/>
  <c r="R142" i="5"/>
  <c r="T142" i="5"/>
  <c r="D143" i="5"/>
  <c r="I143" i="5"/>
  <c r="F143" i="5"/>
  <c r="G143" i="5"/>
  <c r="H143" i="5"/>
  <c r="J143" i="5"/>
  <c r="K143" i="5"/>
  <c r="L143" i="5"/>
  <c r="M143" i="5"/>
  <c r="O143" i="5"/>
  <c r="P143" i="5"/>
  <c r="Q143" i="5"/>
  <c r="R143" i="5"/>
  <c r="T143" i="5"/>
  <c r="D144" i="5"/>
  <c r="I144" i="5"/>
  <c r="F144" i="5"/>
  <c r="G144" i="5"/>
  <c r="H144" i="5"/>
  <c r="J144" i="5"/>
  <c r="K144" i="5"/>
  <c r="L144" i="5"/>
  <c r="M144" i="5"/>
  <c r="O144" i="5"/>
  <c r="P144" i="5"/>
  <c r="Q144" i="5"/>
  <c r="R144" i="5"/>
  <c r="T144" i="5"/>
  <c r="D145" i="5"/>
  <c r="I145" i="5"/>
  <c r="F145" i="5"/>
  <c r="G145" i="5"/>
  <c r="H145" i="5"/>
  <c r="J145" i="5"/>
  <c r="K145" i="5"/>
  <c r="L145" i="5"/>
  <c r="M145" i="5"/>
  <c r="O145" i="5"/>
  <c r="P145" i="5"/>
  <c r="Q145" i="5"/>
  <c r="R145" i="5"/>
  <c r="T145" i="5"/>
  <c r="D146" i="5"/>
  <c r="I146" i="5"/>
  <c r="F146" i="5"/>
  <c r="G146" i="5"/>
  <c r="H146" i="5"/>
  <c r="J146" i="5"/>
  <c r="K146" i="5"/>
  <c r="L146" i="5"/>
  <c r="M146" i="5"/>
  <c r="O146" i="5"/>
  <c r="P146" i="5"/>
  <c r="Q146" i="5"/>
  <c r="R146" i="5"/>
  <c r="T146" i="5"/>
  <c r="D147" i="5"/>
  <c r="I147" i="5"/>
  <c r="F147" i="5"/>
  <c r="G147" i="5"/>
  <c r="H147" i="5"/>
  <c r="J147" i="5"/>
  <c r="K147" i="5"/>
  <c r="L147" i="5"/>
  <c r="M147" i="5"/>
  <c r="O147" i="5"/>
  <c r="P147" i="5"/>
  <c r="Q147" i="5"/>
  <c r="R147" i="5"/>
  <c r="T147" i="5"/>
  <c r="D148" i="5"/>
  <c r="I148" i="5"/>
  <c r="F148" i="5"/>
  <c r="G148" i="5"/>
  <c r="H148" i="5"/>
  <c r="J148" i="5"/>
  <c r="K148" i="5"/>
  <c r="L148" i="5"/>
  <c r="M148" i="5"/>
  <c r="O148" i="5"/>
  <c r="P148" i="5"/>
  <c r="Q148" i="5"/>
  <c r="R148" i="5"/>
  <c r="T148" i="5"/>
  <c r="D149" i="5"/>
  <c r="I149" i="5"/>
  <c r="F149" i="5"/>
  <c r="G149" i="5"/>
  <c r="H149" i="5"/>
  <c r="J149" i="5"/>
  <c r="K149" i="5"/>
  <c r="L149" i="5"/>
  <c r="M149" i="5"/>
  <c r="O149" i="5"/>
  <c r="P149" i="5"/>
  <c r="Q149" i="5"/>
  <c r="R149" i="5"/>
  <c r="T149" i="5"/>
  <c r="D150" i="5"/>
  <c r="I150" i="5"/>
  <c r="F150" i="5"/>
  <c r="G150" i="5"/>
  <c r="H150" i="5"/>
  <c r="J150" i="5"/>
  <c r="K150" i="5"/>
  <c r="L150" i="5"/>
  <c r="M150" i="5"/>
  <c r="O150" i="5"/>
  <c r="P150" i="5"/>
  <c r="Q150" i="5"/>
  <c r="R150" i="5"/>
  <c r="T150" i="5"/>
  <c r="D151" i="5"/>
  <c r="I151" i="5"/>
  <c r="F151" i="5"/>
  <c r="G151" i="5"/>
  <c r="H151" i="5"/>
  <c r="J151" i="5"/>
  <c r="K151" i="5"/>
  <c r="L151" i="5"/>
  <c r="M151" i="5"/>
  <c r="O151" i="5"/>
  <c r="P151" i="5"/>
  <c r="Q151" i="5"/>
  <c r="R151" i="5"/>
  <c r="T151" i="5"/>
  <c r="D152" i="5"/>
  <c r="I152" i="5"/>
  <c r="F152" i="5"/>
  <c r="G152" i="5"/>
  <c r="H152" i="5"/>
  <c r="J152" i="5"/>
  <c r="K152" i="5"/>
  <c r="L152" i="5"/>
  <c r="M152" i="5"/>
  <c r="O152" i="5"/>
  <c r="P152" i="5"/>
  <c r="Q152" i="5"/>
  <c r="R152" i="5"/>
  <c r="T152" i="5"/>
  <c r="D153" i="5"/>
  <c r="I153" i="5"/>
  <c r="F153" i="5"/>
  <c r="G153" i="5"/>
  <c r="H153" i="5"/>
  <c r="J153" i="5"/>
  <c r="K153" i="5"/>
  <c r="L153" i="5"/>
  <c r="M153" i="5"/>
  <c r="O153" i="5"/>
  <c r="P153" i="5"/>
  <c r="Q153" i="5"/>
  <c r="R153" i="5"/>
  <c r="T153" i="5"/>
  <c r="D154" i="5"/>
  <c r="I154" i="5"/>
  <c r="F154" i="5"/>
  <c r="G154" i="5"/>
  <c r="H154" i="5"/>
  <c r="J154" i="5"/>
  <c r="K154" i="5"/>
  <c r="L154" i="5"/>
  <c r="M154" i="5"/>
  <c r="O154" i="5"/>
  <c r="P154" i="5"/>
  <c r="Q154" i="5"/>
  <c r="R154" i="5"/>
  <c r="T154" i="5"/>
  <c r="D40" i="5"/>
  <c r="I40" i="5"/>
  <c r="H40" i="5"/>
  <c r="F40" i="5"/>
  <c r="G40" i="5"/>
  <c r="J40" i="5"/>
  <c r="K40" i="5"/>
  <c r="L40" i="5"/>
  <c r="M40" i="5"/>
  <c r="O40" i="5"/>
  <c r="P40" i="5"/>
  <c r="Q40" i="5"/>
  <c r="R40" i="5"/>
  <c r="T40" i="5"/>
  <c r="B13" i="5"/>
  <c r="C13" i="5" s="1"/>
  <c r="T163" i="5"/>
  <c r="R163" i="5"/>
  <c r="Q163" i="5"/>
  <c r="P163" i="5"/>
  <c r="O163" i="5"/>
  <c r="M163" i="5"/>
  <c r="L163" i="5"/>
  <c r="K163" i="5"/>
  <c r="J163" i="5"/>
  <c r="I163" i="5"/>
  <c r="H163" i="5"/>
  <c r="G163" i="5"/>
  <c r="F163" i="5"/>
  <c r="D163" i="5"/>
  <c r="T162" i="5"/>
  <c r="R162" i="5"/>
  <c r="Q162" i="5"/>
  <c r="P162" i="5"/>
  <c r="O162" i="5"/>
  <c r="M162" i="5"/>
  <c r="L162" i="5"/>
  <c r="K162" i="5"/>
  <c r="J162" i="5"/>
  <c r="I162" i="5"/>
  <c r="H162" i="5"/>
  <c r="G162" i="5"/>
  <c r="F162" i="5"/>
  <c r="D162" i="5"/>
  <c r="T161" i="5"/>
  <c r="R161" i="5"/>
  <c r="Q161" i="5"/>
  <c r="P161" i="5"/>
  <c r="O161" i="5"/>
  <c r="M161" i="5"/>
  <c r="L161" i="5"/>
  <c r="K161" i="5"/>
  <c r="J161" i="5"/>
  <c r="I161" i="5"/>
  <c r="H161" i="5"/>
  <c r="G161" i="5"/>
  <c r="F161" i="5"/>
  <c r="D161" i="5"/>
  <c r="T160" i="5"/>
  <c r="R160" i="5"/>
  <c r="Q160" i="5"/>
  <c r="P160" i="5"/>
  <c r="O160" i="5"/>
  <c r="M160" i="5"/>
  <c r="L160" i="5"/>
  <c r="K160" i="5"/>
  <c r="J160" i="5"/>
  <c r="I160" i="5"/>
  <c r="H160" i="5"/>
  <c r="G160" i="5"/>
  <c r="F160" i="5"/>
  <c r="D160" i="5"/>
  <c r="T159" i="5"/>
  <c r="R159" i="5"/>
  <c r="Q159" i="5"/>
  <c r="P159" i="5"/>
  <c r="O159" i="5"/>
  <c r="M159" i="5"/>
  <c r="L159" i="5"/>
  <c r="K159" i="5"/>
  <c r="J159" i="5"/>
  <c r="I159" i="5"/>
  <c r="H159" i="5"/>
  <c r="G159" i="5"/>
  <c r="F159" i="5"/>
  <c r="D159" i="5"/>
  <c r="T158" i="5"/>
  <c r="R158" i="5"/>
  <c r="Q158" i="5"/>
  <c r="P158" i="5"/>
  <c r="O158" i="5"/>
  <c r="M158" i="5"/>
  <c r="L158" i="5"/>
  <c r="K158" i="5"/>
  <c r="J158" i="5"/>
  <c r="I158" i="5"/>
  <c r="H158" i="5"/>
  <c r="G158" i="5"/>
  <c r="F158" i="5"/>
  <c r="D158" i="5"/>
  <c r="T157" i="5"/>
  <c r="R157" i="5"/>
  <c r="Q157" i="5"/>
  <c r="P157" i="5"/>
  <c r="O157" i="5"/>
  <c r="M157" i="5"/>
  <c r="L157" i="5"/>
  <c r="K157" i="5"/>
  <c r="J157" i="5"/>
  <c r="I157" i="5"/>
  <c r="H157" i="5"/>
  <c r="G157" i="5"/>
  <c r="F157" i="5"/>
  <c r="D157" i="5"/>
  <c r="T156" i="5"/>
  <c r="R156" i="5"/>
  <c r="Q156" i="5"/>
  <c r="P156" i="5"/>
  <c r="O156" i="5"/>
  <c r="M156" i="5"/>
  <c r="L156" i="5"/>
  <c r="K156" i="5"/>
  <c r="J156" i="5"/>
  <c r="I156" i="5"/>
  <c r="H156" i="5"/>
  <c r="G156" i="5"/>
  <c r="F156" i="5"/>
  <c r="D156" i="5"/>
  <c r="T155" i="5"/>
  <c r="R155" i="5"/>
  <c r="Q155" i="5"/>
  <c r="P155" i="5"/>
  <c r="O155" i="5"/>
  <c r="M155" i="5"/>
  <c r="L155" i="5"/>
  <c r="K155" i="5"/>
  <c r="J155" i="5"/>
  <c r="I155" i="5"/>
  <c r="H155" i="5"/>
  <c r="G155" i="5"/>
  <c r="F155" i="5"/>
  <c r="D155" i="5"/>
  <c r="T39" i="5"/>
  <c r="R39" i="5"/>
  <c r="Q39" i="5"/>
  <c r="P39" i="5"/>
  <c r="O39" i="5"/>
  <c r="M39" i="5"/>
  <c r="L39" i="5"/>
  <c r="K39" i="5"/>
  <c r="J39" i="5"/>
  <c r="I39" i="5"/>
  <c r="H39" i="5"/>
  <c r="G39" i="5"/>
  <c r="F39" i="5"/>
  <c r="D39" i="5"/>
  <c r="T38" i="5"/>
  <c r="R38" i="5"/>
  <c r="Q38" i="5"/>
  <c r="P38" i="5"/>
  <c r="O38" i="5"/>
  <c r="M38" i="5"/>
  <c r="L38" i="5"/>
  <c r="K38" i="5"/>
  <c r="J38" i="5"/>
  <c r="I38" i="5"/>
  <c r="H38" i="5"/>
  <c r="G38" i="5"/>
  <c r="F38" i="5"/>
  <c r="D38" i="5"/>
  <c r="T37" i="5"/>
  <c r="R37" i="5"/>
  <c r="Q37" i="5"/>
  <c r="P37" i="5"/>
  <c r="O37" i="5"/>
  <c r="M37" i="5"/>
  <c r="L37" i="5"/>
  <c r="K37" i="5"/>
  <c r="J37" i="5"/>
  <c r="I37" i="5"/>
  <c r="H37" i="5"/>
  <c r="G37" i="5"/>
  <c r="F37" i="5"/>
  <c r="D37" i="5"/>
  <c r="T36" i="5"/>
  <c r="R36" i="5"/>
  <c r="Q36" i="5"/>
  <c r="P36" i="5"/>
  <c r="O36" i="5"/>
  <c r="M36" i="5"/>
  <c r="L36" i="5"/>
  <c r="K36" i="5"/>
  <c r="J36" i="5"/>
  <c r="I36" i="5"/>
  <c r="H36" i="5"/>
  <c r="G36" i="5"/>
  <c r="F36" i="5"/>
  <c r="D36" i="5"/>
  <c r="R35" i="5"/>
  <c r="Q35" i="5"/>
  <c r="P35" i="5"/>
  <c r="O35" i="5"/>
  <c r="M35" i="5"/>
  <c r="L35" i="5"/>
  <c r="K35" i="5"/>
  <c r="J35" i="5"/>
  <c r="I35" i="5"/>
  <c r="H35" i="5"/>
  <c r="G35" i="5"/>
  <c r="F35" i="5"/>
  <c r="D35" i="5"/>
  <c r="B33" i="5"/>
  <c r="BE26" i="5"/>
  <c r="BB10" i="5"/>
  <c r="BG7" i="5"/>
  <c r="BA10" i="5"/>
  <c r="B16" i="5"/>
  <c r="C16" i="5" s="1"/>
  <c r="B21" i="5" s="1"/>
  <c r="BG6" i="5"/>
  <c r="BG5" i="5"/>
  <c r="BG4" i="5"/>
  <c r="B17" i="5"/>
  <c r="C17" i="5" s="1"/>
  <c r="B15" i="5"/>
  <c r="C15" i="5" s="1"/>
  <c r="BG3" i="5"/>
  <c r="P23" i="7"/>
  <c r="D44" i="3"/>
  <c r="I44" i="3"/>
  <c r="H44" i="3"/>
  <c r="T35" i="3"/>
  <c r="F44" i="3"/>
  <c r="G44" i="3"/>
  <c r="J44" i="3"/>
  <c r="K44" i="3"/>
  <c r="L44" i="3"/>
  <c r="M44" i="3"/>
  <c r="O44" i="3"/>
  <c r="P44" i="3"/>
  <c r="Q44" i="3"/>
  <c r="R44" i="3"/>
  <c r="T44" i="3"/>
  <c r="D45" i="3"/>
  <c r="I45" i="3"/>
  <c r="H45" i="3"/>
  <c r="F45" i="3"/>
  <c r="G45" i="3"/>
  <c r="J45" i="3"/>
  <c r="K45" i="3"/>
  <c r="L45" i="3"/>
  <c r="M45" i="3"/>
  <c r="O45" i="3"/>
  <c r="P45" i="3"/>
  <c r="Q45" i="3"/>
  <c r="R45" i="3"/>
  <c r="T45" i="3"/>
  <c r="D52" i="3"/>
  <c r="I52" i="3"/>
  <c r="H52" i="3"/>
  <c r="F52" i="3"/>
  <c r="G52" i="3"/>
  <c r="J52" i="3"/>
  <c r="K52" i="3"/>
  <c r="L52" i="3"/>
  <c r="M52" i="3"/>
  <c r="O52" i="3"/>
  <c r="P52" i="3"/>
  <c r="Q52" i="3"/>
  <c r="R52" i="3"/>
  <c r="T52" i="3"/>
  <c r="D53" i="3"/>
  <c r="I53" i="3"/>
  <c r="H53" i="3"/>
  <c r="F53" i="3"/>
  <c r="G53" i="3"/>
  <c r="J53" i="3"/>
  <c r="K53" i="3"/>
  <c r="L53" i="3"/>
  <c r="M53" i="3"/>
  <c r="O53" i="3"/>
  <c r="P53" i="3"/>
  <c r="Q53" i="3"/>
  <c r="R53" i="3"/>
  <c r="T53" i="3"/>
  <c r="D54" i="3"/>
  <c r="I54" i="3"/>
  <c r="H54" i="3"/>
  <c r="F54" i="3"/>
  <c r="G54" i="3"/>
  <c r="J54" i="3"/>
  <c r="K54" i="3"/>
  <c r="L54" i="3"/>
  <c r="M54" i="3"/>
  <c r="O54" i="3"/>
  <c r="P54" i="3"/>
  <c r="Q54" i="3"/>
  <c r="R54" i="3"/>
  <c r="T54" i="3"/>
  <c r="D46" i="3"/>
  <c r="I46" i="3"/>
  <c r="H46" i="3"/>
  <c r="F46" i="3"/>
  <c r="G46" i="3"/>
  <c r="J46" i="3"/>
  <c r="K46" i="3"/>
  <c r="L46" i="3"/>
  <c r="M46" i="3"/>
  <c r="O46" i="3"/>
  <c r="P46" i="3"/>
  <c r="Q46" i="3"/>
  <c r="R46" i="3"/>
  <c r="T46" i="3"/>
  <c r="D49" i="3"/>
  <c r="I49" i="3"/>
  <c r="F49" i="3"/>
  <c r="G49" i="3"/>
  <c r="H49" i="3"/>
  <c r="J49" i="3"/>
  <c r="K49" i="3"/>
  <c r="L49" i="3"/>
  <c r="M49" i="3"/>
  <c r="O49" i="3"/>
  <c r="P49" i="3"/>
  <c r="Q49" i="3"/>
  <c r="R49" i="3"/>
  <c r="T49" i="3"/>
  <c r="D65" i="3"/>
  <c r="I65" i="3"/>
  <c r="F65" i="3"/>
  <c r="G65" i="3"/>
  <c r="H65" i="3"/>
  <c r="J65" i="3"/>
  <c r="K65" i="3"/>
  <c r="L65" i="3"/>
  <c r="M65" i="3"/>
  <c r="O65" i="3"/>
  <c r="P65" i="3"/>
  <c r="Q65" i="3"/>
  <c r="R65" i="3"/>
  <c r="T65" i="3"/>
  <c r="D66" i="3"/>
  <c r="I66" i="3"/>
  <c r="F66" i="3"/>
  <c r="G66" i="3"/>
  <c r="H66" i="3"/>
  <c r="J66" i="3"/>
  <c r="K66" i="3"/>
  <c r="L66" i="3"/>
  <c r="M66" i="3"/>
  <c r="O66" i="3"/>
  <c r="P66" i="3"/>
  <c r="Q66" i="3"/>
  <c r="R66" i="3"/>
  <c r="T66" i="3"/>
  <c r="D67" i="3"/>
  <c r="I67" i="3"/>
  <c r="F67" i="3"/>
  <c r="G67" i="3"/>
  <c r="H67" i="3"/>
  <c r="J67" i="3"/>
  <c r="K67" i="3"/>
  <c r="L67" i="3"/>
  <c r="M67" i="3"/>
  <c r="O67" i="3"/>
  <c r="P67" i="3"/>
  <c r="Q67" i="3"/>
  <c r="R67" i="3"/>
  <c r="T67" i="3"/>
  <c r="D68" i="3"/>
  <c r="I68" i="3"/>
  <c r="F68" i="3"/>
  <c r="G68" i="3"/>
  <c r="H68" i="3"/>
  <c r="J68" i="3"/>
  <c r="K68" i="3"/>
  <c r="L68" i="3"/>
  <c r="M68" i="3"/>
  <c r="O68" i="3"/>
  <c r="P68" i="3"/>
  <c r="Q68" i="3"/>
  <c r="R68" i="3"/>
  <c r="T68" i="3"/>
  <c r="D69" i="3"/>
  <c r="I69" i="3"/>
  <c r="F69" i="3"/>
  <c r="G69" i="3"/>
  <c r="H69" i="3"/>
  <c r="J69" i="3"/>
  <c r="K69" i="3"/>
  <c r="L69" i="3"/>
  <c r="M69" i="3"/>
  <c r="O69" i="3"/>
  <c r="P69" i="3"/>
  <c r="Q69" i="3"/>
  <c r="R69" i="3"/>
  <c r="T69" i="3"/>
  <c r="D70" i="3"/>
  <c r="I70" i="3"/>
  <c r="F70" i="3"/>
  <c r="G70" i="3"/>
  <c r="H70" i="3"/>
  <c r="J70" i="3"/>
  <c r="K70" i="3"/>
  <c r="L70" i="3"/>
  <c r="M70" i="3"/>
  <c r="O70" i="3"/>
  <c r="P70" i="3"/>
  <c r="Q70" i="3"/>
  <c r="R70" i="3"/>
  <c r="T70" i="3"/>
  <c r="D71" i="3"/>
  <c r="I71" i="3"/>
  <c r="F71" i="3"/>
  <c r="G71" i="3"/>
  <c r="H71" i="3"/>
  <c r="J71" i="3"/>
  <c r="K71" i="3"/>
  <c r="L71" i="3"/>
  <c r="M71" i="3"/>
  <c r="O71" i="3"/>
  <c r="P71" i="3"/>
  <c r="Q71" i="3"/>
  <c r="R71" i="3"/>
  <c r="T71" i="3"/>
  <c r="D72" i="3"/>
  <c r="I72" i="3"/>
  <c r="F72" i="3"/>
  <c r="G72" i="3"/>
  <c r="H72" i="3"/>
  <c r="J72" i="3"/>
  <c r="K72" i="3"/>
  <c r="L72" i="3"/>
  <c r="M72" i="3"/>
  <c r="O72" i="3"/>
  <c r="P72" i="3"/>
  <c r="Q72" i="3"/>
  <c r="R72" i="3"/>
  <c r="T72" i="3"/>
  <c r="D73" i="3"/>
  <c r="I73" i="3"/>
  <c r="F73" i="3"/>
  <c r="G73" i="3"/>
  <c r="H73" i="3"/>
  <c r="J73" i="3"/>
  <c r="K73" i="3"/>
  <c r="L73" i="3"/>
  <c r="M73" i="3"/>
  <c r="O73" i="3"/>
  <c r="P73" i="3"/>
  <c r="Q73" i="3"/>
  <c r="R73" i="3"/>
  <c r="T73" i="3"/>
  <c r="D74" i="3"/>
  <c r="I74" i="3"/>
  <c r="F74" i="3"/>
  <c r="G74" i="3"/>
  <c r="H74" i="3"/>
  <c r="J74" i="3"/>
  <c r="K74" i="3"/>
  <c r="L74" i="3"/>
  <c r="M74" i="3"/>
  <c r="O74" i="3"/>
  <c r="P74" i="3"/>
  <c r="Q74" i="3"/>
  <c r="R74" i="3"/>
  <c r="T74" i="3"/>
  <c r="D75" i="3"/>
  <c r="I75" i="3"/>
  <c r="F75" i="3"/>
  <c r="G75" i="3"/>
  <c r="H75" i="3"/>
  <c r="J75" i="3"/>
  <c r="K75" i="3"/>
  <c r="L75" i="3"/>
  <c r="M75" i="3"/>
  <c r="O75" i="3"/>
  <c r="P75" i="3"/>
  <c r="Q75" i="3"/>
  <c r="R75" i="3"/>
  <c r="T75" i="3"/>
  <c r="D76" i="3"/>
  <c r="I76" i="3"/>
  <c r="F76" i="3"/>
  <c r="G76" i="3"/>
  <c r="H76" i="3"/>
  <c r="J76" i="3"/>
  <c r="K76" i="3"/>
  <c r="L76" i="3"/>
  <c r="M76" i="3"/>
  <c r="O76" i="3"/>
  <c r="P76" i="3"/>
  <c r="Q76" i="3"/>
  <c r="R76" i="3"/>
  <c r="T76" i="3"/>
  <c r="D77" i="3"/>
  <c r="I77" i="3"/>
  <c r="F77" i="3"/>
  <c r="G77" i="3"/>
  <c r="H77" i="3"/>
  <c r="J77" i="3"/>
  <c r="K77" i="3"/>
  <c r="L77" i="3"/>
  <c r="M77" i="3"/>
  <c r="O77" i="3"/>
  <c r="P77" i="3"/>
  <c r="Q77" i="3"/>
  <c r="R77" i="3"/>
  <c r="T77" i="3"/>
  <c r="D78" i="3"/>
  <c r="I78" i="3"/>
  <c r="F78" i="3"/>
  <c r="G78" i="3"/>
  <c r="H78" i="3"/>
  <c r="J78" i="3"/>
  <c r="K78" i="3"/>
  <c r="L78" i="3"/>
  <c r="M78" i="3"/>
  <c r="O78" i="3"/>
  <c r="P78" i="3"/>
  <c r="Q78" i="3"/>
  <c r="R78" i="3"/>
  <c r="T78" i="3"/>
  <c r="D79" i="3"/>
  <c r="I79" i="3"/>
  <c r="F79" i="3"/>
  <c r="G79" i="3"/>
  <c r="H79" i="3"/>
  <c r="J79" i="3"/>
  <c r="K79" i="3"/>
  <c r="L79" i="3"/>
  <c r="M79" i="3"/>
  <c r="O79" i="3"/>
  <c r="P79" i="3"/>
  <c r="Q79" i="3"/>
  <c r="R79" i="3"/>
  <c r="T79" i="3"/>
  <c r="D80" i="3"/>
  <c r="I80" i="3"/>
  <c r="F80" i="3"/>
  <c r="G80" i="3"/>
  <c r="H80" i="3"/>
  <c r="J80" i="3"/>
  <c r="K80" i="3"/>
  <c r="L80" i="3"/>
  <c r="M80" i="3"/>
  <c r="O80" i="3"/>
  <c r="P80" i="3"/>
  <c r="Q80" i="3"/>
  <c r="R80" i="3"/>
  <c r="T80" i="3"/>
  <c r="D81" i="3"/>
  <c r="I81" i="3"/>
  <c r="F81" i="3"/>
  <c r="G81" i="3"/>
  <c r="H81" i="3"/>
  <c r="J81" i="3"/>
  <c r="K81" i="3"/>
  <c r="L81" i="3"/>
  <c r="M81" i="3"/>
  <c r="O81" i="3"/>
  <c r="P81" i="3"/>
  <c r="Q81" i="3"/>
  <c r="R81" i="3"/>
  <c r="T81" i="3"/>
  <c r="D82" i="3"/>
  <c r="I82" i="3"/>
  <c r="F82" i="3"/>
  <c r="G82" i="3"/>
  <c r="H82" i="3"/>
  <c r="J82" i="3"/>
  <c r="K82" i="3"/>
  <c r="L82" i="3"/>
  <c r="M82" i="3"/>
  <c r="O82" i="3"/>
  <c r="P82" i="3"/>
  <c r="Q82" i="3"/>
  <c r="R82" i="3"/>
  <c r="T82" i="3"/>
  <c r="D83" i="3"/>
  <c r="I83" i="3"/>
  <c r="F83" i="3"/>
  <c r="G83" i="3"/>
  <c r="H83" i="3"/>
  <c r="J83" i="3"/>
  <c r="K83" i="3"/>
  <c r="L83" i="3"/>
  <c r="M83" i="3"/>
  <c r="O83" i="3"/>
  <c r="P83" i="3"/>
  <c r="Q83" i="3"/>
  <c r="R83" i="3"/>
  <c r="T83" i="3"/>
  <c r="D84" i="3"/>
  <c r="I84" i="3"/>
  <c r="F84" i="3"/>
  <c r="G84" i="3"/>
  <c r="H84" i="3"/>
  <c r="J84" i="3"/>
  <c r="K84" i="3"/>
  <c r="L84" i="3"/>
  <c r="M84" i="3"/>
  <c r="O84" i="3"/>
  <c r="P84" i="3"/>
  <c r="Q84" i="3"/>
  <c r="R84" i="3"/>
  <c r="T84" i="3"/>
  <c r="D85" i="3"/>
  <c r="I85" i="3"/>
  <c r="F85" i="3"/>
  <c r="G85" i="3"/>
  <c r="H85" i="3"/>
  <c r="J85" i="3"/>
  <c r="K85" i="3"/>
  <c r="L85" i="3"/>
  <c r="M85" i="3"/>
  <c r="O85" i="3"/>
  <c r="P85" i="3"/>
  <c r="Q85" i="3"/>
  <c r="R85" i="3"/>
  <c r="T85" i="3"/>
  <c r="D86" i="3"/>
  <c r="I86" i="3"/>
  <c r="F86" i="3"/>
  <c r="G86" i="3"/>
  <c r="H86" i="3"/>
  <c r="J86" i="3"/>
  <c r="K86" i="3"/>
  <c r="L86" i="3"/>
  <c r="M86" i="3"/>
  <c r="O86" i="3"/>
  <c r="P86" i="3"/>
  <c r="Q86" i="3"/>
  <c r="R86" i="3"/>
  <c r="T86" i="3"/>
  <c r="D87" i="3"/>
  <c r="I87" i="3"/>
  <c r="F87" i="3"/>
  <c r="G87" i="3"/>
  <c r="H87" i="3"/>
  <c r="J87" i="3"/>
  <c r="K87" i="3"/>
  <c r="L87" i="3"/>
  <c r="M87" i="3"/>
  <c r="O87" i="3"/>
  <c r="P87" i="3"/>
  <c r="Q87" i="3"/>
  <c r="R87" i="3"/>
  <c r="T87" i="3"/>
  <c r="D88" i="3"/>
  <c r="I88" i="3"/>
  <c r="F88" i="3"/>
  <c r="G88" i="3"/>
  <c r="H88" i="3"/>
  <c r="J88" i="3"/>
  <c r="K88" i="3"/>
  <c r="L88" i="3"/>
  <c r="M88" i="3"/>
  <c r="O88" i="3"/>
  <c r="P88" i="3"/>
  <c r="Q88" i="3"/>
  <c r="R88" i="3"/>
  <c r="T88" i="3"/>
  <c r="D89" i="3"/>
  <c r="I89" i="3"/>
  <c r="F89" i="3"/>
  <c r="G89" i="3"/>
  <c r="H89" i="3"/>
  <c r="J89" i="3"/>
  <c r="K89" i="3"/>
  <c r="L89" i="3"/>
  <c r="M89" i="3"/>
  <c r="O89" i="3"/>
  <c r="P89" i="3"/>
  <c r="Q89" i="3"/>
  <c r="R89" i="3"/>
  <c r="T89" i="3"/>
  <c r="D90" i="3"/>
  <c r="I90" i="3"/>
  <c r="F90" i="3"/>
  <c r="G90" i="3"/>
  <c r="H90" i="3"/>
  <c r="J90" i="3"/>
  <c r="K90" i="3"/>
  <c r="L90" i="3"/>
  <c r="M90" i="3"/>
  <c r="O90" i="3"/>
  <c r="P90" i="3"/>
  <c r="Q90" i="3"/>
  <c r="R90" i="3"/>
  <c r="T90" i="3"/>
  <c r="D91" i="3"/>
  <c r="I91" i="3"/>
  <c r="F91" i="3"/>
  <c r="G91" i="3"/>
  <c r="H91" i="3"/>
  <c r="J91" i="3"/>
  <c r="K91" i="3"/>
  <c r="L91" i="3"/>
  <c r="M91" i="3"/>
  <c r="O91" i="3"/>
  <c r="P91" i="3"/>
  <c r="Q91" i="3"/>
  <c r="R91" i="3"/>
  <c r="T91" i="3"/>
  <c r="D92" i="3"/>
  <c r="I92" i="3"/>
  <c r="F92" i="3"/>
  <c r="G92" i="3"/>
  <c r="H92" i="3"/>
  <c r="J92" i="3"/>
  <c r="K92" i="3"/>
  <c r="L92" i="3"/>
  <c r="M92" i="3"/>
  <c r="O92" i="3"/>
  <c r="P92" i="3"/>
  <c r="Q92" i="3"/>
  <c r="R92" i="3"/>
  <c r="T92" i="3"/>
  <c r="D93" i="3"/>
  <c r="I93" i="3"/>
  <c r="F93" i="3"/>
  <c r="G93" i="3"/>
  <c r="H93" i="3"/>
  <c r="J93" i="3"/>
  <c r="K93" i="3"/>
  <c r="L93" i="3"/>
  <c r="M93" i="3"/>
  <c r="O93" i="3"/>
  <c r="P93" i="3"/>
  <c r="Q93" i="3"/>
  <c r="R93" i="3"/>
  <c r="T93" i="3"/>
  <c r="D94" i="3"/>
  <c r="I94" i="3"/>
  <c r="F94" i="3"/>
  <c r="G94" i="3"/>
  <c r="H94" i="3"/>
  <c r="J94" i="3"/>
  <c r="K94" i="3"/>
  <c r="L94" i="3"/>
  <c r="M94" i="3"/>
  <c r="O94" i="3"/>
  <c r="P94" i="3"/>
  <c r="Q94" i="3"/>
  <c r="R94" i="3"/>
  <c r="T94" i="3"/>
  <c r="D95" i="3"/>
  <c r="I95" i="3"/>
  <c r="F95" i="3"/>
  <c r="G95" i="3"/>
  <c r="H95" i="3"/>
  <c r="J95" i="3"/>
  <c r="K95" i="3"/>
  <c r="L95" i="3"/>
  <c r="M95" i="3"/>
  <c r="O95" i="3"/>
  <c r="P95" i="3"/>
  <c r="Q95" i="3"/>
  <c r="R95" i="3"/>
  <c r="T95" i="3"/>
  <c r="D96" i="3"/>
  <c r="I96" i="3"/>
  <c r="F96" i="3"/>
  <c r="G96" i="3"/>
  <c r="H96" i="3"/>
  <c r="J96" i="3"/>
  <c r="K96" i="3"/>
  <c r="L96" i="3"/>
  <c r="M96" i="3"/>
  <c r="O96" i="3"/>
  <c r="P96" i="3"/>
  <c r="Q96" i="3"/>
  <c r="R96" i="3"/>
  <c r="T96" i="3"/>
  <c r="D97" i="3"/>
  <c r="I97" i="3"/>
  <c r="F97" i="3"/>
  <c r="G97" i="3"/>
  <c r="H97" i="3"/>
  <c r="J97" i="3"/>
  <c r="K97" i="3"/>
  <c r="L97" i="3"/>
  <c r="M97" i="3"/>
  <c r="O97" i="3"/>
  <c r="P97" i="3"/>
  <c r="Q97" i="3"/>
  <c r="R97" i="3"/>
  <c r="T97" i="3"/>
  <c r="D98" i="3"/>
  <c r="I98" i="3"/>
  <c r="F98" i="3"/>
  <c r="G98" i="3"/>
  <c r="H98" i="3"/>
  <c r="J98" i="3"/>
  <c r="K98" i="3"/>
  <c r="L98" i="3"/>
  <c r="M98" i="3"/>
  <c r="O98" i="3"/>
  <c r="P98" i="3"/>
  <c r="Q98" i="3"/>
  <c r="R98" i="3"/>
  <c r="T98" i="3"/>
  <c r="D99" i="3"/>
  <c r="I99" i="3"/>
  <c r="F99" i="3"/>
  <c r="G99" i="3"/>
  <c r="H99" i="3"/>
  <c r="J99" i="3"/>
  <c r="K99" i="3"/>
  <c r="L99" i="3"/>
  <c r="M99" i="3"/>
  <c r="O99" i="3"/>
  <c r="P99" i="3"/>
  <c r="Q99" i="3"/>
  <c r="R99" i="3"/>
  <c r="T99" i="3"/>
  <c r="D100" i="3"/>
  <c r="I100" i="3"/>
  <c r="F100" i="3"/>
  <c r="G100" i="3"/>
  <c r="H100" i="3"/>
  <c r="J100" i="3"/>
  <c r="K100" i="3"/>
  <c r="L100" i="3"/>
  <c r="M100" i="3"/>
  <c r="O100" i="3"/>
  <c r="P100" i="3"/>
  <c r="Q100" i="3"/>
  <c r="R100" i="3"/>
  <c r="T100" i="3"/>
  <c r="D101" i="3"/>
  <c r="I101" i="3"/>
  <c r="F101" i="3"/>
  <c r="G101" i="3"/>
  <c r="H101" i="3"/>
  <c r="J101" i="3"/>
  <c r="K101" i="3"/>
  <c r="L101" i="3"/>
  <c r="M101" i="3"/>
  <c r="O101" i="3"/>
  <c r="P101" i="3"/>
  <c r="Q101" i="3"/>
  <c r="R101" i="3"/>
  <c r="T101" i="3"/>
  <c r="D102" i="3"/>
  <c r="I102" i="3"/>
  <c r="F102" i="3"/>
  <c r="G102" i="3"/>
  <c r="H102" i="3"/>
  <c r="J102" i="3"/>
  <c r="K102" i="3"/>
  <c r="L102" i="3"/>
  <c r="M102" i="3"/>
  <c r="O102" i="3"/>
  <c r="P102" i="3"/>
  <c r="Q102" i="3"/>
  <c r="R102" i="3"/>
  <c r="T102" i="3"/>
  <c r="D103" i="3"/>
  <c r="I103" i="3"/>
  <c r="F103" i="3"/>
  <c r="G103" i="3"/>
  <c r="H103" i="3"/>
  <c r="J103" i="3"/>
  <c r="K103" i="3"/>
  <c r="L103" i="3"/>
  <c r="M103" i="3"/>
  <c r="O103" i="3"/>
  <c r="P103" i="3"/>
  <c r="Q103" i="3"/>
  <c r="R103" i="3"/>
  <c r="T103" i="3"/>
  <c r="D104" i="3"/>
  <c r="I104" i="3"/>
  <c r="F104" i="3"/>
  <c r="G104" i="3"/>
  <c r="H104" i="3"/>
  <c r="J104" i="3"/>
  <c r="K104" i="3"/>
  <c r="L104" i="3"/>
  <c r="M104" i="3"/>
  <c r="O104" i="3"/>
  <c r="P104" i="3"/>
  <c r="Q104" i="3"/>
  <c r="R104" i="3"/>
  <c r="T104" i="3"/>
  <c r="D105" i="3"/>
  <c r="I105" i="3"/>
  <c r="F105" i="3"/>
  <c r="G105" i="3"/>
  <c r="H105" i="3"/>
  <c r="J105" i="3"/>
  <c r="K105" i="3"/>
  <c r="L105" i="3"/>
  <c r="M105" i="3"/>
  <c r="O105" i="3"/>
  <c r="P105" i="3"/>
  <c r="Q105" i="3"/>
  <c r="R105" i="3"/>
  <c r="T105" i="3"/>
  <c r="D106" i="3"/>
  <c r="I106" i="3"/>
  <c r="F106" i="3"/>
  <c r="G106" i="3"/>
  <c r="H106" i="3"/>
  <c r="J106" i="3"/>
  <c r="K106" i="3"/>
  <c r="L106" i="3"/>
  <c r="M106" i="3"/>
  <c r="O106" i="3"/>
  <c r="P106" i="3"/>
  <c r="Q106" i="3"/>
  <c r="R106" i="3"/>
  <c r="T106" i="3"/>
  <c r="D107" i="3"/>
  <c r="I107" i="3"/>
  <c r="F107" i="3"/>
  <c r="G107" i="3"/>
  <c r="H107" i="3"/>
  <c r="J107" i="3"/>
  <c r="K107" i="3"/>
  <c r="L107" i="3"/>
  <c r="M107" i="3"/>
  <c r="O107" i="3"/>
  <c r="P107" i="3"/>
  <c r="Q107" i="3"/>
  <c r="R107" i="3"/>
  <c r="T107" i="3"/>
  <c r="D108" i="3"/>
  <c r="I108" i="3"/>
  <c r="F108" i="3"/>
  <c r="G108" i="3"/>
  <c r="H108" i="3"/>
  <c r="J108" i="3"/>
  <c r="K108" i="3"/>
  <c r="L108" i="3"/>
  <c r="M108" i="3"/>
  <c r="O108" i="3"/>
  <c r="P108" i="3"/>
  <c r="Q108" i="3"/>
  <c r="R108" i="3"/>
  <c r="T108" i="3"/>
  <c r="D109" i="3"/>
  <c r="I109" i="3"/>
  <c r="F109" i="3"/>
  <c r="G109" i="3"/>
  <c r="H109" i="3"/>
  <c r="J109" i="3"/>
  <c r="K109" i="3"/>
  <c r="L109" i="3"/>
  <c r="M109" i="3"/>
  <c r="O109" i="3"/>
  <c r="P109" i="3"/>
  <c r="Q109" i="3"/>
  <c r="R109" i="3"/>
  <c r="T109" i="3"/>
  <c r="D110" i="3"/>
  <c r="I110" i="3"/>
  <c r="F110" i="3"/>
  <c r="G110" i="3"/>
  <c r="H110" i="3"/>
  <c r="J110" i="3"/>
  <c r="K110" i="3"/>
  <c r="L110" i="3"/>
  <c r="M110" i="3"/>
  <c r="O110" i="3"/>
  <c r="P110" i="3"/>
  <c r="Q110" i="3"/>
  <c r="R110" i="3"/>
  <c r="T110" i="3"/>
  <c r="D111" i="3"/>
  <c r="I111" i="3"/>
  <c r="F111" i="3"/>
  <c r="G111" i="3"/>
  <c r="H111" i="3"/>
  <c r="J111" i="3"/>
  <c r="K111" i="3"/>
  <c r="L111" i="3"/>
  <c r="M111" i="3"/>
  <c r="O111" i="3"/>
  <c r="P111" i="3"/>
  <c r="Q111" i="3"/>
  <c r="R111" i="3"/>
  <c r="T111" i="3"/>
  <c r="D112" i="3"/>
  <c r="I112" i="3"/>
  <c r="F112" i="3"/>
  <c r="G112" i="3"/>
  <c r="H112" i="3"/>
  <c r="J112" i="3"/>
  <c r="K112" i="3"/>
  <c r="L112" i="3"/>
  <c r="M112" i="3"/>
  <c r="O112" i="3"/>
  <c r="P112" i="3"/>
  <c r="Q112" i="3"/>
  <c r="R112" i="3"/>
  <c r="T112" i="3"/>
  <c r="D113" i="3"/>
  <c r="I113" i="3"/>
  <c r="F113" i="3"/>
  <c r="G113" i="3"/>
  <c r="H113" i="3"/>
  <c r="J113" i="3"/>
  <c r="K113" i="3"/>
  <c r="L113" i="3"/>
  <c r="M113" i="3"/>
  <c r="O113" i="3"/>
  <c r="P113" i="3"/>
  <c r="Q113" i="3"/>
  <c r="R113" i="3"/>
  <c r="T113" i="3"/>
  <c r="D114" i="3"/>
  <c r="I114" i="3"/>
  <c r="F114" i="3"/>
  <c r="G114" i="3"/>
  <c r="H114" i="3"/>
  <c r="J114" i="3"/>
  <c r="K114" i="3"/>
  <c r="L114" i="3"/>
  <c r="M114" i="3"/>
  <c r="O114" i="3"/>
  <c r="P114" i="3"/>
  <c r="Q114" i="3"/>
  <c r="R114" i="3"/>
  <c r="T114" i="3"/>
  <c r="D115" i="3"/>
  <c r="I115" i="3"/>
  <c r="F115" i="3"/>
  <c r="G115" i="3"/>
  <c r="H115" i="3"/>
  <c r="J115" i="3"/>
  <c r="K115" i="3"/>
  <c r="L115" i="3"/>
  <c r="M115" i="3"/>
  <c r="O115" i="3"/>
  <c r="P115" i="3"/>
  <c r="Q115" i="3"/>
  <c r="R115" i="3"/>
  <c r="T115" i="3"/>
  <c r="D116" i="3"/>
  <c r="I116" i="3"/>
  <c r="F116" i="3"/>
  <c r="G116" i="3"/>
  <c r="H116" i="3"/>
  <c r="J116" i="3"/>
  <c r="K116" i="3"/>
  <c r="L116" i="3"/>
  <c r="M116" i="3"/>
  <c r="O116" i="3"/>
  <c r="P116" i="3"/>
  <c r="Q116" i="3"/>
  <c r="R116" i="3"/>
  <c r="T116" i="3"/>
  <c r="D117" i="3"/>
  <c r="I117" i="3"/>
  <c r="F117" i="3"/>
  <c r="G117" i="3"/>
  <c r="H117" i="3"/>
  <c r="J117" i="3"/>
  <c r="K117" i="3"/>
  <c r="L117" i="3"/>
  <c r="M117" i="3"/>
  <c r="O117" i="3"/>
  <c r="P117" i="3"/>
  <c r="Q117" i="3"/>
  <c r="R117" i="3"/>
  <c r="T117" i="3"/>
  <c r="D118" i="3"/>
  <c r="I118" i="3"/>
  <c r="F118" i="3"/>
  <c r="G118" i="3"/>
  <c r="H118" i="3"/>
  <c r="J118" i="3"/>
  <c r="K118" i="3"/>
  <c r="L118" i="3"/>
  <c r="M118" i="3"/>
  <c r="O118" i="3"/>
  <c r="P118" i="3"/>
  <c r="Q118" i="3"/>
  <c r="R118" i="3"/>
  <c r="T118" i="3"/>
  <c r="D119" i="3"/>
  <c r="I119" i="3"/>
  <c r="F119" i="3"/>
  <c r="G119" i="3"/>
  <c r="H119" i="3"/>
  <c r="J119" i="3"/>
  <c r="K119" i="3"/>
  <c r="L119" i="3"/>
  <c r="M119" i="3"/>
  <c r="O119" i="3"/>
  <c r="P119" i="3"/>
  <c r="Q119" i="3"/>
  <c r="R119" i="3"/>
  <c r="T119" i="3"/>
  <c r="D120" i="3"/>
  <c r="I120" i="3"/>
  <c r="F120" i="3"/>
  <c r="G120" i="3"/>
  <c r="H120" i="3"/>
  <c r="J120" i="3"/>
  <c r="K120" i="3"/>
  <c r="L120" i="3"/>
  <c r="M120" i="3"/>
  <c r="O120" i="3"/>
  <c r="P120" i="3"/>
  <c r="Q120" i="3"/>
  <c r="R120" i="3"/>
  <c r="T120" i="3"/>
  <c r="D121" i="3"/>
  <c r="I121" i="3"/>
  <c r="F121" i="3"/>
  <c r="G121" i="3"/>
  <c r="H121" i="3"/>
  <c r="J121" i="3"/>
  <c r="K121" i="3"/>
  <c r="L121" i="3"/>
  <c r="M121" i="3"/>
  <c r="O121" i="3"/>
  <c r="P121" i="3"/>
  <c r="Q121" i="3"/>
  <c r="R121" i="3"/>
  <c r="T121" i="3"/>
  <c r="D122" i="3"/>
  <c r="I122" i="3"/>
  <c r="F122" i="3"/>
  <c r="G122" i="3"/>
  <c r="H122" i="3"/>
  <c r="J122" i="3"/>
  <c r="K122" i="3"/>
  <c r="L122" i="3"/>
  <c r="M122" i="3"/>
  <c r="O122" i="3"/>
  <c r="P122" i="3"/>
  <c r="Q122" i="3"/>
  <c r="R122" i="3"/>
  <c r="T122" i="3"/>
  <c r="D123" i="3"/>
  <c r="I123" i="3"/>
  <c r="F123" i="3"/>
  <c r="G123" i="3"/>
  <c r="H123" i="3"/>
  <c r="J123" i="3"/>
  <c r="K123" i="3"/>
  <c r="L123" i="3"/>
  <c r="M123" i="3"/>
  <c r="O123" i="3"/>
  <c r="P123" i="3"/>
  <c r="Q123" i="3"/>
  <c r="R123" i="3"/>
  <c r="T123" i="3"/>
  <c r="D124" i="3"/>
  <c r="I124" i="3"/>
  <c r="F124" i="3"/>
  <c r="G124" i="3"/>
  <c r="H124" i="3"/>
  <c r="J124" i="3"/>
  <c r="K124" i="3"/>
  <c r="L124" i="3"/>
  <c r="M124" i="3"/>
  <c r="O124" i="3"/>
  <c r="P124" i="3"/>
  <c r="Q124" i="3"/>
  <c r="R124" i="3"/>
  <c r="T124" i="3"/>
  <c r="D125" i="3"/>
  <c r="I125" i="3"/>
  <c r="F125" i="3"/>
  <c r="G125" i="3"/>
  <c r="H125" i="3"/>
  <c r="J125" i="3"/>
  <c r="K125" i="3"/>
  <c r="L125" i="3"/>
  <c r="M125" i="3"/>
  <c r="O125" i="3"/>
  <c r="P125" i="3"/>
  <c r="Q125" i="3"/>
  <c r="R125" i="3"/>
  <c r="T125" i="3"/>
  <c r="D126" i="3"/>
  <c r="I126" i="3"/>
  <c r="F126" i="3"/>
  <c r="G126" i="3"/>
  <c r="H126" i="3"/>
  <c r="J126" i="3"/>
  <c r="K126" i="3"/>
  <c r="L126" i="3"/>
  <c r="M126" i="3"/>
  <c r="O126" i="3"/>
  <c r="P126" i="3"/>
  <c r="Q126" i="3"/>
  <c r="R126" i="3"/>
  <c r="T126" i="3"/>
  <c r="D127" i="3"/>
  <c r="I127" i="3"/>
  <c r="F127" i="3"/>
  <c r="G127" i="3"/>
  <c r="H127" i="3"/>
  <c r="J127" i="3"/>
  <c r="K127" i="3"/>
  <c r="L127" i="3"/>
  <c r="M127" i="3"/>
  <c r="O127" i="3"/>
  <c r="P127" i="3"/>
  <c r="Q127" i="3"/>
  <c r="R127" i="3"/>
  <c r="T127" i="3"/>
  <c r="D128" i="3"/>
  <c r="I128" i="3"/>
  <c r="F128" i="3"/>
  <c r="G128" i="3"/>
  <c r="H128" i="3"/>
  <c r="J128" i="3"/>
  <c r="K128" i="3"/>
  <c r="L128" i="3"/>
  <c r="M128" i="3"/>
  <c r="O128" i="3"/>
  <c r="P128" i="3"/>
  <c r="Q128" i="3"/>
  <c r="R128" i="3"/>
  <c r="T128" i="3"/>
  <c r="D129" i="3"/>
  <c r="I129" i="3"/>
  <c r="F129" i="3"/>
  <c r="G129" i="3"/>
  <c r="H129" i="3"/>
  <c r="J129" i="3"/>
  <c r="K129" i="3"/>
  <c r="L129" i="3"/>
  <c r="M129" i="3"/>
  <c r="O129" i="3"/>
  <c r="P129" i="3"/>
  <c r="Q129" i="3"/>
  <c r="R129" i="3"/>
  <c r="T129" i="3"/>
  <c r="D130" i="3"/>
  <c r="I130" i="3"/>
  <c r="F130" i="3"/>
  <c r="G130" i="3"/>
  <c r="H130" i="3"/>
  <c r="J130" i="3"/>
  <c r="K130" i="3"/>
  <c r="L130" i="3"/>
  <c r="M130" i="3"/>
  <c r="O130" i="3"/>
  <c r="P130" i="3"/>
  <c r="Q130" i="3"/>
  <c r="R130" i="3"/>
  <c r="T130" i="3"/>
  <c r="D131" i="3"/>
  <c r="I131" i="3"/>
  <c r="F131" i="3"/>
  <c r="G131" i="3"/>
  <c r="H131" i="3"/>
  <c r="J131" i="3"/>
  <c r="K131" i="3"/>
  <c r="L131" i="3"/>
  <c r="M131" i="3"/>
  <c r="O131" i="3"/>
  <c r="P131" i="3"/>
  <c r="Q131" i="3"/>
  <c r="R131" i="3"/>
  <c r="T131" i="3"/>
  <c r="D132" i="3"/>
  <c r="I132" i="3"/>
  <c r="F132" i="3"/>
  <c r="G132" i="3"/>
  <c r="H132" i="3"/>
  <c r="J132" i="3"/>
  <c r="K132" i="3"/>
  <c r="L132" i="3"/>
  <c r="M132" i="3"/>
  <c r="O132" i="3"/>
  <c r="P132" i="3"/>
  <c r="Q132" i="3"/>
  <c r="R132" i="3"/>
  <c r="T132" i="3"/>
  <c r="D133" i="3"/>
  <c r="I133" i="3"/>
  <c r="F133" i="3"/>
  <c r="G133" i="3"/>
  <c r="H133" i="3"/>
  <c r="J133" i="3"/>
  <c r="K133" i="3"/>
  <c r="L133" i="3"/>
  <c r="M133" i="3"/>
  <c r="O133" i="3"/>
  <c r="P133" i="3"/>
  <c r="Q133" i="3"/>
  <c r="R133" i="3"/>
  <c r="T133" i="3"/>
  <c r="D134" i="3"/>
  <c r="I134" i="3"/>
  <c r="F134" i="3"/>
  <c r="G134" i="3"/>
  <c r="H134" i="3"/>
  <c r="J134" i="3"/>
  <c r="K134" i="3"/>
  <c r="L134" i="3"/>
  <c r="M134" i="3"/>
  <c r="O134" i="3"/>
  <c r="P134" i="3"/>
  <c r="Q134" i="3"/>
  <c r="R134" i="3"/>
  <c r="T134" i="3"/>
  <c r="D135" i="3"/>
  <c r="I135" i="3"/>
  <c r="F135" i="3"/>
  <c r="G135" i="3"/>
  <c r="H135" i="3"/>
  <c r="J135" i="3"/>
  <c r="K135" i="3"/>
  <c r="L135" i="3"/>
  <c r="M135" i="3"/>
  <c r="O135" i="3"/>
  <c r="P135" i="3"/>
  <c r="Q135" i="3"/>
  <c r="R135" i="3"/>
  <c r="T135" i="3"/>
  <c r="D136" i="3"/>
  <c r="I136" i="3"/>
  <c r="F136" i="3"/>
  <c r="G136" i="3"/>
  <c r="H136" i="3"/>
  <c r="J136" i="3"/>
  <c r="K136" i="3"/>
  <c r="L136" i="3"/>
  <c r="M136" i="3"/>
  <c r="O136" i="3"/>
  <c r="P136" i="3"/>
  <c r="Q136" i="3"/>
  <c r="R136" i="3"/>
  <c r="T136" i="3"/>
  <c r="D137" i="3"/>
  <c r="I137" i="3"/>
  <c r="F137" i="3"/>
  <c r="G137" i="3"/>
  <c r="H137" i="3"/>
  <c r="J137" i="3"/>
  <c r="K137" i="3"/>
  <c r="L137" i="3"/>
  <c r="M137" i="3"/>
  <c r="O137" i="3"/>
  <c r="P137" i="3"/>
  <c r="Q137" i="3"/>
  <c r="R137" i="3"/>
  <c r="T137" i="3"/>
  <c r="D138" i="3"/>
  <c r="I138" i="3"/>
  <c r="F138" i="3"/>
  <c r="G138" i="3"/>
  <c r="H138" i="3"/>
  <c r="J138" i="3"/>
  <c r="K138" i="3"/>
  <c r="L138" i="3"/>
  <c r="M138" i="3"/>
  <c r="O138" i="3"/>
  <c r="P138" i="3"/>
  <c r="Q138" i="3"/>
  <c r="R138" i="3"/>
  <c r="T138" i="3"/>
  <c r="D139" i="3"/>
  <c r="I139" i="3"/>
  <c r="F139" i="3"/>
  <c r="G139" i="3"/>
  <c r="H139" i="3"/>
  <c r="J139" i="3"/>
  <c r="K139" i="3"/>
  <c r="L139" i="3"/>
  <c r="M139" i="3"/>
  <c r="O139" i="3"/>
  <c r="P139" i="3"/>
  <c r="Q139" i="3"/>
  <c r="R139" i="3"/>
  <c r="T139" i="3"/>
  <c r="D140" i="3"/>
  <c r="I140" i="3"/>
  <c r="F140" i="3"/>
  <c r="G140" i="3"/>
  <c r="H140" i="3"/>
  <c r="J140" i="3"/>
  <c r="K140" i="3"/>
  <c r="L140" i="3"/>
  <c r="M140" i="3"/>
  <c r="O140" i="3"/>
  <c r="P140" i="3"/>
  <c r="Q140" i="3"/>
  <c r="R140" i="3"/>
  <c r="T140" i="3"/>
  <c r="D141" i="3"/>
  <c r="I141" i="3"/>
  <c r="F141" i="3"/>
  <c r="G141" i="3"/>
  <c r="H141" i="3"/>
  <c r="J141" i="3"/>
  <c r="K141" i="3"/>
  <c r="L141" i="3"/>
  <c r="M141" i="3"/>
  <c r="O141" i="3"/>
  <c r="P141" i="3"/>
  <c r="Q141" i="3"/>
  <c r="R141" i="3"/>
  <c r="T141" i="3"/>
  <c r="D142" i="3"/>
  <c r="I142" i="3"/>
  <c r="F142" i="3"/>
  <c r="G142" i="3"/>
  <c r="H142" i="3"/>
  <c r="J142" i="3"/>
  <c r="K142" i="3"/>
  <c r="L142" i="3"/>
  <c r="M142" i="3"/>
  <c r="O142" i="3"/>
  <c r="P142" i="3"/>
  <c r="Q142" i="3"/>
  <c r="R142" i="3"/>
  <c r="T142" i="3"/>
  <c r="D143" i="3"/>
  <c r="I143" i="3"/>
  <c r="F143" i="3"/>
  <c r="G143" i="3"/>
  <c r="H143" i="3"/>
  <c r="J143" i="3"/>
  <c r="K143" i="3"/>
  <c r="L143" i="3"/>
  <c r="M143" i="3"/>
  <c r="O143" i="3"/>
  <c r="P143" i="3"/>
  <c r="Q143" i="3"/>
  <c r="R143" i="3"/>
  <c r="T143" i="3"/>
  <c r="D144" i="3"/>
  <c r="I144" i="3"/>
  <c r="F144" i="3"/>
  <c r="G144" i="3"/>
  <c r="H144" i="3"/>
  <c r="J144" i="3"/>
  <c r="K144" i="3"/>
  <c r="L144" i="3"/>
  <c r="M144" i="3"/>
  <c r="O144" i="3"/>
  <c r="P144" i="3"/>
  <c r="Q144" i="3"/>
  <c r="R144" i="3"/>
  <c r="T144" i="3"/>
  <c r="D145" i="3"/>
  <c r="I145" i="3"/>
  <c r="F145" i="3"/>
  <c r="G145" i="3"/>
  <c r="H145" i="3"/>
  <c r="J145" i="3"/>
  <c r="K145" i="3"/>
  <c r="L145" i="3"/>
  <c r="M145" i="3"/>
  <c r="O145" i="3"/>
  <c r="P145" i="3"/>
  <c r="Q145" i="3"/>
  <c r="R145" i="3"/>
  <c r="T145" i="3"/>
  <c r="D146" i="3"/>
  <c r="I146" i="3"/>
  <c r="F146" i="3"/>
  <c r="G146" i="3"/>
  <c r="H146" i="3"/>
  <c r="J146" i="3"/>
  <c r="K146" i="3"/>
  <c r="L146" i="3"/>
  <c r="M146" i="3"/>
  <c r="O146" i="3"/>
  <c r="P146" i="3"/>
  <c r="Q146" i="3"/>
  <c r="R146" i="3"/>
  <c r="T146" i="3"/>
  <c r="D147" i="3"/>
  <c r="I147" i="3"/>
  <c r="F147" i="3"/>
  <c r="G147" i="3"/>
  <c r="H147" i="3"/>
  <c r="J147" i="3"/>
  <c r="K147" i="3"/>
  <c r="L147" i="3"/>
  <c r="M147" i="3"/>
  <c r="O147" i="3"/>
  <c r="P147" i="3"/>
  <c r="Q147" i="3"/>
  <c r="R147" i="3"/>
  <c r="T147" i="3"/>
  <c r="D148" i="3"/>
  <c r="I148" i="3"/>
  <c r="F148" i="3"/>
  <c r="G148" i="3"/>
  <c r="H148" i="3"/>
  <c r="J148" i="3"/>
  <c r="K148" i="3"/>
  <c r="L148" i="3"/>
  <c r="M148" i="3"/>
  <c r="O148" i="3"/>
  <c r="P148" i="3"/>
  <c r="Q148" i="3"/>
  <c r="R148" i="3"/>
  <c r="T148" i="3"/>
  <c r="D149" i="3"/>
  <c r="I149" i="3"/>
  <c r="F149" i="3"/>
  <c r="G149" i="3"/>
  <c r="H149" i="3"/>
  <c r="J149" i="3"/>
  <c r="K149" i="3"/>
  <c r="L149" i="3"/>
  <c r="M149" i="3"/>
  <c r="O149" i="3"/>
  <c r="P149" i="3"/>
  <c r="Q149" i="3"/>
  <c r="R149" i="3"/>
  <c r="T149" i="3"/>
  <c r="D150" i="3"/>
  <c r="I150" i="3"/>
  <c r="F150" i="3"/>
  <c r="G150" i="3"/>
  <c r="H150" i="3"/>
  <c r="J150" i="3"/>
  <c r="K150" i="3"/>
  <c r="L150" i="3"/>
  <c r="M150" i="3"/>
  <c r="O150" i="3"/>
  <c r="P150" i="3"/>
  <c r="Q150" i="3"/>
  <c r="R150" i="3"/>
  <c r="T150" i="3"/>
  <c r="D151" i="3"/>
  <c r="I151" i="3"/>
  <c r="F151" i="3"/>
  <c r="G151" i="3"/>
  <c r="H151" i="3"/>
  <c r="J151" i="3"/>
  <c r="K151" i="3"/>
  <c r="L151" i="3"/>
  <c r="M151" i="3"/>
  <c r="O151" i="3"/>
  <c r="P151" i="3"/>
  <c r="Q151" i="3"/>
  <c r="R151" i="3"/>
  <c r="T151" i="3"/>
  <c r="D152" i="3"/>
  <c r="I152" i="3"/>
  <c r="F152" i="3"/>
  <c r="G152" i="3"/>
  <c r="H152" i="3"/>
  <c r="J152" i="3"/>
  <c r="K152" i="3"/>
  <c r="L152" i="3"/>
  <c r="M152" i="3"/>
  <c r="O152" i="3"/>
  <c r="P152" i="3"/>
  <c r="Q152" i="3"/>
  <c r="R152" i="3"/>
  <c r="T152" i="3"/>
  <c r="D153" i="3"/>
  <c r="I153" i="3"/>
  <c r="F153" i="3"/>
  <c r="G153" i="3"/>
  <c r="H153" i="3"/>
  <c r="J153" i="3"/>
  <c r="K153" i="3"/>
  <c r="L153" i="3"/>
  <c r="M153" i="3"/>
  <c r="O153" i="3"/>
  <c r="P153" i="3"/>
  <c r="Q153" i="3"/>
  <c r="R153" i="3"/>
  <c r="T153" i="3"/>
  <c r="D154" i="3"/>
  <c r="I154" i="3"/>
  <c r="F154" i="3"/>
  <c r="G154" i="3"/>
  <c r="H154" i="3"/>
  <c r="J154" i="3"/>
  <c r="K154" i="3"/>
  <c r="L154" i="3"/>
  <c r="M154" i="3"/>
  <c r="O154" i="3"/>
  <c r="P154" i="3"/>
  <c r="Q154" i="3"/>
  <c r="R154" i="3"/>
  <c r="T154" i="3"/>
  <c r="D155" i="3"/>
  <c r="I155" i="3"/>
  <c r="F155" i="3"/>
  <c r="G155" i="3"/>
  <c r="H155" i="3"/>
  <c r="J155" i="3"/>
  <c r="K155" i="3"/>
  <c r="L155" i="3"/>
  <c r="M155" i="3"/>
  <c r="O155" i="3"/>
  <c r="P155" i="3"/>
  <c r="Q155" i="3"/>
  <c r="R155" i="3"/>
  <c r="T155" i="3"/>
  <c r="D156" i="3"/>
  <c r="I156" i="3"/>
  <c r="F156" i="3"/>
  <c r="G156" i="3"/>
  <c r="H156" i="3"/>
  <c r="J156" i="3"/>
  <c r="K156" i="3"/>
  <c r="L156" i="3"/>
  <c r="M156" i="3"/>
  <c r="O156" i="3"/>
  <c r="P156" i="3"/>
  <c r="Q156" i="3"/>
  <c r="R156" i="3"/>
  <c r="T156" i="3"/>
  <c r="D157" i="3"/>
  <c r="I157" i="3"/>
  <c r="F157" i="3"/>
  <c r="G157" i="3"/>
  <c r="H157" i="3"/>
  <c r="J157" i="3"/>
  <c r="K157" i="3"/>
  <c r="L157" i="3"/>
  <c r="M157" i="3"/>
  <c r="O157" i="3"/>
  <c r="P157" i="3"/>
  <c r="Q157" i="3"/>
  <c r="R157" i="3"/>
  <c r="T157" i="3"/>
  <c r="D158" i="3"/>
  <c r="I158" i="3"/>
  <c r="F158" i="3"/>
  <c r="G158" i="3"/>
  <c r="H158" i="3"/>
  <c r="J158" i="3"/>
  <c r="K158" i="3"/>
  <c r="L158" i="3"/>
  <c r="M158" i="3"/>
  <c r="O158" i="3"/>
  <c r="P158" i="3"/>
  <c r="Q158" i="3"/>
  <c r="R158" i="3"/>
  <c r="T158" i="3"/>
  <c r="D159" i="3"/>
  <c r="I159" i="3"/>
  <c r="F159" i="3"/>
  <c r="G159" i="3"/>
  <c r="H159" i="3"/>
  <c r="J159" i="3"/>
  <c r="K159" i="3"/>
  <c r="L159" i="3"/>
  <c r="M159" i="3"/>
  <c r="O159" i="3"/>
  <c r="P159" i="3"/>
  <c r="Q159" i="3"/>
  <c r="R159" i="3"/>
  <c r="T159" i="3"/>
  <c r="D160" i="3"/>
  <c r="I160" i="3"/>
  <c r="F160" i="3"/>
  <c r="G160" i="3"/>
  <c r="H160" i="3"/>
  <c r="J160" i="3"/>
  <c r="K160" i="3"/>
  <c r="L160" i="3"/>
  <c r="M160" i="3"/>
  <c r="O160" i="3"/>
  <c r="P160" i="3"/>
  <c r="Q160" i="3"/>
  <c r="R160" i="3"/>
  <c r="T160" i="3"/>
  <c r="D161" i="3"/>
  <c r="I161" i="3"/>
  <c r="F161" i="3"/>
  <c r="G161" i="3"/>
  <c r="H161" i="3"/>
  <c r="J161" i="3"/>
  <c r="K161" i="3"/>
  <c r="L161" i="3"/>
  <c r="M161" i="3"/>
  <c r="O161" i="3"/>
  <c r="P161" i="3"/>
  <c r="Q161" i="3"/>
  <c r="R161" i="3"/>
  <c r="T161" i="3"/>
  <c r="D162" i="3"/>
  <c r="I162" i="3"/>
  <c r="F162" i="3"/>
  <c r="G162" i="3"/>
  <c r="H162" i="3"/>
  <c r="J162" i="3"/>
  <c r="K162" i="3"/>
  <c r="L162" i="3"/>
  <c r="M162" i="3"/>
  <c r="O162" i="3"/>
  <c r="P162" i="3"/>
  <c r="Q162" i="3"/>
  <c r="R162" i="3"/>
  <c r="T162" i="3"/>
  <c r="D163" i="3"/>
  <c r="I163" i="3"/>
  <c r="F163" i="3"/>
  <c r="G163" i="3"/>
  <c r="H163" i="3"/>
  <c r="J163" i="3"/>
  <c r="K163" i="3"/>
  <c r="L163" i="3"/>
  <c r="M163" i="3"/>
  <c r="O163" i="3"/>
  <c r="P163" i="3"/>
  <c r="Q163" i="3"/>
  <c r="R163" i="3"/>
  <c r="T163" i="3"/>
  <c r="P62" i="7"/>
  <c r="P65" i="7"/>
  <c r="G5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BB10" i="3"/>
  <c r="D35" i="4"/>
  <c r="T35" i="4"/>
  <c r="I35" i="4"/>
  <c r="H35" i="4"/>
  <c r="F35" i="4"/>
  <c r="G35" i="4"/>
  <c r="J35" i="4"/>
  <c r="K35" i="4"/>
  <c r="L35" i="4"/>
  <c r="M35" i="4"/>
  <c r="O35" i="4"/>
  <c r="P35" i="4"/>
  <c r="Q35" i="4"/>
  <c r="R35" i="4"/>
  <c r="D36" i="4"/>
  <c r="I36" i="4"/>
  <c r="H36" i="4"/>
  <c r="F36" i="4"/>
  <c r="G36" i="4"/>
  <c r="J36" i="4"/>
  <c r="K36" i="4"/>
  <c r="L36" i="4"/>
  <c r="M36" i="4"/>
  <c r="O36" i="4"/>
  <c r="P36" i="4"/>
  <c r="Q36" i="4"/>
  <c r="R36" i="4"/>
  <c r="T36" i="4"/>
  <c r="D37" i="4"/>
  <c r="I37" i="4"/>
  <c r="H37" i="4"/>
  <c r="F37" i="4"/>
  <c r="G37" i="4"/>
  <c r="J37" i="4"/>
  <c r="K37" i="4"/>
  <c r="L37" i="4"/>
  <c r="M37" i="4"/>
  <c r="O37" i="4"/>
  <c r="P37" i="4"/>
  <c r="Q37" i="4"/>
  <c r="R37" i="4"/>
  <c r="T37" i="4"/>
  <c r="D38" i="4"/>
  <c r="I38" i="4"/>
  <c r="H38" i="4"/>
  <c r="F38" i="4"/>
  <c r="G38" i="4"/>
  <c r="J38" i="4"/>
  <c r="K38" i="4"/>
  <c r="L38" i="4"/>
  <c r="M38" i="4"/>
  <c r="O38" i="4"/>
  <c r="P38" i="4"/>
  <c r="Q38" i="4"/>
  <c r="R38" i="4"/>
  <c r="T38" i="4"/>
  <c r="D39" i="4"/>
  <c r="I39" i="4"/>
  <c r="H39" i="4"/>
  <c r="F39" i="4"/>
  <c r="G39" i="4"/>
  <c r="J39" i="4"/>
  <c r="K39" i="4"/>
  <c r="L39" i="4"/>
  <c r="M39" i="4"/>
  <c r="O39" i="4"/>
  <c r="P39" i="4"/>
  <c r="Q39" i="4"/>
  <c r="R39" i="4"/>
  <c r="T39" i="4"/>
  <c r="D40" i="4"/>
  <c r="I40" i="4"/>
  <c r="H40" i="4"/>
  <c r="F40" i="4"/>
  <c r="G40" i="4"/>
  <c r="J40" i="4"/>
  <c r="K40" i="4"/>
  <c r="L40" i="4"/>
  <c r="M40" i="4"/>
  <c r="O40" i="4"/>
  <c r="P40" i="4"/>
  <c r="Q40" i="4"/>
  <c r="R40" i="4"/>
  <c r="T40" i="4"/>
  <c r="D41" i="4"/>
  <c r="I41" i="4"/>
  <c r="H41" i="4"/>
  <c r="F41" i="4"/>
  <c r="G41" i="4"/>
  <c r="J41" i="4"/>
  <c r="K41" i="4"/>
  <c r="L41" i="4"/>
  <c r="M41" i="4"/>
  <c r="O41" i="4"/>
  <c r="P41" i="4"/>
  <c r="Q41" i="4"/>
  <c r="R41" i="4"/>
  <c r="T41" i="4"/>
  <c r="D42" i="4"/>
  <c r="I42" i="4"/>
  <c r="H42" i="4"/>
  <c r="F42" i="4"/>
  <c r="G42" i="4"/>
  <c r="J42" i="4"/>
  <c r="K42" i="4"/>
  <c r="L42" i="4"/>
  <c r="M42" i="4"/>
  <c r="O42" i="4"/>
  <c r="P42" i="4"/>
  <c r="Q42" i="4"/>
  <c r="R42" i="4"/>
  <c r="T42" i="4"/>
  <c r="G1" i="4"/>
  <c r="B15" i="3"/>
  <c r="C15" i="3" s="1"/>
  <c r="G148" i="4"/>
  <c r="T147" i="4"/>
  <c r="R147" i="4"/>
  <c r="Q147" i="4"/>
  <c r="P147" i="4"/>
  <c r="O147" i="4"/>
  <c r="K147" i="4"/>
  <c r="G147" i="4"/>
  <c r="T146" i="4"/>
  <c r="R146" i="4"/>
  <c r="Q146" i="4"/>
  <c r="P146" i="4"/>
  <c r="O146" i="4"/>
  <c r="K146" i="4"/>
  <c r="G146" i="4"/>
  <c r="T145" i="4"/>
  <c r="R145" i="4"/>
  <c r="Q145" i="4"/>
  <c r="P145" i="4"/>
  <c r="O145" i="4"/>
  <c r="K145" i="4"/>
  <c r="G145" i="4"/>
  <c r="T144" i="4"/>
  <c r="R144" i="4"/>
  <c r="Q144" i="4"/>
  <c r="P144" i="4"/>
  <c r="O144" i="4"/>
  <c r="K144" i="4"/>
  <c r="J144" i="4"/>
  <c r="G144" i="4"/>
  <c r="T143" i="4"/>
  <c r="R143" i="4"/>
  <c r="Q143" i="4"/>
  <c r="P143" i="4"/>
  <c r="O143" i="4"/>
  <c r="K143" i="4"/>
  <c r="J143" i="4"/>
  <c r="G143" i="4"/>
  <c r="T142" i="4"/>
  <c r="R142" i="4"/>
  <c r="Q142" i="4"/>
  <c r="P142" i="4"/>
  <c r="O142" i="4"/>
  <c r="K142" i="4"/>
  <c r="J142" i="4"/>
  <c r="G142" i="4"/>
  <c r="T141" i="4"/>
  <c r="R141" i="4"/>
  <c r="Q141" i="4"/>
  <c r="P141" i="4"/>
  <c r="O141" i="4"/>
  <c r="M141" i="4"/>
  <c r="K141" i="4"/>
  <c r="J141" i="4"/>
  <c r="G141" i="4"/>
  <c r="T140" i="4"/>
  <c r="R140" i="4"/>
  <c r="Q140" i="4"/>
  <c r="P140" i="4"/>
  <c r="O140" i="4"/>
  <c r="M140" i="4"/>
  <c r="K140" i="4"/>
  <c r="J140" i="4"/>
  <c r="G140" i="4"/>
  <c r="T139" i="4"/>
  <c r="R139" i="4"/>
  <c r="Q139" i="4"/>
  <c r="P139" i="4"/>
  <c r="O139" i="4"/>
  <c r="M139" i="4"/>
  <c r="K139" i="4"/>
  <c r="J139" i="4"/>
  <c r="G139" i="4"/>
  <c r="T138" i="4"/>
  <c r="R138" i="4"/>
  <c r="Q138" i="4"/>
  <c r="P138" i="4"/>
  <c r="O138" i="4"/>
  <c r="M138" i="4"/>
  <c r="K138" i="4"/>
  <c r="J138" i="4"/>
  <c r="G138" i="4"/>
  <c r="T137" i="4"/>
  <c r="R137" i="4"/>
  <c r="Q137" i="4"/>
  <c r="P137" i="4"/>
  <c r="O137" i="4"/>
  <c r="M137" i="4"/>
  <c r="K137" i="4"/>
  <c r="J137" i="4"/>
  <c r="G137" i="4"/>
  <c r="T136" i="4"/>
  <c r="R136" i="4"/>
  <c r="Q136" i="4"/>
  <c r="P136" i="4"/>
  <c r="O136" i="4"/>
  <c r="M136" i="4"/>
  <c r="K136" i="4"/>
  <c r="J136" i="4"/>
  <c r="G136" i="4"/>
  <c r="T135" i="4"/>
  <c r="R135" i="4"/>
  <c r="Q135" i="4"/>
  <c r="P135" i="4"/>
  <c r="O135" i="4"/>
  <c r="M135" i="4"/>
  <c r="K135" i="4"/>
  <c r="J135" i="4"/>
  <c r="H135" i="4"/>
  <c r="G135" i="4"/>
  <c r="T134" i="4"/>
  <c r="R134" i="4"/>
  <c r="Q134" i="4"/>
  <c r="P134" i="4"/>
  <c r="O134" i="4"/>
  <c r="M134" i="4"/>
  <c r="K134" i="4"/>
  <c r="J134" i="4"/>
  <c r="I134" i="4"/>
  <c r="H134" i="4"/>
  <c r="G134" i="4"/>
  <c r="T133" i="4"/>
  <c r="R133" i="4"/>
  <c r="Q133" i="4"/>
  <c r="P133" i="4"/>
  <c r="O133" i="4"/>
  <c r="M133" i="4"/>
  <c r="K133" i="4"/>
  <c r="J133" i="4"/>
  <c r="I133" i="4"/>
  <c r="H133" i="4"/>
  <c r="G133" i="4"/>
  <c r="T132" i="4"/>
  <c r="R132" i="4"/>
  <c r="Q132" i="4"/>
  <c r="P132" i="4"/>
  <c r="O132" i="4"/>
  <c r="M132" i="4"/>
  <c r="K132" i="4"/>
  <c r="J132" i="4"/>
  <c r="I132" i="4"/>
  <c r="H132" i="4"/>
  <c r="G132" i="4"/>
  <c r="T131" i="4"/>
  <c r="R131" i="4"/>
  <c r="Q131" i="4"/>
  <c r="P131" i="4"/>
  <c r="O131" i="4"/>
  <c r="M131" i="4"/>
  <c r="K131" i="4"/>
  <c r="J131" i="4"/>
  <c r="I131" i="4"/>
  <c r="H131" i="4"/>
  <c r="G131" i="4"/>
  <c r="T130" i="4"/>
  <c r="R130" i="4"/>
  <c r="Q130" i="4"/>
  <c r="P130" i="4"/>
  <c r="O130" i="4"/>
  <c r="M130" i="4"/>
  <c r="K130" i="4"/>
  <c r="J130" i="4"/>
  <c r="I130" i="4"/>
  <c r="H130" i="4"/>
  <c r="G130" i="4"/>
  <c r="T129" i="4"/>
  <c r="R129" i="4"/>
  <c r="Q129" i="4"/>
  <c r="P129" i="4"/>
  <c r="O129" i="4"/>
  <c r="M129" i="4"/>
  <c r="K129" i="4"/>
  <c r="J129" i="4"/>
  <c r="I129" i="4"/>
  <c r="H129" i="4"/>
  <c r="G129" i="4"/>
  <c r="T128" i="4"/>
  <c r="R128" i="4"/>
  <c r="Q128" i="4"/>
  <c r="P128" i="4"/>
  <c r="O128" i="4"/>
  <c r="M128" i="4"/>
  <c r="K128" i="4"/>
  <c r="J128" i="4"/>
  <c r="I128" i="4"/>
  <c r="H128" i="4"/>
  <c r="G128" i="4"/>
  <c r="T127" i="4"/>
  <c r="R127" i="4"/>
  <c r="Q127" i="4"/>
  <c r="P127" i="4"/>
  <c r="O127" i="4"/>
  <c r="M127" i="4"/>
  <c r="K127" i="4"/>
  <c r="J127" i="4"/>
  <c r="I127" i="4"/>
  <c r="H127" i="4"/>
  <c r="G127" i="4"/>
  <c r="T126" i="4"/>
  <c r="R126" i="4"/>
  <c r="Q126" i="4"/>
  <c r="P126" i="4"/>
  <c r="O126" i="4"/>
  <c r="M126" i="4"/>
  <c r="K126" i="4"/>
  <c r="J126" i="4"/>
  <c r="I126" i="4"/>
  <c r="H126" i="4"/>
  <c r="G126" i="4"/>
  <c r="T125" i="4"/>
  <c r="R125" i="4"/>
  <c r="Q125" i="4"/>
  <c r="P125" i="4"/>
  <c r="O125" i="4"/>
  <c r="M125" i="4"/>
  <c r="K125" i="4"/>
  <c r="J125" i="4"/>
  <c r="I125" i="4"/>
  <c r="H125" i="4"/>
  <c r="G125" i="4"/>
  <c r="T124" i="4"/>
  <c r="R124" i="4"/>
  <c r="Q124" i="4"/>
  <c r="P124" i="4"/>
  <c r="O124" i="4"/>
  <c r="M124" i="4"/>
  <c r="K124" i="4"/>
  <c r="J124" i="4"/>
  <c r="I124" i="4"/>
  <c r="H124" i="4"/>
  <c r="G124" i="4"/>
  <c r="T123" i="4"/>
  <c r="R123" i="4"/>
  <c r="Q123" i="4"/>
  <c r="P123" i="4"/>
  <c r="O123" i="4"/>
  <c r="M123" i="4"/>
  <c r="K123" i="4"/>
  <c r="J123" i="4"/>
  <c r="I123" i="4"/>
  <c r="H123" i="4"/>
  <c r="G123" i="4"/>
  <c r="T122" i="4"/>
  <c r="R122" i="4"/>
  <c r="Q122" i="4"/>
  <c r="P122" i="4"/>
  <c r="O122" i="4"/>
  <c r="M122" i="4"/>
  <c r="K122" i="4"/>
  <c r="J122" i="4"/>
  <c r="I122" i="4"/>
  <c r="H122" i="4"/>
  <c r="G122" i="4"/>
  <c r="T121" i="4"/>
  <c r="R121" i="4"/>
  <c r="Q121" i="4"/>
  <c r="P121" i="4"/>
  <c r="O121" i="4"/>
  <c r="M121" i="4"/>
  <c r="K121" i="4"/>
  <c r="J121" i="4"/>
  <c r="I121" i="4"/>
  <c r="H121" i="4"/>
  <c r="G121" i="4"/>
  <c r="T120" i="4"/>
  <c r="R120" i="4"/>
  <c r="Q120" i="4"/>
  <c r="P120" i="4"/>
  <c r="O120" i="4"/>
  <c r="M120" i="4"/>
  <c r="K120" i="4"/>
  <c r="J120" i="4"/>
  <c r="I120" i="4"/>
  <c r="H120" i="4"/>
  <c r="G120" i="4"/>
  <c r="T119" i="4"/>
  <c r="R119" i="4"/>
  <c r="Q119" i="4"/>
  <c r="P119" i="4"/>
  <c r="O119" i="4"/>
  <c r="M119" i="4"/>
  <c r="K119" i="4"/>
  <c r="J119" i="4"/>
  <c r="I119" i="4"/>
  <c r="H119" i="4"/>
  <c r="G119" i="4"/>
  <c r="T118" i="4"/>
  <c r="R118" i="4"/>
  <c r="Q118" i="4"/>
  <c r="P118" i="4"/>
  <c r="O118" i="4"/>
  <c r="M118" i="4"/>
  <c r="K118" i="4"/>
  <c r="J118" i="4"/>
  <c r="I118" i="4"/>
  <c r="H118" i="4"/>
  <c r="G118" i="4"/>
  <c r="T117" i="4"/>
  <c r="R117" i="4"/>
  <c r="Q117" i="4"/>
  <c r="P117" i="4"/>
  <c r="O117" i="4"/>
  <c r="M117" i="4"/>
  <c r="K117" i="4"/>
  <c r="J117" i="4"/>
  <c r="I117" i="4"/>
  <c r="H117" i="4"/>
  <c r="G117" i="4"/>
  <c r="T116" i="4"/>
  <c r="R116" i="4"/>
  <c r="Q116" i="4"/>
  <c r="P116" i="4"/>
  <c r="O116" i="4"/>
  <c r="M116" i="4"/>
  <c r="K116" i="4"/>
  <c r="J116" i="4"/>
  <c r="I116" i="4"/>
  <c r="H116" i="4"/>
  <c r="G116" i="4"/>
  <c r="T115" i="4"/>
  <c r="R115" i="4"/>
  <c r="Q115" i="4"/>
  <c r="P115" i="4"/>
  <c r="O115" i="4"/>
  <c r="M115" i="4"/>
  <c r="K115" i="4"/>
  <c r="J115" i="4"/>
  <c r="I115" i="4"/>
  <c r="H115" i="4"/>
  <c r="G115" i="4"/>
  <c r="T114" i="4"/>
  <c r="R114" i="4"/>
  <c r="Q114" i="4"/>
  <c r="P114" i="4"/>
  <c r="O114" i="4"/>
  <c r="M114" i="4"/>
  <c r="K114" i="4"/>
  <c r="J114" i="4"/>
  <c r="I114" i="4"/>
  <c r="H114" i="4"/>
  <c r="G114" i="4"/>
  <c r="T113" i="4"/>
  <c r="R113" i="4"/>
  <c r="Q113" i="4"/>
  <c r="P113" i="4"/>
  <c r="O113" i="4"/>
  <c r="M113" i="4"/>
  <c r="K113" i="4"/>
  <c r="J113" i="4"/>
  <c r="I113" i="4"/>
  <c r="H113" i="4"/>
  <c r="G113" i="4"/>
  <c r="T112" i="4"/>
  <c r="R112" i="4"/>
  <c r="Q112" i="4"/>
  <c r="P112" i="4"/>
  <c r="O112" i="4"/>
  <c r="M112" i="4"/>
  <c r="K112" i="4"/>
  <c r="J112" i="4"/>
  <c r="I112" i="4"/>
  <c r="H112" i="4"/>
  <c r="G112" i="4"/>
  <c r="T111" i="4"/>
  <c r="R111" i="4"/>
  <c r="Q111" i="4"/>
  <c r="P111" i="4"/>
  <c r="O111" i="4"/>
  <c r="M111" i="4"/>
  <c r="K111" i="4"/>
  <c r="J111" i="4"/>
  <c r="I111" i="4"/>
  <c r="H111" i="4"/>
  <c r="G111" i="4"/>
  <c r="T110" i="4"/>
  <c r="R110" i="4"/>
  <c r="Q110" i="4"/>
  <c r="P110" i="4"/>
  <c r="O110" i="4"/>
  <c r="M110" i="4"/>
  <c r="K110" i="4"/>
  <c r="J110" i="4"/>
  <c r="I110" i="4"/>
  <c r="H110" i="4"/>
  <c r="G110" i="4"/>
  <c r="T109" i="4"/>
  <c r="R109" i="4"/>
  <c r="Q109" i="4"/>
  <c r="P109" i="4"/>
  <c r="O109" i="4"/>
  <c r="M109" i="4"/>
  <c r="K109" i="4"/>
  <c r="J109" i="4"/>
  <c r="I109" i="4"/>
  <c r="H109" i="4"/>
  <c r="G109" i="4"/>
  <c r="T108" i="4"/>
  <c r="R108" i="4"/>
  <c r="Q108" i="4"/>
  <c r="P108" i="4"/>
  <c r="O108" i="4"/>
  <c r="M108" i="4"/>
  <c r="K108" i="4"/>
  <c r="J108" i="4"/>
  <c r="I108" i="4"/>
  <c r="H108" i="4"/>
  <c r="G108" i="4"/>
  <c r="T107" i="4"/>
  <c r="R107" i="4"/>
  <c r="Q107" i="4"/>
  <c r="P107" i="4"/>
  <c r="O107" i="4"/>
  <c r="M107" i="4"/>
  <c r="K107" i="4"/>
  <c r="J107" i="4"/>
  <c r="I107" i="4"/>
  <c r="H107" i="4"/>
  <c r="G107" i="4"/>
  <c r="T106" i="4"/>
  <c r="R106" i="4"/>
  <c r="Q106" i="4"/>
  <c r="P106" i="4"/>
  <c r="O106" i="4"/>
  <c r="M106" i="4"/>
  <c r="K106" i="4"/>
  <c r="J106" i="4"/>
  <c r="I106" i="4"/>
  <c r="H106" i="4"/>
  <c r="G106" i="4"/>
  <c r="T105" i="4"/>
  <c r="R105" i="4"/>
  <c r="Q105" i="4"/>
  <c r="P105" i="4"/>
  <c r="O105" i="4"/>
  <c r="M105" i="4"/>
  <c r="K105" i="4"/>
  <c r="J105" i="4"/>
  <c r="I105" i="4"/>
  <c r="H105" i="4"/>
  <c r="G105" i="4"/>
  <c r="T104" i="4"/>
  <c r="R104" i="4"/>
  <c r="Q104" i="4"/>
  <c r="P104" i="4"/>
  <c r="O104" i="4"/>
  <c r="M104" i="4"/>
  <c r="K104" i="4"/>
  <c r="J104" i="4"/>
  <c r="I104" i="4"/>
  <c r="H104" i="4"/>
  <c r="G104" i="4"/>
  <c r="T103" i="4"/>
  <c r="R103" i="4"/>
  <c r="Q103" i="4"/>
  <c r="P103" i="4"/>
  <c r="O103" i="4"/>
  <c r="M103" i="4"/>
  <c r="K103" i="4"/>
  <c r="J103" i="4"/>
  <c r="I103" i="4"/>
  <c r="H103" i="4"/>
  <c r="G103" i="4"/>
  <c r="T102" i="4"/>
  <c r="R102" i="4"/>
  <c r="Q102" i="4"/>
  <c r="P102" i="4"/>
  <c r="O102" i="4"/>
  <c r="M102" i="4"/>
  <c r="K102" i="4"/>
  <c r="J102" i="4"/>
  <c r="I102" i="4"/>
  <c r="H102" i="4"/>
  <c r="G102" i="4"/>
  <c r="T101" i="4"/>
  <c r="R101" i="4"/>
  <c r="Q101" i="4"/>
  <c r="P101" i="4"/>
  <c r="O101" i="4"/>
  <c r="M101" i="4"/>
  <c r="K101" i="4"/>
  <c r="J101" i="4"/>
  <c r="I101" i="4"/>
  <c r="H101" i="4"/>
  <c r="G101" i="4"/>
  <c r="T100" i="4"/>
  <c r="R100" i="4"/>
  <c r="Q100" i="4"/>
  <c r="P100" i="4"/>
  <c r="O100" i="4"/>
  <c r="M100" i="4"/>
  <c r="K100" i="4"/>
  <c r="J100" i="4"/>
  <c r="I100" i="4"/>
  <c r="H100" i="4"/>
  <c r="G100" i="4"/>
  <c r="T99" i="4"/>
  <c r="R99" i="4"/>
  <c r="Q99" i="4"/>
  <c r="P99" i="4"/>
  <c r="O99" i="4"/>
  <c r="M99" i="4"/>
  <c r="K99" i="4"/>
  <c r="J99" i="4"/>
  <c r="I99" i="4"/>
  <c r="H99" i="4"/>
  <c r="G99" i="4"/>
  <c r="T98" i="4"/>
  <c r="R98" i="4"/>
  <c r="Q98" i="4"/>
  <c r="P98" i="4"/>
  <c r="O98" i="4"/>
  <c r="M98" i="4"/>
  <c r="K98" i="4"/>
  <c r="J98" i="4"/>
  <c r="I98" i="4"/>
  <c r="H98" i="4"/>
  <c r="G98" i="4"/>
  <c r="T97" i="4"/>
  <c r="R97" i="4"/>
  <c r="Q97" i="4"/>
  <c r="P97" i="4"/>
  <c r="O97" i="4"/>
  <c r="M97" i="4"/>
  <c r="K97" i="4"/>
  <c r="J97" i="4"/>
  <c r="I97" i="4"/>
  <c r="H97" i="4"/>
  <c r="G97" i="4"/>
  <c r="T96" i="4"/>
  <c r="R96" i="4"/>
  <c r="Q96" i="4"/>
  <c r="P96" i="4"/>
  <c r="O96" i="4"/>
  <c r="M96" i="4"/>
  <c r="K96" i="4"/>
  <c r="J96" i="4"/>
  <c r="I96" i="4"/>
  <c r="H96" i="4"/>
  <c r="G96" i="4"/>
  <c r="T95" i="4"/>
  <c r="R95" i="4"/>
  <c r="Q95" i="4"/>
  <c r="P95" i="4"/>
  <c r="O95" i="4"/>
  <c r="M95" i="4"/>
  <c r="K95" i="4"/>
  <c r="J95" i="4"/>
  <c r="I95" i="4"/>
  <c r="H95" i="4"/>
  <c r="G95" i="4"/>
  <c r="T94" i="4"/>
  <c r="R94" i="4"/>
  <c r="Q94" i="4"/>
  <c r="P94" i="4"/>
  <c r="O94" i="4"/>
  <c r="M94" i="4"/>
  <c r="K94" i="4"/>
  <c r="J94" i="4"/>
  <c r="I94" i="4"/>
  <c r="H94" i="4"/>
  <c r="G94" i="4"/>
  <c r="T93" i="4"/>
  <c r="R93" i="4"/>
  <c r="Q93" i="4"/>
  <c r="P93" i="4"/>
  <c r="O93" i="4"/>
  <c r="M93" i="4"/>
  <c r="K93" i="4"/>
  <c r="J93" i="4"/>
  <c r="I93" i="4"/>
  <c r="H93" i="4"/>
  <c r="G93" i="4"/>
  <c r="T92" i="4"/>
  <c r="R92" i="4"/>
  <c r="Q92" i="4"/>
  <c r="P92" i="4"/>
  <c r="O92" i="4"/>
  <c r="M92" i="4"/>
  <c r="K92" i="4"/>
  <c r="J92" i="4"/>
  <c r="I92" i="4"/>
  <c r="H92" i="4"/>
  <c r="G92" i="4"/>
  <c r="T91" i="4"/>
  <c r="R91" i="4"/>
  <c r="Q91" i="4"/>
  <c r="P91" i="4"/>
  <c r="O91" i="4"/>
  <c r="M91" i="4"/>
  <c r="L91" i="4"/>
  <c r="K91" i="4"/>
  <c r="J91" i="4"/>
  <c r="I91" i="4"/>
  <c r="H91" i="4"/>
  <c r="G91" i="4"/>
  <c r="T90" i="4"/>
  <c r="R90" i="4"/>
  <c r="Q90" i="4"/>
  <c r="P90" i="4"/>
  <c r="O90" i="4"/>
  <c r="M90" i="4"/>
  <c r="L90" i="4"/>
  <c r="K90" i="4"/>
  <c r="J90" i="4"/>
  <c r="I90" i="4"/>
  <c r="H90" i="4"/>
  <c r="G90" i="4"/>
  <c r="T89" i="4"/>
  <c r="R89" i="4"/>
  <c r="Q89" i="4"/>
  <c r="P89" i="4"/>
  <c r="O89" i="4"/>
  <c r="M89" i="4"/>
  <c r="L89" i="4"/>
  <c r="K89" i="4"/>
  <c r="J89" i="4"/>
  <c r="I89" i="4"/>
  <c r="H89" i="4"/>
  <c r="G89" i="4"/>
  <c r="T88" i="4"/>
  <c r="R88" i="4"/>
  <c r="Q88" i="4"/>
  <c r="P88" i="4"/>
  <c r="O88" i="4"/>
  <c r="M88" i="4"/>
  <c r="L88" i="4"/>
  <c r="K88" i="4"/>
  <c r="J88" i="4"/>
  <c r="I88" i="4"/>
  <c r="H88" i="4"/>
  <c r="G88" i="4"/>
  <c r="T87" i="4"/>
  <c r="R87" i="4"/>
  <c r="Q87" i="4"/>
  <c r="P87" i="4"/>
  <c r="O87" i="4"/>
  <c r="M87" i="4"/>
  <c r="L87" i="4"/>
  <c r="K87" i="4"/>
  <c r="J87" i="4"/>
  <c r="I87" i="4"/>
  <c r="H87" i="4"/>
  <c r="G87" i="4"/>
  <c r="T86" i="4"/>
  <c r="R86" i="4"/>
  <c r="Q86" i="4"/>
  <c r="P86" i="4"/>
  <c r="O86" i="4"/>
  <c r="M86" i="4"/>
  <c r="L86" i="4"/>
  <c r="K86" i="4"/>
  <c r="J86" i="4"/>
  <c r="I86" i="4"/>
  <c r="H86" i="4"/>
  <c r="G86" i="4"/>
  <c r="T85" i="4"/>
  <c r="R85" i="4"/>
  <c r="Q85" i="4"/>
  <c r="P85" i="4"/>
  <c r="O85" i="4"/>
  <c r="M85" i="4"/>
  <c r="L85" i="4"/>
  <c r="K85" i="4"/>
  <c r="J85" i="4"/>
  <c r="I85" i="4"/>
  <c r="H85" i="4"/>
  <c r="G85" i="4"/>
  <c r="T84" i="4"/>
  <c r="R84" i="4"/>
  <c r="Q84" i="4"/>
  <c r="P84" i="4"/>
  <c r="O84" i="4"/>
  <c r="M84" i="4"/>
  <c r="L84" i="4"/>
  <c r="K84" i="4"/>
  <c r="J84" i="4"/>
  <c r="I84" i="4"/>
  <c r="H84" i="4"/>
  <c r="G84" i="4"/>
  <c r="T83" i="4"/>
  <c r="R83" i="4"/>
  <c r="Q83" i="4"/>
  <c r="P83" i="4"/>
  <c r="O83" i="4"/>
  <c r="M83" i="4"/>
  <c r="L83" i="4"/>
  <c r="K83" i="4"/>
  <c r="J83" i="4"/>
  <c r="I83" i="4"/>
  <c r="H83" i="4"/>
  <c r="G83" i="4"/>
  <c r="T82" i="4"/>
  <c r="R82" i="4"/>
  <c r="Q82" i="4"/>
  <c r="P82" i="4"/>
  <c r="O82" i="4"/>
  <c r="M82" i="4"/>
  <c r="L82" i="4"/>
  <c r="K82" i="4"/>
  <c r="J82" i="4"/>
  <c r="I82" i="4"/>
  <c r="H82" i="4"/>
  <c r="G82" i="4"/>
  <c r="T81" i="4"/>
  <c r="R81" i="4"/>
  <c r="Q81" i="4"/>
  <c r="P81" i="4"/>
  <c r="O81" i="4"/>
  <c r="M81" i="4"/>
  <c r="L81" i="4"/>
  <c r="K81" i="4"/>
  <c r="J81" i="4"/>
  <c r="I81" i="4"/>
  <c r="H81" i="4"/>
  <c r="G81" i="4"/>
  <c r="T80" i="4"/>
  <c r="R80" i="4"/>
  <c r="Q80" i="4"/>
  <c r="P80" i="4"/>
  <c r="O80" i="4"/>
  <c r="M80" i="4"/>
  <c r="L80" i="4"/>
  <c r="K80" i="4"/>
  <c r="J80" i="4"/>
  <c r="I80" i="4"/>
  <c r="H80" i="4"/>
  <c r="G80" i="4"/>
  <c r="T79" i="4"/>
  <c r="R79" i="4"/>
  <c r="Q79" i="4"/>
  <c r="P79" i="4"/>
  <c r="O79" i="4"/>
  <c r="M79" i="4"/>
  <c r="L79" i="4"/>
  <c r="K79" i="4"/>
  <c r="J79" i="4"/>
  <c r="I79" i="4"/>
  <c r="H79" i="4"/>
  <c r="G79" i="4"/>
  <c r="T78" i="4"/>
  <c r="R78" i="4"/>
  <c r="Q78" i="4"/>
  <c r="P78" i="4"/>
  <c r="O78" i="4"/>
  <c r="M78" i="4"/>
  <c r="L78" i="4"/>
  <c r="K78" i="4"/>
  <c r="J78" i="4"/>
  <c r="I78" i="4"/>
  <c r="H78" i="4"/>
  <c r="G78" i="4"/>
  <c r="T77" i="4"/>
  <c r="R77" i="4"/>
  <c r="Q77" i="4"/>
  <c r="P77" i="4"/>
  <c r="O77" i="4"/>
  <c r="M77" i="4"/>
  <c r="L77" i="4"/>
  <c r="K77" i="4"/>
  <c r="J77" i="4"/>
  <c r="I77" i="4"/>
  <c r="H77" i="4"/>
  <c r="G77" i="4"/>
  <c r="T76" i="4"/>
  <c r="R76" i="4"/>
  <c r="Q76" i="4"/>
  <c r="P76" i="4"/>
  <c r="O76" i="4"/>
  <c r="M76" i="4"/>
  <c r="L76" i="4"/>
  <c r="K76" i="4"/>
  <c r="J76" i="4"/>
  <c r="I76" i="4"/>
  <c r="H76" i="4"/>
  <c r="G76" i="4"/>
  <c r="T75" i="4"/>
  <c r="R75" i="4"/>
  <c r="Q75" i="4"/>
  <c r="P75" i="4"/>
  <c r="O75" i="4"/>
  <c r="M75" i="4"/>
  <c r="L75" i="4"/>
  <c r="K75" i="4"/>
  <c r="J75" i="4"/>
  <c r="I75" i="4"/>
  <c r="H75" i="4"/>
  <c r="G75" i="4"/>
  <c r="T74" i="4"/>
  <c r="R74" i="4"/>
  <c r="Q74" i="4"/>
  <c r="P74" i="4"/>
  <c r="O74" i="4"/>
  <c r="M74" i="4"/>
  <c r="L74" i="4"/>
  <c r="K74" i="4"/>
  <c r="J74" i="4"/>
  <c r="I74" i="4"/>
  <c r="H74" i="4"/>
  <c r="G74" i="4"/>
  <c r="T73" i="4"/>
  <c r="R73" i="4"/>
  <c r="Q73" i="4"/>
  <c r="P73" i="4"/>
  <c r="O73" i="4"/>
  <c r="M73" i="4"/>
  <c r="L73" i="4"/>
  <c r="K73" i="4"/>
  <c r="J73" i="4"/>
  <c r="I73" i="4"/>
  <c r="H73" i="4"/>
  <c r="G73" i="4"/>
  <c r="T72" i="4"/>
  <c r="R72" i="4"/>
  <c r="Q72" i="4"/>
  <c r="P72" i="4"/>
  <c r="O72" i="4"/>
  <c r="M72" i="4"/>
  <c r="L72" i="4"/>
  <c r="K72" i="4"/>
  <c r="J72" i="4"/>
  <c r="I72" i="4"/>
  <c r="H72" i="4"/>
  <c r="G72" i="4"/>
  <c r="T71" i="4"/>
  <c r="R71" i="4"/>
  <c r="Q71" i="4"/>
  <c r="P71" i="4"/>
  <c r="O71" i="4"/>
  <c r="M71" i="4"/>
  <c r="L71" i="4"/>
  <c r="K71" i="4"/>
  <c r="J71" i="4"/>
  <c r="I71" i="4"/>
  <c r="H71" i="4"/>
  <c r="G71" i="4"/>
  <c r="T70" i="4"/>
  <c r="R70" i="4"/>
  <c r="Q70" i="4"/>
  <c r="P70" i="4"/>
  <c r="O70" i="4"/>
  <c r="M70" i="4"/>
  <c r="L70" i="4"/>
  <c r="K70" i="4"/>
  <c r="J70" i="4"/>
  <c r="I70" i="4"/>
  <c r="H70" i="4"/>
  <c r="G70" i="4"/>
  <c r="T69" i="4"/>
  <c r="R69" i="4"/>
  <c r="Q69" i="4"/>
  <c r="P69" i="4"/>
  <c r="O69" i="4"/>
  <c r="M69" i="4"/>
  <c r="L69" i="4"/>
  <c r="K69" i="4"/>
  <c r="J69" i="4"/>
  <c r="I69" i="4"/>
  <c r="H69" i="4"/>
  <c r="G69" i="4"/>
  <c r="T68" i="4"/>
  <c r="R68" i="4"/>
  <c r="Q68" i="4"/>
  <c r="P68" i="4"/>
  <c r="O68" i="4"/>
  <c r="M68" i="4"/>
  <c r="L68" i="4"/>
  <c r="K68" i="4"/>
  <c r="J68" i="4"/>
  <c r="I68" i="4"/>
  <c r="H68" i="4"/>
  <c r="G68" i="4"/>
  <c r="T67" i="4"/>
  <c r="R67" i="4"/>
  <c r="Q67" i="4"/>
  <c r="P67" i="4"/>
  <c r="O67" i="4"/>
  <c r="M67" i="4"/>
  <c r="L67" i="4"/>
  <c r="K67" i="4"/>
  <c r="J67" i="4"/>
  <c r="I67" i="4"/>
  <c r="H67" i="4"/>
  <c r="G67" i="4"/>
  <c r="T66" i="4"/>
  <c r="R66" i="4"/>
  <c r="Q66" i="4"/>
  <c r="P66" i="4"/>
  <c r="O66" i="4"/>
  <c r="M66" i="4"/>
  <c r="L66" i="4"/>
  <c r="K66" i="4"/>
  <c r="J66" i="4"/>
  <c r="I66" i="4"/>
  <c r="H66" i="4"/>
  <c r="G66" i="4"/>
  <c r="T65" i="4"/>
  <c r="R65" i="4"/>
  <c r="Q65" i="4"/>
  <c r="P65" i="4"/>
  <c r="O65" i="4"/>
  <c r="M65" i="4"/>
  <c r="L65" i="4"/>
  <c r="K65" i="4"/>
  <c r="J65" i="4"/>
  <c r="I65" i="4"/>
  <c r="H65" i="4"/>
  <c r="G65" i="4"/>
  <c r="T64" i="4"/>
  <c r="R64" i="4"/>
  <c r="Q64" i="4"/>
  <c r="P64" i="4"/>
  <c r="O64" i="4"/>
  <c r="M64" i="4"/>
  <c r="L64" i="4"/>
  <c r="K64" i="4"/>
  <c r="J64" i="4"/>
  <c r="I64" i="4"/>
  <c r="H64" i="4"/>
  <c r="G64" i="4"/>
  <c r="T63" i="4"/>
  <c r="R63" i="4"/>
  <c r="Q63" i="4"/>
  <c r="P63" i="4"/>
  <c r="O63" i="4"/>
  <c r="M63" i="4"/>
  <c r="L63" i="4"/>
  <c r="K63" i="4"/>
  <c r="J63" i="4"/>
  <c r="I63" i="4"/>
  <c r="H63" i="4"/>
  <c r="G63" i="4"/>
  <c r="T62" i="4"/>
  <c r="R62" i="4"/>
  <c r="Q62" i="4"/>
  <c r="P62" i="4"/>
  <c r="O62" i="4"/>
  <c r="M62" i="4"/>
  <c r="L62" i="4"/>
  <c r="K62" i="4"/>
  <c r="J62" i="4"/>
  <c r="I62" i="4"/>
  <c r="H62" i="4"/>
  <c r="G62" i="4"/>
  <c r="T61" i="4"/>
  <c r="R61" i="4"/>
  <c r="Q61" i="4"/>
  <c r="P61" i="4"/>
  <c r="O61" i="4"/>
  <c r="M61" i="4"/>
  <c r="L61" i="4"/>
  <c r="K61" i="4"/>
  <c r="J61" i="4"/>
  <c r="I61" i="4"/>
  <c r="H61" i="4"/>
  <c r="G61" i="4"/>
  <c r="T60" i="4"/>
  <c r="R60" i="4"/>
  <c r="Q60" i="4"/>
  <c r="P60" i="4"/>
  <c r="O60" i="4"/>
  <c r="M60" i="4"/>
  <c r="L60" i="4"/>
  <c r="K60" i="4"/>
  <c r="J60" i="4"/>
  <c r="I60" i="4"/>
  <c r="H60" i="4"/>
  <c r="G60" i="4"/>
  <c r="T59" i="4"/>
  <c r="R59" i="4"/>
  <c r="Q59" i="4"/>
  <c r="P59" i="4"/>
  <c r="O59" i="4"/>
  <c r="M59" i="4"/>
  <c r="L59" i="4"/>
  <c r="K59" i="4"/>
  <c r="J59" i="4"/>
  <c r="I59" i="4"/>
  <c r="H59" i="4"/>
  <c r="G59" i="4"/>
  <c r="T58" i="4"/>
  <c r="R58" i="4"/>
  <c r="Q58" i="4"/>
  <c r="P58" i="4"/>
  <c r="O58" i="4"/>
  <c r="M58" i="4"/>
  <c r="L58" i="4"/>
  <c r="K58" i="4"/>
  <c r="J58" i="4"/>
  <c r="I58" i="4"/>
  <c r="H58" i="4"/>
  <c r="G58" i="4"/>
  <c r="T44" i="4"/>
  <c r="R44" i="4"/>
  <c r="Q44" i="4"/>
  <c r="P44" i="4"/>
  <c r="O44" i="4"/>
  <c r="M44" i="4"/>
  <c r="L44" i="4"/>
  <c r="K44" i="4"/>
  <c r="J44" i="4"/>
  <c r="I44" i="4"/>
  <c r="H44" i="4"/>
  <c r="G44" i="4"/>
  <c r="T53" i="4"/>
  <c r="R53" i="4"/>
  <c r="Q53" i="4"/>
  <c r="P53" i="4"/>
  <c r="O53" i="4"/>
  <c r="M53" i="4"/>
  <c r="L53" i="4"/>
  <c r="K53" i="4"/>
  <c r="J53" i="4"/>
  <c r="I53" i="4"/>
  <c r="H53" i="4"/>
  <c r="G53" i="4"/>
  <c r="T56" i="4"/>
  <c r="R56" i="4"/>
  <c r="Q56" i="4"/>
  <c r="P56" i="4"/>
  <c r="O56" i="4"/>
  <c r="M56" i="4"/>
  <c r="L56" i="4"/>
  <c r="K56" i="4"/>
  <c r="J56" i="4"/>
  <c r="I56" i="4"/>
  <c r="H56" i="4"/>
  <c r="G56" i="4"/>
  <c r="F56" i="4"/>
  <c r="D56" i="4"/>
  <c r="T51" i="4"/>
  <c r="R51" i="4"/>
  <c r="Q51" i="4"/>
  <c r="P51" i="4"/>
  <c r="O51" i="4"/>
  <c r="M51" i="4"/>
  <c r="L51" i="4"/>
  <c r="K51" i="4"/>
  <c r="J51" i="4"/>
  <c r="I51" i="4"/>
  <c r="H51" i="4"/>
  <c r="G51" i="4"/>
  <c r="F51" i="4"/>
  <c r="D51" i="4"/>
  <c r="T55" i="4"/>
  <c r="R55" i="4"/>
  <c r="Q55" i="4"/>
  <c r="P55" i="4"/>
  <c r="O55" i="4"/>
  <c r="M55" i="4"/>
  <c r="L55" i="4"/>
  <c r="K55" i="4"/>
  <c r="J55" i="4"/>
  <c r="I55" i="4"/>
  <c r="H55" i="4"/>
  <c r="G55" i="4"/>
  <c r="F55" i="4"/>
  <c r="D55" i="4"/>
  <c r="T43" i="4"/>
  <c r="R43" i="4"/>
  <c r="Q43" i="4"/>
  <c r="P43" i="4"/>
  <c r="O43" i="4"/>
  <c r="M43" i="4"/>
  <c r="L43" i="4"/>
  <c r="K43" i="4"/>
  <c r="J43" i="4"/>
  <c r="I43" i="4"/>
  <c r="H43" i="4"/>
  <c r="G43" i="4"/>
  <c r="F43" i="4"/>
  <c r="D43" i="4"/>
  <c r="B33" i="4"/>
  <c r="BE26" i="4"/>
  <c r="B23" i="4"/>
  <c r="B24" i="4" s="1"/>
  <c r="B12" i="4"/>
  <c r="C12" i="4" s="1"/>
  <c r="BB10" i="4"/>
  <c r="BE25" i="4"/>
  <c r="B25" i="4"/>
  <c r="AY21" i="4"/>
  <c r="BD21" i="4"/>
  <c r="AY24" i="4"/>
  <c r="BD24" i="4"/>
  <c r="BE24" i="4"/>
  <c r="BC21" i="4"/>
  <c r="BC24" i="4"/>
  <c r="BB21" i="4"/>
  <c r="BB24" i="4"/>
  <c r="BA24" i="4"/>
  <c r="AZ24" i="4"/>
  <c r="BG7" i="4"/>
  <c r="BA10" i="4"/>
  <c r="B16" i="4"/>
  <c r="C16" i="4" s="1"/>
  <c r="B21" i="4" s="1"/>
  <c r="BG6" i="4"/>
  <c r="BG5" i="4"/>
  <c r="BG4" i="4"/>
  <c r="B17" i="4"/>
  <c r="C17" i="4" s="1"/>
  <c r="B15" i="4"/>
  <c r="C15" i="4" s="1"/>
  <c r="N12" i="4"/>
  <c r="M12" i="4"/>
  <c r="BG3" i="4"/>
  <c r="AZ24" i="3"/>
  <c r="BC21" i="3"/>
  <c r="BC24" i="3" s="1"/>
  <c r="BE25" i="3"/>
  <c r="BE24" i="3"/>
  <c r="BE26" i="3"/>
  <c r="BA24" i="3"/>
  <c r="BD21" i="3"/>
  <c r="BD24" i="3"/>
  <c r="B16" i="3"/>
  <c r="C16" i="3" s="1"/>
  <c r="BG6" i="3"/>
  <c r="BG5" i="3"/>
  <c r="BG4" i="3"/>
  <c r="B17" i="3"/>
  <c r="C17" i="3" s="1"/>
  <c r="O36" i="3"/>
  <c r="P36" i="3"/>
  <c r="Q36" i="3"/>
  <c r="R36" i="3"/>
  <c r="T36" i="3"/>
  <c r="O37" i="3"/>
  <c r="P37" i="3"/>
  <c r="Q37" i="3"/>
  <c r="R37" i="3"/>
  <c r="T37" i="3"/>
  <c r="O38" i="3"/>
  <c r="P38" i="3"/>
  <c r="Q38" i="3"/>
  <c r="R38" i="3"/>
  <c r="T38" i="3"/>
  <c r="O39" i="3"/>
  <c r="P39" i="3"/>
  <c r="Q39" i="3"/>
  <c r="R39" i="3"/>
  <c r="T39" i="3"/>
  <c r="O40" i="3"/>
  <c r="P40" i="3"/>
  <c r="Q40" i="3"/>
  <c r="R40" i="3"/>
  <c r="T40" i="3"/>
  <c r="O41" i="3"/>
  <c r="P41" i="3"/>
  <c r="Q41" i="3"/>
  <c r="R41" i="3"/>
  <c r="T41" i="3"/>
  <c r="O42" i="3"/>
  <c r="P42" i="3"/>
  <c r="Q42" i="3"/>
  <c r="R42" i="3"/>
  <c r="T42" i="3"/>
  <c r="O43" i="3"/>
  <c r="P43" i="3"/>
  <c r="Q43" i="3"/>
  <c r="R43" i="3"/>
  <c r="T43" i="3"/>
  <c r="R35" i="3"/>
  <c r="Q35" i="3"/>
  <c r="P35" i="3"/>
  <c r="O35" i="3"/>
  <c r="M36" i="3"/>
  <c r="L36" i="3"/>
  <c r="M37" i="3"/>
  <c r="L37" i="3"/>
  <c r="M38" i="3"/>
  <c r="L38" i="3"/>
  <c r="M39" i="3"/>
  <c r="L39" i="3"/>
  <c r="M40" i="3"/>
  <c r="L40" i="3"/>
  <c r="M41" i="3"/>
  <c r="L41" i="3"/>
  <c r="M42" i="3"/>
  <c r="L42" i="3"/>
  <c r="M43" i="3"/>
  <c r="L43" i="3"/>
  <c r="M35" i="3"/>
  <c r="L35" i="3"/>
  <c r="K36" i="3"/>
  <c r="K37" i="3"/>
  <c r="K38" i="3"/>
  <c r="K39" i="3"/>
  <c r="K40" i="3"/>
  <c r="K41" i="3"/>
  <c r="K42" i="3"/>
  <c r="K43" i="3"/>
  <c r="K35" i="3"/>
  <c r="J36" i="3"/>
  <c r="J37" i="3"/>
  <c r="J38" i="3"/>
  <c r="J39" i="3"/>
  <c r="J40" i="3"/>
  <c r="J41" i="3"/>
  <c r="J42" i="3"/>
  <c r="J43" i="3"/>
  <c r="J35" i="3"/>
  <c r="I36" i="3"/>
  <c r="I37" i="3"/>
  <c r="I38" i="3"/>
  <c r="I39" i="3"/>
  <c r="I40" i="3"/>
  <c r="I41" i="3"/>
  <c r="I42" i="3"/>
  <c r="I43" i="3"/>
  <c r="I35" i="3"/>
  <c r="H36" i="3"/>
  <c r="H37" i="3"/>
  <c r="H38" i="3"/>
  <c r="H39" i="3"/>
  <c r="H40" i="3"/>
  <c r="H41" i="3"/>
  <c r="H42" i="3"/>
  <c r="H43" i="3"/>
  <c r="H35" i="3"/>
  <c r="G36" i="3"/>
  <c r="G37" i="3"/>
  <c r="G38" i="3"/>
  <c r="G39" i="3"/>
  <c r="G40" i="3"/>
  <c r="G41" i="3"/>
  <c r="G42" i="3"/>
  <c r="G43" i="3"/>
  <c r="G35" i="3"/>
  <c r="F36" i="3"/>
  <c r="F37" i="3"/>
  <c r="F38" i="3"/>
  <c r="F39" i="3"/>
  <c r="F40" i="3"/>
  <c r="F41" i="3"/>
  <c r="F42" i="3"/>
  <c r="F43" i="3"/>
  <c r="F35" i="3"/>
  <c r="D37" i="3"/>
  <c r="D38" i="3"/>
  <c r="D39" i="3"/>
  <c r="D40" i="3"/>
  <c r="D41" i="3"/>
  <c r="D36" i="3"/>
  <c r="D42" i="3"/>
  <c r="D43" i="3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A5" i="7"/>
  <c r="A6" i="7"/>
  <c r="A7" i="7"/>
  <c r="A8" i="7"/>
  <c r="A9" i="7"/>
  <c r="A10" i="7"/>
  <c r="A11" i="7"/>
  <c r="A12" i="7"/>
  <c r="A13" i="7"/>
  <c r="A14" i="7"/>
  <c r="A16" i="7"/>
  <c r="A19" i="7" s="1"/>
  <c r="A17" i="7"/>
  <c r="A18" i="7"/>
  <c r="E5" i="7"/>
  <c r="E6" i="7"/>
  <c r="E7" i="7"/>
  <c r="E8" i="7"/>
  <c r="E9" i="7"/>
  <c r="E10" i="7"/>
  <c r="E11" i="7"/>
  <c r="E12" i="7"/>
  <c r="E13" i="7"/>
  <c r="E14" i="7"/>
  <c r="E15" i="7"/>
  <c r="E16" i="7"/>
  <c r="D35" i="3"/>
  <c r="B33" i="3"/>
  <c r="B21" i="3" l="1"/>
  <c r="B24" i="5"/>
  <c r="G16" i="5" s="1"/>
  <c r="S62" i="3"/>
  <c r="S63" i="3"/>
  <c r="S64" i="3"/>
  <c r="N63" i="3"/>
  <c r="N64" i="3"/>
  <c r="S56" i="3"/>
  <c r="S50" i="3"/>
  <c r="S59" i="3"/>
  <c r="N48" i="3"/>
  <c r="N59" i="3"/>
  <c r="N57" i="3"/>
  <c r="S61" i="3"/>
  <c r="E63" i="3"/>
  <c r="E58" i="3"/>
  <c r="E59" i="3"/>
  <c r="N58" i="3"/>
  <c r="S60" i="3"/>
  <c r="S51" i="3"/>
  <c r="N50" i="3"/>
  <c r="E51" i="3"/>
  <c r="S57" i="3"/>
  <c r="E56" i="3"/>
  <c r="N51" i="3"/>
  <c r="N56" i="3"/>
  <c r="E61" i="3"/>
  <c r="N62" i="3"/>
  <c r="N61" i="3"/>
  <c r="N60" i="3"/>
  <c r="S55" i="3"/>
  <c r="E64" i="3"/>
  <c r="E57" i="3"/>
  <c r="E50" i="3"/>
  <c r="E62" i="3"/>
  <c r="E48" i="3"/>
  <c r="E55" i="3"/>
  <c r="S58" i="3"/>
  <c r="N55" i="3"/>
  <c r="S48" i="3"/>
  <c r="E60" i="3"/>
  <c r="E52" i="3"/>
  <c r="E58" i="4"/>
  <c r="G12" i="8"/>
  <c r="S50" i="8"/>
  <c r="N50" i="8"/>
  <c r="E53" i="4"/>
  <c r="E44" i="4"/>
  <c r="S47" i="3"/>
  <c r="N47" i="3"/>
  <c r="E47" i="3"/>
  <c r="I12" i="4"/>
  <c r="E110" i="8"/>
  <c r="E108" i="8"/>
  <c r="E106" i="8"/>
  <c r="E160" i="8"/>
  <c r="E151" i="8"/>
  <c r="N151" i="8"/>
  <c r="S151" i="8"/>
  <c r="E153" i="8"/>
  <c r="N153" i="8"/>
  <c r="S153" i="8"/>
  <c r="E155" i="8"/>
  <c r="N155" i="8"/>
  <c r="S155" i="8"/>
  <c r="E157" i="8"/>
  <c r="N157" i="8"/>
  <c r="S157" i="8"/>
  <c r="E159" i="8"/>
  <c r="N159" i="8"/>
  <c r="S159" i="8"/>
  <c r="S139" i="8"/>
  <c r="N139" i="8"/>
  <c r="S137" i="8"/>
  <c r="N137" i="8"/>
  <c r="S135" i="8"/>
  <c r="N135" i="8"/>
  <c r="S133" i="8"/>
  <c r="N133" i="8"/>
  <c r="S131" i="8"/>
  <c r="N131" i="8"/>
  <c r="S129" i="8"/>
  <c r="N129" i="8"/>
  <c r="S127" i="8"/>
  <c r="N127" i="8"/>
  <c r="S125" i="8"/>
  <c r="N125" i="8"/>
  <c r="S123" i="8"/>
  <c r="N123" i="8"/>
  <c r="S121" i="8"/>
  <c r="N121" i="8"/>
  <c r="S119" i="8"/>
  <c r="N119" i="8"/>
  <c r="S117" i="8"/>
  <c r="N117" i="8"/>
  <c r="S115" i="8"/>
  <c r="N115" i="8"/>
  <c r="S113" i="8"/>
  <c r="N113" i="8"/>
  <c r="S111" i="8"/>
  <c r="N111" i="8"/>
  <c r="S109" i="8"/>
  <c r="N109" i="8"/>
  <c r="S107" i="8"/>
  <c r="N107" i="8"/>
  <c r="S105" i="8"/>
  <c r="N105" i="8"/>
  <c r="S103" i="8"/>
  <c r="N103" i="8"/>
  <c r="S101" i="8"/>
  <c r="N101" i="8"/>
  <c r="S99" i="8"/>
  <c r="N99" i="8"/>
  <c r="S97" i="8"/>
  <c r="N97" i="8"/>
  <c r="S95" i="8"/>
  <c r="N95" i="8"/>
  <c r="S93" i="8"/>
  <c r="N93" i="8"/>
  <c r="S91" i="8"/>
  <c r="N91" i="8"/>
  <c r="S89" i="8"/>
  <c r="N89" i="8"/>
  <c r="S87" i="8"/>
  <c r="N87" i="8"/>
  <c r="S85" i="8"/>
  <c r="E141" i="8"/>
  <c r="N141" i="8"/>
  <c r="S141" i="8"/>
  <c r="E143" i="8"/>
  <c r="N143" i="8"/>
  <c r="S143" i="8"/>
  <c r="E145" i="8"/>
  <c r="N145" i="8"/>
  <c r="S145" i="8"/>
  <c r="E147" i="8"/>
  <c r="N147" i="8"/>
  <c r="S147" i="8"/>
  <c r="E149" i="8"/>
  <c r="N149" i="8"/>
  <c r="S149" i="8"/>
  <c r="N160" i="8"/>
  <c r="S160" i="8"/>
  <c r="E162" i="8"/>
  <c r="N162" i="8"/>
  <c r="S162" i="8"/>
  <c r="E139" i="8"/>
  <c r="E137" i="8"/>
  <c r="E135" i="8"/>
  <c r="E133" i="8"/>
  <c r="E131" i="8"/>
  <c r="E129" i="8"/>
  <c r="E127" i="8"/>
  <c r="E125" i="8"/>
  <c r="E123" i="8"/>
  <c r="E121" i="8"/>
  <c r="E119" i="8"/>
  <c r="E117" i="8"/>
  <c r="E115" i="8"/>
  <c r="E113" i="8"/>
  <c r="E111" i="8"/>
  <c r="E109" i="8"/>
  <c r="E107" i="8"/>
  <c r="E105" i="8"/>
  <c r="E103" i="8"/>
  <c r="E101" i="8"/>
  <c r="E99" i="8"/>
  <c r="E97" i="8"/>
  <c r="E95" i="8"/>
  <c r="E93" i="8"/>
  <c r="E91" i="8"/>
  <c r="E89" i="8"/>
  <c r="S140" i="5"/>
  <c r="C6" i="8"/>
  <c r="B6" i="8" s="1"/>
  <c r="D12" i="6" s="1"/>
  <c r="B19" i="8"/>
  <c r="B10" i="8"/>
  <c r="B20" i="8"/>
  <c r="B7" i="8"/>
  <c r="BB25" i="8"/>
  <c r="N14" i="8" s="1"/>
  <c r="N15" i="8" s="1"/>
  <c r="I14" i="8" s="1"/>
  <c r="BA25" i="8"/>
  <c r="G14" i="8"/>
  <c r="B26" i="8"/>
  <c r="AZ25" i="8"/>
  <c r="BD25" i="8"/>
  <c r="N12" i="8" s="1"/>
  <c r="N13" i="8" s="1"/>
  <c r="BC25" i="8"/>
  <c r="G16" i="8"/>
  <c r="N85" i="8"/>
  <c r="S83" i="8"/>
  <c r="N83" i="8"/>
  <c r="S81" i="8"/>
  <c r="N81" i="8"/>
  <c r="S79" i="8"/>
  <c r="N79" i="8"/>
  <c r="S77" i="8"/>
  <c r="N77" i="8"/>
  <c r="S75" i="8"/>
  <c r="N75" i="8"/>
  <c r="S73" i="8"/>
  <c r="N73" i="8"/>
  <c r="S71" i="8"/>
  <c r="N71" i="8"/>
  <c r="S69" i="8"/>
  <c r="N69" i="8"/>
  <c r="S67" i="8"/>
  <c r="N67" i="8"/>
  <c r="S65" i="8"/>
  <c r="N65" i="8"/>
  <c r="S63" i="8"/>
  <c r="N63" i="8"/>
  <c r="S61" i="8"/>
  <c r="N61" i="8"/>
  <c r="S59" i="8"/>
  <c r="N59" i="8"/>
  <c r="S57" i="8"/>
  <c r="N57" i="8"/>
  <c r="S55" i="8"/>
  <c r="N55" i="8"/>
  <c r="S42" i="8"/>
  <c r="N42" i="8"/>
  <c r="S41" i="8"/>
  <c r="N41" i="8"/>
  <c r="E161" i="5"/>
  <c r="N161" i="5"/>
  <c r="S161" i="5"/>
  <c r="E87" i="8"/>
  <c r="E85" i="8"/>
  <c r="E83" i="8"/>
  <c r="E81" i="8"/>
  <c r="E79" i="8"/>
  <c r="S93" i="4"/>
  <c r="S49" i="4"/>
  <c r="N45" i="4"/>
  <c r="N49" i="4"/>
  <c r="N50" i="4"/>
  <c r="S48" i="4"/>
  <c r="N54" i="4"/>
  <c r="N46" i="4"/>
  <c r="S54" i="4"/>
  <c r="E45" i="4"/>
  <c r="N52" i="4"/>
  <c r="S46" i="4"/>
  <c r="E54" i="4"/>
  <c r="N47" i="4"/>
  <c r="S47" i="4"/>
  <c r="E52" i="4"/>
  <c r="E50" i="4"/>
  <c r="S45" i="4"/>
  <c r="E47" i="4"/>
  <c r="S57" i="4"/>
  <c r="E49" i="4"/>
  <c r="N57" i="4"/>
  <c r="N48" i="4"/>
  <c r="S52" i="4"/>
  <c r="E57" i="4"/>
  <c r="E46" i="4"/>
  <c r="S50" i="4"/>
  <c r="E48" i="4"/>
  <c r="S138" i="4"/>
  <c r="S163" i="3"/>
  <c r="N163" i="3"/>
  <c r="S161" i="3"/>
  <c r="N161" i="3"/>
  <c r="S159" i="3"/>
  <c r="N159" i="3"/>
  <c r="S157" i="3"/>
  <c r="N157" i="3"/>
  <c r="S155" i="3"/>
  <c r="N155" i="3"/>
  <c r="S153" i="3"/>
  <c r="N153" i="3"/>
  <c r="S151" i="3"/>
  <c r="N151" i="3"/>
  <c r="S149" i="3"/>
  <c r="N149" i="3"/>
  <c r="S147" i="3"/>
  <c r="N147" i="3"/>
  <c r="S145" i="3"/>
  <c r="N145" i="3"/>
  <c r="S143" i="3"/>
  <c r="N143" i="3"/>
  <c r="N93" i="4"/>
  <c r="N42" i="5"/>
  <c r="N55" i="5"/>
  <c r="N45" i="5"/>
  <c r="S51" i="5"/>
  <c r="S55" i="5"/>
  <c r="N47" i="5"/>
  <c r="E42" i="5"/>
  <c r="E44" i="5"/>
  <c r="E51" i="5"/>
  <c r="S44" i="5"/>
  <c r="E47" i="5"/>
  <c r="E45" i="5"/>
  <c r="N44" i="5"/>
  <c r="S45" i="5"/>
  <c r="S42" i="5"/>
  <c r="E55" i="5"/>
  <c r="S47" i="5"/>
  <c r="N51" i="5"/>
  <c r="E104" i="8"/>
  <c r="E102" i="8"/>
  <c r="E100" i="8"/>
  <c r="E98" i="8"/>
  <c r="E96" i="8"/>
  <c r="E94" i="8"/>
  <c r="E92" i="8"/>
  <c r="E90" i="8"/>
  <c r="E88" i="8"/>
  <c r="E86" i="8"/>
  <c r="E84" i="8"/>
  <c r="E82" i="8"/>
  <c r="E80" i="8"/>
  <c r="E78" i="8"/>
  <c r="E76" i="8"/>
  <c r="E74" i="8"/>
  <c r="E72" i="8"/>
  <c r="E70" i="8"/>
  <c r="E68" i="8"/>
  <c r="E66" i="8"/>
  <c r="E64" i="8"/>
  <c r="E62" i="8"/>
  <c r="E60" i="8"/>
  <c r="E58" i="8"/>
  <c r="E56" i="8"/>
  <c r="E54" i="8"/>
  <c r="E50" i="8"/>
  <c r="S141" i="3"/>
  <c r="N141" i="3"/>
  <c r="S139" i="3"/>
  <c r="N139" i="3"/>
  <c r="S137" i="3"/>
  <c r="N137" i="3"/>
  <c r="S135" i="3"/>
  <c r="N135" i="3"/>
  <c r="S133" i="3"/>
  <c r="N133" i="3"/>
  <c r="S131" i="3"/>
  <c r="N131" i="3"/>
  <c r="S129" i="3"/>
  <c r="N129" i="3"/>
  <c r="S127" i="3"/>
  <c r="N127" i="3"/>
  <c r="S125" i="3"/>
  <c r="N125" i="3"/>
  <c r="S123" i="3"/>
  <c r="N123" i="3"/>
  <c r="S121" i="3"/>
  <c r="N121" i="3"/>
  <c r="S119" i="3"/>
  <c r="N119" i="3"/>
  <c r="S117" i="3"/>
  <c r="N117" i="3"/>
  <c r="S115" i="3"/>
  <c r="N115" i="3"/>
  <c r="S113" i="3"/>
  <c r="N113" i="3"/>
  <c r="S111" i="3"/>
  <c r="N111" i="3"/>
  <c r="S109" i="3"/>
  <c r="N109" i="3"/>
  <c r="S107" i="3"/>
  <c r="N107" i="3"/>
  <c r="S105" i="3"/>
  <c r="N105" i="3"/>
  <c r="S103" i="3"/>
  <c r="N103" i="3"/>
  <c r="S101" i="3"/>
  <c r="N101" i="3"/>
  <c r="S99" i="3"/>
  <c r="N99" i="3"/>
  <c r="S97" i="3"/>
  <c r="N97" i="3"/>
  <c r="S95" i="3"/>
  <c r="N95" i="3"/>
  <c r="S93" i="3"/>
  <c r="N93" i="3"/>
  <c r="S91" i="3"/>
  <c r="N91" i="3"/>
  <c r="S89" i="3"/>
  <c r="N89" i="3"/>
  <c r="S87" i="3"/>
  <c r="N87" i="3"/>
  <c r="S85" i="3"/>
  <c r="N85" i="3"/>
  <c r="S83" i="3"/>
  <c r="N83" i="3"/>
  <c r="S81" i="3"/>
  <c r="N81" i="3"/>
  <c r="S79" i="3"/>
  <c r="N79" i="3"/>
  <c r="S77" i="3"/>
  <c r="N77" i="3"/>
  <c r="S75" i="3"/>
  <c r="N75" i="3"/>
  <c r="S73" i="3"/>
  <c r="S71" i="3"/>
  <c r="N71" i="3"/>
  <c r="S69" i="3"/>
  <c r="N69" i="3"/>
  <c r="N67" i="3"/>
  <c r="S65" i="3"/>
  <c r="N65" i="3"/>
  <c r="S49" i="3"/>
  <c r="E77" i="8"/>
  <c r="E75" i="8"/>
  <c r="E73" i="8"/>
  <c r="E71" i="8"/>
  <c r="E69" i="8"/>
  <c r="E67" i="8"/>
  <c r="E65" i="8"/>
  <c r="E63" i="8"/>
  <c r="E61" i="8"/>
  <c r="E59" i="8"/>
  <c r="E57" i="8"/>
  <c r="E55" i="8"/>
  <c r="E42" i="8"/>
  <c r="E41" i="8"/>
  <c r="C6" i="4"/>
  <c r="B6" i="4" s="1"/>
  <c r="D15" i="6" s="1"/>
  <c r="B19" i="4"/>
  <c r="B10" i="4"/>
  <c r="B7" i="4"/>
  <c r="B20" i="4"/>
  <c r="G12" i="4"/>
  <c r="BD25" i="4"/>
  <c r="AZ25" i="4"/>
  <c r="N14" i="4" s="1"/>
  <c r="I14" i="4" s="1"/>
  <c r="BC25" i="4"/>
  <c r="B26" i="4"/>
  <c r="BB25" i="4"/>
  <c r="G14" i="4"/>
  <c r="BA25" i="4"/>
  <c r="C6" i="5"/>
  <c r="B6" i="5" s="1"/>
  <c r="D8" i="6" s="1"/>
  <c r="B19" i="5"/>
  <c r="B10" i="5"/>
  <c r="B20" i="5"/>
  <c r="B7" i="5"/>
  <c r="B8" i="5" s="1"/>
  <c r="G14" i="5"/>
  <c r="BD25" i="5"/>
  <c r="BB25" i="5"/>
  <c r="AZ25" i="5"/>
  <c r="BC25" i="5"/>
  <c r="G12" i="5"/>
  <c r="B26" i="5"/>
  <c r="BA25" i="5"/>
  <c r="AZ25" i="3"/>
  <c r="N12" i="3" s="1"/>
  <c r="N13" i="3" s="1"/>
  <c r="I12" i="3" s="1"/>
  <c r="BA25" i="3"/>
  <c r="BB25" i="3"/>
  <c r="BC25" i="3"/>
  <c r="BD25" i="3"/>
  <c r="B24" i="3"/>
  <c r="G12" i="3" s="1"/>
  <c r="B26" i="3"/>
  <c r="C6" i="3"/>
  <c r="B6" i="3" s="1"/>
  <c r="D13" i="6" s="1"/>
  <c r="B19" i="3"/>
  <c r="B10" i="3"/>
  <c r="B20" i="3"/>
  <c r="B7" i="3"/>
  <c r="E13" i="6" s="1"/>
  <c r="E20" i="7"/>
  <c r="A21" i="7"/>
  <c r="E19" i="7"/>
  <c r="A20" i="7"/>
  <c r="E18" i="7"/>
  <c r="E21" i="7"/>
  <c r="E17" i="7"/>
  <c r="G6" i="7"/>
  <c r="E140" i="5"/>
  <c r="E141" i="5"/>
  <c r="S147" i="5"/>
  <c r="N147" i="5"/>
  <c r="S145" i="5"/>
  <c r="N145" i="5"/>
  <c r="S143" i="5"/>
  <c r="N143" i="5"/>
  <c r="S141" i="5"/>
  <c r="N141" i="5"/>
  <c r="E163" i="3"/>
  <c r="E161" i="3"/>
  <c r="E159" i="3"/>
  <c r="E157" i="3"/>
  <c r="E155" i="3"/>
  <c r="E153" i="3"/>
  <c r="E151" i="3"/>
  <c r="E149" i="3"/>
  <c r="E147" i="3"/>
  <c r="E145" i="3"/>
  <c r="E143" i="3"/>
  <c r="E141" i="3"/>
  <c r="E139" i="3"/>
  <c r="E137" i="3"/>
  <c r="E135" i="3"/>
  <c r="E133" i="3"/>
  <c r="E131" i="3"/>
  <c r="E129" i="3"/>
  <c r="E127" i="3"/>
  <c r="E125" i="3"/>
  <c r="E123" i="3"/>
  <c r="E121" i="3"/>
  <c r="E119" i="3"/>
  <c r="E117" i="3"/>
  <c r="E115" i="3"/>
  <c r="E113" i="3"/>
  <c r="E111" i="3"/>
  <c r="E109" i="3"/>
  <c r="E107" i="3"/>
  <c r="E105" i="3"/>
  <c r="E103" i="3"/>
  <c r="E101" i="3"/>
  <c r="E99" i="3"/>
  <c r="E97" i="3"/>
  <c r="E95" i="3"/>
  <c r="E93" i="3"/>
  <c r="E91" i="3"/>
  <c r="E89" i="3"/>
  <c r="E87" i="3"/>
  <c r="E85" i="3"/>
  <c r="E83" i="3"/>
  <c r="E81" i="3"/>
  <c r="E79" i="3"/>
  <c r="E77" i="3"/>
  <c r="E75" i="3"/>
  <c r="E71" i="3"/>
  <c r="E69" i="3"/>
  <c r="E67" i="3"/>
  <c r="E65" i="3"/>
  <c r="S162" i="3"/>
  <c r="N162" i="3"/>
  <c r="S160" i="3"/>
  <c r="N160" i="3"/>
  <c r="S158" i="3"/>
  <c r="N158" i="3"/>
  <c r="S156" i="3"/>
  <c r="N156" i="3"/>
  <c r="S154" i="3"/>
  <c r="N154" i="3"/>
  <c r="S152" i="3"/>
  <c r="N152" i="3"/>
  <c r="S150" i="3"/>
  <c r="N150" i="3"/>
  <c r="S148" i="3"/>
  <c r="N148" i="3"/>
  <c r="S146" i="3"/>
  <c r="N146" i="3"/>
  <c r="S144" i="3"/>
  <c r="N144" i="3"/>
  <c r="S142" i="3"/>
  <c r="N142" i="3"/>
  <c r="S140" i="3"/>
  <c r="N140" i="3"/>
  <c r="S138" i="3"/>
  <c r="N138" i="3"/>
  <c r="S136" i="3"/>
  <c r="N136" i="3"/>
  <c r="S134" i="3"/>
  <c r="N134" i="3"/>
  <c r="S132" i="3"/>
  <c r="N132" i="3"/>
  <c r="S130" i="3"/>
  <c r="N130" i="3"/>
  <c r="S128" i="3"/>
  <c r="N128" i="3"/>
  <c r="S126" i="3"/>
  <c r="N126" i="3"/>
  <c r="S124" i="3"/>
  <c r="N124" i="3"/>
  <c r="S122" i="3"/>
  <c r="N122" i="3"/>
  <c r="S120" i="3"/>
  <c r="N120" i="3"/>
  <c r="S118" i="3"/>
  <c r="N118" i="3"/>
  <c r="S116" i="3"/>
  <c r="N116" i="3"/>
  <c r="S114" i="3"/>
  <c r="N114" i="3"/>
  <c r="E162" i="3"/>
  <c r="E160" i="3"/>
  <c r="E158" i="3"/>
  <c r="E156" i="3"/>
  <c r="E154" i="3"/>
  <c r="E152" i="3"/>
  <c r="E150" i="3"/>
  <c r="E148" i="3"/>
  <c r="E146" i="3"/>
  <c r="E144" i="3"/>
  <c r="E142" i="3"/>
  <c r="E140" i="3"/>
  <c r="E138" i="3"/>
  <c r="E136" i="3"/>
  <c r="E134" i="3"/>
  <c r="E132" i="3"/>
  <c r="E130" i="3"/>
  <c r="E128" i="3"/>
  <c r="E126" i="3"/>
  <c r="E124" i="3"/>
  <c r="E122" i="3"/>
  <c r="E120" i="3"/>
  <c r="E118" i="3"/>
  <c r="E116" i="3"/>
  <c r="E114" i="3"/>
  <c r="E112" i="3"/>
  <c r="E110" i="3"/>
  <c r="E108" i="3"/>
  <c r="E106" i="3"/>
  <c r="E104" i="3"/>
  <c r="E102" i="3"/>
  <c r="E100" i="3"/>
  <c r="E98" i="3"/>
  <c r="E96" i="3"/>
  <c r="E94" i="3"/>
  <c r="E92" i="3"/>
  <c r="E90" i="3"/>
  <c r="E88" i="3"/>
  <c r="E86" i="3"/>
  <c r="E84" i="3"/>
  <c r="E82" i="3"/>
  <c r="E80" i="3"/>
  <c r="E78" i="3"/>
  <c r="E76" i="3"/>
  <c r="E74" i="3"/>
  <c r="E70" i="3"/>
  <c r="E68" i="3"/>
  <c r="E66" i="3"/>
  <c r="E54" i="3"/>
  <c r="S112" i="3"/>
  <c r="N112" i="3"/>
  <c r="S110" i="3"/>
  <c r="N110" i="3"/>
  <c r="S108" i="3"/>
  <c r="N108" i="3"/>
  <c r="S106" i="3"/>
  <c r="N106" i="3"/>
  <c r="S104" i="3"/>
  <c r="N104" i="3"/>
  <c r="S102" i="3"/>
  <c r="N102" i="3"/>
  <c r="S100" i="3"/>
  <c r="N100" i="3"/>
  <c r="S98" i="3"/>
  <c r="N98" i="3"/>
  <c r="S96" i="3"/>
  <c r="N96" i="3"/>
  <c r="S94" i="3"/>
  <c r="N94" i="3"/>
  <c r="S92" i="3"/>
  <c r="N92" i="3"/>
  <c r="S90" i="3"/>
  <c r="N90" i="3"/>
  <c r="S88" i="3"/>
  <c r="N88" i="3"/>
  <c r="S86" i="3"/>
  <c r="N86" i="3"/>
  <c r="S84" i="3"/>
  <c r="N84" i="3"/>
  <c r="S82" i="3"/>
  <c r="N82" i="3"/>
  <c r="S80" i="3"/>
  <c r="N80" i="3"/>
  <c r="S78" i="3"/>
  <c r="N78" i="3"/>
  <c r="S76" i="3"/>
  <c r="S74" i="3"/>
  <c r="N74" i="3"/>
  <c r="N72" i="3"/>
  <c r="S70" i="3"/>
  <c r="N70" i="3"/>
  <c r="S68" i="3"/>
  <c r="N68" i="3"/>
  <c r="S66" i="3"/>
  <c r="N66" i="3"/>
  <c r="E44" i="3"/>
  <c r="S40" i="3"/>
  <c r="N74" i="4"/>
  <c r="E56" i="4"/>
  <c r="S56" i="4"/>
  <c r="N53" i="4"/>
  <c r="S61" i="4"/>
  <c r="N62" i="4"/>
  <c r="S63" i="4"/>
  <c r="N64" i="4"/>
  <c r="S67" i="4"/>
  <c r="N68" i="4"/>
  <c r="N69" i="4"/>
  <c r="S73" i="4"/>
  <c r="N56" i="4"/>
  <c r="S53" i="4"/>
  <c r="N44" i="4"/>
  <c r="S62" i="4"/>
  <c r="N63" i="4"/>
  <c r="S64" i="4"/>
  <c r="N65" i="4"/>
  <c r="S68" i="4"/>
  <c r="S77" i="4"/>
  <c r="N78" i="4"/>
  <c r="S78" i="4"/>
  <c r="N79" i="4"/>
  <c r="E51" i="4"/>
  <c r="N51" i="4"/>
  <c r="S51" i="4"/>
  <c r="S141" i="4"/>
  <c r="S38" i="4"/>
  <c r="S46" i="5"/>
  <c r="N46" i="5"/>
  <c r="S86" i="5"/>
  <c r="S43" i="4"/>
  <c r="E43" i="3"/>
  <c r="N43" i="4"/>
  <c r="S83" i="4"/>
  <c r="N84" i="4"/>
  <c r="S84" i="4"/>
  <c r="S89" i="4"/>
  <c r="N90" i="4"/>
  <c r="S95" i="4"/>
  <c r="S99" i="4"/>
  <c r="S103" i="4"/>
  <c r="S107" i="4"/>
  <c r="S111" i="4"/>
  <c r="S115" i="4"/>
  <c r="S119" i="4"/>
  <c r="S123" i="4"/>
  <c r="S127" i="4"/>
  <c r="S131" i="4"/>
  <c r="S145" i="4"/>
  <c r="S41" i="4"/>
  <c r="E156" i="5"/>
  <c r="N156" i="5"/>
  <c r="S156" i="5"/>
  <c r="S136" i="5"/>
  <c r="N136" i="5"/>
  <c r="E43" i="4"/>
  <c r="E36" i="3"/>
  <c r="N42" i="3"/>
  <c r="N38" i="3"/>
  <c r="S158" i="5"/>
  <c r="E131" i="5"/>
  <c r="E129" i="5"/>
  <c r="E127" i="5"/>
  <c r="N38" i="5"/>
  <c r="S38" i="5"/>
  <c r="E162" i="5"/>
  <c r="N162" i="5"/>
  <c r="E163" i="5"/>
  <c r="N163" i="5"/>
  <c r="S163" i="5"/>
  <c r="S154" i="5"/>
  <c r="N154" i="5"/>
  <c r="E154" i="5"/>
  <c r="S153" i="5"/>
  <c r="E153" i="5"/>
  <c r="E151" i="5"/>
  <c r="S101" i="5"/>
  <c r="N101" i="5"/>
  <c r="S99" i="5"/>
  <c r="N99" i="5"/>
  <c r="S97" i="5"/>
  <c r="N97" i="5"/>
  <c r="S95" i="5"/>
  <c r="N95" i="5"/>
  <c r="S93" i="5"/>
  <c r="N93" i="5"/>
  <c r="S91" i="5"/>
  <c r="N91" i="5"/>
  <c r="S89" i="5"/>
  <c r="N89" i="5"/>
  <c r="S87" i="5"/>
  <c r="N87" i="5"/>
  <c r="E87" i="5"/>
  <c r="E86" i="5"/>
  <c r="E84" i="5"/>
  <c r="E82" i="5"/>
  <c r="E80" i="5"/>
  <c r="S78" i="5"/>
  <c r="E79" i="5"/>
  <c r="N79" i="5"/>
  <c r="S118" i="5"/>
  <c r="E119" i="5"/>
  <c r="N119" i="5"/>
  <c r="S70" i="5"/>
  <c r="E71" i="5"/>
  <c r="N71" i="5"/>
  <c r="S121" i="5"/>
  <c r="E122" i="5"/>
  <c r="N122" i="5"/>
  <c r="S62" i="5"/>
  <c r="E63" i="5"/>
  <c r="N63" i="5"/>
  <c r="S102" i="5"/>
  <c r="E103" i="5"/>
  <c r="N103" i="5"/>
  <c r="S132" i="5"/>
  <c r="E133" i="5"/>
  <c r="E155" i="5"/>
  <c r="N155" i="5"/>
  <c r="S155" i="5"/>
  <c r="S162" i="5"/>
  <c r="N153" i="5"/>
  <c r="S151" i="5"/>
  <c r="N151" i="5"/>
  <c r="S149" i="5"/>
  <c r="N149" i="5"/>
  <c r="E149" i="5"/>
  <c r="S148" i="5"/>
  <c r="E148" i="5"/>
  <c r="E146" i="5"/>
  <c r="E144" i="5"/>
  <c r="E142" i="5"/>
  <c r="N140" i="5"/>
  <c r="S138" i="5"/>
  <c r="N138" i="5"/>
  <c r="E138" i="5"/>
  <c r="S137" i="5"/>
  <c r="E137" i="5"/>
  <c r="S133" i="5"/>
  <c r="N133" i="5"/>
  <c r="S131" i="5"/>
  <c r="N131" i="5"/>
  <c r="S129" i="5"/>
  <c r="N129" i="5"/>
  <c r="S127" i="5"/>
  <c r="N127" i="5"/>
  <c r="S125" i="5"/>
  <c r="N125" i="5"/>
  <c r="S123" i="5"/>
  <c r="N123" i="5"/>
  <c r="N78" i="5"/>
  <c r="S76" i="5"/>
  <c r="N76" i="5"/>
  <c r="S74" i="5"/>
  <c r="N74" i="5"/>
  <c r="S72" i="5"/>
  <c r="N72" i="5"/>
  <c r="S38" i="3"/>
  <c r="E42" i="4"/>
  <c r="S45" i="3"/>
  <c r="N45" i="3"/>
  <c r="E53" i="3"/>
  <c r="E37" i="5"/>
  <c r="N39" i="5"/>
  <c r="S39" i="5"/>
  <c r="E160" i="5"/>
  <c r="N160" i="5"/>
  <c r="S160" i="5"/>
  <c r="E152" i="5"/>
  <c r="E150" i="5"/>
  <c r="N148" i="5"/>
  <c r="S146" i="5"/>
  <c r="N146" i="5"/>
  <c r="S144" i="5"/>
  <c r="N144" i="5"/>
  <c r="S142" i="5"/>
  <c r="N142" i="5"/>
  <c r="E139" i="5"/>
  <c r="N137" i="5"/>
  <c r="S135" i="5"/>
  <c r="N135" i="5"/>
  <c r="E135" i="5"/>
  <c r="S134" i="5"/>
  <c r="E134" i="5"/>
  <c r="E120" i="5"/>
  <c r="E69" i="5"/>
  <c r="E67" i="5"/>
  <c r="E65" i="5"/>
  <c r="E42" i="3"/>
  <c r="E38" i="3"/>
  <c r="E157" i="5"/>
  <c r="N157" i="5"/>
  <c r="S157" i="5"/>
  <c r="E158" i="5"/>
  <c r="N158" i="5"/>
  <c r="E159" i="5"/>
  <c r="N159" i="5"/>
  <c r="S159" i="5"/>
  <c r="S152" i="5"/>
  <c r="N152" i="5"/>
  <c r="S150" i="5"/>
  <c r="N150" i="5"/>
  <c r="E147" i="5"/>
  <c r="E145" i="5"/>
  <c r="E143" i="5"/>
  <c r="S139" i="5"/>
  <c r="N139" i="5"/>
  <c r="E136" i="5"/>
  <c r="N134" i="5"/>
  <c r="N118" i="5"/>
  <c r="S116" i="5"/>
  <c r="N116" i="5"/>
  <c r="S114" i="5"/>
  <c r="N114" i="5"/>
  <c r="S112" i="5"/>
  <c r="N112" i="5"/>
  <c r="S110" i="5"/>
  <c r="N110" i="5"/>
  <c r="S108" i="5"/>
  <c r="N108" i="5"/>
  <c r="S106" i="5"/>
  <c r="N106" i="5"/>
  <c r="E106" i="5"/>
  <c r="S105" i="5"/>
  <c r="E105" i="5"/>
  <c r="S61" i="5"/>
  <c r="N61" i="5"/>
  <c r="S59" i="5"/>
  <c r="N59" i="5"/>
  <c r="S57" i="5"/>
  <c r="N57" i="5"/>
  <c r="S48" i="5"/>
  <c r="N48" i="5"/>
  <c r="E48" i="5"/>
  <c r="S43" i="5"/>
  <c r="E43" i="5"/>
  <c r="E50" i="5"/>
  <c r="E53" i="5"/>
  <c r="E132" i="5"/>
  <c r="E130" i="5"/>
  <c r="E128" i="5"/>
  <c r="E126" i="5"/>
  <c r="E124" i="5"/>
  <c r="S120" i="5"/>
  <c r="N120" i="5"/>
  <c r="E117" i="5"/>
  <c r="E115" i="5"/>
  <c r="E113" i="5"/>
  <c r="E111" i="5"/>
  <c r="E109" i="5"/>
  <c r="E107" i="5"/>
  <c r="N105" i="5"/>
  <c r="S103" i="5"/>
  <c r="E102" i="5"/>
  <c r="E100" i="5"/>
  <c r="E98" i="5"/>
  <c r="E96" i="5"/>
  <c r="E94" i="5"/>
  <c r="E92" i="5"/>
  <c r="E90" i="5"/>
  <c r="E88" i="5"/>
  <c r="N86" i="5"/>
  <c r="S84" i="5"/>
  <c r="N84" i="5"/>
  <c r="S82" i="5"/>
  <c r="N82" i="5"/>
  <c r="S80" i="5"/>
  <c r="N80" i="5"/>
  <c r="E77" i="5"/>
  <c r="E75" i="5"/>
  <c r="E73" i="5"/>
  <c r="S69" i="5"/>
  <c r="N69" i="5"/>
  <c r="S67" i="5"/>
  <c r="N67" i="5"/>
  <c r="S65" i="5"/>
  <c r="N65" i="5"/>
  <c r="S63" i="5"/>
  <c r="E62" i="5"/>
  <c r="E60" i="5"/>
  <c r="E58" i="5"/>
  <c r="E56" i="5"/>
  <c r="N43" i="5"/>
  <c r="S50" i="5"/>
  <c r="N50" i="5"/>
  <c r="S53" i="5"/>
  <c r="N53" i="5"/>
  <c r="N132" i="5"/>
  <c r="S130" i="5"/>
  <c r="N130" i="5"/>
  <c r="S128" i="5"/>
  <c r="N128" i="5"/>
  <c r="S126" i="5"/>
  <c r="N126" i="5"/>
  <c r="S124" i="5"/>
  <c r="N124" i="5"/>
  <c r="S122" i="5"/>
  <c r="E121" i="5"/>
  <c r="S117" i="5"/>
  <c r="N117" i="5"/>
  <c r="S115" i="5"/>
  <c r="N115" i="5"/>
  <c r="S113" i="5"/>
  <c r="N113" i="5"/>
  <c r="S111" i="5"/>
  <c r="N111" i="5"/>
  <c r="S109" i="5"/>
  <c r="N109" i="5"/>
  <c r="S107" i="5"/>
  <c r="N107" i="5"/>
  <c r="E104" i="5"/>
  <c r="N102" i="5"/>
  <c r="S100" i="5"/>
  <c r="N100" i="5"/>
  <c r="S98" i="5"/>
  <c r="N98" i="5"/>
  <c r="S96" i="5"/>
  <c r="N96" i="5"/>
  <c r="S94" i="5"/>
  <c r="N94" i="5"/>
  <c r="S92" i="5"/>
  <c r="N92" i="5"/>
  <c r="S90" i="5"/>
  <c r="N90" i="5"/>
  <c r="S88" i="5"/>
  <c r="N88" i="5"/>
  <c r="E85" i="5"/>
  <c r="E83" i="5"/>
  <c r="E81" i="5"/>
  <c r="S77" i="5"/>
  <c r="N77" i="5"/>
  <c r="S75" i="5"/>
  <c r="N75" i="5"/>
  <c r="S73" i="5"/>
  <c r="N73" i="5"/>
  <c r="S71" i="5"/>
  <c r="E70" i="5"/>
  <c r="E68" i="5"/>
  <c r="E66" i="5"/>
  <c r="E64" i="5"/>
  <c r="N62" i="5"/>
  <c r="S60" i="5"/>
  <c r="N60" i="5"/>
  <c r="S58" i="5"/>
  <c r="N58" i="5"/>
  <c r="S56" i="5"/>
  <c r="N56" i="5"/>
  <c r="E49" i="5"/>
  <c r="E54" i="5"/>
  <c r="E52" i="5"/>
  <c r="E41" i="5"/>
  <c r="E125" i="5"/>
  <c r="E123" i="5"/>
  <c r="N121" i="5"/>
  <c r="S119" i="5"/>
  <c r="E118" i="5"/>
  <c r="E116" i="5"/>
  <c r="E114" i="5"/>
  <c r="E112" i="5"/>
  <c r="E110" i="5"/>
  <c r="E108" i="5"/>
  <c r="S104" i="5"/>
  <c r="N104" i="5"/>
  <c r="E101" i="5"/>
  <c r="E99" i="5"/>
  <c r="E97" i="5"/>
  <c r="E95" i="5"/>
  <c r="E93" i="5"/>
  <c r="E91" i="5"/>
  <c r="E89" i="5"/>
  <c r="S85" i="5"/>
  <c r="N85" i="5"/>
  <c r="S83" i="5"/>
  <c r="N83" i="5"/>
  <c r="S81" i="5"/>
  <c r="N81" i="5"/>
  <c r="S79" i="5"/>
  <c r="E78" i="5"/>
  <c r="E76" i="5"/>
  <c r="E74" i="5"/>
  <c r="E72" i="5"/>
  <c r="N70" i="5"/>
  <c r="S68" i="5"/>
  <c r="N68" i="5"/>
  <c r="S66" i="5"/>
  <c r="N66" i="5"/>
  <c r="S64" i="5"/>
  <c r="N64" i="5"/>
  <c r="E61" i="5"/>
  <c r="E59" i="5"/>
  <c r="E57" i="5"/>
  <c r="S49" i="5"/>
  <c r="N49" i="5"/>
  <c r="S54" i="5"/>
  <c r="N54" i="5"/>
  <c r="S52" i="5"/>
  <c r="N52" i="5"/>
  <c r="N43" i="3"/>
  <c r="N41" i="3"/>
  <c r="S43" i="3"/>
  <c r="S42" i="3"/>
  <c r="S41" i="3"/>
  <c r="S37" i="3"/>
  <c r="E45" i="3"/>
  <c r="N44" i="3"/>
  <c r="E35" i="5"/>
  <c r="E39" i="5"/>
  <c r="N41" i="5"/>
  <c r="E46" i="5"/>
  <c r="E38" i="5"/>
  <c r="N39" i="3"/>
  <c r="N37" i="3"/>
  <c r="E35" i="3"/>
  <c r="N35" i="3"/>
  <c r="S37" i="4"/>
  <c r="E38" i="4"/>
  <c r="E41" i="4"/>
  <c r="S135" i="4"/>
  <c r="N95" i="4"/>
  <c r="S94" i="4"/>
  <c r="N89" i="4"/>
  <c r="N83" i="4"/>
  <c r="N77" i="4"/>
  <c r="N73" i="4"/>
  <c r="N67" i="4"/>
  <c r="N61" i="4"/>
  <c r="E37" i="4"/>
  <c r="S137" i="4"/>
  <c r="N87" i="4"/>
  <c r="N82" i="4"/>
  <c r="S76" i="4"/>
  <c r="N71" i="4"/>
  <c r="N66" i="4"/>
  <c r="N59" i="4"/>
  <c r="E55" i="4"/>
  <c r="N42" i="4"/>
  <c r="S139" i="4"/>
  <c r="N91" i="4"/>
  <c r="N85" i="4"/>
  <c r="N81" i="4"/>
  <c r="N75" i="4"/>
  <c r="E39" i="3"/>
  <c r="N40" i="3"/>
  <c r="S36" i="3"/>
  <c r="N46" i="3"/>
  <c r="S54" i="3"/>
  <c r="S37" i="5"/>
  <c r="S74" i="4"/>
  <c r="S79" i="4"/>
  <c r="N80" i="4"/>
  <c r="S80" i="4"/>
  <c r="S90" i="4"/>
  <c r="N92" i="4"/>
  <c r="S92" i="4"/>
  <c r="S98" i="4"/>
  <c r="S102" i="4"/>
  <c r="S106" i="4"/>
  <c r="S110" i="4"/>
  <c r="S114" i="4"/>
  <c r="S118" i="4"/>
  <c r="S122" i="4"/>
  <c r="S126" i="4"/>
  <c r="S130" i="4"/>
  <c r="S134" i="4"/>
  <c r="S136" i="4"/>
  <c r="S142" i="4"/>
  <c r="S143" i="4"/>
  <c r="S144" i="4"/>
  <c r="S42" i="4"/>
  <c r="N41" i="4"/>
  <c r="E41" i="3"/>
  <c r="E37" i="3"/>
  <c r="N36" i="3"/>
  <c r="S35" i="3"/>
  <c r="S39" i="3"/>
  <c r="N55" i="4"/>
  <c r="S55" i="4"/>
  <c r="S44" i="4"/>
  <c r="N58" i="4"/>
  <c r="S58" i="4"/>
  <c r="S65" i="4"/>
  <c r="S69" i="4"/>
  <c r="N70" i="4"/>
  <c r="S70" i="4"/>
  <c r="S75" i="4"/>
  <c r="N76" i="4"/>
  <c r="S81" i="4"/>
  <c r="S85" i="4"/>
  <c r="N86" i="4"/>
  <c r="S86" i="4"/>
  <c r="S91" i="4"/>
  <c r="S97" i="4"/>
  <c r="S101" i="4"/>
  <c r="S105" i="4"/>
  <c r="S109" i="4"/>
  <c r="S113" i="4"/>
  <c r="S117" i="4"/>
  <c r="S121" i="4"/>
  <c r="S125" i="4"/>
  <c r="S129" i="4"/>
  <c r="S133" i="4"/>
  <c r="S147" i="4"/>
  <c r="N39" i="4"/>
  <c r="E36" i="4"/>
  <c r="S46" i="3"/>
  <c r="N36" i="5"/>
  <c r="S59" i="4"/>
  <c r="N60" i="4"/>
  <c r="S60" i="4"/>
  <c r="S66" i="4"/>
  <c r="S71" i="4"/>
  <c r="N72" i="4"/>
  <c r="S72" i="4"/>
  <c r="S82" i="4"/>
  <c r="S87" i="4"/>
  <c r="N88" i="4"/>
  <c r="S88" i="4"/>
  <c r="N94" i="4"/>
  <c r="S96" i="4"/>
  <c r="S100" i="4"/>
  <c r="S104" i="4"/>
  <c r="S108" i="4"/>
  <c r="S112" i="4"/>
  <c r="S116" i="4"/>
  <c r="S120" i="4"/>
  <c r="S124" i="4"/>
  <c r="S128" i="4"/>
  <c r="S132" i="4"/>
  <c r="S140" i="4"/>
  <c r="S146" i="4"/>
  <c r="E40" i="4"/>
  <c r="S44" i="3"/>
  <c r="E40" i="5"/>
  <c r="N52" i="3"/>
  <c r="N35" i="5"/>
  <c r="S35" i="5"/>
  <c r="E36" i="5"/>
  <c r="N40" i="5"/>
  <c r="S41" i="5"/>
  <c r="S39" i="4"/>
  <c r="E39" i="4"/>
  <c r="N38" i="4"/>
  <c r="S36" i="4"/>
  <c r="N36" i="4"/>
  <c r="E35" i="4"/>
  <c r="S53" i="3"/>
  <c r="N37" i="4"/>
  <c r="S35" i="4"/>
  <c r="N35" i="4"/>
  <c r="S40" i="4"/>
  <c r="N40" i="4"/>
  <c r="E46" i="3"/>
  <c r="N37" i="5"/>
  <c r="N76" i="3"/>
  <c r="N73" i="3"/>
  <c r="E73" i="3"/>
  <c r="S72" i="3"/>
  <c r="E72" i="3"/>
  <c r="S67" i="3"/>
  <c r="N49" i="3"/>
  <c r="E49" i="3"/>
  <c r="N54" i="3"/>
  <c r="S52" i="3"/>
  <c r="S36" i="5"/>
  <c r="N53" i="3"/>
  <c r="S40" i="5"/>
  <c r="I12" i="8" l="1"/>
  <c r="N16" i="8"/>
  <c r="N17" i="8" s="1"/>
  <c r="I16" i="8" s="1"/>
  <c r="G17" i="8" s="1"/>
  <c r="BE25" i="8"/>
  <c r="G15" i="8"/>
  <c r="E12" i="6"/>
  <c r="B8" i="8"/>
  <c r="B9" i="8"/>
  <c r="E15" i="6"/>
  <c r="B9" i="4"/>
  <c r="B8" i="4"/>
  <c r="E8" i="6"/>
  <c r="B9" i="5"/>
  <c r="N14" i="5"/>
  <c r="N15" i="5" s="1"/>
  <c r="I14" i="5" s="1"/>
  <c r="G15" i="5" s="1"/>
  <c r="N16" i="5"/>
  <c r="N17" i="5" s="1"/>
  <c r="I16" i="5" s="1"/>
  <c r="G17" i="5" s="1"/>
  <c r="N12" i="5"/>
  <c r="N13" i="5" s="1"/>
  <c r="I12" i="5" s="1"/>
  <c r="G13" i="5" s="1"/>
  <c r="B9" i="3"/>
  <c r="B8" i="3"/>
  <c r="A23" i="7"/>
  <c r="A22" i="7"/>
  <c r="G7" i="7"/>
  <c r="A24" i="7" l="1"/>
  <c r="E23" i="7"/>
  <c r="E22" i="7"/>
  <c r="E24" i="7"/>
  <c r="G8" i="7"/>
  <c r="E26" i="7" l="1"/>
  <c r="A25" i="7"/>
  <c r="A26" i="7"/>
  <c r="G9" i="7"/>
  <c r="G10" i="7" s="1"/>
  <c r="A27" i="7" l="1"/>
  <c r="A28" i="7" s="1"/>
  <c r="A29" i="7" s="1"/>
  <c r="E28" i="7"/>
  <c r="G11" i="7"/>
  <c r="G12" i="7" s="1"/>
  <c r="A30" i="7" l="1"/>
  <c r="E31" i="7" s="1"/>
  <c r="G13" i="7"/>
  <c r="E25" i="7" l="1"/>
  <c r="E30" i="7"/>
  <c r="E27" i="7"/>
  <c r="E29" i="7"/>
  <c r="G14" i="7"/>
  <c r="G15" i="7" s="1"/>
  <c r="G16" i="7" s="1"/>
  <c r="C4" i="7" l="1"/>
  <c r="C5" i="7"/>
  <c r="G17" i="7"/>
  <c r="G18" i="7" l="1"/>
  <c r="G19" i="7" l="1"/>
  <c r="G20" i="7" l="1"/>
  <c r="G21" i="7" l="1"/>
  <c r="G22" i="7" l="1"/>
  <c r="G23" i="7" l="1"/>
  <c r="G24" i="7" l="1"/>
  <c r="G25" i="7" l="1"/>
  <c r="G26" i="7" s="1"/>
  <c r="G27" i="7" s="1"/>
  <c r="G28" i="7" s="1"/>
  <c r="G29" i="7" s="1"/>
  <c r="G30" i="7" s="1"/>
  <c r="G31" i="7" s="1"/>
  <c r="G32" i="7" s="1"/>
  <c r="G33" i="7" s="1"/>
  <c r="G34" i="7" s="1"/>
  <c r="G35" i="7" s="1"/>
  <c r="G36" i="7" s="1"/>
  <c r="G37" i="7" s="1"/>
  <c r="G38" i="7" s="1"/>
  <c r="G39" i="7" s="1"/>
  <c r="G40" i="7" s="1"/>
  <c r="G41" i="7" s="1"/>
  <c r="G42" i="7" s="1"/>
  <c r="G43" i="7" s="1"/>
  <c r="G44" i="7" s="1"/>
  <c r="G45" i="7" s="1"/>
  <c r="G46" i="7" s="1"/>
  <c r="G47" i="7" s="1"/>
  <c r="G48" i="7" s="1"/>
  <c r="G49" i="7" s="1"/>
  <c r="G50" i="7" s="1"/>
  <c r="G51" i="7" s="1"/>
  <c r="G52" i="7" s="1"/>
  <c r="G53" i="7" s="1"/>
  <c r="G54" i="7" s="1"/>
  <c r="G55" i="7" s="1"/>
  <c r="G56" i="7" s="1"/>
  <c r="G57" i="7" s="1"/>
  <c r="G58" i="7" s="1"/>
  <c r="G59" i="7" s="1"/>
  <c r="G60" i="7" s="1"/>
  <c r="G61" i="7" s="1"/>
  <c r="G62" i="7" s="1"/>
  <c r="G63" i="7" s="1"/>
  <c r="G64" i="7" s="1"/>
  <c r="G65" i="7" s="1"/>
  <c r="G66" i="7" s="1"/>
  <c r="G67" i="7" s="1"/>
  <c r="G68" i="7" s="1"/>
  <c r="G69" i="7" s="1"/>
  <c r="G70" i="7" s="1"/>
  <c r="G71" i="7" s="1"/>
  <c r="G72" i="7" s="1"/>
  <c r="K5" i="7"/>
  <c r="G73" i="7" l="1"/>
  <c r="G74" i="7" s="1"/>
  <c r="K6" i="7"/>
  <c r="K8" i="7"/>
  <c r="K7" i="7"/>
  <c r="K9" i="7"/>
  <c r="G75" i="7" l="1"/>
  <c r="G76" i="7" l="1"/>
  <c r="G77" i="7" l="1"/>
  <c r="G78" i="7" l="1"/>
  <c r="G79" i="7" l="1"/>
  <c r="G80" i="7" l="1"/>
  <c r="G81" i="7" l="1"/>
  <c r="K79" i="7" l="1"/>
  <c r="G82" i="7"/>
  <c r="K128" i="7" s="1"/>
  <c r="K77" i="7"/>
  <c r="K63" i="7"/>
  <c r="K61" i="7"/>
  <c r="K74" i="7"/>
  <c r="K84" i="7"/>
  <c r="K105" i="7"/>
  <c r="K130" i="7"/>
  <c r="K29" i="7"/>
  <c r="K126" i="7"/>
  <c r="K153" i="7"/>
  <c r="K166" i="7"/>
  <c r="K28" i="7"/>
  <c r="K168" i="7"/>
  <c r="K91" i="7"/>
  <c r="K131" i="7"/>
  <c r="K136" i="7"/>
  <c r="K10" i="7"/>
  <c r="K117" i="7"/>
  <c r="K111" i="7"/>
  <c r="K54" i="7"/>
  <c r="K127" i="7"/>
  <c r="K122" i="7"/>
  <c r="K156" i="7"/>
  <c r="K142" i="7"/>
  <c r="K47" i="7"/>
  <c r="K32" i="7"/>
  <c r="K19" i="7"/>
  <c r="K68" i="7"/>
  <c r="K93" i="7"/>
  <c r="K86" i="7"/>
  <c r="K159" i="7"/>
  <c r="K147" i="7"/>
  <c r="K102" i="7"/>
  <c r="K104" i="7"/>
  <c r="K62" i="7"/>
  <c r="K60" i="7"/>
  <c r="K119" i="7"/>
  <c r="K58" i="7"/>
  <c r="K118" i="7"/>
  <c r="K23" i="7"/>
  <c r="K18" i="7"/>
  <c r="K94" i="7"/>
  <c r="K16" i="7"/>
  <c r="K73" i="7"/>
  <c r="K64" i="7"/>
  <c r="K110" i="7"/>
  <c r="K71" i="7"/>
  <c r="K89" i="7"/>
  <c r="K27" i="7"/>
  <c r="K37" i="7"/>
  <c r="K150" i="7"/>
  <c r="K38" i="7"/>
  <c r="K106" i="7"/>
  <c r="K25" i="7"/>
  <c r="K33" i="7"/>
  <c r="K22" i="7"/>
  <c r="K55" i="7"/>
  <c r="K100" i="7"/>
  <c r="K137" i="7"/>
  <c r="K34" i="7"/>
  <c r="K132" i="7"/>
  <c r="K36" i="7"/>
  <c r="K83" i="7"/>
  <c r="K172" i="7"/>
  <c r="K101" i="7"/>
  <c r="K24" i="7"/>
  <c r="K167" i="7"/>
  <c r="K171" i="7"/>
  <c r="K48" i="7"/>
  <c r="K148" i="7"/>
  <c r="K65" i="7"/>
  <c r="K70" i="7"/>
  <c r="K152" i="7"/>
  <c r="K144" i="7"/>
  <c r="K151" i="7"/>
  <c r="K57" i="7"/>
  <c r="K154" i="7"/>
  <c r="K31" i="7"/>
  <c r="K103" i="7"/>
  <c r="K116" i="7"/>
  <c r="K140" i="7"/>
  <c r="K169" i="7"/>
  <c r="K17" i="7"/>
  <c r="K40" i="7"/>
  <c r="K133" i="7"/>
  <c r="K146" i="7"/>
  <c r="K113" i="7"/>
  <c r="K123" i="7"/>
  <c r="K155" i="7"/>
  <c r="K158" i="7"/>
  <c r="K145" i="7"/>
  <c r="K20" i="7"/>
  <c r="K112" i="7"/>
  <c r="K98" i="7"/>
  <c r="K45" i="7"/>
  <c r="K164" i="7"/>
  <c r="K11" i="7"/>
  <c r="K135" i="7"/>
  <c r="K141" i="7"/>
  <c r="K44" i="7"/>
  <c r="K51" i="7"/>
  <c r="K46" i="7"/>
  <c r="K162" i="7"/>
  <c r="K170" i="7"/>
  <c r="K80" i="7"/>
  <c r="K129" i="7"/>
  <c r="K43" i="7"/>
  <c r="K115" i="7"/>
  <c r="K69" i="7"/>
  <c r="K88" i="7"/>
  <c r="K121" i="7"/>
  <c r="K90" i="7"/>
  <c r="K67" i="7"/>
  <c r="K163" i="7"/>
  <c r="K138" i="7"/>
  <c r="K26" i="7"/>
  <c r="K134" i="7"/>
  <c r="K13" i="7"/>
  <c r="K157" i="7"/>
  <c r="K161" i="7"/>
  <c r="K59" i="7"/>
  <c r="K139" i="7"/>
  <c r="K97" i="7"/>
  <c r="K21" i="7"/>
  <c r="K35" i="7"/>
  <c r="K165" i="7"/>
  <c r="K30" i="7"/>
  <c r="K96" i="7"/>
  <c r="K160" i="7"/>
  <c r="K49" i="7"/>
  <c r="K52" i="7"/>
  <c r="K81" i="7"/>
  <c r="K109" i="7"/>
  <c r="K82" i="7"/>
  <c r="K56" i="7"/>
  <c r="K149" i="7"/>
  <c r="K42" i="7"/>
  <c r="K15" i="7"/>
  <c r="K99" i="7"/>
  <c r="K78" i="7"/>
  <c r="K92" i="7"/>
  <c r="K50" i="7"/>
  <c r="K107" i="7"/>
  <c r="K125" i="7"/>
  <c r="K41" i="7"/>
  <c r="K108" i="7"/>
  <c r="K124" i="7"/>
  <c r="K95" i="7"/>
  <c r="K143" i="7"/>
  <c r="K87" i="7"/>
  <c r="K120" i="7"/>
  <c r="K72" i="7"/>
  <c r="K114" i="7"/>
  <c r="K53" i="7"/>
  <c r="K66" i="7"/>
  <c r="K85" i="7"/>
  <c r="K12" i="7" l="1"/>
  <c r="K14" i="7"/>
  <c r="K39" i="7"/>
  <c r="K76" i="7"/>
  <c r="K75" i="7"/>
  <c r="I10" i="7" l="1"/>
  <c r="I4" i="7"/>
</calcChain>
</file>

<file path=xl/sharedStrings.xml><?xml version="1.0" encoding="utf-8"?>
<sst xmlns="http://schemas.openxmlformats.org/spreadsheetml/2006/main" count="1489" uniqueCount="453">
  <si>
    <t>MODIFIERS</t>
  </si>
  <si>
    <t xml:space="preserve">Ability Modifier </t>
  </si>
  <si>
    <t xml:space="preserve">Alchemical Bonus </t>
  </si>
  <si>
    <t xml:space="preserve">Armor Bonus </t>
  </si>
  <si>
    <t xml:space="preserve">Circumstance Modifier </t>
  </si>
  <si>
    <t xml:space="preserve">Competence Modifier </t>
  </si>
  <si>
    <t xml:space="preserve">Deflection Bonus </t>
  </si>
  <si>
    <t xml:space="preserve">Dodge Bonus </t>
  </si>
  <si>
    <t>Enhancement Shield Bonus</t>
  </si>
  <si>
    <t xml:space="preserve">Enhancement Armor Bonus </t>
  </si>
  <si>
    <t xml:space="preserve">Insight Bonus </t>
  </si>
  <si>
    <t xml:space="preserve">Luck Modifier </t>
  </si>
  <si>
    <t xml:space="preserve">Morale Modifier </t>
  </si>
  <si>
    <t xml:space="preserve">Natural Armor Bonus </t>
  </si>
  <si>
    <t>Enhancement to Natural Armor Bonus</t>
  </si>
  <si>
    <t xml:space="preserve">Profane Modifier </t>
  </si>
  <si>
    <t xml:space="preserve">Racial Bonus </t>
  </si>
  <si>
    <t xml:space="preserve">Resistance Bonus </t>
  </si>
  <si>
    <t>Sacred Modifier</t>
  </si>
  <si>
    <t xml:space="preserve">Shield Bonus </t>
  </si>
  <si>
    <t xml:space="preserve">Size Modifier </t>
  </si>
  <si>
    <t>Epic Bonus</t>
  </si>
  <si>
    <t>Divine Bonus</t>
  </si>
  <si>
    <t>(Ability Drain)</t>
  </si>
  <si>
    <t>(Temporary HP and Damage Absorption Shield-e.g Protection from Elements)</t>
  </si>
  <si>
    <t>Untyped</t>
  </si>
  <si>
    <t>HP</t>
  </si>
  <si>
    <t>INITIATIVE</t>
  </si>
  <si>
    <t>AC</t>
  </si>
  <si>
    <t>FORT</t>
  </si>
  <si>
    <t>REF</t>
  </si>
  <si>
    <t>WILL</t>
  </si>
  <si>
    <t>Number12</t>
  </si>
  <si>
    <t>Number13</t>
  </si>
  <si>
    <t>Number14</t>
  </si>
  <si>
    <t>Number15</t>
  </si>
  <si>
    <t>Number16</t>
  </si>
  <si>
    <t>Number17</t>
  </si>
  <si>
    <t>NN</t>
  </si>
  <si>
    <t>NAME</t>
  </si>
  <si>
    <t>initiative</t>
  </si>
  <si>
    <t>Characters</t>
  </si>
  <si>
    <t>NAMES</t>
  </si>
  <si>
    <t>BUFFS</t>
  </si>
  <si>
    <t>TYPE</t>
  </si>
  <si>
    <t>Types</t>
  </si>
  <si>
    <t>attack</t>
  </si>
  <si>
    <t>TYPE2</t>
  </si>
  <si>
    <t>TYPE3</t>
  </si>
  <si>
    <t>TYPE1</t>
  </si>
  <si>
    <t>MODIFIER</t>
  </si>
  <si>
    <t>MOD</t>
  </si>
  <si>
    <t>LISTS</t>
  </si>
  <si>
    <t>SEARCH MODIFIER</t>
  </si>
  <si>
    <t>SEARCH BUFF</t>
  </si>
  <si>
    <t>Caster level</t>
  </si>
  <si>
    <t>CASTER</t>
  </si>
  <si>
    <t>Enhancement Damage</t>
  </si>
  <si>
    <t>Caster MOD</t>
  </si>
  <si>
    <t>SUM MOD</t>
  </si>
  <si>
    <t>Magic Vestment Shield</t>
  </si>
  <si>
    <t>Magic Vestment Armor</t>
  </si>
  <si>
    <t>LEVEL SPELL</t>
  </si>
  <si>
    <t>SPELL LEVEL</t>
  </si>
  <si>
    <t>Buffs counter</t>
  </si>
  <si>
    <t>MAX CASTER</t>
  </si>
  <si>
    <t>MAX CASTER LEVEL</t>
  </si>
  <si>
    <t>Attack 1</t>
  </si>
  <si>
    <t>Attack 2</t>
  </si>
  <si>
    <t>DURATION</t>
  </si>
  <si>
    <t>damage</t>
  </si>
  <si>
    <t>Bab</t>
  </si>
  <si>
    <t>Strength</t>
  </si>
  <si>
    <t>Wisdom</t>
  </si>
  <si>
    <t>Charisma</t>
  </si>
  <si>
    <t>Constitution</t>
  </si>
  <si>
    <t>Dexterity</t>
  </si>
  <si>
    <t>Grapple</t>
  </si>
  <si>
    <t>Touch AC</t>
  </si>
  <si>
    <t>Flatfooded AC</t>
  </si>
  <si>
    <t>1d8</t>
  </si>
  <si>
    <t>Power Attack</t>
  </si>
  <si>
    <t>Attack Roll</t>
  </si>
  <si>
    <t>Damage</t>
  </si>
  <si>
    <t>Dice</t>
  </si>
  <si>
    <t>Extra</t>
  </si>
  <si>
    <t>NEGATIVE LEVELS</t>
  </si>
  <si>
    <t>EXTRA HD full BAB</t>
  </si>
  <si>
    <t>SIZE</t>
  </si>
  <si>
    <t>Enhancement</t>
  </si>
  <si>
    <t>ARMOR BONUS</t>
  </si>
  <si>
    <t>ARMOR SHIELD BONUS</t>
  </si>
  <si>
    <t>CLOAK OF RESISTANT</t>
  </si>
  <si>
    <t>Critical</t>
  </si>
  <si>
    <t>Ability</t>
  </si>
  <si>
    <t>hands</t>
  </si>
  <si>
    <t>x3</t>
  </si>
  <si>
    <t>light</t>
  </si>
  <si>
    <t>Invsibilty</t>
  </si>
  <si>
    <t>flank</t>
  </si>
  <si>
    <t>Dual wield</t>
  </si>
  <si>
    <t>aid another</t>
  </si>
  <si>
    <t>Fire</t>
  </si>
  <si>
    <t>Hight ground</t>
  </si>
  <si>
    <t>Circumstance</t>
  </si>
  <si>
    <t>two handed</t>
  </si>
  <si>
    <t>one handed</t>
  </si>
  <si>
    <t>Augmented Power Attack</t>
  </si>
  <si>
    <t>normal</t>
  </si>
  <si>
    <t>x2</t>
  </si>
  <si>
    <t>charge</t>
  </si>
  <si>
    <t>Negative Levels</t>
  </si>
  <si>
    <t>ice</t>
  </si>
  <si>
    <t>acid</t>
  </si>
  <si>
    <t>ATTACK MODIFIERS</t>
  </si>
  <si>
    <t>Intelligence</t>
  </si>
  <si>
    <t>Base</t>
  </si>
  <si>
    <t>Hp from con</t>
  </si>
  <si>
    <t>Temporary HP</t>
  </si>
  <si>
    <t>Max Def Modifier</t>
  </si>
  <si>
    <t>EXP</t>
  </si>
  <si>
    <t>Modifier</t>
  </si>
  <si>
    <t>Sum</t>
  </si>
  <si>
    <t>Fort</t>
  </si>
  <si>
    <t>Attack</t>
  </si>
  <si>
    <t>Diminutive</t>
  </si>
  <si>
    <t>Tiny</t>
  </si>
  <si>
    <t>Small</t>
  </si>
  <si>
    <t>Medium</t>
  </si>
  <si>
    <t>Large</t>
  </si>
  <si>
    <t>−1</t>
  </si>
  <si>
    <t>Huge</t>
  </si>
  <si>
    <t>−2</t>
  </si>
  <si>
    <t>Gargantuan</t>
  </si>
  <si>
    <t>−4</t>
  </si>
  <si>
    <t>−8</t>
  </si>
  <si>
    <t>Fine</t>
  </si>
  <si>
    <t>size</t>
  </si>
  <si>
    <t>attack/ac</t>
  </si>
  <si>
    <t>Special attack</t>
  </si>
  <si>
    <t>Colossal</t>
  </si>
  <si>
    <t>Spell Resistance</t>
  </si>
  <si>
    <t>power attack dmg</t>
  </si>
  <si>
    <t>Augment P.A dmg</t>
  </si>
  <si>
    <t>1d10</t>
  </si>
  <si>
    <t>Defence MODIFIERS</t>
  </si>
  <si>
    <t>Total Defence</t>
  </si>
  <si>
    <t>Fight defensively</t>
  </si>
  <si>
    <t>Char Level</t>
  </si>
  <si>
    <t>RIZLA</t>
  </si>
  <si>
    <t>THIS IS NIOURS FUCKING SHEET</t>
  </si>
  <si>
    <t>one handed offhand</t>
  </si>
  <si>
    <t>light offhand</t>
  </si>
  <si>
    <t>P.Att Dmg</t>
  </si>
  <si>
    <t>Strenght</t>
  </si>
  <si>
    <t>ATTACK 1</t>
  </si>
  <si>
    <t>ΜΗΝ ΠΕΙΡΑΧΤΕΙ</t>
  </si>
  <si>
    <t>ΑΥΤΉ Η ΣΤΗΛΗ</t>
  </si>
  <si>
    <t>ARMOR ENCHA BONUS</t>
  </si>
  <si>
    <t>SHIELD ENCHA BONUS</t>
  </si>
  <si>
    <t>kizeon</t>
  </si>
  <si>
    <t>Quicken rod</t>
  </si>
  <si>
    <t>Silent rod</t>
  </si>
  <si>
    <t>Cloak of resi 4</t>
  </si>
  <si>
    <t>ring counter spellx2</t>
  </si>
  <si>
    <t>Headband 4</t>
  </si>
  <si>
    <t>Amulet of health 2</t>
  </si>
  <si>
    <t>Belt of battle</t>
  </si>
  <si>
    <t>Spell turning</t>
  </si>
  <si>
    <t>Con tattoo 2</t>
  </si>
  <si>
    <t>Mithril buckler Death ward +1</t>
  </si>
  <si>
    <t>Caster tatoo +1</t>
  </si>
  <si>
    <t>Ion stone intelligence +2</t>
  </si>
  <si>
    <t>Headband Intelligence</t>
  </si>
  <si>
    <t>Glyph intelligence</t>
  </si>
  <si>
    <t>Tattoo of Contstitution</t>
  </si>
  <si>
    <t>Amulet of Health</t>
  </si>
  <si>
    <t>Shiled Buckler Mithril deathward +1</t>
  </si>
  <si>
    <t>Full Plate</t>
  </si>
  <si>
    <t>cloak of ressista +4</t>
  </si>
  <si>
    <t>Ring of protection +2</t>
  </si>
  <si>
    <t>Mace Master</t>
  </si>
  <si>
    <t>Ank of ascencion</t>
  </si>
  <si>
    <t>Circlet of Wisd +6</t>
  </si>
  <si>
    <t>Tatto +2 con</t>
  </si>
  <si>
    <t>Spell turning tattoo</t>
  </si>
  <si>
    <t>Armlet of health +4</t>
  </si>
  <si>
    <t>x2 Dimensional door</t>
  </si>
  <si>
    <t>Wisdom +2 Stone</t>
  </si>
  <si>
    <t>Ring of protection</t>
  </si>
  <si>
    <t>Glyph of Wisdom</t>
  </si>
  <si>
    <t>Circle of Wisdom</t>
  </si>
  <si>
    <t>Mage Armor</t>
  </si>
  <si>
    <t>Enlarge Person</t>
  </si>
  <si>
    <t>Alter Self Trogle</t>
  </si>
  <si>
    <t>Shieled</t>
  </si>
  <si>
    <t>True Strike</t>
  </si>
  <si>
    <t>Blur*</t>
  </si>
  <si>
    <t>Alter Self*</t>
  </si>
  <si>
    <t>StoneSkin*</t>
  </si>
  <si>
    <t>False Life*</t>
  </si>
  <si>
    <t>Bulls Strenght</t>
  </si>
  <si>
    <t>Cats Grace</t>
  </si>
  <si>
    <t>Invisibility*</t>
  </si>
  <si>
    <t>Mirror Image*</t>
  </si>
  <si>
    <t>Protection From Energy*</t>
  </si>
  <si>
    <t>See Invisibility*</t>
  </si>
  <si>
    <t>Protection From Arrows*</t>
  </si>
  <si>
    <t>Displacement*</t>
  </si>
  <si>
    <t>Fly*</t>
  </si>
  <si>
    <t>Gaseous Form*</t>
  </si>
  <si>
    <t>Haste*</t>
  </si>
  <si>
    <t>Resiste From Energy*</t>
  </si>
  <si>
    <t>Invisibility Greater*</t>
  </si>
  <si>
    <t>Polymorph*</t>
  </si>
  <si>
    <t>Pentaris</t>
  </si>
  <si>
    <t>JEY</t>
  </si>
  <si>
    <t>Telepathetic Bond</t>
  </si>
  <si>
    <t>Gloves Of Dexterity</t>
  </si>
  <si>
    <t>Gloves Of Strenght</t>
  </si>
  <si>
    <t>Cloak of Charisma</t>
  </si>
  <si>
    <t>Tattoo of Strenght</t>
  </si>
  <si>
    <t>Tattoo of Dexterity</t>
  </si>
  <si>
    <t>Arcane sight*</t>
  </si>
  <si>
    <t>Elemental body*</t>
  </si>
  <si>
    <t>Mind Blank*</t>
  </si>
  <si>
    <t>Tyche's Touch 4</t>
  </si>
  <si>
    <t>Tyche's Touch 3</t>
  </si>
  <si>
    <t>Tyche's Touch 2</t>
  </si>
  <si>
    <t>Tyche's Touch 1</t>
  </si>
  <si>
    <t>Blind Sight*</t>
  </si>
  <si>
    <t>Invisibility Purge*</t>
  </si>
  <si>
    <t>Protection from Evil*</t>
  </si>
  <si>
    <t>Magic Circle vs Evil*</t>
  </si>
  <si>
    <t>Shiled of faith Mass</t>
  </si>
  <si>
    <t>Shield of faith</t>
  </si>
  <si>
    <t>Distrupting Weapon*</t>
  </si>
  <si>
    <t>Surge of Fortune 1/2*</t>
  </si>
  <si>
    <t>Surge of Fortune 2/2*</t>
  </si>
  <si>
    <t>Luck of Heroes 2/2</t>
  </si>
  <si>
    <t>Luck of Heroes 1/2</t>
  </si>
  <si>
    <t>True Seeing</t>
  </si>
  <si>
    <t>True Seeing*</t>
  </si>
  <si>
    <t>Superior Resistant</t>
  </si>
  <si>
    <t>Fortunate Fate*</t>
  </si>
  <si>
    <t>Briliance blade*</t>
  </si>
  <si>
    <t>Shield of the anchors*</t>
  </si>
  <si>
    <t>Vision of the Omniscient Eye*</t>
  </si>
  <si>
    <t>Wand of C. Medium Wounds</t>
  </si>
  <si>
    <t>Heal</t>
  </si>
  <si>
    <t>Revivify</t>
  </si>
  <si>
    <t>Invisibility Purge</t>
  </si>
  <si>
    <t>Curse of ill Fortune Mass</t>
  </si>
  <si>
    <t>Ring of counter Spells</t>
  </si>
  <si>
    <t>Holy Star</t>
  </si>
  <si>
    <t>Conviction</t>
  </si>
  <si>
    <t>Ring of counter spells</t>
  </si>
  <si>
    <t>Celestial Armor</t>
  </si>
  <si>
    <t>Kukri +1, silver Human bane</t>
  </si>
  <si>
    <t>Short Sword +1 silver</t>
  </si>
  <si>
    <t>Cloak of Elvenkind</t>
  </si>
  <si>
    <t>Amulet of Health +2</t>
  </si>
  <si>
    <t>Saves vest +3</t>
  </si>
  <si>
    <t>Ring of spider climb</t>
  </si>
  <si>
    <t>Luck Blade</t>
  </si>
  <si>
    <t>Tattoo Dex +2</t>
  </si>
  <si>
    <t>Boots of swift passage</t>
  </si>
  <si>
    <t>Wraithstrike wand -4</t>
  </si>
  <si>
    <t>Golem Strike Wand -3</t>
  </si>
  <si>
    <t>Grave Strike -2</t>
  </si>
  <si>
    <t>Eternal Wand of Alter Self</t>
  </si>
  <si>
    <t>Wand of Nerveskitter</t>
  </si>
  <si>
    <t>Belt of healing</t>
  </si>
  <si>
    <t>Masterwork tool for UMD (+2)</t>
  </si>
  <si>
    <t>Masterwork Thieve's tools  (+2 open lock/disable device)</t>
  </si>
  <si>
    <t>Hovering shield of force</t>
  </si>
  <si>
    <t>Enhantmet Attack</t>
  </si>
  <si>
    <t>Craven</t>
  </si>
  <si>
    <t>1d4</t>
  </si>
  <si>
    <t>1d6</t>
  </si>
  <si>
    <t>Ring of counter spell</t>
  </si>
  <si>
    <t>Full plate +1, displacement</t>
  </si>
  <si>
    <t>Hovering shield +1</t>
  </si>
  <si>
    <t>Vest +4</t>
  </si>
  <si>
    <t>Gloves of fortunate strike</t>
  </si>
  <si>
    <t>Protection Devotion</t>
  </si>
  <si>
    <t>Combat Focus</t>
  </si>
  <si>
    <t>Combat Stability</t>
  </si>
  <si>
    <t>Attack 3</t>
  </si>
  <si>
    <t>ranged touch attack</t>
  </si>
  <si>
    <t>Conviction Mass</t>
  </si>
  <si>
    <t>Visions of the Future* 2/2</t>
  </si>
  <si>
    <t>Visions of the Future* 1/2</t>
  </si>
  <si>
    <t>Mystic Aegis*</t>
  </si>
  <si>
    <t>Death Ward*</t>
  </si>
  <si>
    <t>Benediction</t>
  </si>
  <si>
    <t>Cleric</t>
  </si>
  <si>
    <t>Wizard</t>
  </si>
  <si>
    <t>Rogue</t>
  </si>
  <si>
    <t>perma</t>
  </si>
  <si>
    <t>160minutes</t>
  </si>
  <si>
    <t>24 hours</t>
  </si>
  <si>
    <t>20 hours</t>
  </si>
  <si>
    <t>16 hours</t>
  </si>
  <si>
    <t>10 hours</t>
  </si>
  <si>
    <t>Globe of Invu*</t>
  </si>
  <si>
    <t>Spell Immunity*</t>
  </si>
  <si>
    <t>Magic Weapon Greater*</t>
  </si>
  <si>
    <t>Spider Skin</t>
  </si>
  <si>
    <t>weapon focus</t>
  </si>
  <si>
    <t>Meelle eapoin mastery</t>
  </si>
  <si>
    <t>2a 2d</t>
  </si>
  <si>
    <t>Weapon focus</t>
  </si>
  <si>
    <t>Weapon specialazation</t>
  </si>
  <si>
    <t>Melee weapon specialazation</t>
  </si>
  <si>
    <t>2 attack</t>
  </si>
  <si>
    <t>2 damage</t>
  </si>
  <si>
    <t>1 attack</t>
  </si>
  <si>
    <t>Spell Turning*</t>
  </si>
  <si>
    <t xml:space="preserve">Huge </t>
  </si>
  <si>
    <t>inspire courage</t>
  </si>
  <si>
    <t>Inspire courage</t>
  </si>
  <si>
    <t>4d6</t>
  </si>
  <si>
    <t>inspire Greatness</t>
  </si>
  <si>
    <t>BARD SANDROS</t>
  </si>
  <si>
    <t xml:space="preserve">ring of freedom </t>
  </si>
  <si>
    <t>sword</t>
  </si>
  <si>
    <t>greater dispelling</t>
  </si>
  <si>
    <t>curse sweeping</t>
  </si>
  <si>
    <t xml:space="preserve">staff revenance </t>
  </si>
  <si>
    <t>revivify</t>
  </si>
  <si>
    <t>charges</t>
  </si>
  <si>
    <t>The primary function of the ring, however, is to infuse</t>
  </si>
  <si>
    <t>the wearer with the energy and power of a dragon. Once per</t>
  </si>
  <si>
    <t>day, the wearer may call upon the ring to transform herself</t>
  </si>
  <si>
    <t>into a half-dragon. This is a full-round action that provokes</t>
  </si>
  <si>
    <t>attacks of opportunity, and the transformation lasts for 1</t>
  </si>
  <si>
    <t>hour. While transformed, the wearer gains the following</t>
  </si>
  <si>
    <t>benefi ts:</t>
  </si>
  <si>
    <t>• +4 natural armor bonus to AC.</t>
  </si>
  <si>
    <t>• Bite and claw attacks as a half-dragon of the same size as</t>
  </si>
  <si>
    <t>the wearer.</t>
  </si>
  <si>
    <t>• Breath weapon usable once per transformation (30-ft.</t>
  </si>
  <si>
    <t>cone, 3d6 cold damage, Refl ex DC 16 half).</t>
  </si>
  <si>
    <t>• Immunity to cold.</t>
  </si>
  <si>
    <t>• +8 Strength, +2 Constitution, +2 Intelligence, +2 Charisma.</t>
  </si>
  <si>
    <t>These bonuses are considered racial bonuses and</t>
  </si>
  <si>
    <t>stack with other racial bonuses the wearer may have.</t>
  </si>
  <si>
    <t>The ring’s transformation power also changes the wearer’s</t>
  </si>
  <si>
    <t>appearance into a draconic form. The wearer’s general</t>
  </si>
  <si>
    <t>shape and size does not change, although her equipment is</t>
  </si>
  <si>
    <t>altered in shape so it can still be utilized. Unlike polymorph,</t>
  </si>
  <si>
    <t>the user’s equipment does not merge with the new form; it</t>
  </si>
  <si>
    <t>remains in place and fully functional while the user is in</t>
  </si>
  <si>
    <t>half-dragon form. Dragons and half-dragons cannot benefi</t>
  </si>
  <si>
    <t>t from the effects of the ring’s transformation powers,</t>
  </si>
  <si>
    <t>although they can utilize the ring’s other abilities.</t>
  </si>
  <si>
    <t>Rumors abound that other rings exist that are keyed to</t>
  </si>
  <si>
    <t>different dragons, granting different powers</t>
  </si>
  <si>
    <t>wand of heroics</t>
  </si>
  <si>
    <t>cursed mask</t>
  </si>
  <si>
    <t>amulet pou dinei critical kaitrws damage</t>
  </si>
  <si>
    <t>Mithril chain shirt +1 death ward immediate action energy immunity</t>
  </si>
  <si>
    <t>Divine Emissary</t>
  </si>
  <si>
    <t>5 diplomacy</t>
  </si>
  <si>
    <t>Sacred defence</t>
  </si>
  <si>
    <t>2 divine</t>
  </si>
  <si>
    <t>imbue with spell like ability</t>
  </si>
  <si>
    <t>vestment +3</t>
  </si>
  <si>
    <t>intelligence 6</t>
  </si>
  <si>
    <t>dexterity 6</t>
  </si>
  <si>
    <t>ring  spell storing</t>
  </si>
  <si>
    <t>2 scrolls revivi</t>
  </si>
  <si>
    <t>revivify material</t>
  </si>
  <si>
    <t xml:space="preserve">limnited wish </t>
  </si>
  <si>
    <t>material force cage</t>
  </si>
  <si>
    <t>stone skin</t>
  </si>
  <si>
    <t>teleport</t>
  </si>
  <si>
    <t xml:space="preserve">greater disple magic </t>
  </si>
  <si>
    <t>heal</t>
  </si>
  <si>
    <t xml:space="preserve">remove fear </t>
  </si>
  <si>
    <t>1 invisibility purge</t>
  </si>
  <si>
    <t>ring of enduring arcana</t>
  </si>
  <si>
    <t>Barkskin</t>
  </si>
  <si>
    <t>Divine Favor</t>
  </si>
  <si>
    <t>anticipate teleportation</t>
  </si>
  <si>
    <t>Detect Scrying</t>
  </si>
  <si>
    <t>minor spell storing ring</t>
  </si>
  <si>
    <t>charmonic chorus</t>
  </si>
  <si>
    <t>2ou bard</t>
  </si>
  <si>
    <t>Luminus armor greater</t>
  </si>
  <si>
    <t>ray of dizziness</t>
  </si>
  <si>
    <t>bard wiz 3</t>
  </si>
  <si>
    <t>unsaved ray</t>
  </si>
  <si>
    <t>ray deflection</t>
  </si>
  <si>
    <t>greater magic weapon</t>
  </si>
  <si>
    <t>sorc 3</t>
  </si>
  <si>
    <t>1 defending weapon</t>
  </si>
  <si>
    <t>mage armor greatyer</t>
  </si>
  <si>
    <t>?</t>
  </si>
  <si>
    <t>Defending weapon*</t>
  </si>
  <si>
    <t xml:space="preserve">POLYMORPH </t>
  </si>
  <si>
    <t>Εμενα</t>
  </si>
  <si>
    <t>σε planetar</t>
  </si>
  <si>
    <t xml:space="preserve">Revenance </t>
  </si>
  <si>
    <t>3(4)</t>
  </si>
  <si>
    <t>Spellsight spectacles (+5)</t>
  </si>
  <si>
    <t>Circlet of Persuasion</t>
  </si>
  <si>
    <t>Wands:</t>
  </si>
  <si>
    <t>Magic Savant</t>
  </si>
  <si>
    <t>Scrolls:</t>
  </si>
  <si>
    <t>Surge of Fortune x3</t>
  </si>
  <si>
    <t>Revenance x3</t>
  </si>
  <si>
    <t>Revivify x3</t>
  </si>
  <si>
    <t>G.Dispel</t>
  </si>
  <si>
    <t>Divine Favor x10</t>
  </si>
  <si>
    <t>Heal x2</t>
  </si>
  <si>
    <t>spell theft</t>
  </si>
  <si>
    <t>2 εγω 2 ο πενταρης</t>
  </si>
  <si>
    <t>1 εγω 2 ο πενταρης</t>
  </si>
  <si>
    <t>ενα εγω ενα ο πενταρης</t>
  </si>
  <si>
    <t>Gdm</t>
  </si>
  <si>
    <t>ενα ο πενταρης</t>
  </si>
  <si>
    <t xml:space="preserve">ray of diziness </t>
  </si>
  <si>
    <t>2 πενταρης</t>
  </si>
  <si>
    <t xml:space="preserve">WerePanther 1 </t>
  </si>
  <si>
    <t>WerePanther 5</t>
  </si>
  <si>
    <t>WerePanther 2</t>
  </si>
  <si>
    <t>WerePanther 3</t>
  </si>
  <si>
    <t>WerePanther 4</t>
  </si>
  <si>
    <t>shishi-o</t>
  </si>
  <si>
    <t>magic savant</t>
  </si>
  <si>
    <t>magic fang greater</t>
  </si>
  <si>
    <t>true seeing</t>
  </si>
  <si>
    <t>mage armor</t>
  </si>
  <si>
    <t>heroics</t>
  </si>
  <si>
    <t>haste</t>
  </si>
  <si>
    <t>fly</t>
  </si>
  <si>
    <t>ray deflaction</t>
  </si>
  <si>
    <t>greater might walop</t>
  </si>
  <si>
    <t>freedom of movement</t>
  </si>
  <si>
    <t>immunity of mind affectiong</t>
  </si>
  <si>
    <t>spell turning</t>
  </si>
  <si>
    <t>shadism</t>
  </si>
  <si>
    <t>mazochism</t>
  </si>
  <si>
    <t>death ward</t>
  </si>
  <si>
    <t>tons of hp</t>
  </si>
  <si>
    <t>shield</t>
  </si>
  <si>
    <t>immunity mind affecting</t>
  </si>
  <si>
    <t>8AC</t>
  </si>
  <si>
    <t>4 negative levels</t>
  </si>
  <si>
    <t>4ac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</si>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</sst>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5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b/>
      <sz val="14"/>
      <color rgb="FF006100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1"/>
      <color theme="2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  <font>
      <b/>
      <sz val="15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charset val="161"/>
      <scheme val="minor"/>
    </font>
    <font>
      <sz val="2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Arial"/>
      <family val="2"/>
      <charset val="161"/>
    </font>
    <font>
      <b/>
      <sz val="24"/>
      <color theme="1"/>
      <name val="Arial"/>
      <family val="2"/>
      <charset val="161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rgb="FFFF0000"/>
      <name val="Arial"/>
      <family val="2"/>
      <charset val="161"/>
    </font>
    <font>
      <sz val="14"/>
      <color theme="1"/>
      <name val="Calibri"/>
      <family val="2"/>
      <charset val="161"/>
      <scheme val="minor"/>
    </font>
    <font>
      <b/>
      <sz val="14"/>
      <color theme="1"/>
      <name val="Arial"/>
      <family val="2"/>
      <charset val="161"/>
    </font>
    <font>
      <b/>
      <sz val="14"/>
      <color theme="3"/>
      <name val="Arial"/>
      <family val="2"/>
      <charset val="161"/>
    </font>
    <font>
      <b/>
      <sz val="14"/>
      <color rgb="FF7030A0"/>
      <name val="Arial"/>
      <family val="2"/>
      <charset val="161"/>
    </font>
    <font>
      <b/>
      <sz val="14"/>
      <color theme="9" tint="-0.249977111117893"/>
      <name val="Arial"/>
      <family val="2"/>
      <charset val="161"/>
    </font>
    <font>
      <b/>
      <sz val="14"/>
      <color rgb="FFFFC000"/>
      <name val="Arial"/>
      <family val="2"/>
      <charset val="161"/>
    </font>
    <font>
      <sz val="12"/>
      <color rgb="FFFFC000"/>
      <name val="Arial"/>
      <family val="2"/>
      <charset val="161"/>
    </font>
    <font>
      <sz val="12"/>
      <color rgb="FFFF0000"/>
      <name val="Arial"/>
      <family val="2"/>
      <charset val="161"/>
    </font>
    <font>
      <sz val="12"/>
      <color theme="3"/>
      <name val="Arial"/>
      <family val="2"/>
      <charset val="161"/>
    </font>
    <font>
      <sz val="12"/>
      <color rgb="FF7030A0"/>
      <name val="Arial"/>
      <family val="2"/>
      <charset val="161"/>
    </font>
    <font>
      <sz val="12"/>
      <color theme="9" tint="-0.249977111117893"/>
      <name val="Arial"/>
      <family val="2"/>
      <charset val="161"/>
    </font>
    <font>
      <sz val="14"/>
      <color theme="1"/>
      <name val="Arial"/>
      <family val="2"/>
      <charset val="161"/>
    </font>
    <font>
      <sz val="14"/>
      <color rgb="FFFF0000"/>
      <name val="Arial"/>
      <family val="2"/>
      <charset val="161"/>
    </font>
    <font>
      <sz val="16"/>
      <color rgb="FFFFC000"/>
      <name val="Arial"/>
      <family val="2"/>
      <charset val="161"/>
    </font>
    <font>
      <sz val="16"/>
      <color rgb="FFFF0000"/>
      <name val="Arial"/>
      <family val="2"/>
      <charset val="161"/>
    </font>
    <font>
      <sz val="16"/>
      <color theme="3"/>
      <name val="Arial"/>
      <family val="2"/>
      <charset val="161"/>
    </font>
    <font>
      <sz val="16"/>
      <color rgb="FF7030A0"/>
      <name val="Arial"/>
      <family val="2"/>
      <charset val="161"/>
    </font>
    <font>
      <sz val="16"/>
      <color theme="9" tint="-0.249977111117893"/>
      <name val="Arial"/>
      <family val="2"/>
      <charset val="161"/>
    </font>
    <font>
      <sz val="26"/>
      <color theme="1"/>
      <name val="Calibri"/>
      <family val="2"/>
      <scheme val="minor"/>
    </font>
    <font>
      <b/>
      <sz val="14"/>
      <color rgb="FF00B050"/>
      <name val="Arial"/>
      <family val="2"/>
      <charset val="161"/>
    </font>
    <font>
      <sz val="12"/>
      <color rgb="FF00B050"/>
      <name val="Arial"/>
      <family val="2"/>
      <charset val="161"/>
    </font>
    <font>
      <sz val="16"/>
      <color rgb="FF00B050"/>
      <name val="Arial"/>
      <family val="2"/>
      <charset val="161"/>
    </font>
    <font>
      <b/>
      <sz val="14"/>
      <color rgb="FF305728"/>
      <name val="Arial"/>
      <family val="2"/>
      <charset val="161"/>
    </font>
    <font>
      <sz val="11"/>
      <color rgb="FF305728"/>
      <name val="Calibri"/>
      <family val="2"/>
      <scheme val="minor"/>
    </font>
    <font>
      <sz val="14"/>
      <color rgb="FF0070C0"/>
      <name val="Arial"/>
      <family val="2"/>
      <charset val="161"/>
    </font>
    <font>
      <b/>
      <sz val="20"/>
      <color theme="1"/>
      <name val="Calibri"/>
      <family val="2"/>
      <charset val="161"/>
      <scheme val="minor"/>
    </font>
    <font>
      <b/>
      <sz val="18"/>
      <color theme="1"/>
      <name val="Calibri"/>
      <family val="2"/>
      <scheme val="minor"/>
    </font>
    <font>
      <b/>
      <u/>
      <sz val="11"/>
      <color theme="1"/>
      <name val="Calibri"/>
      <family val="2"/>
      <charset val="161"/>
      <scheme val="minor"/>
    </font>
    <font>
      <b/>
      <sz val="12"/>
      <color theme="1"/>
      <name val="Calibri"/>
      <family val="2"/>
      <charset val="161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2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D44B"/>
        <bgColor indexed="64"/>
      </patternFill>
    </fill>
    <fill>
      <patternFill patternType="solid">
        <fgColor rgb="FFFFE38B"/>
        <bgColor indexed="64"/>
      </patternFill>
    </fill>
    <fill>
      <patternFill patternType="solid">
        <fgColor rgb="FFFCBABA"/>
        <bgColor indexed="64"/>
      </patternFill>
    </fill>
    <fill>
      <patternFill patternType="solid">
        <fgColor rgb="FFBCCFE6"/>
        <bgColor indexed="64"/>
      </patternFill>
    </fill>
    <fill>
      <patternFill patternType="solid">
        <fgColor rgb="FF8FFFC2"/>
        <bgColor indexed="64"/>
      </patternFill>
    </fill>
    <fill>
      <patternFill patternType="solid">
        <fgColor rgb="FFFFDD71"/>
        <bgColor indexed="64"/>
      </patternFill>
    </fill>
    <fill>
      <patternFill patternType="solid">
        <fgColor rgb="FFC7BBD7"/>
        <bgColor indexed="64"/>
      </patternFill>
    </fill>
    <fill>
      <patternFill patternType="solid">
        <fgColor rgb="FFDDDDDD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1" fillId="4" borderId="0" applyNumberFormat="0" applyBorder="0" applyAlignment="0" applyProtection="0"/>
    <xf numFmtId="0" fontId="12" fillId="5" borderId="0" applyNumberFormat="0" applyBorder="0" applyAlignment="0" applyProtection="0"/>
  </cellStyleXfs>
  <cellXfs count="214">
    <xf numFmtId="0" fontId="0" fillId="0" borderId="0" xfId="0"/>
    <xf numFmtId="0" fontId="2" fillId="0" borderId="0" xfId="0" applyFont="1"/>
    <xf numFmtId="0" fontId="4" fillId="0" borderId="0" xfId="0" applyFont="1"/>
    <xf numFmtId="0" fontId="5" fillId="0" borderId="0" xfId="0" applyFont="1"/>
    <xf numFmtId="0" fontId="0" fillId="0" borderId="1" xfId="0" applyBorder="1"/>
    <xf numFmtId="0" fontId="3" fillId="0" borderId="1" xfId="0" applyFont="1" applyBorder="1"/>
    <xf numFmtId="0" fontId="6" fillId="2" borderId="1" xfId="1" applyFont="1" applyBorder="1"/>
    <xf numFmtId="0" fontId="7" fillId="2" borderId="1" xfId="1" applyFont="1" applyBorder="1"/>
    <xf numFmtId="0" fontId="5" fillId="0" borderId="3" xfId="0" applyFont="1" applyBorder="1"/>
    <xf numFmtId="0" fontId="5" fillId="0" borderId="4" xfId="0" applyFont="1" applyBorder="1"/>
    <xf numFmtId="0" fontId="5" fillId="0" borderId="5" xfId="0" applyFont="1" applyBorder="1"/>
    <xf numFmtId="0" fontId="0" fillId="0" borderId="2" xfId="0" applyBorder="1"/>
    <xf numFmtId="0" fontId="0" fillId="0" borderId="0" xfId="0" applyBorder="1"/>
    <xf numFmtId="0" fontId="0" fillId="0" borderId="6" xfId="0" applyBorder="1"/>
    <xf numFmtId="0" fontId="5" fillId="0" borderId="3" xfId="0" applyFont="1" applyBorder="1" applyAlignment="1">
      <alignment horizontal="center"/>
    </xf>
    <xf numFmtId="0" fontId="8" fillId="0" borderId="2" xfId="0" applyFont="1" applyBorder="1"/>
    <xf numFmtId="0" fontId="8" fillId="0" borderId="0" xfId="0" applyFont="1" applyBorder="1"/>
    <xf numFmtId="0" fontId="9" fillId="0" borderId="0" xfId="0" applyFont="1"/>
    <xf numFmtId="0" fontId="0" fillId="0" borderId="8" xfId="0" applyBorder="1"/>
    <xf numFmtId="0" fontId="2" fillId="0" borderId="7" xfId="0" applyFont="1" applyBorder="1"/>
    <xf numFmtId="0" fontId="5" fillId="0" borderId="7" xfId="0" applyFont="1" applyFill="1" applyBorder="1"/>
    <xf numFmtId="0" fontId="2" fillId="0" borderId="4" xfId="0" applyFont="1" applyBorder="1" applyProtection="1">
      <protection hidden="1"/>
    </xf>
    <xf numFmtId="0" fontId="0" fillId="0" borderId="2" xfId="0" applyBorder="1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0" borderId="6" xfId="0" applyBorder="1" applyProtection="1">
      <protection hidden="1"/>
    </xf>
    <xf numFmtId="0" fontId="0" fillId="0" borderId="8" xfId="0" applyBorder="1" applyProtection="1">
      <protection hidden="1"/>
    </xf>
    <xf numFmtId="0" fontId="10" fillId="3" borderId="9" xfId="0" applyNumberFormat="1" applyFont="1" applyFill="1" applyBorder="1"/>
    <xf numFmtId="0" fontId="10" fillId="3" borderId="10" xfId="0" applyNumberFormat="1" applyFont="1" applyFill="1" applyBorder="1"/>
    <xf numFmtId="0" fontId="10" fillId="3" borderId="11" xfId="0" applyNumberFormat="1" applyFont="1" applyFill="1" applyBorder="1"/>
    <xf numFmtId="0" fontId="2" fillId="0" borderId="5" xfId="0" applyFont="1" applyBorder="1"/>
    <xf numFmtId="0" fontId="5" fillId="0" borderId="6" xfId="0" applyFont="1" applyBorder="1" applyProtection="1">
      <protection hidden="1"/>
    </xf>
    <xf numFmtId="0" fontId="5" fillId="0" borderId="5" xfId="0" applyFont="1" applyBorder="1" applyProtection="1">
      <protection hidden="1"/>
    </xf>
    <xf numFmtId="0" fontId="10" fillId="3" borderId="0" xfId="0" applyFont="1" applyFill="1" applyBorder="1"/>
    <xf numFmtId="0" fontId="0" fillId="0" borderId="0" xfId="0" applyFill="1"/>
    <xf numFmtId="0" fontId="13" fillId="0" borderId="0" xfId="0" applyFont="1" applyFill="1"/>
    <xf numFmtId="0" fontId="14" fillId="0" borderId="0" xfId="0" applyFont="1" applyFill="1"/>
    <xf numFmtId="0" fontId="13" fillId="0" borderId="1" xfId="1" applyFont="1" applyFill="1" applyBorder="1" applyProtection="1"/>
    <xf numFmtId="0" fontId="15" fillId="0" borderId="0" xfId="0" applyFont="1" applyFill="1"/>
    <xf numFmtId="0" fontId="8" fillId="0" borderId="3" xfId="0" applyFont="1" applyBorder="1"/>
    <xf numFmtId="0" fontId="8" fillId="0" borderId="4" xfId="0" applyFont="1" applyBorder="1"/>
    <xf numFmtId="0" fontId="8" fillId="0" borderId="6" xfId="0" applyFont="1" applyBorder="1"/>
    <xf numFmtId="0" fontId="0" fillId="0" borderId="0" xfId="0" applyAlignment="1">
      <alignment horizontal="center"/>
    </xf>
    <xf numFmtId="0" fontId="0" fillId="0" borderId="0" xfId="0" applyFill="1" applyBorder="1"/>
    <xf numFmtId="0" fontId="0" fillId="0" borderId="1" xfId="0" applyFill="1" applyBorder="1"/>
    <xf numFmtId="0" fontId="0" fillId="0" borderId="1" xfId="0" applyBorder="1" applyAlignment="1">
      <alignment horizontal="center"/>
    </xf>
    <xf numFmtId="0" fontId="0" fillId="0" borderId="1" xfId="0" applyBorder="1" applyAlignment="1"/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49" fontId="0" fillId="0" borderId="0" xfId="0" applyNumberFormat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13" xfId="0" applyBorder="1"/>
    <xf numFmtId="0" fontId="0" fillId="0" borderId="12" xfId="0" applyBorder="1"/>
    <xf numFmtId="0" fontId="0" fillId="0" borderId="14" xfId="0" applyBorder="1"/>
    <xf numFmtId="0" fontId="0" fillId="0" borderId="0" xfId="0" applyBorder="1" applyAlignment="1">
      <alignment horizontal="center"/>
    </xf>
    <xf numFmtId="0" fontId="0" fillId="0" borderId="14" xfId="0" applyBorder="1" applyAlignment="1">
      <alignment horizontal="center"/>
    </xf>
    <xf numFmtId="0" fontId="19" fillId="6" borderId="3" xfId="0" applyFont="1" applyFill="1" applyBorder="1" applyAlignment="1" applyProtection="1">
      <alignment horizontal="center"/>
      <protection hidden="1"/>
    </xf>
    <xf numFmtId="0" fontId="19" fillId="6" borderId="4" xfId="0" applyFont="1" applyFill="1" applyBorder="1" applyAlignment="1" applyProtection="1">
      <alignment horizontal="right"/>
      <protection hidden="1"/>
    </xf>
    <xf numFmtId="0" fontId="19" fillId="6" borderId="4" xfId="0" applyFont="1" applyFill="1" applyBorder="1" applyAlignment="1" applyProtection="1">
      <alignment horizontal="center"/>
      <protection hidden="1"/>
    </xf>
    <xf numFmtId="0" fontId="19" fillId="6" borderId="4" xfId="0" applyFont="1" applyFill="1" applyBorder="1" applyProtection="1">
      <protection hidden="1"/>
    </xf>
    <xf numFmtId="0" fontId="19" fillId="6" borderId="3" xfId="0" applyFont="1" applyFill="1" applyBorder="1" applyProtection="1">
      <protection hidden="1"/>
    </xf>
    <xf numFmtId="0" fontId="19" fillId="6" borderId="5" xfId="0" applyFont="1" applyFill="1" applyBorder="1" applyProtection="1">
      <protection hidden="1"/>
    </xf>
    <xf numFmtId="0" fontId="19" fillId="6" borderId="7" xfId="0" applyFont="1" applyFill="1" applyBorder="1" applyProtection="1">
      <protection hidden="1"/>
    </xf>
    <xf numFmtId="0" fontId="13" fillId="6" borderId="2" xfId="0" applyFont="1" applyFill="1" applyBorder="1" applyAlignment="1" applyProtection="1">
      <alignment horizontal="center"/>
      <protection hidden="1"/>
    </xf>
    <xf numFmtId="0" fontId="13" fillId="6" borderId="0" xfId="0" applyFont="1" applyFill="1" applyBorder="1" applyProtection="1">
      <protection hidden="1"/>
    </xf>
    <xf numFmtId="0" fontId="13" fillId="6" borderId="0" xfId="0" applyFont="1" applyFill="1" applyBorder="1" applyAlignment="1" applyProtection="1">
      <alignment horizontal="center"/>
      <protection hidden="1"/>
    </xf>
    <xf numFmtId="0" fontId="13" fillId="6" borderId="6" xfId="0" applyFont="1" applyFill="1" applyBorder="1" applyAlignment="1" applyProtection="1">
      <alignment horizontal="center"/>
      <protection hidden="1"/>
    </xf>
    <xf numFmtId="0" fontId="13" fillId="6" borderId="6" xfId="0" applyFont="1" applyFill="1" applyBorder="1" applyProtection="1">
      <protection hidden="1"/>
    </xf>
    <xf numFmtId="0" fontId="13" fillId="6" borderId="8" xfId="0" applyFont="1" applyFill="1" applyBorder="1" applyProtection="1">
      <protection hidden="1"/>
    </xf>
    <xf numFmtId="0" fontId="13" fillId="0" borderId="2" xfId="0" applyFont="1" applyBorder="1" applyAlignment="1" applyProtection="1">
      <alignment horizontal="center"/>
      <protection hidden="1"/>
    </xf>
    <xf numFmtId="0" fontId="13" fillId="0" borderId="0" xfId="0" applyFont="1" applyBorder="1" applyProtection="1">
      <protection hidden="1"/>
    </xf>
    <xf numFmtId="0" fontId="13" fillId="0" borderId="0" xfId="0" applyFont="1" applyBorder="1" applyAlignment="1" applyProtection="1">
      <alignment horizontal="center"/>
      <protection hidden="1"/>
    </xf>
    <xf numFmtId="0" fontId="13" fillId="0" borderId="6" xfId="0" applyFont="1" applyBorder="1" applyProtection="1">
      <protection hidden="1"/>
    </xf>
    <xf numFmtId="0" fontId="13" fillId="0" borderId="8" xfId="0" applyFont="1" applyBorder="1" applyProtection="1">
      <protection hidden="1"/>
    </xf>
    <xf numFmtId="0" fontId="0" fillId="0" borderId="0" xfId="0"/>
    <xf numFmtId="0" fontId="13" fillId="7" borderId="1" xfId="2" applyFont="1" applyFill="1" applyBorder="1" applyAlignment="1">
      <alignment horizontal="center"/>
    </xf>
    <xf numFmtId="0" fontId="13" fillId="7" borderId="1" xfId="3" applyFont="1" applyFill="1" applyBorder="1" applyAlignment="1">
      <alignment horizontal="center"/>
    </xf>
    <xf numFmtId="0" fontId="0" fillId="0" borderId="9" xfId="0" applyBorder="1"/>
    <xf numFmtId="0" fontId="0" fillId="7" borderId="8" xfId="0" applyFill="1" applyBorder="1"/>
    <xf numFmtId="0" fontId="0" fillId="7" borderId="6" xfId="0" applyFill="1" applyBorder="1"/>
    <xf numFmtId="0" fontId="0" fillId="8" borderId="11" xfId="0" applyFill="1" applyBorder="1"/>
    <xf numFmtId="0" fontId="0" fillId="9" borderId="11" xfId="0" applyFill="1" applyBorder="1"/>
    <xf numFmtId="0" fontId="0" fillId="9" borderId="5" xfId="0" applyFill="1" applyBorder="1"/>
    <xf numFmtId="0" fontId="0" fillId="9" borderId="1" xfId="0" applyFill="1" applyBorder="1" applyAlignment="1"/>
    <xf numFmtId="0" fontId="0" fillId="8" borderId="0" xfId="0" applyFill="1"/>
    <xf numFmtId="0" fontId="0" fillId="8" borderId="5" xfId="0" applyFill="1" applyBorder="1"/>
    <xf numFmtId="0" fontId="0" fillId="8" borderId="6" xfId="0" applyFill="1" applyBorder="1"/>
    <xf numFmtId="0" fontId="0" fillId="8" borderId="14" xfId="0" applyFill="1" applyBorder="1"/>
    <xf numFmtId="0" fontId="17" fillId="0" borderId="13" xfId="0" applyFont="1" applyBorder="1"/>
    <xf numFmtId="0" fontId="21" fillId="0" borderId="9" xfId="0" applyFont="1" applyBorder="1"/>
    <xf numFmtId="0" fontId="8" fillId="0" borderId="5" xfId="0" applyFont="1" applyBorder="1"/>
    <xf numFmtId="0" fontId="0" fillId="0" borderId="0" xfId="0"/>
    <xf numFmtId="0" fontId="0" fillId="0" borderId="5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7" xfId="0" applyBorder="1" applyAlignment="1">
      <alignment horizontal="left"/>
    </xf>
    <xf numFmtId="0" fontId="24" fillId="6" borderId="8" xfId="1" applyFont="1" applyFill="1" applyBorder="1" applyAlignment="1">
      <alignment horizontal="center"/>
    </xf>
    <xf numFmtId="0" fontId="37" fillId="0" borderId="0" xfId="0" applyFont="1" applyAlignment="1">
      <alignment horizontal="center"/>
    </xf>
    <xf numFmtId="0" fontId="39" fillId="0" borderId="0" xfId="0" applyFont="1" applyBorder="1" applyAlignment="1">
      <alignment horizontal="center"/>
    </xf>
    <xf numFmtId="0" fontId="41" fillId="0" borderId="0" xfId="0" applyFont="1" applyBorder="1" applyAlignment="1">
      <alignment horizontal="center"/>
    </xf>
    <xf numFmtId="0" fontId="42" fillId="0" borderId="0" xfId="0" applyFont="1" applyBorder="1" applyAlignment="1">
      <alignment horizontal="center"/>
    </xf>
    <xf numFmtId="0" fontId="24" fillId="6" borderId="1" xfId="1" applyFont="1" applyFill="1" applyBorder="1" applyAlignment="1">
      <alignment horizontal="center"/>
    </xf>
    <xf numFmtId="0" fontId="47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25" fillId="0" borderId="3" xfId="0" applyFont="1" applyBorder="1" applyAlignment="1">
      <alignment horizontal="left"/>
    </xf>
    <xf numFmtId="0" fontId="31" fillId="0" borderId="2" xfId="0" applyFont="1" applyBorder="1" applyAlignment="1">
      <alignment horizontal="left"/>
    </xf>
    <xf numFmtId="0" fontId="29" fillId="0" borderId="13" xfId="0" applyFont="1" applyBorder="1" applyAlignment="1">
      <alignment horizontal="left"/>
    </xf>
    <xf numFmtId="0" fontId="32" fillId="0" borderId="6" xfId="0" applyFont="1" applyFill="1" applyBorder="1" applyAlignment="1">
      <alignment horizontal="center"/>
    </xf>
    <xf numFmtId="0" fontId="28" fillId="0" borderId="2" xfId="0" applyFont="1" applyBorder="1" applyAlignment="1">
      <alignment horizontal="left"/>
    </xf>
    <xf numFmtId="0" fontId="34" fillId="0" borderId="6" xfId="0" applyFont="1" applyFill="1" applyBorder="1" applyAlignment="1">
      <alignment horizontal="center"/>
    </xf>
    <xf numFmtId="0" fontId="29" fillId="0" borderId="2" xfId="0" applyFont="1" applyBorder="1" applyAlignment="1">
      <alignment horizontal="left"/>
    </xf>
    <xf numFmtId="0" fontId="35" fillId="0" borderId="6" xfId="0" applyFont="1" applyFill="1" applyBorder="1" applyAlignment="1">
      <alignment horizontal="center"/>
    </xf>
    <xf numFmtId="0" fontId="30" fillId="0" borderId="13" xfId="0" applyFont="1" applyBorder="1" applyAlignment="1">
      <alignment horizontal="left"/>
    </xf>
    <xf numFmtId="0" fontId="43" fillId="0" borderId="12" xfId="0" applyFont="1" applyBorder="1" applyAlignment="1">
      <alignment horizontal="center"/>
    </xf>
    <xf numFmtId="0" fontId="36" fillId="0" borderId="14" xfId="0" applyFont="1" applyFill="1" applyBorder="1" applyAlignment="1">
      <alignment horizontal="center"/>
    </xf>
    <xf numFmtId="0" fontId="22" fillId="0" borderId="3" xfId="0" applyFont="1" applyBorder="1"/>
    <xf numFmtId="0" fontId="44" fillId="0" borderId="5" xfId="0" applyFont="1" applyBorder="1" applyAlignment="1">
      <alignment horizontal="center"/>
    </xf>
    <xf numFmtId="0" fontId="22" fillId="0" borderId="13" xfId="0" applyFont="1" applyBorder="1"/>
    <xf numFmtId="0" fontId="18" fillId="0" borderId="14" xfId="0" applyFont="1" applyBorder="1" applyAlignment="1">
      <alignment horizontal="center"/>
    </xf>
    <xf numFmtId="0" fontId="16" fillId="8" borderId="0" xfId="0" applyFont="1" applyFill="1" applyAlignment="1">
      <alignment horizontal="center"/>
    </xf>
    <xf numFmtId="0" fontId="20" fillId="8" borderId="0" xfId="0" applyFont="1" applyFill="1" applyAlignment="1">
      <alignment horizontal="center"/>
    </xf>
    <xf numFmtId="0" fontId="48" fillId="0" borderId="0" xfId="0" applyFont="1" applyAlignment="1">
      <alignment horizontal="center"/>
    </xf>
    <xf numFmtId="0" fontId="37" fillId="0" borderId="0" xfId="0" applyFont="1"/>
    <xf numFmtId="0" fontId="38" fillId="0" borderId="0" xfId="0" applyFont="1" applyAlignment="1">
      <alignment horizontal="center"/>
    </xf>
    <xf numFmtId="0" fontId="50" fillId="0" borderId="0" xfId="0" applyFont="1" applyAlignment="1">
      <alignment horizontal="center"/>
    </xf>
    <xf numFmtId="0" fontId="49" fillId="8" borderId="0" xfId="0" applyFont="1" applyFill="1" applyAlignment="1">
      <alignment horizontal="center"/>
    </xf>
    <xf numFmtId="0" fontId="45" fillId="0" borderId="2" xfId="0" applyFont="1" applyBorder="1" applyAlignment="1">
      <alignment horizontal="left"/>
    </xf>
    <xf numFmtId="0" fontId="46" fillId="0" borderId="6" xfId="0" applyFont="1" applyFill="1" applyBorder="1" applyAlignment="1">
      <alignment horizontal="center"/>
    </xf>
    <xf numFmtId="0" fontId="33" fillId="0" borderId="4" xfId="0" applyFont="1" applyBorder="1" applyAlignment="1">
      <alignment horizontal="center"/>
    </xf>
    <xf numFmtId="0" fontId="40" fillId="0" borderId="4" xfId="0" applyFont="1" applyBorder="1" applyAlignment="1">
      <alignment horizontal="center"/>
    </xf>
    <xf numFmtId="0" fontId="33" fillId="0" borderId="5" xfId="0" applyFont="1" applyFill="1" applyBorder="1" applyAlignment="1">
      <alignment horizontal="center"/>
    </xf>
    <xf numFmtId="0" fontId="45" fillId="0" borderId="3" xfId="0" applyFont="1" applyBorder="1" applyAlignment="1">
      <alignment horizontal="left"/>
    </xf>
    <xf numFmtId="0" fontId="24" fillId="6" borderId="1" xfId="1" applyFont="1" applyFill="1" applyBorder="1" applyAlignment="1">
      <alignment horizontal="center" vertical="center"/>
    </xf>
    <xf numFmtId="0" fontId="23" fillId="13" borderId="1" xfId="1" applyFont="1" applyFill="1" applyBorder="1" applyAlignment="1">
      <alignment horizontal="center" vertical="center"/>
    </xf>
    <xf numFmtId="0" fontId="23" fillId="12" borderId="1" xfId="1" applyFont="1" applyFill="1" applyBorder="1" applyAlignment="1">
      <alignment horizontal="center" vertical="center"/>
    </xf>
    <xf numFmtId="0" fontId="13" fillId="15" borderId="1" xfId="1" applyFont="1" applyFill="1" applyBorder="1" applyAlignment="1">
      <alignment horizontal="center" vertical="center"/>
    </xf>
    <xf numFmtId="0" fontId="23" fillId="14" borderId="1" xfId="1" applyFont="1" applyFill="1" applyBorder="1" applyAlignment="1">
      <alignment horizontal="center" vertical="center"/>
    </xf>
    <xf numFmtId="0" fontId="23" fillId="10" borderId="1" xfId="1" applyFont="1" applyFill="1" applyBorder="1" applyAlignment="1">
      <alignment horizontal="center" vertical="center"/>
    </xf>
    <xf numFmtId="0" fontId="23" fillId="16" borderId="1" xfId="1" applyFont="1" applyFill="1" applyBorder="1" applyAlignment="1">
      <alignment horizontal="center" vertical="center"/>
    </xf>
    <xf numFmtId="0" fontId="23" fillId="11" borderId="1" xfId="1" applyFont="1" applyFill="1" applyBorder="1" applyAlignment="1">
      <alignment horizontal="center" vertical="center"/>
    </xf>
    <xf numFmtId="0" fontId="23" fillId="17" borderId="1" xfId="1" applyFont="1" applyFill="1" applyBorder="1" applyAlignment="1">
      <alignment horizontal="center" vertical="center"/>
    </xf>
    <xf numFmtId="0" fontId="51" fillId="6" borderId="1" xfId="1" applyFont="1" applyFill="1" applyBorder="1" applyAlignment="1">
      <alignment horizontal="center" vertical="center"/>
    </xf>
    <xf numFmtId="0" fontId="23" fillId="6" borderId="1" xfId="1" applyFont="1" applyFill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3" fillId="18" borderId="1" xfId="1" applyFont="1" applyFill="1" applyBorder="1" applyAlignment="1">
      <alignment horizontal="center" vertical="center"/>
    </xf>
    <xf numFmtId="0" fontId="27" fillId="0" borderId="2" xfId="0" applyFont="1" applyBorder="1" applyAlignment="1">
      <alignment horizontal="left"/>
    </xf>
    <xf numFmtId="0" fontId="5" fillId="0" borderId="13" xfId="0" applyFont="1" applyBorder="1" applyAlignment="1">
      <alignment horizontal="left"/>
    </xf>
    <xf numFmtId="0" fontId="26" fillId="0" borderId="0" xfId="0" applyFont="1" applyAlignment="1">
      <alignment horizontal="center"/>
    </xf>
    <xf numFmtId="0" fontId="45" fillId="0" borderId="4" xfId="0" applyFont="1" applyBorder="1" applyAlignment="1">
      <alignment horizontal="center"/>
    </xf>
    <xf numFmtId="0" fontId="29" fillId="0" borderId="12" xfId="0" applyFont="1" applyBorder="1" applyAlignment="1">
      <alignment horizontal="center"/>
    </xf>
    <xf numFmtId="0" fontId="23" fillId="18" borderId="3" xfId="1" applyFont="1" applyFill="1" applyBorder="1" applyAlignment="1">
      <alignment horizontal="left" vertical="center"/>
    </xf>
    <xf numFmtId="0" fontId="23" fillId="18" borderId="2" xfId="1" applyFont="1" applyFill="1" applyBorder="1" applyAlignment="1">
      <alignment horizontal="left" vertical="center"/>
    </xf>
    <xf numFmtId="0" fontId="13" fillId="0" borderId="0" xfId="0" applyFont="1" applyBorder="1"/>
    <xf numFmtId="0" fontId="8" fillId="9" borderId="1" xfId="0" applyFont="1" applyFill="1" applyBorder="1"/>
    <xf numFmtId="0" fontId="0" fillId="0" borderId="8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52" fillId="0" borderId="0" xfId="0" applyFont="1"/>
    <xf numFmtId="0" fontId="0" fillId="0" borderId="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/>
    <xf numFmtId="0" fontId="0" fillId="0" borderId="14" xfId="0" applyBorder="1" applyAlignment="1">
      <alignment horizontal="center"/>
    </xf>
    <xf numFmtId="0" fontId="0" fillId="0" borderId="0" xfId="0" applyAlignment="1">
      <alignment horizontal="center"/>
    </xf>
    <xf numFmtId="0" fontId="24" fillId="0" borderId="0" xfId="0" applyFont="1"/>
    <xf numFmtId="0" fontId="37" fillId="0" borderId="0" xfId="0" applyFont="1" applyBorder="1"/>
    <xf numFmtId="0" fontId="8" fillId="0" borderId="1" xfId="0" applyFont="1" applyBorder="1" applyAlignment="1">
      <alignment horizontal="center"/>
    </xf>
    <xf numFmtId="0" fontId="0" fillId="0" borderId="8" xfId="0" applyFill="1" applyBorder="1"/>
    <xf numFmtId="0" fontId="53" fillId="3" borderId="11" xfId="0" applyNumberFormat="1" applyFont="1" applyFill="1" applyBorder="1"/>
    <xf numFmtId="0" fontId="8" fillId="0" borderId="0" xfId="0" applyFont="1" applyFill="1" applyBorder="1"/>
    <xf numFmtId="0" fontId="0" fillId="0" borderId="0" xfId="0"/>
    <xf numFmtId="0" fontId="0" fillId="0" borderId="0" xfId="0"/>
    <xf numFmtId="0" fontId="0" fillId="0" borderId="6" xfId="0" applyFill="1" applyBorder="1"/>
    <xf numFmtId="0" fontId="17" fillId="0" borderId="1" xfId="0" applyFont="1" applyBorder="1" applyAlignment="1">
      <alignment horizontal="center"/>
    </xf>
    <xf numFmtId="0" fontId="0" fillId="0" borderId="4" xfId="0" applyFill="1" applyBorder="1"/>
    <xf numFmtId="0" fontId="8" fillId="0" borderId="4" xfId="0" applyFont="1" applyFill="1" applyBorder="1"/>
    <xf numFmtId="0" fontId="0" fillId="0" borderId="0" xfId="0"/>
    <xf numFmtId="0" fontId="0" fillId="7" borderId="6" xfId="0" applyFill="1" applyBorder="1" applyAlignment="1">
      <alignment horizontal="right"/>
    </xf>
    <xf numFmtId="1" fontId="0" fillId="7" borderId="6" xfId="0" applyNumberFormat="1" applyFill="1" applyBorder="1" applyAlignment="1">
      <alignment horizontal="right"/>
    </xf>
    <xf numFmtId="0" fontId="0" fillId="7" borderId="6" xfId="0" applyNumberFormat="1" applyFill="1" applyBorder="1" applyAlignment="1">
      <alignment horizontal="right"/>
    </xf>
    <xf numFmtId="1" fontId="0" fillId="7" borderId="6" xfId="0" applyNumberFormat="1" applyFill="1" applyBorder="1"/>
    <xf numFmtId="0" fontId="0" fillId="0" borderId="0" xfId="0"/>
    <xf numFmtId="0" fontId="0" fillId="0" borderId="0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6" xfId="0" applyNumberFormat="1" applyBorder="1"/>
    <xf numFmtId="0" fontId="0" fillId="0" borderId="0" xfId="0"/>
    <xf numFmtId="0" fontId="1" fillId="2" borderId="1" xfId="1" applyBorder="1"/>
    <xf numFmtId="0" fontId="0" fillId="0" borderId="0" xfId="0"/>
    <xf numFmtId="0" fontId="0" fillId="0" borderId="0" xfId="0"/>
    <xf numFmtId="0" fontId="53" fillId="0" borderId="0" xfId="0" applyFont="1"/>
    <xf numFmtId="0" fontId="0" fillId="0" borderId="0" xfId="0"/>
    <xf numFmtId="0" fontId="3" fillId="0" borderId="0" xfId="0" applyFont="1" applyAlignment="1">
      <alignment horizontal="left"/>
    </xf>
    <xf numFmtId="0" fontId="7" fillId="2" borderId="2" xfId="1" applyFont="1" applyBorder="1" applyAlignment="1">
      <alignment horizontal="center"/>
    </xf>
    <xf numFmtId="0" fontId="7" fillId="2" borderId="0" xfId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54" fillId="0" borderId="9" xfId="0" applyFont="1" applyBorder="1" applyAlignment="1">
      <alignment horizontal="center"/>
    </xf>
    <xf numFmtId="0" fontId="54" fillId="0" borderId="10" xfId="0" applyFont="1" applyBorder="1" applyAlignment="1">
      <alignment horizontal="center"/>
    </xf>
    <xf numFmtId="0" fontId="54" fillId="0" borderId="11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1" fontId="0" fillId="7" borderId="8" xfId="0" applyNumberFormat="1" applyFill="1" applyBorder="1"/>
  </cellXfs>
  <cellStyles count="4">
    <cellStyle name="Bad" xfId="2" builtinId="27"/>
    <cellStyle name="Good" xfId="1" builtinId="26"/>
    <cellStyle name="Neutral" xfId="3" builtinId="28"/>
    <cellStyle name="Normal" xfId="0" builtinId="0"/>
  </cellStyles>
  <dxfs count="0"/>
  <tableStyles count="0" defaultTableStyle="TableStyleMedium2" defaultPivotStyle="PivotStyleMedium9"/>
  <colors>
    <mruColors>
      <color rgb="FFDDDDDD"/>
      <color rgb="FFC7BBD7"/>
      <color rgb="FFFFDD71"/>
      <color rgb="FF8FFFC2"/>
      <color rgb="FF4FFF9F"/>
      <color rgb="FFBCCFE6"/>
      <color rgb="FFFCBABA"/>
      <color rgb="FFFFE38B"/>
      <color rgb="FF00E266"/>
      <color rgb="FF3057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65"/>
  <sheetViews>
    <sheetView workbookViewId="0">
      <selection activeCell="G13" sqref="G13"/>
    </sheetView>
  </sheetViews>
  <sheetFormatPr defaultRowHeight="14.4" x14ac:dyDescent="0.3"/>
  <cols>
    <col min="1" max="1" width="18.33203125" customWidth="1"/>
    <col min="2" max="2" width="6.33203125" customWidth="1"/>
    <col min="3" max="3" width="10.33203125" bestFit="1" customWidth="1"/>
  </cols>
  <sheetData>
    <row r="1" spans="1:22" x14ac:dyDescent="0.3">
      <c r="G1">
        <v>18</v>
      </c>
    </row>
    <row r="3" spans="1:22" ht="19.8" x14ac:dyDescent="0.4">
      <c r="A3" s="194" t="s">
        <v>41</v>
      </c>
      <c r="B3" s="194"/>
      <c r="C3" s="194"/>
      <c r="H3">
        <v>11</v>
      </c>
      <c r="K3" t="s">
        <v>443</v>
      </c>
      <c r="O3" t="s">
        <v>431</v>
      </c>
      <c r="R3" t="s">
        <v>436</v>
      </c>
    </row>
    <row r="4" spans="1:22" x14ac:dyDescent="0.3">
      <c r="K4" t="s">
        <v>444</v>
      </c>
      <c r="O4" t="s">
        <v>432</v>
      </c>
      <c r="R4" t="s">
        <v>437</v>
      </c>
      <c r="V4" t="s">
        <v>434</v>
      </c>
    </row>
    <row r="5" spans="1:22" x14ac:dyDescent="0.3">
      <c r="A5" s="1" t="s">
        <v>42</v>
      </c>
      <c r="B5" s="2" t="s">
        <v>38</v>
      </c>
      <c r="C5" s="1" t="s">
        <v>27</v>
      </c>
      <c r="D5" s="1" t="s">
        <v>26</v>
      </c>
      <c r="E5" s="1" t="s">
        <v>28</v>
      </c>
      <c r="F5" s="1"/>
      <c r="G5" s="1"/>
      <c r="K5" s="1" t="s">
        <v>445</v>
      </c>
      <c r="L5" s="1"/>
      <c r="N5" s="1"/>
      <c r="O5" s="1"/>
      <c r="P5" s="1"/>
      <c r="Q5" s="1"/>
      <c r="R5" s="1" t="s">
        <v>438</v>
      </c>
      <c r="S5" s="1"/>
      <c r="T5" s="1"/>
      <c r="U5" s="1"/>
      <c r="V5" s="1" t="s">
        <v>448</v>
      </c>
    </row>
    <row r="6" spans="1:22" x14ac:dyDescent="0.3">
      <c r="A6" t="s">
        <v>427</v>
      </c>
      <c r="B6" s="2">
        <v>10</v>
      </c>
      <c r="C6">
        <v>24</v>
      </c>
      <c r="K6" t="s">
        <v>440</v>
      </c>
      <c r="O6" t="s">
        <v>433</v>
      </c>
      <c r="R6" t="s">
        <v>439</v>
      </c>
      <c r="V6" t="s">
        <v>442</v>
      </c>
    </row>
    <row r="7" spans="1:22" x14ac:dyDescent="0.3">
      <c r="A7" s="193" t="s">
        <v>425</v>
      </c>
      <c r="B7" s="2">
        <v>11</v>
      </c>
      <c r="C7">
        <v>19</v>
      </c>
      <c r="F7" s="176"/>
      <c r="G7" s="176">
        <v>15</v>
      </c>
      <c r="K7" t="s">
        <v>441</v>
      </c>
      <c r="O7" t="s">
        <v>447</v>
      </c>
      <c r="V7" t="s">
        <v>437</v>
      </c>
    </row>
    <row r="8" spans="1:22" x14ac:dyDescent="0.3">
      <c r="A8" s="193" t="s">
        <v>298</v>
      </c>
      <c r="B8" s="2">
        <v>3</v>
      </c>
      <c r="C8">
        <v>19</v>
      </c>
      <c r="D8">
        <f>'NUM3'!$B$6</f>
        <v>129</v>
      </c>
      <c r="E8">
        <f>'NUM3'!$B$7</f>
        <v>48</v>
      </c>
      <c r="F8" s="176" t="s">
        <v>446</v>
      </c>
      <c r="G8" s="176">
        <f>38</f>
        <v>38</v>
      </c>
      <c r="H8" t="s">
        <v>449</v>
      </c>
      <c r="K8" t="s">
        <v>442</v>
      </c>
      <c r="O8" t="s">
        <v>434</v>
      </c>
    </row>
    <row r="9" spans="1:22" x14ac:dyDescent="0.3">
      <c r="A9" s="193" t="s">
        <v>428</v>
      </c>
      <c r="B9" s="2">
        <v>9</v>
      </c>
      <c r="C9">
        <v>18</v>
      </c>
      <c r="F9" s="176"/>
      <c r="G9" s="176" t="s">
        <v>450</v>
      </c>
      <c r="L9" t="s">
        <v>435</v>
      </c>
      <c r="S9" t="s">
        <v>435</v>
      </c>
    </row>
    <row r="10" spans="1:22" x14ac:dyDescent="0.3">
      <c r="A10" t="s">
        <v>426</v>
      </c>
      <c r="B10" s="2"/>
      <c r="C10">
        <v>18</v>
      </c>
      <c r="F10" s="176"/>
      <c r="G10" s="176"/>
    </row>
    <row r="11" spans="1:22" x14ac:dyDescent="0.3">
      <c r="A11" t="s">
        <v>429</v>
      </c>
      <c r="B11" s="2">
        <v>7</v>
      </c>
      <c r="C11">
        <v>16</v>
      </c>
      <c r="F11" s="176"/>
      <c r="G11" s="176"/>
      <c r="N11">
        <v>15</v>
      </c>
    </row>
    <row r="12" spans="1:22" x14ac:dyDescent="0.3">
      <c r="A12" t="s">
        <v>216</v>
      </c>
      <c r="B12" s="2">
        <v>4</v>
      </c>
      <c r="C12">
        <v>15</v>
      </c>
      <c r="D12">
        <f>'NUM4'!$B$6</f>
        <v>137</v>
      </c>
      <c r="E12">
        <f>'NUM4'!$B$7</f>
        <v>37</v>
      </c>
      <c r="F12" s="176"/>
      <c r="G12" s="176"/>
      <c r="T12" s="181" t="s">
        <v>332</v>
      </c>
    </row>
    <row r="13" spans="1:22" x14ac:dyDescent="0.3">
      <c r="A13" t="s">
        <v>296</v>
      </c>
      <c r="B13" s="2">
        <v>1</v>
      </c>
      <c r="C13">
        <v>15</v>
      </c>
      <c r="D13">
        <f>'NUM1'!$B$6</f>
        <v>186</v>
      </c>
      <c r="E13">
        <f>'NUM1'!$B$7</f>
        <v>47</v>
      </c>
      <c r="F13" s="176"/>
      <c r="G13" s="176" t="s">
        <v>452</v>
      </c>
      <c r="H13" t="s">
        <v>451</v>
      </c>
      <c r="T13" s="181" t="s">
        <v>333</v>
      </c>
    </row>
    <row r="14" spans="1:22" x14ac:dyDescent="0.3">
      <c r="A14" t="s">
        <v>430</v>
      </c>
      <c r="B14" s="2">
        <v>5</v>
      </c>
      <c r="C14">
        <v>15</v>
      </c>
      <c r="G14" s="176"/>
      <c r="T14" s="181" t="s">
        <v>334</v>
      </c>
    </row>
    <row r="15" spans="1:22" x14ac:dyDescent="0.3">
      <c r="A15" t="s">
        <v>297</v>
      </c>
      <c r="B15" s="2">
        <v>2</v>
      </c>
      <c r="C15">
        <v>7</v>
      </c>
      <c r="D15">
        <f>'NUM2'!$B$6</f>
        <v>144</v>
      </c>
      <c r="E15">
        <f>'NUM2'!$B$7</f>
        <v>34</v>
      </c>
      <c r="G15">
        <v>12</v>
      </c>
      <c r="I15">
        <v>1</v>
      </c>
      <c r="J15" t="s">
        <v>359</v>
      </c>
      <c r="T15" s="181" t="s">
        <v>335</v>
      </c>
    </row>
    <row r="16" spans="1:22" x14ac:dyDescent="0.3">
      <c r="A16" s="190" t="s">
        <v>324</v>
      </c>
      <c r="B16" s="2"/>
      <c r="C16">
        <v>7</v>
      </c>
      <c r="G16">
        <f>6*15</f>
        <v>90</v>
      </c>
      <c r="I16">
        <v>1</v>
      </c>
      <c r="J16" t="s">
        <v>329</v>
      </c>
      <c r="K16" t="s">
        <v>330</v>
      </c>
      <c r="L16">
        <v>18</v>
      </c>
      <c r="M16" t="s">
        <v>331</v>
      </c>
      <c r="T16" s="181" t="s">
        <v>336</v>
      </c>
    </row>
    <row r="17" spans="1:20" x14ac:dyDescent="0.3">
      <c r="A17" t="s">
        <v>32</v>
      </c>
      <c r="B17" s="2">
        <v>12</v>
      </c>
      <c r="T17" s="181" t="s">
        <v>337</v>
      </c>
    </row>
    <row r="18" spans="1:20" x14ac:dyDescent="0.3">
      <c r="A18" t="s">
        <v>33</v>
      </c>
      <c r="B18" s="2">
        <v>13</v>
      </c>
      <c r="I18">
        <v>2</v>
      </c>
      <c r="J18" t="s">
        <v>325</v>
      </c>
      <c r="L18">
        <v>80000</v>
      </c>
      <c r="Q18">
        <v>80000</v>
      </c>
      <c r="T18" s="181" t="s">
        <v>338</v>
      </c>
    </row>
    <row r="19" spans="1:20" x14ac:dyDescent="0.3">
      <c r="A19" t="s">
        <v>34</v>
      </c>
      <c r="B19" s="2">
        <v>14</v>
      </c>
      <c r="I19">
        <v>1</v>
      </c>
      <c r="J19" t="s">
        <v>326</v>
      </c>
      <c r="K19">
        <v>1</v>
      </c>
      <c r="L19" t="s">
        <v>327</v>
      </c>
      <c r="N19" t="s">
        <v>328</v>
      </c>
      <c r="P19">
        <v>15</v>
      </c>
      <c r="Q19">
        <v>72000</v>
      </c>
      <c r="T19" s="181" t="s">
        <v>339</v>
      </c>
    </row>
    <row r="20" spans="1:20" x14ac:dyDescent="0.3">
      <c r="A20" t="s">
        <v>35</v>
      </c>
      <c r="B20" s="2">
        <v>15</v>
      </c>
      <c r="Q20">
        <v>36000</v>
      </c>
      <c r="T20" s="181" t="s">
        <v>340</v>
      </c>
    </row>
    <row r="21" spans="1:20" x14ac:dyDescent="0.3">
      <c r="A21" t="s">
        <v>36</v>
      </c>
      <c r="B21" s="2">
        <v>16</v>
      </c>
      <c r="T21" s="181" t="s">
        <v>341</v>
      </c>
    </row>
    <row r="22" spans="1:20" x14ac:dyDescent="0.3">
      <c r="A22" t="s">
        <v>37</v>
      </c>
      <c r="B22" s="2">
        <v>17</v>
      </c>
      <c r="J22" t="s">
        <v>361</v>
      </c>
      <c r="Q22">
        <v>8000</v>
      </c>
      <c r="T22" s="181" t="s">
        <v>342</v>
      </c>
    </row>
    <row r="23" spans="1:20" x14ac:dyDescent="0.3">
      <c r="J23" t="s">
        <v>368</v>
      </c>
      <c r="Q23">
        <v>9000</v>
      </c>
      <c r="T23" s="181" t="s">
        <v>343</v>
      </c>
    </row>
    <row r="24" spans="1:20" x14ac:dyDescent="0.3">
      <c r="T24" s="181" t="s">
        <v>344</v>
      </c>
    </row>
    <row r="25" spans="1:20" x14ac:dyDescent="0.3">
      <c r="T25" s="181" t="s">
        <v>345</v>
      </c>
    </row>
    <row r="26" spans="1:20" x14ac:dyDescent="0.3">
      <c r="T26" s="181" t="s">
        <v>346</v>
      </c>
    </row>
    <row r="27" spans="1:20" x14ac:dyDescent="0.3">
      <c r="J27" t="s">
        <v>360</v>
      </c>
      <c r="Q27">
        <v>20000</v>
      </c>
      <c r="T27" s="181" t="s">
        <v>347</v>
      </c>
    </row>
    <row r="28" spans="1:20" x14ac:dyDescent="0.3">
      <c r="J28" t="s">
        <v>362</v>
      </c>
      <c r="Q28">
        <v>17000</v>
      </c>
      <c r="T28" s="181" t="s">
        <v>348</v>
      </c>
    </row>
    <row r="29" spans="1:20" x14ac:dyDescent="0.3">
      <c r="A29" s="193" t="s">
        <v>406</v>
      </c>
      <c r="C29">
        <v>2500</v>
      </c>
      <c r="T29" s="181" t="s">
        <v>349</v>
      </c>
    </row>
    <row r="30" spans="1:20" x14ac:dyDescent="0.3">
      <c r="A30" s="193"/>
      <c r="L30">
        <v>80000</v>
      </c>
      <c r="Q30">
        <f>SUM(Q18:Q28)</f>
        <v>242000</v>
      </c>
      <c r="T30" s="181" t="s">
        <v>350</v>
      </c>
    </row>
    <row r="31" spans="1:20" x14ac:dyDescent="0.3">
      <c r="A31" s="193" t="s">
        <v>407</v>
      </c>
      <c r="C31">
        <v>4500</v>
      </c>
      <c r="Q31">
        <f>Q30/2</f>
        <v>121000</v>
      </c>
      <c r="T31" s="181" t="s">
        <v>351</v>
      </c>
    </row>
    <row r="32" spans="1:20" x14ac:dyDescent="0.3">
      <c r="A32" s="193"/>
      <c r="N32">
        <f>L30+Q31</f>
        <v>201000</v>
      </c>
      <c r="T32" s="181" t="s">
        <v>352</v>
      </c>
    </row>
    <row r="33" spans="1:20" x14ac:dyDescent="0.3">
      <c r="A33" s="193" t="s">
        <v>408</v>
      </c>
      <c r="T33" s="181" t="s">
        <v>353</v>
      </c>
    </row>
    <row r="34" spans="1:20" x14ac:dyDescent="0.3">
      <c r="A34" s="193"/>
      <c r="K34" t="s">
        <v>369</v>
      </c>
      <c r="N34">
        <v>28000</v>
      </c>
      <c r="T34" s="181" t="s">
        <v>354</v>
      </c>
    </row>
    <row r="35" spans="1:20" x14ac:dyDescent="0.3">
      <c r="A35" s="193"/>
      <c r="K35" t="s">
        <v>370</v>
      </c>
      <c r="N35">
        <v>36000</v>
      </c>
      <c r="Q35">
        <f>SUM(N34:N48)</f>
        <v>158575</v>
      </c>
      <c r="T35" s="181" t="s">
        <v>355</v>
      </c>
    </row>
    <row r="36" spans="1:20" x14ac:dyDescent="0.3">
      <c r="A36" s="193" t="s">
        <v>409</v>
      </c>
      <c r="C36">
        <v>4500</v>
      </c>
      <c r="T36" s="181" t="s">
        <v>356</v>
      </c>
    </row>
    <row r="37" spans="1:20" x14ac:dyDescent="0.3">
      <c r="A37" s="193"/>
      <c r="J37">
        <v>1</v>
      </c>
      <c r="K37" t="s">
        <v>371</v>
      </c>
      <c r="N37">
        <v>50000</v>
      </c>
      <c r="T37" s="181" t="s">
        <v>357</v>
      </c>
    </row>
    <row r="38" spans="1:20" x14ac:dyDescent="0.3">
      <c r="A38" s="193" t="s">
        <v>410</v>
      </c>
      <c r="J38">
        <v>4</v>
      </c>
      <c r="K38" t="s">
        <v>373</v>
      </c>
      <c r="N38">
        <v>4000</v>
      </c>
      <c r="Q38">
        <f>N32-Q35</f>
        <v>42425</v>
      </c>
      <c r="T38" s="181" t="s">
        <v>358</v>
      </c>
    </row>
    <row r="39" spans="1:20" x14ac:dyDescent="0.3">
      <c r="E39" s="193" t="s">
        <v>411</v>
      </c>
      <c r="J39">
        <v>2</v>
      </c>
      <c r="K39" t="s">
        <v>372</v>
      </c>
      <c r="N39">
        <v>4000</v>
      </c>
    </row>
    <row r="40" spans="1:20" x14ac:dyDescent="0.3">
      <c r="E40" s="193" t="s">
        <v>412</v>
      </c>
      <c r="J40">
        <v>4</v>
      </c>
      <c r="K40" t="s">
        <v>374</v>
      </c>
      <c r="N40">
        <f>4*3600</f>
        <v>14400</v>
      </c>
      <c r="Q40" s="192">
        <v>46425</v>
      </c>
    </row>
    <row r="41" spans="1:20" x14ac:dyDescent="0.3">
      <c r="A41" t="s">
        <v>417</v>
      </c>
      <c r="B41">
        <v>3</v>
      </c>
      <c r="C41">
        <v>2400</v>
      </c>
      <c r="E41" s="193" t="s">
        <v>413</v>
      </c>
      <c r="J41">
        <v>3</v>
      </c>
      <c r="K41" t="s">
        <v>375</v>
      </c>
      <c r="N41">
        <v>4500</v>
      </c>
    </row>
    <row r="42" spans="1:20" x14ac:dyDescent="0.3">
      <c r="A42" s="193" t="s">
        <v>414</v>
      </c>
      <c r="C42">
        <v>1650</v>
      </c>
      <c r="E42" s="193" t="s">
        <v>416</v>
      </c>
      <c r="J42">
        <v>8</v>
      </c>
      <c r="K42" t="s">
        <v>376</v>
      </c>
      <c r="N42">
        <f>100*8</f>
        <v>800</v>
      </c>
    </row>
    <row r="43" spans="1:20" x14ac:dyDescent="0.3">
      <c r="A43" s="193" t="s">
        <v>415</v>
      </c>
      <c r="C43">
        <v>250</v>
      </c>
      <c r="J43">
        <v>2</v>
      </c>
      <c r="K43" t="s">
        <v>377</v>
      </c>
      <c r="N43">
        <v>2250</v>
      </c>
    </row>
    <row r="44" spans="1:20" x14ac:dyDescent="0.3">
      <c r="J44">
        <v>3</v>
      </c>
      <c r="K44" t="s">
        <v>378</v>
      </c>
      <c r="N44">
        <f>4*1650</f>
        <v>6600</v>
      </c>
    </row>
    <row r="45" spans="1:20" x14ac:dyDescent="0.3">
      <c r="J45">
        <v>1</v>
      </c>
      <c r="K45" t="s">
        <v>379</v>
      </c>
      <c r="N45">
        <v>1650</v>
      </c>
    </row>
    <row r="46" spans="1:20" x14ac:dyDescent="0.3">
      <c r="J46">
        <v>1</v>
      </c>
      <c r="K46" t="s">
        <v>380</v>
      </c>
    </row>
    <row r="47" spans="1:20" x14ac:dyDescent="0.3">
      <c r="J47">
        <v>1</v>
      </c>
      <c r="K47" t="s">
        <v>381</v>
      </c>
      <c r="N47">
        <v>375</v>
      </c>
    </row>
    <row r="48" spans="1:20" x14ac:dyDescent="0.3">
      <c r="C48">
        <f>SUM(C29:C43)</f>
        <v>15800</v>
      </c>
      <c r="J48">
        <v>1</v>
      </c>
      <c r="K48" t="s">
        <v>382</v>
      </c>
      <c r="N48">
        <v>6000</v>
      </c>
    </row>
    <row r="52" spans="4:18" x14ac:dyDescent="0.3">
      <c r="J52">
        <v>1</v>
      </c>
      <c r="K52" t="s">
        <v>385</v>
      </c>
      <c r="M52">
        <v>6</v>
      </c>
      <c r="O52">
        <v>1200</v>
      </c>
      <c r="P52">
        <v>1650</v>
      </c>
    </row>
    <row r="53" spans="4:18" x14ac:dyDescent="0.3">
      <c r="J53">
        <v>0</v>
      </c>
      <c r="K53" s="191" t="s">
        <v>386</v>
      </c>
      <c r="O53">
        <v>0</v>
      </c>
    </row>
    <row r="54" spans="4:18" x14ac:dyDescent="0.3">
      <c r="D54" t="s">
        <v>390</v>
      </c>
      <c r="J54">
        <v>1</v>
      </c>
      <c r="K54" t="s">
        <v>394</v>
      </c>
      <c r="O54">
        <v>700</v>
      </c>
    </row>
    <row r="56" spans="4:18" x14ac:dyDescent="0.3">
      <c r="J56" t="s">
        <v>399</v>
      </c>
      <c r="K56" t="s">
        <v>395</v>
      </c>
      <c r="N56" t="s">
        <v>396</v>
      </c>
      <c r="O56">
        <v>375</v>
      </c>
    </row>
    <row r="57" spans="4:18" x14ac:dyDescent="0.3">
      <c r="D57" t="s">
        <v>387</v>
      </c>
      <c r="H57">
        <v>18000</v>
      </c>
      <c r="J57">
        <v>1</v>
      </c>
      <c r="K57" t="s">
        <v>397</v>
      </c>
      <c r="O57">
        <v>8000</v>
      </c>
      <c r="R57">
        <v>375</v>
      </c>
    </row>
    <row r="58" spans="4:18" x14ac:dyDescent="0.3">
      <c r="D58" t="s">
        <v>388</v>
      </c>
      <c r="F58" t="s">
        <v>389</v>
      </c>
      <c r="R58">
        <v>8000</v>
      </c>
    </row>
    <row r="59" spans="4:18" x14ac:dyDescent="0.3">
      <c r="D59" s="191" t="s">
        <v>391</v>
      </c>
      <c r="F59" t="s">
        <v>392</v>
      </c>
      <c r="H59" t="s">
        <v>393</v>
      </c>
      <c r="R59">
        <v>1125</v>
      </c>
    </row>
    <row r="60" spans="4:18" x14ac:dyDescent="0.3">
      <c r="J60">
        <v>1</v>
      </c>
      <c r="K60" t="s">
        <v>398</v>
      </c>
      <c r="N60">
        <v>3</v>
      </c>
      <c r="O60">
        <v>375</v>
      </c>
      <c r="R60">
        <v>375</v>
      </c>
    </row>
    <row r="61" spans="4:18" x14ac:dyDescent="0.3">
      <c r="J61" s="191">
        <v>1</v>
      </c>
      <c r="K61" s="191" t="s">
        <v>382</v>
      </c>
      <c r="L61" s="191"/>
      <c r="M61" s="191"/>
      <c r="O61" s="191">
        <v>6000</v>
      </c>
      <c r="R61">
        <f>SUM(R57:R60)</f>
        <v>9875</v>
      </c>
    </row>
    <row r="63" spans="4:18" x14ac:dyDescent="0.3">
      <c r="D63" t="s">
        <v>401</v>
      </c>
      <c r="O63">
        <f>SUM(O52:P61)</f>
        <v>18300</v>
      </c>
    </row>
    <row r="64" spans="4:18" x14ac:dyDescent="0.3">
      <c r="D64" t="s">
        <v>402</v>
      </c>
    </row>
    <row r="65" spans="4:4" x14ac:dyDescent="0.3">
      <c r="D65" t="s">
        <v>403</v>
      </c>
    </row>
  </sheetData>
  <sortState ref="A6:E16">
    <sortCondition descending="1" ref="C6:C16"/>
  </sortState>
  <mergeCells count="1">
    <mergeCell ref="A3:C3"/>
  </mergeCell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B202"/>
  <sheetViews>
    <sheetView topLeftCell="G77" workbookViewId="0">
      <selection activeCell="P92" sqref="P92"/>
    </sheetView>
  </sheetViews>
  <sheetFormatPr defaultRowHeight="14.4" x14ac:dyDescent="0.3"/>
  <cols>
    <col min="1" max="1" width="5.44140625" bestFit="1" customWidth="1"/>
    <col min="2" max="2" width="71.109375" hidden="1" customWidth="1"/>
    <col min="3" max="3" width="8.5546875" hidden="1" customWidth="1"/>
    <col min="4" max="4" width="9.109375" hidden="1" customWidth="1"/>
    <col min="5" max="5" width="17.88671875" hidden="1" customWidth="1"/>
    <col min="6" max="6" width="11.5546875" hidden="1" customWidth="1"/>
    <col min="7" max="7" width="25.88671875" customWidth="1"/>
    <col min="8" max="8" width="27.5546875" style="4" customWidth="1"/>
    <col min="9" max="9" width="9.109375" style="27" customWidth="1"/>
    <col min="10" max="10" width="9.109375" style="28" customWidth="1"/>
    <col min="11" max="11" width="15.5546875" style="29" customWidth="1"/>
    <col min="12" max="12" width="15.5546875" bestFit="1" customWidth="1"/>
    <col min="13" max="13" width="33.44140625" bestFit="1" customWidth="1"/>
    <col min="15" max="15" width="14.6640625" bestFit="1" customWidth="1"/>
    <col min="16" max="16" width="9.88671875" bestFit="1" customWidth="1"/>
    <col min="17" max="17" width="12.5546875" customWidth="1"/>
    <col min="18" max="18" width="20" bestFit="1" customWidth="1"/>
    <col min="19" max="19" width="7.33203125" bestFit="1" customWidth="1"/>
    <col min="20" max="20" width="7.5546875" customWidth="1"/>
    <col min="22" max="22" width="13.6640625" bestFit="1" customWidth="1"/>
    <col min="23" max="23" width="44.109375" bestFit="1" customWidth="1"/>
    <col min="24" max="24" width="9.109375" customWidth="1"/>
    <col min="25" max="25" width="14.6640625" customWidth="1"/>
    <col min="26" max="26" width="9.88671875" bestFit="1" customWidth="1"/>
    <col min="27" max="27" width="16.109375" bestFit="1" customWidth="1"/>
    <col min="28" max="28" width="15.6640625" bestFit="1" customWidth="1"/>
    <col min="30" max="30" width="12.5546875" bestFit="1" customWidth="1"/>
    <col min="31" max="31" width="13.5546875" bestFit="1" customWidth="1"/>
    <col min="32" max="32" width="71.109375" bestFit="1" customWidth="1"/>
    <col min="33" max="33" width="8.5546875" bestFit="1" customWidth="1"/>
  </cols>
  <sheetData>
    <row r="1" spans="1:28" ht="18" x14ac:dyDescent="0.35">
      <c r="A1" s="35" t="s">
        <v>52</v>
      </c>
      <c r="B1" s="35"/>
      <c r="C1" s="35"/>
      <c r="D1" s="35"/>
      <c r="E1" s="35"/>
      <c r="F1" s="35"/>
      <c r="G1" s="7" t="s">
        <v>54</v>
      </c>
      <c r="K1" s="195" t="s">
        <v>53</v>
      </c>
      <c r="L1" s="196"/>
    </row>
    <row r="2" spans="1:28" ht="19.8" x14ac:dyDescent="0.4">
      <c r="A2" s="35"/>
      <c r="B2" s="36" t="s">
        <v>0</v>
      </c>
      <c r="C2" s="35"/>
      <c r="D2" s="35"/>
      <c r="E2" s="35"/>
      <c r="F2" s="35"/>
      <c r="G2" s="6"/>
      <c r="H2" s="5" t="s">
        <v>43</v>
      </c>
      <c r="K2" s="195"/>
      <c r="L2" s="196"/>
    </row>
    <row r="3" spans="1:28" x14ac:dyDescent="0.3">
      <c r="A3" s="35"/>
      <c r="B3" s="35"/>
      <c r="C3" s="35"/>
      <c r="D3" s="35"/>
      <c r="E3" s="35"/>
      <c r="F3" s="35"/>
      <c r="K3" s="168" t="s">
        <v>156</v>
      </c>
    </row>
    <row r="4" spans="1:28" ht="18" x14ac:dyDescent="0.35">
      <c r="A4" s="35"/>
      <c r="B4" s="35"/>
      <c r="C4" s="35">
        <f>COUNTIF(E5:E30,"?*")</f>
        <v>26</v>
      </c>
      <c r="D4" s="35"/>
      <c r="E4" s="35"/>
      <c r="F4" s="35"/>
      <c r="I4" s="27">
        <f>COUNTIF(K5:K29,"?*")</f>
        <v>25</v>
      </c>
      <c r="K4" s="168" t="s">
        <v>157</v>
      </c>
      <c r="L4" s="9" t="s">
        <v>49</v>
      </c>
      <c r="M4" s="9" t="s">
        <v>50</v>
      </c>
      <c r="N4" s="9" t="s">
        <v>51</v>
      </c>
      <c r="O4" s="9" t="s">
        <v>62</v>
      </c>
      <c r="P4" s="9" t="s">
        <v>56</v>
      </c>
      <c r="Q4" s="14" t="s">
        <v>47</v>
      </c>
      <c r="R4" s="9" t="s">
        <v>50</v>
      </c>
      <c r="S4" s="9" t="s">
        <v>51</v>
      </c>
      <c r="T4" s="9" t="s">
        <v>62</v>
      </c>
      <c r="U4" s="10" t="s">
        <v>56</v>
      </c>
      <c r="V4" s="14" t="s">
        <v>48</v>
      </c>
      <c r="W4" s="9" t="s">
        <v>50</v>
      </c>
      <c r="X4" s="9" t="s">
        <v>51</v>
      </c>
      <c r="Y4" s="9" t="s">
        <v>63</v>
      </c>
      <c r="Z4" s="10" t="s">
        <v>56</v>
      </c>
      <c r="AA4" s="8" t="s">
        <v>65</v>
      </c>
      <c r="AB4" s="20" t="s">
        <v>69</v>
      </c>
    </row>
    <row r="5" spans="1:28" ht="18" x14ac:dyDescent="0.35">
      <c r="A5" s="35">
        <f>IF(ISNUMBER(SEARCH($K$2,B5)),MAX(A$4:$A4)+1,0)</f>
        <v>1</v>
      </c>
      <c r="B5" s="35" t="s">
        <v>1</v>
      </c>
      <c r="C5" s="35" t="str">
        <f ca="1">OFFSET($E$5,,,COUNTIF($E$5:$E$30,"?*"))</f>
        <v xml:space="preserve">Ability Modifier </v>
      </c>
      <c r="D5" s="35"/>
      <c r="E5" s="35" t="str">
        <f>IFERROR(VLOOKUP(ROWS(E$4:$E4),$A$5:$B$30,2,0),"")</f>
        <v xml:space="preserve">Ability Modifier </v>
      </c>
      <c r="F5" s="35"/>
      <c r="G5">
        <f>IF(ISNUMBER(SEARCH($G$2,H5)),MAX($G$4:G4)+1,0)</f>
        <v>1</v>
      </c>
      <c r="H5" s="4" t="s">
        <v>90</v>
      </c>
      <c r="K5" s="29" t="str">
        <f>IFERROR(VLOOKUP(ROWS($K$4:K4),$G$5:$I$149,2,0),"")</f>
        <v>ARMOR BONUS</v>
      </c>
      <c r="L5" s="39" t="s">
        <v>28</v>
      </c>
      <c r="M5" s="40" t="s">
        <v>3</v>
      </c>
      <c r="N5" s="40">
        <v>0</v>
      </c>
      <c r="O5" s="40">
        <v>0</v>
      </c>
      <c r="P5" s="92">
        <v>1</v>
      </c>
      <c r="Q5" s="39"/>
      <c r="R5" s="40"/>
      <c r="S5" s="40"/>
      <c r="T5" s="40"/>
      <c r="U5" s="92"/>
      <c r="V5" s="39"/>
      <c r="W5" s="40"/>
      <c r="X5" s="40"/>
      <c r="Y5" s="40"/>
      <c r="Z5" s="92"/>
      <c r="AA5" s="12">
        <v>100</v>
      </c>
      <c r="AB5" s="18"/>
    </row>
    <row r="6" spans="1:28" ht="18" x14ac:dyDescent="0.35">
      <c r="A6" s="35">
        <f>IF(ISNUMBER(SEARCH($K$2,B6)),MAX(A$4:$A5)+1,0)</f>
        <v>2</v>
      </c>
      <c r="B6" s="35" t="s">
        <v>2</v>
      </c>
      <c r="C6" s="35"/>
      <c r="D6" s="35"/>
      <c r="E6" s="35" t="str">
        <f>IFERROR(VLOOKUP(ROWS(E$4:$E5),$A$5:$B$30,2,0),"")</f>
        <v xml:space="preserve">Alchemical Bonus </v>
      </c>
      <c r="F6" s="35"/>
      <c r="G6">
        <f>IF(ISNUMBER(SEARCH($G$2,H6)),MAX($G$4:G5)+1,0)</f>
        <v>2</v>
      </c>
      <c r="H6" s="4" t="s">
        <v>194</v>
      </c>
      <c r="K6" s="29" t="str">
        <f>IFERROR(VLOOKUP(ROWS($K$4:K5),$G$5:$I$149,2,0),"")</f>
        <v>Alter Self Trogle</v>
      </c>
      <c r="L6" s="15" t="s">
        <v>28</v>
      </c>
      <c r="M6" s="16" t="s">
        <v>13</v>
      </c>
      <c r="N6" s="16">
        <v>6</v>
      </c>
      <c r="O6" s="16">
        <v>2</v>
      </c>
      <c r="P6" s="41">
        <v>0</v>
      </c>
      <c r="Q6" s="15"/>
      <c r="R6" s="16"/>
      <c r="S6" s="16"/>
      <c r="T6" s="16"/>
      <c r="U6" s="41"/>
      <c r="V6" s="15"/>
      <c r="W6" s="16"/>
      <c r="X6" s="16"/>
      <c r="Y6" s="16"/>
      <c r="Z6" s="41"/>
      <c r="AA6" s="12">
        <v>100</v>
      </c>
      <c r="AB6" s="18"/>
    </row>
    <row r="7" spans="1:28" ht="18" x14ac:dyDescent="0.35">
      <c r="A7" s="35">
        <f>IF(ISNUMBER(SEARCH($K$2,B7)),MAX(A$4:$A6)+1,0)</f>
        <v>3</v>
      </c>
      <c r="B7" s="35" t="s">
        <v>3</v>
      </c>
      <c r="C7" s="35"/>
      <c r="D7" s="35"/>
      <c r="E7" s="35" t="str">
        <f>IFERROR(VLOOKUP(ROWS(E$4:$E6),$A$5:$B$30,2,0),"")</f>
        <v xml:space="preserve">Armor Bonus </v>
      </c>
      <c r="F7" s="37" t="s">
        <v>45</v>
      </c>
      <c r="G7">
        <f>IF(ISNUMBER(SEARCH($G$2,H7)),MAX($G$4:G6)+1,0)</f>
        <v>3</v>
      </c>
      <c r="H7" s="4" t="s">
        <v>198</v>
      </c>
      <c r="K7" s="29" t="str">
        <f>IFERROR(VLOOKUP(ROWS($K$4:K6),$G$5:$I$149,2,0),"")</f>
        <v>Alter Self*</v>
      </c>
      <c r="L7" s="39"/>
      <c r="M7" s="40"/>
      <c r="N7" s="40">
        <v>0</v>
      </c>
      <c r="O7" s="40">
        <v>2</v>
      </c>
      <c r="P7" s="92">
        <v>0</v>
      </c>
      <c r="Q7" s="39"/>
      <c r="R7" s="40"/>
      <c r="S7" s="40"/>
      <c r="T7" s="40"/>
      <c r="U7" s="92"/>
      <c r="V7" s="39"/>
      <c r="W7" s="40"/>
      <c r="X7" s="40"/>
      <c r="Y7" s="40"/>
      <c r="Z7" s="92"/>
      <c r="AA7" s="12">
        <v>100</v>
      </c>
      <c r="AB7" s="18"/>
    </row>
    <row r="8" spans="1:28" ht="18" x14ac:dyDescent="0.35">
      <c r="A8" s="35">
        <f>IF(ISNUMBER(SEARCH($K$2,B8)),MAX(A$4:$A7)+1,0)</f>
        <v>4</v>
      </c>
      <c r="B8" s="35" t="s">
        <v>4</v>
      </c>
      <c r="C8" s="35"/>
      <c r="D8" s="35"/>
      <c r="E8" s="35" t="str">
        <f>IFERROR(VLOOKUP(ROWS(E$4:$E7),$A$5:$B$30,2,0),"")</f>
        <v xml:space="preserve">Circumstance Modifier </v>
      </c>
      <c r="F8" s="38" t="s">
        <v>40</v>
      </c>
      <c r="G8">
        <f>IF(ISNUMBER(SEARCH($G$2,H8)),MAX($G$4:G7)+1,0)</f>
        <v>4</v>
      </c>
      <c r="H8" s="4" t="s">
        <v>176</v>
      </c>
      <c r="K8" s="29" t="str">
        <f>IFERROR(VLOOKUP(ROWS($K$4:K7),$G$5:$I$149,2,0),"")</f>
        <v>Amulet of Health</v>
      </c>
      <c r="L8" s="15" t="s">
        <v>75</v>
      </c>
      <c r="M8" s="16" t="s">
        <v>89</v>
      </c>
      <c r="N8" s="16">
        <v>0</v>
      </c>
      <c r="O8" s="16">
        <v>0</v>
      </c>
      <c r="P8" s="41">
        <v>1</v>
      </c>
      <c r="Q8" s="15"/>
      <c r="R8" s="16"/>
      <c r="S8" s="16"/>
      <c r="T8" s="16"/>
      <c r="U8" s="41"/>
      <c r="V8" s="15"/>
      <c r="W8" s="16"/>
      <c r="X8" s="16"/>
      <c r="Y8" s="16"/>
      <c r="Z8" s="41"/>
      <c r="AA8" s="12">
        <v>100</v>
      </c>
      <c r="AB8" s="18"/>
    </row>
    <row r="9" spans="1:28" ht="18" x14ac:dyDescent="0.35">
      <c r="A9" s="35">
        <f>IF(ISNUMBER(SEARCH($K$2,B9)),MAX(A$4:$A8)+1,0)</f>
        <v>5</v>
      </c>
      <c r="B9" s="35" t="s">
        <v>5</v>
      </c>
      <c r="C9" s="35"/>
      <c r="D9" s="35"/>
      <c r="E9" s="35" t="str">
        <f>IFERROR(VLOOKUP(ROWS(E$4:$E8),$A$5:$B$30,2,0),"")</f>
        <v xml:space="preserve">Competence Modifier </v>
      </c>
      <c r="F9" s="38" t="s">
        <v>26</v>
      </c>
      <c r="G9">
        <f>IF(ISNUMBER(SEARCH($G$2,H9)),MAX($G$4:G8)+1,0)</f>
        <v>5</v>
      </c>
      <c r="H9" s="4" t="s">
        <v>223</v>
      </c>
      <c r="K9" s="29" t="str">
        <f>IFERROR(VLOOKUP(ROWS($K$4:K8),$G$5:$I$149,2,0),"")</f>
        <v>Arcane sight*</v>
      </c>
      <c r="L9" s="39"/>
      <c r="M9" s="40"/>
      <c r="N9" s="40">
        <v>0</v>
      </c>
      <c r="O9" s="40">
        <v>7</v>
      </c>
      <c r="P9" s="92">
        <v>0</v>
      </c>
      <c r="Q9" s="39"/>
      <c r="R9" s="40"/>
      <c r="S9" s="40"/>
      <c r="T9" s="40"/>
      <c r="U9" s="92"/>
      <c r="V9" s="39"/>
      <c r="W9" s="40"/>
      <c r="X9" s="40"/>
      <c r="Y9" s="40"/>
      <c r="Z9" s="92"/>
      <c r="AA9" s="12">
        <v>100</v>
      </c>
      <c r="AB9" s="18"/>
    </row>
    <row r="10" spans="1:28" ht="18" x14ac:dyDescent="0.35">
      <c r="A10" s="35">
        <f>IF(ISNUMBER(SEARCH($K$2,B10)),MAX(A$4:$A9)+1,0)</f>
        <v>6</v>
      </c>
      <c r="B10" s="35" t="s">
        <v>6</v>
      </c>
      <c r="C10" s="35"/>
      <c r="D10" s="35"/>
      <c r="E10" s="35" t="str">
        <f>IFERROR(VLOOKUP(ROWS(E$4:$E9),$A$5:$B$30,2,0),"")</f>
        <v xml:space="preserve">Deflection Bonus </v>
      </c>
      <c r="F10" s="38" t="s">
        <v>71</v>
      </c>
      <c r="G10">
        <f>IF(ISNUMBER(SEARCH($G$2,H10)),MAX($G$4:G9)+1,0)</f>
        <v>6</v>
      </c>
      <c r="H10" s="4" t="s">
        <v>158</v>
      </c>
      <c r="I10" s="27" t="str">
        <f ca="1">OFFSET($K$5,,,COUNTIF($K$5:$K$200,"?*"))</f>
        <v>ARMOR ENCHA BONUS</v>
      </c>
      <c r="K10" s="29" t="str">
        <f>IFERROR(VLOOKUP(ROWS($K$4:K9),$G$5:$I$149,2,0),"")</f>
        <v>ARMOR ENCHA BONUS</v>
      </c>
      <c r="L10" s="15" t="s">
        <v>28</v>
      </c>
      <c r="M10" s="16" t="s">
        <v>9</v>
      </c>
      <c r="N10" s="16">
        <v>0</v>
      </c>
      <c r="O10" s="16">
        <v>0</v>
      </c>
      <c r="P10" s="41">
        <v>1</v>
      </c>
      <c r="Q10" s="15"/>
      <c r="R10" s="16"/>
      <c r="S10" s="16"/>
      <c r="T10" s="16"/>
      <c r="U10" s="41"/>
      <c r="V10" s="15"/>
      <c r="W10" s="16"/>
      <c r="X10" s="16"/>
      <c r="Y10" s="16"/>
      <c r="Z10" s="41"/>
      <c r="AA10" s="12">
        <v>100</v>
      </c>
      <c r="AB10" s="18"/>
    </row>
    <row r="11" spans="1:28" ht="18" x14ac:dyDescent="0.35">
      <c r="A11" s="35">
        <f>IF(ISNUMBER(SEARCH($K$2,B11)),MAX(A$4:$A10)+1,0)</f>
        <v>7</v>
      </c>
      <c r="B11" s="35" t="s">
        <v>7</v>
      </c>
      <c r="C11" s="35"/>
      <c r="D11" s="35"/>
      <c r="E11" s="35" t="str">
        <f>IFERROR(VLOOKUP(ROWS(E$4:$E10),$A$5:$B$30,2,0),"")</f>
        <v xml:space="preserve">Dodge Bonus </v>
      </c>
      <c r="F11" s="38" t="s">
        <v>72</v>
      </c>
      <c r="G11">
        <f>IF(ISNUMBER(SEARCH($G$2,H11)),MAX($G$4:G10)+1,0)</f>
        <v>7</v>
      </c>
      <c r="H11" s="4" t="s">
        <v>91</v>
      </c>
      <c r="K11" s="29" t="str">
        <f>IFERROR(VLOOKUP(ROWS($K$4:K10),$G$5:$I$149,2,0),"")</f>
        <v>ARMOR SHIELD BONUS</v>
      </c>
      <c r="L11" s="39" t="s">
        <v>28</v>
      </c>
      <c r="M11" s="40" t="s">
        <v>19</v>
      </c>
      <c r="N11" s="40">
        <v>0</v>
      </c>
      <c r="O11" s="40">
        <v>0</v>
      </c>
      <c r="P11" s="92">
        <v>1</v>
      </c>
      <c r="Q11" s="39"/>
      <c r="R11" s="40"/>
      <c r="S11" s="40"/>
      <c r="T11" s="40"/>
      <c r="U11" s="92"/>
      <c r="V11" s="39"/>
      <c r="W11" s="40"/>
      <c r="X11" s="40"/>
      <c r="Y11" s="40"/>
      <c r="Z11" s="92"/>
      <c r="AA11" s="12">
        <v>100</v>
      </c>
      <c r="AB11" s="18"/>
    </row>
    <row r="12" spans="1:28" ht="18" x14ac:dyDescent="0.35">
      <c r="A12" s="35">
        <f>IF(ISNUMBER(SEARCH($K$2,B12)),MAX(A$4:$A11)+1,0)</f>
        <v>8</v>
      </c>
      <c r="B12" s="35" t="s">
        <v>8</v>
      </c>
      <c r="C12" s="35"/>
      <c r="D12" s="35"/>
      <c r="E12" s="35" t="str">
        <f>IFERROR(VLOOKUP(ROWS(E$4:$E11),$A$5:$B$30,2,0),"")</f>
        <v>Enhancement Shield Bonus</v>
      </c>
      <c r="F12" s="38" t="s">
        <v>76</v>
      </c>
      <c r="G12">
        <f>IF(ISNUMBER(SEARCH($G$2,H12)),MAX($G$4:G11)+1,0)</f>
        <v>8</v>
      </c>
      <c r="H12" s="4" t="s">
        <v>295</v>
      </c>
      <c r="K12" s="29" t="str">
        <f>IFERROR(VLOOKUP(ROWS($K$4:K11),$G$5:$I$149,2,0),"")</f>
        <v>Benediction</v>
      </c>
      <c r="L12" s="11" t="s">
        <v>29</v>
      </c>
      <c r="M12" s="16" t="s">
        <v>11</v>
      </c>
      <c r="N12" s="43">
        <v>2</v>
      </c>
      <c r="O12" s="169">
        <v>2</v>
      </c>
      <c r="P12" s="13">
        <v>0</v>
      </c>
      <c r="Q12" s="11" t="s">
        <v>30</v>
      </c>
      <c r="R12" s="16" t="s">
        <v>11</v>
      </c>
      <c r="S12" s="43">
        <v>2</v>
      </c>
      <c r="T12" s="169">
        <v>2</v>
      </c>
      <c r="U12" s="13">
        <v>0</v>
      </c>
      <c r="V12" s="11" t="s">
        <v>31</v>
      </c>
      <c r="W12" s="16" t="s">
        <v>11</v>
      </c>
      <c r="X12" s="43">
        <v>2</v>
      </c>
      <c r="Y12" s="169">
        <v>2</v>
      </c>
      <c r="Z12" s="13">
        <v>0</v>
      </c>
      <c r="AA12" s="12">
        <v>100</v>
      </c>
      <c r="AB12" s="18"/>
    </row>
    <row r="13" spans="1:28" ht="18" x14ac:dyDescent="0.35">
      <c r="A13" s="35">
        <f>IF(ISNUMBER(SEARCH($K$2,B13)),MAX(A$4:$A12)+1,0)</f>
        <v>9</v>
      </c>
      <c r="B13" s="35" t="s">
        <v>9</v>
      </c>
      <c r="C13" s="35"/>
      <c r="D13" s="35"/>
      <c r="E13" s="35" t="str">
        <f>IFERROR(VLOOKUP(ROWS(E$4:$E12),$A$5:$B$30,2,0),"")</f>
        <v xml:space="preserve">Enhancement Armor Bonus </v>
      </c>
      <c r="F13" s="38" t="s">
        <v>75</v>
      </c>
      <c r="G13">
        <f>IF(ISNUMBER(SEARCH($G$2,H13)),MAX($G$4:G12)+1,0)</f>
        <v>9</v>
      </c>
      <c r="H13" s="4" t="s">
        <v>230</v>
      </c>
      <c r="K13" s="29" t="str">
        <f>IFERROR(VLOOKUP(ROWS($K$4:K12),$G$5:$I$149,2,0),"")</f>
        <v>Blind Sight*</v>
      </c>
      <c r="L13" s="39"/>
      <c r="M13" s="40"/>
      <c r="N13" s="40">
        <v>0</v>
      </c>
      <c r="O13" s="40">
        <v>2</v>
      </c>
      <c r="P13" s="92">
        <v>0</v>
      </c>
      <c r="Q13" s="39"/>
      <c r="R13" s="40"/>
      <c r="S13" s="40"/>
      <c r="T13" s="40"/>
      <c r="U13" s="92"/>
      <c r="V13" s="39"/>
      <c r="W13" s="40"/>
      <c r="X13" s="40"/>
      <c r="Y13" s="40"/>
      <c r="Z13" s="92"/>
      <c r="AA13" s="12">
        <v>100</v>
      </c>
      <c r="AB13" s="18"/>
    </row>
    <row r="14" spans="1:28" ht="18" x14ac:dyDescent="0.35">
      <c r="A14" s="35">
        <f>IF(ISNUMBER(SEARCH($K$2,B14)),MAX(A$4:$A13)+1,0)</f>
        <v>10</v>
      </c>
      <c r="B14" s="35" t="s">
        <v>10</v>
      </c>
      <c r="C14" s="35"/>
      <c r="D14" s="35"/>
      <c r="E14" s="35" t="str">
        <f>IFERROR(VLOOKUP(ROWS(E$4:$E13),$A$5:$B$30,2,0),"")</f>
        <v xml:space="preserve">Insight Bonus </v>
      </c>
      <c r="F14" s="38" t="s">
        <v>73</v>
      </c>
      <c r="G14">
        <f>IF(ISNUMBER(SEARCH($G$2,H14)),MAX($G$4:G13)+1,0)</f>
        <v>10</v>
      </c>
      <c r="H14" s="4" t="s">
        <v>197</v>
      </c>
      <c r="K14" s="29" t="str">
        <f>IFERROR(VLOOKUP(ROWS($K$4:K13),$G$5:$I$149,2,0),"")</f>
        <v>Blur*</v>
      </c>
      <c r="L14" s="15"/>
      <c r="M14" s="16"/>
      <c r="N14" s="16">
        <v>0</v>
      </c>
      <c r="O14" s="16">
        <v>2</v>
      </c>
      <c r="P14" s="41">
        <v>0</v>
      </c>
      <c r="Q14" s="15"/>
      <c r="R14" s="16"/>
      <c r="S14" s="16"/>
      <c r="T14" s="16"/>
      <c r="U14" s="41"/>
      <c r="V14" s="15"/>
      <c r="W14" s="16"/>
      <c r="X14" s="16"/>
      <c r="Y14" s="16"/>
      <c r="Z14" s="41"/>
      <c r="AA14" s="12">
        <v>100</v>
      </c>
      <c r="AB14" s="18"/>
    </row>
    <row r="15" spans="1:28" ht="18" x14ac:dyDescent="0.35">
      <c r="A15" s="35">
        <f>IF(ISNUMBER(SEARCH($K$2,B15)),MAX(A$4:$A14)+1,0)</f>
        <v>11</v>
      </c>
      <c r="B15" s="35" t="s">
        <v>11</v>
      </c>
      <c r="C15" s="35"/>
      <c r="D15" s="35"/>
      <c r="E15" s="35" t="str">
        <f>IFERROR(VLOOKUP(ROWS(E$4:$E14),$A$5:$B$30,2,0),"")</f>
        <v xml:space="preserve">Luck Modifier </v>
      </c>
      <c r="F15" s="38" t="s">
        <v>115</v>
      </c>
      <c r="G15">
        <f>IF(ISNUMBER(SEARCH($G$2,H15)),MAX($G$4:G14)+1,0)</f>
        <v>11</v>
      </c>
      <c r="H15" s="4" t="s">
        <v>245</v>
      </c>
      <c r="K15" s="29" t="str">
        <f>IFERROR(VLOOKUP(ROWS($K$4:K14),$G$5:$I$149,2,0),"")</f>
        <v>Briliance blade*</v>
      </c>
      <c r="L15" s="50"/>
      <c r="M15" s="40"/>
      <c r="N15" s="51"/>
      <c r="O15" s="175">
        <v>7</v>
      </c>
      <c r="P15" s="52"/>
      <c r="Q15" s="50"/>
      <c r="R15" s="51"/>
      <c r="S15" s="51"/>
      <c r="T15" s="51"/>
      <c r="U15" s="52"/>
      <c r="V15" s="50"/>
      <c r="W15" s="51"/>
      <c r="X15" s="51"/>
      <c r="Y15" s="51"/>
      <c r="Z15" s="52"/>
      <c r="AA15" s="12">
        <v>100</v>
      </c>
      <c r="AB15" s="18"/>
    </row>
    <row r="16" spans="1:28" ht="18" x14ac:dyDescent="0.35">
      <c r="A16" s="35">
        <f>IF(ISNUMBER(SEARCH($K$2,B16)),MAX(A$4:$A15)+1,0)</f>
        <v>12</v>
      </c>
      <c r="B16" s="35" t="s">
        <v>12</v>
      </c>
      <c r="C16" s="35"/>
      <c r="D16" s="35"/>
      <c r="E16" s="35" t="str">
        <f>IFERROR(VLOOKUP(ROWS(E$4:$E15),$A$5:$B$30,2,0),"")</f>
        <v xml:space="preserve">Morale Modifier </v>
      </c>
      <c r="F16" s="38" t="s">
        <v>74</v>
      </c>
      <c r="G16">
        <f>IF(ISNUMBER(SEARCH($G$2,H16)),MAX($G$4:G15)+1,0)</f>
        <v>12</v>
      </c>
      <c r="H16" s="4" t="s">
        <v>201</v>
      </c>
      <c r="K16" s="29" t="str">
        <f>IFERROR(VLOOKUP(ROWS($K$4:K15),$G$5:$I$149,2,0),"")</f>
        <v>Bulls Strenght</v>
      </c>
      <c r="L16" s="15" t="s">
        <v>72</v>
      </c>
      <c r="M16" s="16" t="s">
        <v>89</v>
      </c>
      <c r="N16" s="16">
        <v>4</v>
      </c>
      <c r="O16" s="16">
        <v>2</v>
      </c>
      <c r="P16" s="41">
        <v>0</v>
      </c>
      <c r="Q16" s="15"/>
      <c r="R16" s="16"/>
      <c r="S16" s="16"/>
      <c r="T16" s="16"/>
      <c r="U16" s="41"/>
      <c r="V16" s="15"/>
      <c r="W16" s="16"/>
      <c r="X16" s="16"/>
      <c r="Y16" s="16"/>
      <c r="Z16" s="41"/>
      <c r="AA16" s="12">
        <v>100</v>
      </c>
      <c r="AB16" s="18"/>
    </row>
    <row r="17" spans="1:28" ht="18" x14ac:dyDescent="0.35">
      <c r="A17" s="35">
        <f>IF(ISNUMBER(SEARCH($K$2,B17)),MAX(A$4:$A16)+1,0)</f>
        <v>13</v>
      </c>
      <c r="B17" s="35" t="s">
        <v>13</v>
      </c>
      <c r="C17" s="35"/>
      <c r="D17" s="35"/>
      <c r="E17" s="35" t="str">
        <f>IFERROR(VLOOKUP(ROWS(E$4:$E16),$A$5:$B$30,2,0),"")</f>
        <v xml:space="preserve">Natural Armor Bonus </v>
      </c>
      <c r="F17" s="38" t="s">
        <v>29</v>
      </c>
      <c r="G17">
        <f>IF(ISNUMBER(SEARCH($G$2,H17)),MAX($G$4:G16)+1,0)</f>
        <v>13</v>
      </c>
      <c r="H17" s="4" t="s">
        <v>202</v>
      </c>
      <c r="K17" s="29" t="str">
        <f>IFERROR(VLOOKUP(ROWS($K$4:K16),$G$5:$I$149,2,0),"")</f>
        <v>Cats Grace</v>
      </c>
      <c r="L17" s="39" t="s">
        <v>76</v>
      </c>
      <c r="M17" s="40" t="s">
        <v>89</v>
      </c>
      <c r="N17" s="40">
        <v>4</v>
      </c>
      <c r="O17" s="40">
        <v>2</v>
      </c>
      <c r="P17" s="92">
        <v>0</v>
      </c>
      <c r="Q17" s="39"/>
      <c r="R17" s="40"/>
      <c r="S17" s="40"/>
      <c r="T17" s="40"/>
      <c r="U17" s="92"/>
      <c r="V17" s="39"/>
      <c r="W17" s="40"/>
      <c r="X17" s="40"/>
      <c r="Y17" s="40"/>
      <c r="Z17" s="92"/>
      <c r="AA17" s="12">
        <v>100</v>
      </c>
      <c r="AB17" s="18"/>
    </row>
    <row r="18" spans="1:28" ht="18" x14ac:dyDescent="0.35">
      <c r="A18" s="35">
        <f>IF(ISNUMBER(SEARCH($K$2,B18)),MAX(A$4:$A17)+1,0)</f>
        <v>14</v>
      </c>
      <c r="B18" s="35" t="s">
        <v>14</v>
      </c>
      <c r="C18" s="35"/>
      <c r="D18" s="35"/>
      <c r="E18" s="35" t="str">
        <f>IFERROR(VLOOKUP(ROWS(E$4:$E17),$A$5:$B$30,2,0),"")</f>
        <v>Enhancement to Natural Armor Bonus</v>
      </c>
      <c r="F18" s="38" t="s">
        <v>30</v>
      </c>
      <c r="G18">
        <f>IF(ISNUMBER(SEARCH($G$2,H18)),MAX($G$4:G17)+1,0)</f>
        <v>14</v>
      </c>
      <c r="H18" s="4" t="s">
        <v>191</v>
      </c>
      <c r="K18" s="29" t="str">
        <f>IFERROR(VLOOKUP(ROWS($K$4:K17),$G$5:$I$149,2,0),"")</f>
        <v>Circle of Wisdom</v>
      </c>
      <c r="L18" s="15" t="s">
        <v>73</v>
      </c>
      <c r="M18" s="16" t="s">
        <v>89</v>
      </c>
      <c r="N18" s="16">
        <v>0</v>
      </c>
      <c r="O18" s="16">
        <v>0</v>
      </c>
      <c r="P18" s="41">
        <v>1</v>
      </c>
      <c r="Q18" s="15"/>
      <c r="R18" s="16"/>
      <c r="S18" s="16"/>
      <c r="T18" s="16"/>
      <c r="U18" s="41"/>
      <c r="V18" s="15"/>
      <c r="W18" s="16"/>
      <c r="X18" s="16"/>
      <c r="Y18" s="16"/>
      <c r="Z18" s="41"/>
      <c r="AA18" s="12">
        <v>100</v>
      </c>
      <c r="AB18" s="18"/>
    </row>
    <row r="19" spans="1:28" ht="18" x14ac:dyDescent="0.35">
      <c r="A19" s="35">
        <f>IF(ISNUMBER(SEARCH($K$2,B19)),MAX(A$4:$A18)+1,0)</f>
        <v>15</v>
      </c>
      <c r="B19" s="35" t="s">
        <v>15</v>
      </c>
      <c r="C19" s="35"/>
      <c r="D19" s="35"/>
      <c r="E19" s="35" t="str">
        <f>IFERROR(VLOOKUP(ROWS(E$4:$E18),$A$5:$B$30,2,0),"")</f>
        <v xml:space="preserve">Profane Modifier </v>
      </c>
      <c r="F19" s="38" t="s">
        <v>31</v>
      </c>
      <c r="G19">
        <f>IF(ISNUMBER(SEARCH($G$2,H19)),MAX($G$4:G18)+1,0)</f>
        <v>15</v>
      </c>
      <c r="H19" s="4" t="s">
        <v>220</v>
      </c>
      <c r="K19" s="29" t="str">
        <f>IFERROR(VLOOKUP(ROWS($K$4:K18),$G$5:$I$149,2,0),"")</f>
        <v>Cloak of Charisma</v>
      </c>
      <c r="L19" s="39" t="s">
        <v>74</v>
      </c>
      <c r="M19" s="40" t="s">
        <v>89</v>
      </c>
      <c r="N19" s="40">
        <v>0</v>
      </c>
      <c r="O19" s="40">
        <v>0</v>
      </c>
      <c r="P19" s="92">
        <v>1</v>
      </c>
      <c r="Q19" s="39"/>
      <c r="R19" s="40"/>
      <c r="S19" s="40"/>
      <c r="T19" s="40"/>
      <c r="U19" s="92"/>
      <c r="V19" s="39"/>
      <c r="W19" s="40"/>
      <c r="X19" s="40"/>
      <c r="Y19" s="40"/>
      <c r="Z19" s="92"/>
      <c r="AA19" s="12">
        <v>100</v>
      </c>
      <c r="AB19" s="18"/>
    </row>
    <row r="20" spans="1:28" ht="18" x14ac:dyDescent="0.35">
      <c r="A20" s="35">
        <f>IF(ISNUMBER(SEARCH($K$2,B20)),MAX(A$4:$A19)+1,0)</f>
        <v>16</v>
      </c>
      <c r="B20" s="35" t="s">
        <v>16</v>
      </c>
      <c r="C20" s="35"/>
      <c r="D20" s="35"/>
      <c r="E20" s="35" t="str">
        <f>IFERROR(VLOOKUP(ROWS(E$4:$E19),$A$5:$B$30,2,0),"")</f>
        <v xml:space="preserve">Racial Bonus </v>
      </c>
      <c r="F20" s="38" t="s">
        <v>46</v>
      </c>
      <c r="G20">
        <f>IF(ISNUMBER(SEARCH($G$2,H20)),MAX($G$4:G19)+1,0)</f>
        <v>16</v>
      </c>
      <c r="H20" s="4" t="s">
        <v>92</v>
      </c>
      <c r="K20" s="29" t="str">
        <f>IFERROR(VLOOKUP(ROWS($K$4:K19),$G$5:$I$149,2,0),"")</f>
        <v>CLOAK OF RESISTANT</v>
      </c>
      <c r="L20" s="15" t="s">
        <v>29</v>
      </c>
      <c r="M20" s="16" t="s">
        <v>89</v>
      </c>
      <c r="N20" s="16">
        <v>0</v>
      </c>
      <c r="O20" s="16">
        <v>0</v>
      </c>
      <c r="P20" s="41">
        <v>1</v>
      </c>
      <c r="Q20" s="15" t="s">
        <v>30</v>
      </c>
      <c r="R20" s="16" t="s">
        <v>89</v>
      </c>
      <c r="S20" s="16">
        <v>0</v>
      </c>
      <c r="T20" s="16">
        <v>0</v>
      </c>
      <c r="U20" s="41">
        <v>1</v>
      </c>
      <c r="V20" s="15" t="s">
        <v>31</v>
      </c>
      <c r="W20" s="16" t="s">
        <v>89</v>
      </c>
      <c r="X20" s="16">
        <v>0</v>
      </c>
      <c r="Y20" s="16">
        <v>0</v>
      </c>
      <c r="Z20" s="41">
        <v>1</v>
      </c>
      <c r="AA20" s="12">
        <v>100</v>
      </c>
      <c r="AB20" s="18"/>
    </row>
    <row r="21" spans="1:28" ht="18" x14ac:dyDescent="0.35">
      <c r="A21" s="35">
        <f>IF(ISNUMBER(SEARCH($K$2,B21)),MAX(A$4:$A20)+1,0)</f>
        <v>17</v>
      </c>
      <c r="B21" s="35" t="s">
        <v>17</v>
      </c>
      <c r="C21" s="35"/>
      <c r="D21" s="35"/>
      <c r="E21" s="35" t="str">
        <f>IFERROR(VLOOKUP(ROWS(E$4:$E20),$A$5:$B$30,2,0),"")</f>
        <v xml:space="preserve">Resistance Bonus </v>
      </c>
      <c r="F21" s="38" t="s">
        <v>70</v>
      </c>
      <c r="G21">
        <f>IF(ISNUMBER(SEARCH($G$2,H21)),MAX($G$4:G20)+1,0)</f>
        <v>17</v>
      </c>
      <c r="H21" s="4" t="s">
        <v>286</v>
      </c>
      <c r="K21" s="29" t="str">
        <f>IFERROR(VLOOKUP(ROWS($K$4:K20),$G$5:$I$149,2,0),"")</f>
        <v>Combat Focus</v>
      </c>
      <c r="L21" s="50" t="s">
        <v>31</v>
      </c>
      <c r="M21" s="40" t="s">
        <v>25</v>
      </c>
      <c r="N21" s="174">
        <v>2</v>
      </c>
      <c r="O21" s="175">
        <v>0</v>
      </c>
      <c r="P21" s="52">
        <v>0</v>
      </c>
      <c r="Q21" s="50"/>
      <c r="R21" s="51"/>
      <c r="S21" s="51"/>
      <c r="T21" s="51"/>
      <c r="U21" s="52"/>
      <c r="V21" s="50"/>
      <c r="W21" s="51"/>
      <c r="X21" s="51"/>
      <c r="Y21" s="51"/>
      <c r="Z21" s="52"/>
      <c r="AA21" s="12">
        <v>100</v>
      </c>
      <c r="AB21" s="18"/>
    </row>
    <row r="22" spans="1:28" ht="18" x14ac:dyDescent="0.35">
      <c r="A22" s="35">
        <f>IF(ISNUMBER(SEARCH($K$2,B22)),MAX(A$4:$A21)+1,0)</f>
        <v>18</v>
      </c>
      <c r="B22" s="35" t="s">
        <v>18</v>
      </c>
      <c r="C22" s="35"/>
      <c r="D22" s="35"/>
      <c r="E22" s="35" t="str">
        <f>IFERROR(VLOOKUP(ROWS(E$4:$E21),$A$5:$B$30,2,0),"")</f>
        <v>Sacred Modifier</v>
      </c>
      <c r="F22" s="38" t="s">
        <v>77</v>
      </c>
      <c r="G22">
        <f>IF(ISNUMBER(SEARCH($G$2,H22)),MAX($G$4:G21)+1,0)</f>
        <v>18</v>
      </c>
      <c r="H22" s="4" t="s">
        <v>287</v>
      </c>
      <c r="K22" s="29" t="str">
        <f>IFERROR(VLOOKUP(ROWS($K$4:K21),$G$5:$I$149,2,0),"")</f>
        <v>Combat Stability</v>
      </c>
      <c r="L22" s="11" t="s">
        <v>77</v>
      </c>
      <c r="M22" s="16" t="s">
        <v>25</v>
      </c>
      <c r="N22" s="43">
        <v>4</v>
      </c>
      <c r="O22" s="169">
        <v>0</v>
      </c>
      <c r="P22" s="13">
        <v>0</v>
      </c>
      <c r="Q22" s="11"/>
      <c r="R22" s="12"/>
      <c r="S22" s="12"/>
      <c r="T22" s="12"/>
      <c r="U22" s="13"/>
      <c r="V22" s="11"/>
      <c r="W22" s="12"/>
      <c r="X22" s="12"/>
      <c r="Y22" s="12"/>
      <c r="Z22" s="13"/>
      <c r="AA22" s="12">
        <v>100</v>
      </c>
      <c r="AB22" s="18"/>
    </row>
    <row r="23" spans="1:28" ht="18" x14ac:dyDescent="0.35">
      <c r="A23" s="35">
        <f>IF(ISNUMBER(SEARCH($K$2,B23)),MAX(A$4:$A22)+1,0)</f>
        <v>19</v>
      </c>
      <c r="B23" s="35" t="s">
        <v>19</v>
      </c>
      <c r="C23" s="35"/>
      <c r="D23" s="35"/>
      <c r="E23" s="35" t="str">
        <f>IFERROR(VLOOKUP(ROWS(E$4:$E22),$A$5:$B$30,2,0),"")</f>
        <v xml:space="preserve">Shield Bonus </v>
      </c>
      <c r="F23" s="38" t="s">
        <v>28</v>
      </c>
      <c r="G23">
        <f>IF(ISNUMBER(SEARCH($G$2,H23)),MAX($G$4:G22)+1,0)</f>
        <v>19</v>
      </c>
      <c r="H23" s="4" t="s">
        <v>255</v>
      </c>
      <c r="K23" s="29" t="str">
        <f>IFERROR(VLOOKUP(ROWS($K$4:K22),$G$5:$I$149,2,0),"")</f>
        <v>Conviction</v>
      </c>
      <c r="L23" s="50" t="s">
        <v>28</v>
      </c>
      <c r="M23" s="40" t="s">
        <v>12</v>
      </c>
      <c r="N23" s="51">
        <v>2</v>
      </c>
      <c r="O23" s="175">
        <v>1</v>
      </c>
      <c r="P23" s="52">
        <f>1/6</f>
        <v>0.16666666666666666</v>
      </c>
      <c r="Q23" s="50"/>
      <c r="R23" s="51"/>
      <c r="S23" s="51"/>
      <c r="T23" s="51"/>
      <c r="U23" s="52"/>
      <c r="V23" s="50"/>
      <c r="W23" s="51"/>
      <c r="X23" s="51"/>
      <c r="Y23" s="51"/>
      <c r="Z23" s="52"/>
      <c r="AA23" s="12">
        <v>100</v>
      </c>
      <c r="AB23" s="18"/>
    </row>
    <row r="24" spans="1:28" ht="18" x14ac:dyDescent="0.35">
      <c r="A24" s="35">
        <f>IF(ISNUMBER(SEARCH($K$2,B24)),MAX(A$4:$A23)+1,0)</f>
        <v>20</v>
      </c>
      <c r="B24" s="35" t="s">
        <v>20</v>
      </c>
      <c r="C24" s="35"/>
      <c r="D24" s="35"/>
      <c r="E24" s="35" t="str">
        <f>IFERROR(VLOOKUP(ROWS(E$4:$E23),$A$5:$B$30,2,0),"")</f>
        <v xml:space="preserve">Size Modifier </v>
      </c>
      <c r="F24" s="38" t="s">
        <v>78</v>
      </c>
      <c r="G24">
        <f>IF(ISNUMBER(SEARCH($G$2,H24)),MAX($G$4:G23)+1,0)</f>
        <v>20</v>
      </c>
      <c r="H24" s="4" t="s">
        <v>290</v>
      </c>
      <c r="K24" s="29" t="str">
        <f>IFERROR(VLOOKUP(ROWS($K$4:K23),$G$5:$I$149,2,0),"")</f>
        <v>Conviction Mass</v>
      </c>
      <c r="L24" s="11" t="s">
        <v>29</v>
      </c>
      <c r="M24" s="16" t="s">
        <v>12</v>
      </c>
      <c r="N24" s="43">
        <v>2</v>
      </c>
      <c r="O24" s="169">
        <v>3</v>
      </c>
      <c r="P24" s="13">
        <f>1/6</f>
        <v>0.16666666666666666</v>
      </c>
      <c r="Q24" s="11" t="s">
        <v>30</v>
      </c>
      <c r="R24" s="16" t="s">
        <v>12</v>
      </c>
      <c r="S24" s="43">
        <v>2</v>
      </c>
      <c r="T24" s="169">
        <v>3</v>
      </c>
      <c r="U24" s="13">
        <f>1/6</f>
        <v>0.16666666666666666</v>
      </c>
      <c r="V24" s="11" t="s">
        <v>31</v>
      </c>
      <c r="W24" s="16" t="s">
        <v>12</v>
      </c>
      <c r="X24" s="43">
        <v>2</v>
      </c>
      <c r="Y24" s="169">
        <v>3</v>
      </c>
      <c r="Z24" s="13">
        <f>1/6</f>
        <v>0.16666666666666666</v>
      </c>
      <c r="AA24" s="12">
        <v>100</v>
      </c>
      <c r="AB24" s="18"/>
    </row>
    <row r="25" spans="1:28" ht="18" x14ac:dyDescent="0.35">
      <c r="A25" s="35">
        <f>IF(ISNUMBER(SEARCH($K$2,B25)),MAX(A$4:$A24)+1,0)</f>
        <v>21</v>
      </c>
      <c r="B25" s="35" t="s">
        <v>21</v>
      </c>
      <c r="C25" s="35"/>
      <c r="D25" s="35"/>
      <c r="E25" s="35" t="str">
        <f>IFERROR(VLOOKUP(ROWS(E$4:$E24),$A$5:$B$30,2,0),"")</f>
        <v>Epic Bonus</v>
      </c>
      <c r="F25" s="38" t="s">
        <v>79</v>
      </c>
      <c r="G25">
        <f>IF(ISNUMBER(SEARCH($G$2,H25)),MAX($G$4:G24)+1,0)</f>
        <v>21</v>
      </c>
      <c r="H25" s="4" t="s">
        <v>294</v>
      </c>
      <c r="K25" s="29" t="str">
        <f>IFERROR(VLOOKUP(ROWS($K$4:K24),$G$5:$I$149,2,0),"")</f>
        <v>Death Ward*</v>
      </c>
      <c r="L25" s="50"/>
      <c r="M25" s="40"/>
      <c r="N25" s="51"/>
      <c r="O25" s="175">
        <v>4</v>
      </c>
      <c r="P25" s="52"/>
      <c r="Q25" s="50"/>
      <c r="R25" s="51"/>
      <c r="S25" s="51"/>
      <c r="T25" s="51"/>
      <c r="U25" s="52"/>
      <c r="V25" s="50"/>
      <c r="W25" s="51"/>
      <c r="X25" s="51"/>
      <c r="Y25" s="51"/>
      <c r="Z25" s="52"/>
      <c r="AA25" s="12">
        <v>100</v>
      </c>
      <c r="AB25" s="18"/>
    </row>
    <row r="26" spans="1:28" ht="18" x14ac:dyDescent="0.35">
      <c r="A26" s="35">
        <f>IF(ISNUMBER(SEARCH($K$2,B26)),MAX(A$4:$A25)+1,0)</f>
        <v>22</v>
      </c>
      <c r="B26" s="35" t="s">
        <v>22</v>
      </c>
      <c r="C26" s="35"/>
      <c r="D26" s="35"/>
      <c r="E26" s="35" t="str">
        <f>IFERROR(VLOOKUP(ROWS(E$4:$E25),$A$5:$B$30,2,0),"")</f>
        <v>Divine Bonus</v>
      </c>
      <c r="F26" s="35"/>
      <c r="G26">
        <f>IF(ISNUMBER(SEARCH($G$2,H26)),MAX($G$4:G25)+1,0)</f>
        <v>22</v>
      </c>
      <c r="H26" s="4" t="s">
        <v>208</v>
      </c>
      <c r="K26" s="29" t="str">
        <f>IFERROR(VLOOKUP(ROWS($K$4:K25),$G$5:$I$149,2,0),"")</f>
        <v>Displacement*</v>
      </c>
      <c r="L26" s="15"/>
      <c r="M26" s="16"/>
      <c r="N26" s="16">
        <v>0</v>
      </c>
      <c r="O26" s="16">
        <v>3</v>
      </c>
      <c r="P26" s="41">
        <v>0</v>
      </c>
      <c r="Q26" s="15"/>
      <c r="R26" s="16"/>
      <c r="S26" s="16"/>
      <c r="T26" s="16"/>
      <c r="U26" s="41"/>
      <c r="V26" s="15"/>
      <c r="W26" s="16"/>
      <c r="X26" s="16"/>
      <c r="Y26" s="16"/>
      <c r="Z26" s="41"/>
      <c r="AA26" s="12">
        <v>100</v>
      </c>
      <c r="AB26" s="18"/>
    </row>
    <row r="27" spans="1:28" ht="18" x14ac:dyDescent="0.35">
      <c r="A27" s="35">
        <f>IF(ISNUMBER(SEARCH($K$2,B27)),MAX(A$4:$A26)+1,0)</f>
        <v>23</v>
      </c>
      <c r="B27" s="35" t="s">
        <v>23</v>
      </c>
      <c r="C27" s="35"/>
      <c r="D27" s="35"/>
      <c r="E27" s="35" t="str">
        <f>IFERROR(VLOOKUP(ROWS(E$4:$E26),$A$5:$B$30,2,0),"")</f>
        <v>(Ability Drain)</v>
      </c>
      <c r="F27" s="35"/>
      <c r="G27">
        <f>IF(ISNUMBER(SEARCH($G$2,H27)),MAX($G$4:G26)+1,0)</f>
        <v>23</v>
      </c>
      <c r="H27" s="4" t="s">
        <v>236</v>
      </c>
      <c r="K27" s="29" t="str">
        <f>IFERROR(VLOOKUP(ROWS($K$4:K26),$G$5:$I$149,2,0),"")</f>
        <v>Distrupting Weapon*</v>
      </c>
      <c r="L27" s="50"/>
      <c r="M27" s="40"/>
      <c r="N27" s="51"/>
      <c r="O27" s="175">
        <v>4</v>
      </c>
      <c r="P27" s="52"/>
      <c r="Q27" s="50"/>
      <c r="R27" s="51"/>
      <c r="S27" s="51"/>
      <c r="T27" s="51"/>
      <c r="U27" s="52"/>
      <c r="V27" s="50"/>
      <c r="W27" s="51"/>
      <c r="X27" s="51"/>
      <c r="Y27" s="51"/>
      <c r="Z27" s="52"/>
      <c r="AA27" s="12">
        <v>100</v>
      </c>
      <c r="AB27" s="18"/>
    </row>
    <row r="28" spans="1:28" ht="18" x14ac:dyDescent="0.35">
      <c r="A28" s="35">
        <f>IF(ISNUMBER(SEARCH($K$2,B28)),MAX(A$4:$A27)+1,0)</f>
        <v>24</v>
      </c>
      <c r="B28" s="35" t="s">
        <v>24</v>
      </c>
      <c r="C28" s="35"/>
      <c r="D28" s="35"/>
      <c r="E28" s="35" t="str">
        <f>IFERROR(VLOOKUP(ROWS(E$4:$E27),$A$5:$B$30,2,0),"")</f>
        <v>(Temporary HP and Damage Absorption Shield-e.g Protection from Elements)</v>
      </c>
      <c r="F28" s="35"/>
      <c r="G28">
        <f>IF(ISNUMBER(SEARCH($G$2,H28)),MAX($G$4:G27)+1,0)</f>
        <v>24</v>
      </c>
      <c r="H28" s="4" t="s">
        <v>224</v>
      </c>
      <c r="K28" s="29" t="str">
        <f>IFERROR(VLOOKUP(ROWS($K$4:K27),$G$5:$I$149,2,0),"")</f>
        <v>Elemental body*</v>
      </c>
      <c r="L28" s="15"/>
      <c r="M28" s="16"/>
      <c r="N28" s="16">
        <v>0</v>
      </c>
      <c r="O28" s="16">
        <v>7</v>
      </c>
      <c r="P28" s="41">
        <v>0</v>
      </c>
      <c r="Q28" s="15"/>
      <c r="R28" s="16"/>
      <c r="S28" s="16"/>
      <c r="T28" s="16"/>
      <c r="U28" s="41"/>
      <c r="V28" s="15"/>
      <c r="W28" s="16"/>
      <c r="X28" s="16"/>
      <c r="Y28" s="16"/>
      <c r="Z28" s="41"/>
      <c r="AA28" s="12">
        <v>100</v>
      </c>
      <c r="AB28" s="18"/>
    </row>
    <row r="29" spans="1:28" ht="18" x14ac:dyDescent="0.35">
      <c r="A29" s="35">
        <f>IF(ISNUMBER(SEARCH($K$2,B29)),MAX(A$4:$A28)+1,0)</f>
        <v>25</v>
      </c>
      <c r="B29" s="35" t="s">
        <v>25</v>
      </c>
      <c r="C29" s="35"/>
      <c r="D29" s="35"/>
      <c r="E29" s="35" t="str">
        <f>IFERROR(VLOOKUP(ROWS(E$4:$E28),$A$5:$B$30,2,0),"")</f>
        <v>Untyped</v>
      </c>
      <c r="F29" s="35"/>
      <c r="G29">
        <f>IF(ISNUMBER(SEARCH($G$2,H29)),MAX($G$4:G28)+1,0)</f>
        <v>25</v>
      </c>
      <c r="H29" s="4" t="s">
        <v>193</v>
      </c>
      <c r="K29" s="29" t="str">
        <f>IFERROR(VLOOKUP(ROWS($K$4:K28),$G$5:$I$149,2,0),"")</f>
        <v>Enlarge Person</v>
      </c>
      <c r="L29" s="39" t="s">
        <v>72</v>
      </c>
      <c r="M29" s="40" t="s">
        <v>20</v>
      </c>
      <c r="N29" s="40">
        <v>2</v>
      </c>
      <c r="O29" s="40">
        <v>1</v>
      </c>
      <c r="P29" s="92">
        <v>0</v>
      </c>
      <c r="Q29" s="39" t="s">
        <v>76</v>
      </c>
      <c r="R29" s="40" t="s">
        <v>20</v>
      </c>
      <c r="S29" s="40">
        <v>-2</v>
      </c>
      <c r="T29" s="40">
        <v>0</v>
      </c>
      <c r="U29" s="92">
        <v>0</v>
      </c>
      <c r="V29" s="39"/>
      <c r="W29" s="40"/>
      <c r="X29" s="40"/>
      <c r="Y29" s="40"/>
      <c r="Z29" s="92"/>
      <c r="AA29" s="12">
        <v>100</v>
      </c>
      <c r="AB29" s="18"/>
    </row>
    <row r="30" spans="1:28" ht="18" x14ac:dyDescent="0.35">
      <c r="A30" s="35">
        <f>IF(ISNUMBER(SEARCH($K$2,B30)),MAX(A$4:$A29)+1,0)</f>
        <v>26</v>
      </c>
      <c r="B30" s="35" t="s">
        <v>89</v>
      </c>
      <c r="C30" s="35"/>
      <c r="D30" s="35"/>
      <c r="E30" s="35" t="str">
        <f>IFERROR(VLOOKUP(ROWS(E$4:$E29),$A$5:$B$30,2,0),"")</f>
        <v>Enhancement</v>
      </c>
      <c r="F30" s="35"/>
      <c r="G30">
        <f>IF(ISNUMBER(SEARCH($G$2,H30)),MAX($G$4:G29)+1,0)</f>
        <v>26</v>
      </c>
      <c r="H30" s="4" t="s">
        <v>200</v>
      </c>
      <c r="K30" s="29" t="str">
        <f>IFERROR(VLOOKUP(ROWS($K$4:K29),$G$5:$I$149,2,0),"")</f>
        <v>False Life*</v>
      </c>
      <c r="L30" s="15"/>
      <c r="M30" s="16"/>
      <c r="N30" s="16">
        <v>0</v>
      </c>
      <c r="O30" s="16">
        <v>2</v>
      </c>
      <c r="P30" s="41">
        <v>0</v>
      </c>
      <c r="Q30" s="15"/>
      <c r="R30" s="16"/>
      <c r="S30" s="16"/>
      <c r="T30" s="16"/>
      <c r="U30" s="41"/>
      <c r="V30" s="15"/>
      <c r="W30" s="16"/>
      <c r="X30" s="16"/>
      <c r="Y30" s="16"/>
      <c r="Z30" s="41"/>
      <c r="AA30" s="12">
        <v>100</v>
      </c>
    </row>
    <row r="31" spans="1:28" ht="18" x14ac:dyDescent="0.35">
      <c r="A31" s="35">
        <f>IF(ISNUMBER(SEARCH($K$2,B31)),MAX(A$4:$A30)+1,0)</f>
        <v>0</v>
      </c>
      <c r="B31" s="35"/>
      <c r="C31" s="35"/>
      <c r="D31" s="35"/>
      <c r="E31" s="35" t="str">
        <f>IFERROR(VLOOKUP(ROWS(E$4:$E30),$A$5:$B$30,2,0),"")</f>
        <v/>
      </c>
      <c r="F31" s="35"/>
      <c r="G31">
        <f>IF(ISNUMBER(SEARCH($G$2,H31)),MAX($G$4:G30)+1,0)</f>
        <v>27</v>
      </c>
      <c r="H31" s="4" t="s">
        <v>209</v>
      </c>
      <c r="K31" s="29" t="str">
        <f>IFERROR(VLOOKUP(ROWS($K$4:K30),$G$5:$I$149,2,0),"")</f>
        <v>Fly*</v>
      </c>
      <c r="L31" s="39"/>
      <c r="M31" s="40"/>
      <c r="N31" s="40">
        <v>0</v>
      </c>
      <c r="O31" s="40">
        <v>3</v>
      </c>
      <c r="P31" s="92">
        <v>0</v>
      </c>
      <c r="Q31" s="39"/>
      <c r="R31" s="40"/>
      <c r="S31" s="40"/>
      <c r="T31" s="40"/>
      <c r="U31" s="92"/>
      <c r="V31" s="39"/>
      <c r="W31" s="40"/>
      <c r="X31" s="40"/>
      <c r="Y31" s="40"/>
      <c r="Z31" s="92"/>
      <c r="AA31" s="12">
        <v>100</v>
      </c>
    </row>
    <row r="32" spans="1:28" ht="18" x14ac:dyDescent="0.35">
      <c r="A32" s="35">
        <f>IF(ISNUMBER(SEARCH($K$2,B32)),MAX(A$4:$A31)+1,0)</f>
        <v>0</v>
      </c>
      <c r="B32" s="35"/>
      <c r="C32" s="35"/>
      <c r="D32" s="35"/>
      <c r="E32" s="35"/>
      <c r="F32" s="35"/>
      <c r="G32">
        <f>IF(ISNUMBER(SEARCH($G$2,H32)),MAX($G$4:G31)+1,0)</f>
        <v>28</v>
      </c>
      <c r="H32" s="4" t="s">
        <v>244</v>
      </c>
      <c r="K32" s="29" t="str">
        <f>IFERROR(VLOOKUP(ROWS($K$4:K31),$G$5:$I$149,2,0),"")</f>
        <v>Fortunate Fate*</v>
      </c>
      <c r="L32" s="11"/>
      <c r="M32" s="16"/>
      <c r="N32" s="169">
        <v>0</v>
      </c>
      <c r="O32" s="169">
        <v>7</v>
      </c>
      <c r="P32" s="13">
        <v>0</v>
      </c>
      <c r="Q32" s="11"/>
      <c r="R32" s="12"/>
      <c r="S32" s="12"/>
      <c r="T32" s="12"/>
      <c r="U32" s="13"/>
      <c r="V32" s="11"/>
      <c r="W32" s="12"/>
      <c r="X32" s="12"/>
      <c r="Y32" s="12"/>
      <c r="Z32" s="13"/>
      <c r="AA32" s="12">
        <v>100</v>
      </c>
    </row>
    <row r="33" spans="1:27" ht="18" x14ac:dyDescent="0.35">
      <c r="A33" s="35">
        <f>IF(ISNUMBER(SEARCH($K$2,B33)),MAX(A$4:$A32)+1,0)</f>
        <v>0</v>
      </c>
      <c r="B33" s="35"/>
      <c r="C33" s="35"/>
      <c r="D33" s="35"/>
      <c r="E33" s="35"/>
      <c r="F33" s="35"/>
      <c r="G33">
        <f>IF(ISNUMBER(SEARCH($G$2,H33)),MAX($G$4:G32)+1,0)</f>
        <v>29</v>
      </c>
      <c r="H33" s="4" t="s">
        <v>210</v>
      </c>
      <c r="K33" s="29" t="str">
        <f>IFERROR(VLOOKUP(ROWS($K$4:K32),$G$5:$I$149,2,0),"")</f>
        <v>Gaseous Form*</v>
      </c>
      <c r="L33" s="39"/>
      <c r="M33" s="40"/>
      <c r="N33" s="40">
        <v>0</v>
      </c>
      <c r="O33" s="40">
        <v>3</v>
      </c>
      <c r="P33" s="92">
        <v>0</v>
      </c>
      <c r="Q33" s="39"/>
      <c r="R33" s="40"/>
      <c r="S33" s="40"/>
      <c r="T33" s="40"/>
      <c r="U33" s="92"/>
      <c r="V33" s="39"/>
      <c r="W33" s="40"/>
      <c r="X33" s="40"/>
      <c r="Y33" s="40"/>
      <c r="Z33" s="92"/>
      <c r="AA33" s="12">
        <v>100</v>
      </c>
    </row>
    <row r="34" spans="1:27" ht="18" x14ac:dyDescent="0.35">
      <c r="A34" s="35">
        <f>IF(ISNUMBER(SEARCH($K$2,B34)),MAX(A$4:$A33)+1,0)</f>
        <v>0</v>
      </c>
      <c r="B34" s="35"/>
      <c r="C34" s="35"/>
      <c r="D34" s="35"/>
      <c r="E34" s="35"/>
      <c r="F34" s="35"/>
      <c r="G34">
        <f>IF(ISNUMBER(SEARCH($G$2,H34)),MAX($G$4:G33)+1,0)</f>
        <v>30</v>
      </c>
      <c r="H34" s="4" t="s">
        <v>218</v>
      </c>
      <c r="K34" s="29" t="str">
        <f>IFERROR(VLOOKUP(ROWS($K$4:K33),$G$5:$I$149,2,0),"")</f>
        <v>Gloves Of Dexterity</v>
      </c>
      <c r="L34" s="15" t="s">
        <v>76</v>
      </c>
      <c r="M34" s="16" t="s">
        <v>89</v>
      </c>
      <c r="N34" s="16">
        <v>0</v>
      </c>
      <c r="O34" s="16">
        <v>0</v>
      </c>
      <c r="P34" s="41">
        <v>1</v>
      </c>
      <c r="Q34" s="15"/>
      <c r="R34" s="16"/>
      <c r="S34" s="16"/>
      <c r="T34" s="16"/>
      <c r="U34" s="41"/>
      <c r="V34" s="15"/>
      <c r="W34" s="16"/>
      <c r="X34" s="16"/>
      <c r="Y34" s="16"/>
      <c r="Z34" s="41"/>
      <c r="AA34" s="12">
        <v>100</v>
      </c>
    </row>
    <row r="35" spans="1:27" ht="18" x14ac:dyDescent="0.35">
      <c r="A35" s="35">
        <f>IF(ISNUMBER(SEARCH($K$2,B35)),MAX(A$4:$A34)+1,0)</f>
        <v>0</v>
      </c>
      <c r="B35" s="35"/>
      <c r="C35" s="35"/>
      <c r="D35" s="35"/>
      <c r="E35" s="35"/>
      <c r="F35" s="35"/>
      <c r="G35">
        <f>IF(ISNUMBER(SEARCH($G$2,H35)),MAX($G$4:G34)+1,0)</f>
        <v>31</v>
      </c>
      <c r="H35" s="4" t="s">
        <v>219</v>
      </c>
      <c r="K35" s="29" t="str">
        <f>IFERROR(VLOOKUP(ROWS($K$4:K34),$G$5:$I$149,2,0),"")</f>
        <v>Gloves Of Strenght</v>
      </c>
      <c r="L35" s="39" t="s">
        <v>72</v>
      </c>
      <c r="M35" s="40" t="s">
        <v>89</v>
      </c>
      <c r="N35" s="40">
        <v>0</v>
      </c>
      <c r="O35" s="40">
        <v>0</v>
      </c>
      <c r="P35" s="92">
        <v>1</v>
      </c>
      <c r="Q35" s="39"/>
      <c r="R35" s="40"/>
      <c r="S35" s="40"/>
      <c r="T35" s="40"/>
      <c r="U35" s="92"/>
      <c r="V35" s="39"/>
      <c r="W35" s="40"/>
      <c r="X35" s="40"/>
      <c r="Y35" s="40"/>
      <c r="Z35" s="92"/>
      <c r="AA35" s="12">
        <v>100</v>
      </c>
    </row>
    <row r="36" spans="1:27" ht="18" x14ac:dyDescent="0.35">
      <c r="A36" s="35">
        <f>IF(ISNUMBER(SEARCH($K$2,B36)),MAX(A$4:$A35)+1,0)</f>
        <v>0</v>
      </c>
      <c r="B36" s="35"/>
      <c r="C36" s="35"/>
      <c r="D36" s="35"/>
      <c r="E36" s="35"/>
      <c r="F36" s="35"/>
      <c r="G36">
        <f>IF(ISNUMBER(SEARCH($G$2,H36)),MAX($G$4:G35)+1,0)</f>
        <v>32</v>
      </c>
      <c r="H36" s="4" t="s">
        <v>174</v>
      </c>
      <c r="K36" s="29" t="str">
        <f>IFERROR(VLOOKUP(ROWS($K$4:K35),$G$5:$I$149,2,0),"")</f>
        <v>Glyph intelligence</v>
      </c>
      <c r="L36" s="15" t="s">
        <v>115</v>
      </c>
      <c r="M36" s="16" t="s">
        <v>10</v>
      </c>
      <c r="N36" s="16">
        <v>0</v>
      </c>
      <c r="O36" s="16">
        <v>0</v>
      </c>
      <c r="P36" s="41">
        <v>1</v>
      </c>
      <c r="Q36" s="15"/>
      <c r="R36" s="16"/>
      <c r="S36" s="16"/>
      <c r="T36" s="16"/>
      <c r="U36" s="41"/>
      <c r="V36" s="15"/>
      <c r="W36" s="16"/>
      <c r="X36" s="16"/>
      <c r="Y36" s="16"/>
      <c r="Z36" s="41"/>
      <c r="AA36" s="12">
        <v>100</v>
      </c>
    </row>
    <row r="37" spans="1:27" ht="18" x14ac:dyDescent="0.35">
      <c r="A37" s="35">
        <f>IF(ISNUMBER(SEARCH($K$2,B37)),MAX(A$4:$A36)+1,0)</f>
        <v>0</v>
      </c>
      <c r="B37" s="35"/>
      <c r="C37" s="35"/>
      <c r="D37" s="35"/>
      <c r="E37" s="35"/>
      <c r="F37" s="35"/>
      <c r="G37">
        <f>IF(ISNUMBER(SEARCH($G$2,H37)),MAX($G$4:G36)+1,0)</f>
        <v>33</v>
      </c>
      <c r="H37" s="4" t="s">
        <v>190</v>
      </c>
      <c r="K37" s="29" t="str">
        <f>IFERROR(VLOOKUP(ROWS($K$4:K36),$G$5:$I$149,2,0),"")</f>
        <v>Glyph of Wisdom</v>
      </c>
      <c r="L37" s="39" t="s">
        <v>73</v>
      </c>
      <c r="M37" s="40" t="s">
        <v>10</v>
      </c>
      <c r="N37" s="40">
        <v>0</v>
      </c>
      <c r="O37" s="40">
        <v>0</v>
      </c>
      <c r="P37" s="92">
        <v>1</v>
      </c>
      <c r="Q37" s="39"/>
      <c r="R37" s="40"/>
      <c r="S37" s="40"/>
      <c r="T37" s="40"/>
      <c r="U37" s="92"/>
      <c r="V37" s="39"/>
      <c r="W37" s="40"/>
      <c r="X37" s="40"/>
      <c r="Y37" s="40"/>
      <c r="Z37" s="92"/>
      <c r="AA37" s="12">
        <v>100</v>
      </c>
    </row>
    <row r="38" spans="1:27" ht="18" x14ac:dyDescent="0.35">
      <c r="A38" s="35">
        <f>IF(ISNUMBER(SEARCH($K$2,B38)),MAX(A$4:$A37)+1,0)</f>
        <v>0</v>
      </c>
      <c r="B38" s="35"/>
      <c r="C38" s="35"/>
      <c r="D38" s="35"/>
      <c r="E38" s="35"/>
      <c r="F38" s="35"/>
      <c r="G38">
        <f>IF(ISNUMBER(SEARCH($G$2,H38)),MAX($G$4:G37)+1,0)</f>
        <v>34</v>
      </c>
      <c r="H38" s="4" t="s">
        <v>211</v>
      </c>
      <c r="K38" s="29" t="str">
        <f>IFERROR(VLOOKUP(ROWS($K$4:K37),$G$5:$I$149,2,0),"")</f>
        <v>Haste*</v>
      </c>
      <c r="L38" s="15" t="s">
        <v>46</v>
      </c>
      <c r="M38" s="16" t="s">
        <v>25</v>
      </c>
      <c r="N38" s="16">
        <v>1</v>
      </c>
      <c r="O38" s="16">
        <v>3</v>
      </c>
      <c r="P38" s="41">
        <v>0</v>
      </c>
      <c r="Q38" s="15" t="s">
        <v>28</v>
      </c>
      <c r="R38" s="16" t="s">
        <v>7</v>
      </c>
      <c r="S38" s="16">
        <v>1</v>
      </c>
      <c r="T38" s="16"/>
      <c r="U38" s="41">
        <v>0</v>
      </c>
      <c r="V38" s="15" t="s">
        <v>30</v>
      </c>
      <c r="W38" s="16" t="s">
        <v>7</v>
      </c>
      <c r="X38" s="16">
        <v>1</v>
      </c>
      <c r="Y38" s="16"/>
      <c r="Z38" s="41">
        <v>0</v>
      </c>
      <c r="AA38" s="12">
        <v>100</v>
      </c>
    </row>
    <row r="39" spans="1:27" ht="18" x14ac:dyDescent="0.35">
      <c r="A39" s="35">
        <f>IF(ISNUMBER(SEARCH($K$2,B39)),MAX(A$4:$A38)+1,0)</f>
        <v>0</v>
      </c>
      <c r="B39" s="35"/>
      <c r="C39" s="35"/>
      <c r="D39" s="35"/>
      <c r="E39" s="35"/>
      <c r="F39" s="35"/>
      <c r="G39">
        <f>IF(ISNUMBER(SEARCH($G$2,H39)),MAX($G$4:G38)+1,0)</f>
        <v>35</v>
      </c>
      <c r="H39" s="4" t="s">
        <v>173</v>
      </c>
      <c r="K39" s="29" t="str">
        <f>IFERROR(VLOOKUP(ROWS($K$4:K38),$G$5:$I$149,2,0),"")</f>
        <v>Headband Intelligence</v>
      </c>
      <c r="L39" s="39" t="s">
        <v>115</v>
      </c>
      <c r="M39" s="40" t="s">
        <v>89</v>
      </c>
      <c r="N39" s="40">
        <v>0</v>
      </c>
      <c r="O39" s="40">
        <v>0</v>
      </c>
      <c r="P39" s="92">
        <v>1</v>
      </c>
      <c r="Q39" s="39"/>
      <c r="R39" s="40"/>
      <c r="S39" s="40"/>
      <c r="T39" s="40"/>
      <c r="U39" s="92"/>
      <c r="V39" s="39"/>
      <c r="W39" s="40"/>
      <c r="X39" s="40"/>
      <c r="Y39" s="40"/>
      <c r="Z39" s="92"/>
      <c r="AA39" s="12">
        <v>100</v>
      </c>
    </row>
    <row r="40" spans="1:27" ht="18" x14ac:dyDescent="0.35">
      <c r="A40" s="35">
        <f>IF(ISNUMBER(SEARCH($K$2,B40)),MAX(A$4:$A39)+1,0)</f>
        <v>0</v>
      </c>
      <c r="B40" s="35"/>
      <c r="C40" s="35"/>
      <c r="D40" s="35"/>
      <c r="E40" s="35"/>
      <c r="F40" s="35"/>
      <c r="G40">
        <f>IF(ISNUMBER(SEARCH($G$2,H40)),MAX($G$4:G39)+1,0)</f>
        <v>36</v>
      </c>
      <c r="H40" s="4" t="s">
        <v>254</v>
      </c>
      <c r="K40" s="29" t="str">
        <f>IFERROR(VLOOKUP(ROWS($K$4:K39),$G$5:$I$149,2,0),"")</f>
        <v>Holy Star</v>
      </c>
      <c r="L40" s="11" t="s">
        <v>28</v>
      </c>
      <c r="M40" s="16" t="s">
        <v>4</v>
      </c>
      <c r="N40" s="12">
        <v>6</v>
      </c>
      <c r="O40" s="169">
        <v>7</v>
      </c>
      <c r="P40" s="13">
        <v>0</v>
      </c>
      <c r="Q40" s="11"/>
      <c r="R40" s="12"/>
      <c r="S40" s="12"/>
      <c r="T40" s="12"/>
      <c r="U40" s="13"/>
      <c r="V40" s="11"/>
      <c r="W40" s="12"/>
      <c r="X40" s="12"/>
      <c r="Y40" s="12"/>
      <c r="Z40" s="13"/>
      <c r="AA40" s="12">
        <v>100</v>
      </c>
    </row>
    <row r="41" spans="1:27" ht="18" x14ac:dyDescent="0.35">
      <c r="A41" s="35">
        <f>IF(ISNUMBER(SEARCH($K$2,B41)),MAX(A$4:$A40)+1,0)</f>
        <v>0</v>
      </c>
      <c r="B41" s="35"/>
      <c r="C41" s="35"/>
      <c r="D41" s="35"/>
      <c r="E41" s="35"/>
      <c r="F41" s="35"/>
      <c r="G41">
        <f>IF(ISNUMBER(SEARCH($G$2,H41)),MAX($G$4:G40)+1,0)</f>
        <v>37</v>
      </c>
      <c r="H41" s="4" t="s">
        <v>213</v>
      </c>
      <c r="K41" s="29" t="str">
        <f>IFERROR(VLOOKUP(ROWS($K$4:K40),$G$5:$I$149,2,0),"")</f>
        <v>Invisibility Greater*</v>
      </c>
      <c r="L41" s="39"/>
      <c r="M41" s="40"/>
      <c r="N41" s="40">
        <v>0</v>
      </c>
      <c r="O41" s="40">
        <v>4</v>
      </c>
      <c r="P41" s="92">
        <v>0</v>
      </c>
      <c r="Q41" s="39"/>
      <c r="R41" s="40"/>
      <c r="S41" s="40"/>
      <c r="T41" s="40"/>
      <c r="U41" s="92"/>
      <c r="V41" s="39"/>
      <c r="W41" s="40"/>
      <c r="X41" s="40"/>
      <c r="Y41" s="40"/>
      <c r="Z41" s="92"/>
      <c r="AA41" s="12">
        <v>100</v>
      </c>
    </row>
    <row r="42" spans="1:27" ht="18" x14ac:dyDescent="0.35">
      <c r="A42" s="35">
        <f>IF(ISNUMBER(SEARCH($K$2,B42)),MAX(A$4:$A41)+1,0)</f>
        <v>0</v>
      </c>
      <c r="B42" s="35"/>
      <c r="C42" s="35"/>
      <c r="D42" s="35"/>
      <c r="E42" s="35"/>
      <c r="F42" s="35"/>
      <c r="G42">
        <f>IF(ISNUMBER(SEARCH($G$2,H42)),MAX($G$4:G41)+1,0)</f>
        <v>38</v>
      </c>
      <c r="H42" s="4" t="s">
        <v>231</v>
      </c>
      <c r="K42" s="29" t="str">
        <f>IFERROR(VLOOKUP(ROWS($K$4:K41),$G$5:$I$149,2,0),"")</f>
        <v>Invisibility Purge*</v>
      </c>
      <c r="L42" s="15"/>
      <c r="M42" s="16"/>
      <c r="N42" s="16">
        <v>0</v>
      </c>
      <c r="O42" s="16">
        <v>2</v>
      </c>
      <c r="P42" s="41">
        <v>0</v>
      </c>
      <c r="Q42" s="15"/>
      <c r="R42" s="16"/>
      <c r="S42" s="16"/>
      <c r="T42" s="16"/>
      <c r="U42" s="41"/>
      <c r="V42" s="15"/>
      <c r="W42" s="16"/>
      <c r="X42" s="16"/>
      <c r="Y42" s="16"/>
      <c r="Z42" s="41"/>
      <c r="AA42" s="12">
        <v>100</v>
      </c>
    </row>
    <row r="43" spans="1:27" ht="18" x14ac:dyDescent="0.35">
      <c r="A43" s="35">
        <f>IF(ISNUMBER(SEARCH($K$2,B43)),MAX(A$4:$A42)+1,0)</f>
        <v>0</v>
      </c>
      <c r="B43" s="35"/>
      <c r="C43" s="35"/>
      <c r="D43" s="35"/>
      <c r="E43" s="35"/>
      <c r="F43" s="35"/>
      <c r="G43">
        <f>IF(ISNUMBER(SEARCH($G$2,H43)),MAX($G$4:G42)+1,0)</f>
        <v>39</v>
      </c>
      <c r="H43" s="4" t="s">
        <v>203</v>
      </c>
      <c r="K43" s="29" t="str">
        <f>IFERROR(VLOOKUP(ROWS($K$4:K42),$G$5:$I$149,2,0),"")</f>
        <v>Invisibility*</v>
      </c>
      <c r="L43" s="39"/>
      <c r="M43" s="40"/>
      <c r="N43" s="40">
        <v>0</v>
      </c>
      <c r="O43" s="40">
        <v>2</v>
      </c>
      <c r="P43" s="92">
        <v>0</v>
      </c>
      <c r="Q43" s="39"/>
      <c r="R43" s="40"/>
      <c r="S43" s="40"/>
      <c r="T43" s="40"/>
      <c r="U43" s="92"/>
      <c r="V43" s="39"/>
      <c r="W43" s="40"/>
      <c r="X43" s="40"/>
      <c r="Y43" s="40"/>
      <c r="Z43" s="92"/>
      <c r="AA43" s="12">
        <v>100</v>
      </c>
    </row>
    <row r="44" spans="1:27" ht="18" x14ac:dyDescent="0.35">
      <c r="A44" s="35">
        <f>IF(ISNUMBER(SEARCH($K$2,B44)),MAX(A$4:$A43)+1,0)</f>
        <v>0</v>
      </c>
      <c r="B44" s="35"/>
      <c r="C44" s="35"/>
      <c r="D44" s="35"/>
      <c r="E44" s="35"/>
      <c r="F44" s="35"/>
      <c r="G44">
        <f>IF(ISNUMBER(SEARCH($G$2,H44)),MAX($G$4:G43)+1,0)</f>
        <v>40</v>
      </c>
      <c r="H44" s="4" t="s">
        <v>240</v>
      </c>
      <c r="K44" s="29" t="str">
        <f>IFERROR(VLOOKUP(ROWS($K$4:K43),$G$5:$I$149,2,0),"")</f>
        <v>Luck of Heroes 1/2</v>
      </c>
      <c r="L44" s="11" t="s">
        <v>28</v>
      </c>
      <c r="M44" s="16" t="s">
        <v>11</v>
      </c>
      <c r="N44" s="169">
        <v>1</v>
      </c>
      <c r="O44" s="169">
        <v>0</v>
      </c>
      <c r="P44" s="13">
        <v>0</v>
      </c>
      <c r="Q44" s="11" t="s">
        <v>30</v>
      </c>
      <c r="R44" s="12" t="s">
        <v>11</v>
      </c>
      <c r="S44" s="43">
        <v>1</v>
      </c>
      <c r="T44" s="43">
        <v>0</v>
      </c>
      <c r="U44" s="13">
        <v>0</v>
      </c>
      <c r="V44" s="11"/>
      <c r="W44" s="12"/>
      <c r="X44" s="12"/>
      <c r="Y44" s="12"/>
      <c r="Z44" s="13"/>
      <c r="AA44" s="12">
        <v>100</v>
      </c>
    </row>
    <row r="45" spans="1:27" ht="18" x14ac:dyDescent="0.35">
      <c r="A45" s="35">
        <f>IF(ISNUMBER(SEARCH($K$2,B45)),MAX(A$4:$A44)+1,0)</f>
        <v>0</v>
      </c>
      <c r="B45" s="35"/>
      <c r="C45" s="35"/>
      <c r="D45" s="35"/>
      <c r="E45" s="35"/>
      <c r="F45" s="35"/>
      <c r="G45">
        <f>IF(ISNUMBER(SEARCH($G$2,H45)),MAX($G$4:G44)+1,0)</f>
        <v>41</v>
      </c>
      <c r="H45" s="4" t="s">
        <v>239</v>
      </c>
      <c r="K45" s="29" t="str">
        <f>IFERROR(VLOOKUP(ROWS($K$4:K44),$G$5:$I$149,2,0),"")</f>
        <v>Luck of Heroes 2/2</v>
      </c>
      <c r="L45" s="50" t="s">
        <v>29</v>
      </c>
      <c r="M45" s="40" t="s">
        <v>11</v>
      </c>
      <c r="N45" s="175">
        <v>1</v>
      </c>
      <c r="O45" s="175">
        <v>0</v>
      </c>
      <c r="P45" s="52">
        <v>0</v>
      </c>
      <c r="Q45" s="50" t="s">
        <v>31</v>
      </c>
      <c r="R45" s="51" t="s">
        <v>11</v>
      </c>
      <c r="S45" s="174">
        <v>1</v>
      </c>
      <c r="T45" s="174">
        <v>0</v>
      </c>
      <c r="U45" s="52">
        <v>0</v>
      </c>
      <c r="V45" s="50"/>
      <c r="W45" s="51"/>
      <c r="X45" s="51"/>
      <c r="Y45" s="51"/>
      <c r="Z45" s="52"/>
      <c r="AA45" s="12">
        <v>100</v>
      </c>
    </row>
    <row r="46" spans="1:27" ht="18" x14ac:dyDescent="0.35">
      <c r="A46" s="35">
        <f>IF(ISNUMBER(SEARCH($K$2,B46)),MAX(A$4:$A45)+1,0)</f>
        <v>0</v>
      </c>
      <c r="B46" s="35"/>
      <c r="C46" s="35"/>
      <c r="D46" s="35"/>
      <c r="E46" s="35"/>
      <c r="F46" s="35"/>
      <c r="G46">
        <f>IF(ISNUMBER(SEARCH($G$2,H46)),MAX($G$4:G45)+1,0)</f>
        <v>42</v>
      </c>
      <c r="H46" s="12" t="s">
        <v>192</v>
      </c>
      <c r="K46" s="29" t="str">
        <f>IFERROR(VLOOKUP(ROWS($K$4:K45),$G$5:$I$149,2,0),"")</f>
        <v>Mage Armor</v>
      </c>
      <c r="L46" s="15" t="s">
        <v>28</v>
      </c>
      <c r="M46" s="16" t="s">
        <v>3</v>
      </c>
      <c r="N46" s="16">
        <v>4</v>
      </c>
      <c r="O46" s="16">
        <v>1</v>
      </c>
      <c r="P46" s="41">
        <v>0</v>
      </c>
      <c r="Q46" s="15"/>
      <c r="R46" s="16"/>
      <c r="S46" s="16"/>
      <c r="T46" s="16"/>
      <c r="U46" s="41"/>
      <c r="V46" s="15"/>
      <c r="W46" s="16"/>
      <c r="X46" s="16"/>
      <c r="Y46" s="16"/>
      <c r="Z46" s="41"/>
      <c r="AA46" s="12">
        <v>100</v>
      </c>
    </row>
    <row r="47" spans="1:27" ht="18" x14ac:dyDescent="0.35">
      <c r="A47" s="35">
        <f>IF(ISNUMBER(SEARCH($K$2,B47)),MAX(A$4:$A46)+1,0)</f>
        <v>0</v>
      </c>
      <c r="B47" s="35"/>
      <c r="C47" s="35"/>
      <c r="D47" s="35"/>
      <c r="E47" s="35"/>
      <c r="F47" s="35"/>
      <c r="G47">
        <f>IF(ISNUMBER(SEARCH($G$2,H47)),MAX($G$4:G46)+1,0)</f>
        <v>43</v>
      </c>
      <c r="H47" s="4" t="s">
        <v>233</v>
      </c>
      <c r="K47" s="29" t="str">
        <f>IFERROR(VLOOKUP(ROWS($K$4:K46),$G$5:$I$149,2,0),"")</f>
        <v>Magic Circle vs Evil*</v>
      </c>
      <c r="L47" s="39"/>
      <c r="M47" s="40"/>
      <c r="N47" s="40">
        <v>0</v>
      </c>
      <c r="O47" s="40">
        <v>3</v>
      </c>
      <c r="P47" s="92">
        <v>0</v>
      </c>
      <c r="Q47" s="39"/>
      <c r="R47" s="40"/>
      <c r="S47" s="40"/>
      <c r="T47" s="40"/>
      <c r="U47" s="92"/>
      <c r="V47" s="39"/>
      <c r="W47" s="40"/>
      <c r="X47" s="40"/>
      <c r="Y47" s="40"/>
      <c r="Z47" s="92"/>
      <c r="AA47" s="12">
        <v>100</v>
      </c>
    </row>
    <row r="48" spans="1:27" ht="18" x14ac:dyDescent="0.35">
      <c r="A48" s="35">
        <f>IF(ISNUMBER(SEARCH($K$2,B48)),MAX(A$4:$A47)+1,0)</f>
        <v>0</v>
      </c>
      <c r="B48" s="35"/>
      <c r="C48" s="35"/>
      <c r="D48" s="35"/>
      <c r="E48" s="35"/>
      <c r="F48" s="35"/>
      <c r="G48">
        <f>IF(ISNUMBER(SEARCH($G$2,H48)),MAX($G$4:G47)+1,0)</f>
        <v>44</v>
      </c>
      <c r="H48" s="4" t="s">
        <v>61</v>
      </c>
      <c r="K48" s="29" t="str">
        <f>IFERROR(VLOOKUP(ROWS($K$4:K47),$G$5:$I$149,2,0),"")</f>
        <v>Magic Vestment Armor</v>
      </c>
      <c r="L48" s="15" t="s">
        <v>28</v>
      </c>
      <c r="M48" s="16" t="s">
        <v>9</v>
      </c>
      <c r="N48" s="16">
        <v>0</v>
      </c>
      <c r="O48" s="16">
        <v>3</v>
      </c>
      <c r="P48" s="41">
        <v>0.25</v>
      </c>
      <c r="Q48" s="15"/>
      <c r="R48" s="16"/>
      <c r="S48" s="16"/>
      <c r="T48" s="16"/>
      <c r="U48" s="41"/>
      <c r="V48" s="15"/>
      <c r="W48" s="16"/>
      <c r="X48" s="16"/>
      <c r="Y48" s="16"/>
      <c r="Z48" s="41"/>
      <c r="AA48" s="12">
        <v>20</v>
      </c>
    </row>
    <row r="49" spans="1:27" ht="18" x14ac:dyDescent="0.35">
      <c r="A49" s="35">
        <f>IF(ISNUMBER(SEARCH($K$2,B49)),MAX(A$4:$A48)+1,0)</f>
        <v>0</v>
      </c>
      <c r="B49" s="35"/>
      <c r="C49" s="35"/>
      <c r="D49" s="35"/>
      <c r="E49" s="35"/>
      <c r="F49" s="35"/>
      <c r="G49">
        <f>IF(ISNUMBER(SEARCH($G$2,H49)),MAX($G$4:G48)+1,0)</f>
        <v>45</v>
      </c>
      <c r="H49" s="4" t="s">
        <v>60</v>
      </c>
      <c r="K49" s="29" t="str">
        <f>IFERROR(VLOOKUP(ROWS($K$4:K48),$G$5:$I$149,2,0),"")</f>
        <v>Magic Vestment Shield</v>
      </c>
      <c r="L49" s="39" t="s">
        <v>28</v>
      </c>
      <c r="M49" s="40" t="s">
        <v>8</v>
      </c>
      <c r="N49" s="40">
        <v>0</v>
      </c>
      <c r="O49" s="40">
        <v>3</v>
      </c>
      <c r="P49" s="92">
        <v>0.25</v>
      </c>
      <c r="Q49" s="39"/>
      <c r="R49" s="40"/>
      <c r="S49" s="40"/>
      <c r="T49" s="40"/>
      <c r="U49" s="92"/>
      <c r="V49" s="39"/>
      <c r="W49" s="40"/>
      <c r="X49" s="40"/>
      <c r="Y49" s="40"/>
      <c r="Z49" s="92"/>
      <c r="AA49" s="12">
        <v>20</v>
      </c>
    </row>
    <row r="50" spans="1:27" ht="18" x14ac:dyDescent="0.35">
      <c r="A50" s="35">
        <f>IF(ISNUMBER(SEARCH($K$2,B50)),MAX(A$4:$A49)+1,0)</f>
        <v>0</v>
      </c>
      <c r="B50" s="35"/>
      <c r="C50" s="35"/>
      <c r="D50" s="35"/>
      <c r="E50" s="35"/>
      <c r="F50" s="35"/>
      <c r="G50">
        <f>IF(ISNUMBER(SEARCH($G$2,H50)),MAX($G$4:G49)+1,0)</f>
        <v>46</v>
      </c>
      <c r="H50" s="4" t="s">
        <v>225</v>
      </c>
      <c r="K50" s="29" t="str">
        <f>IFERROR(VLOOKUP(ROWS($K$4:K49),$G$5:$I$149,2,0),"")</f>
        <v>Mind Blank*</v>
      </c>
      <c r="L50" s="39"/>
      <c r="M50" s="40"/>
      <c r="N50" s="40">
        <v>0</v>
      </c>
      <c r="O50" s="40">
        <v>8</v>
      </c>
      <c r="P50" s="92">
        <v>0</v>
      </c>
      <c r="Q50" s="39"/>
      <c r="R50" s="40"/>
      <c r="S50" s="40"/>
      <c r="T50" s="40"/>
      <c r="U50" s="92"/>
      <c r="V50" s="39"/>
      <c r="W50" s="40"/>
      <c r="X50" s="40"/>
      <c r="Y50" s="40"/>
      <c r="Z50" s="92"/>
      <c r="AA50" s="12">
        <v>100</v>
      </c>
    </row>
    <row r="51" spans="1:27" ht="18" x14ac:dyDescent="0.35">
      <c r="A51" s="35">
        <f>IF(ISNUMBER(SEARCH($K$2,B51)),MAX(A$4:$A50)+1,0)</f>
        <v>0</v>
      </c>
      <c r="B51" s="35"/>
      <c r="C51" s="35"/>
      <c r="D51" s="35"/>
      <c r="E51" s="35"/>
      <c r="F51" s="35"/>
      <c r="G51">
        <f>IF(ISNUMBER(SEARCH($G$2,H51)),MAX($G$4:G50)+1,0)</f>
        <v>47</v>
      </c>
      <c r="H51" s="4" t="s">
        <v>204</v>
      </c>
      <c r="K51" s="29" t="str">
        <f>IFERROR(VLOOKUP(ROWS($K$4:K50),$G$5:$I$149,2,0),"")</f>
        <v>Mirror Image*</v>
      </c>
      <c r="L51" s="39"/>
      <c r="M51" s="40"/>
      <c r="N51" s="40">
        <v>0</v>
      </c>
      <c r="O51" s="40">
        <v>2</v>
      </c>
      <c r="P51" s="92">
        <v>1</v>
      </c>
      <c r="Q51" s="39"/>
      <c r="R51" s="40"/>
      <c r="S51" s="40"/>
      <c r="T51" s="40"/>
      <c r="U51" s="92"/>
      <c r="V51" s="39"/>
      <c r="W51" s="40"/>
      <c r="X51" s="40"/>
      <c r="Y51" s="40"/>
      <c r="Z51" s="92"/>
      <c r="AA51" s="12">
        <v>100</v>
      </c>
    </row>
    <row r="52" spans="1:27" ht="18" x14ac:dyDescent="0.35">
      <c r="A52" s="35">
        <f>IF(ISNUMBER(SEARCH($K$2,B52)),MAX(A$4:$A51)+1,0)</f>
        <v>0</v>
      </c>
      <c r="B52" s="35"/>
      <c r="C52" s="35"/>
      <c r="D52" s="35"/>
      <c r="E52" s="35"/>
      <c r="F52" s="35"/>
      <c r="G52">
        <f>IF(ISNUMBER(SEARCH($G$2,H52)),MAX($G$4:G51)+1,0)</f>
        <v>48</v>
      </c>
      <c r="H52" s="4" t="s">
        <v>293</v>
      </c>
      <c r="K52" s="29" t="str">
        <f>IFERROR(VLOOKUP(ROWS($K$4:K51),$G$5:$I$149,2,0),"")</f>
        <v>Mystic Aegis*</v>
      </c>
      <c r="L52" s="50"/>
      <c r="M52" s="40"/>
      <c r="N52" s="51"/>
      <c r="O52" s="175">
        <v>4</v>
      </c>
      <c r="P52" s="52"/>
      <c r="Q52" s="50"/>
      <c r="R52" s="51"/>
      <c r="S52" s="51"/>
      <c r="T52" s="51"/>
      <c r="U52" s="52"/>
      <c r="V52" s="50"/>
      <c r="W52" s="51"/>
      <c r="X52" s="51"/>
      <c r="Y52" s="51"/>
      <c r="Z52" s="52"/>
      <c r="AA52" s="12">
        <v>100</v>
      </c>
    </row>
    <row r="53" spans="1:27" ht="18" x14ac:dyDescent="0.35">
      <c r="A53" s="35">
        <f>IF(ISNUMBER(SEARCH($K$2,B53)),MAX(A$4:$A52)+1,0)</f>
        <v>0</v>
      </c>
      <c r="B53" s="35"/>
      <c r="C53" s="35"/>
      <c r="D53" s="35"/>
      <c r="E53" s="35"/>
      <c r="F53" s="35"/>
      <c r="G53">
        <f>IF(ISNUMBER(SEARCH($G$2,H53)),MAX($G$4:G52)+1,0)</f>
        <v>49</v>
      </c>
      <c r="H53" s="4" t="s">
        <v>214</v>
      </c>
      <c r="K53" s="29" t="str">
        <f>IFERROR(VLOOKUP(ROWS($K$4:K52),$G$5:$I$149,2,0),"")</f>
        <v>Polymorph*</v>
      </c>
      <c r="L53" s="39"/>
      <c r="M53" s="40"/>
      <c r="N53" s="40">
        <v>0</v>
      </c>
      <c r="O53" s="40">
        <v>4</v>
      </c>
      <c r="P53" s="92">
        <v>0</v>
      </c>
      <c r="Q53" s="39"/>
      <c r="R53" s="40"/>
      <c r="S53" s="40"/>
      <c r="T53" s="40"/>
      <c r="U53" s="92"/>
      <c r="V53" s="39"/>
      <c r="W53" s="40"/>
      <c r="X53" s="40"/>
      <c r="Y53" s="40"/>
      <c r="Z53" s="92"/>
      <c r="AA53" s="12">
        <v>100</v>
      </c>
    </row>
    <row r="54" spans="1:27" ht="18" x14ac:dyDescent="0.35">
      <c r="A54" s="35">
        <f>IF(ISNUMBER(SEARCH($K$2,B54)),MAX(A$4:$A53)+1,0)</f>
        <v>0</v>
      </c>
      <c r="B54" s="35"/>
      <c r="C54" s="35"/>
      <c r="D54" s="35"/>
      <c r="E54" s="35"/>
      <c r="F54" s="35"/>
      <c r="G54">
        <f>IF(ISNUMBER(SEARCH($G$2,H54)),MAX($G$4:G53)+1,0)</f>
        <v>50</v>
      </c>
      <c r="H54" s="4" t="s">
        <v>285</v>
      </c>
      <c r="K54" s="29" t="str">
        <f>IFERROR(VLOOKUP(ROWS($K$4:K53),$G$5:$I$149,2,0),"")</f>
        <v>Protection Devotion</v>
      </c>
      <c r="L54" s="11" t="s">
        <v>28</v>
      </c>
      <c r="M54" s="16" t="s">
        <v>18</v>
      </c>
      <c r="N54" s="12">
        <v>5</v>
      </c>
      <c r="O54" s="169">
        <v>15</v>
      </c>
      <c r="P54" s="13">
        <v>0</v>
      </c>
      <c r="Q54" s="11"/>
      <c r="R54" s="12"/>
      <c r="S54" s="12"/>
      <c r="T54" s="12"/>
      <c r="U54" s="13"/>
      <c r="V54" s="11"/>
      <c r="W54" s="12"/>
      <c r="X54" s="12"/>
      <c r="Y54" s="12"/>
      <c r="Z54" s="13"/>
      <c r="AA54" s="12">
        <v>100</v>
      </c>
    </row>
    <row r="55" spans="1:27" ht="18" x14ac:dyDescent="0.35">
      <c r="A55" s="35">
        <f>IF(ISNUMBER(SEARCH($K$2,B55)),MAX(A$4:$A54)+1,0)</f>
        <v>0</v>
      </c>
      <c r="B55" s="35"/>
      <c r="C55" s="35"/>
      <c r="D55" s="35"/>
      <c r="E55" s="35"/>
      <c r="F55" s="35"/>
      <c r="G55">
        <f>IF(ISNUMBER(SEARCH($G$2,H55)),MAX($G$4:G54)+1,0)</f>
        <v>51</v>
      </c>
      <c r="H55" s="4" t="s">
        <v>207</v>
      </c>
      <c r="K55" s="29" t="str">
        <f>IFERROR(VLOOKUP(ROWS($K$4:K54),$G$5:$I$149,2,0),"")</f>
        <v>Protection From Arrows*</v>
      </c>
      <c r="L55" s="39"/>
      <c r="M55" s="40"/>
      <c r="N55" s="40">
        <v>0</v>
      </c>
      <c r="O55" s="40">
        <v>2</v>
      </c>
      <c r="P55" s="92">
        <v>0</v>
      </c>
      <c r="Q55" s="39"/>
      <c r="R55" s="40"/>
      <c r="S55" s="40"/>
      <c r="T55" s="40"/>
      <c r="U55" s="92"/>
      <c r="V55" s="39"/>
      <c r="W55" s="40"/>
      <c r="X55" s="40"/>
      <c r="Y55" s="40"/>
      <c r="Z55" s="92"/>
      <c r="AA55" s="12">
        <v>100</v>
      </c>
    </row>
    <row r="56" spans="1:27" ht="18" x14ac:dyDescent="0.35">
      <c r="A56" s="35">
        <f>IF(ISNUMBER(SEARCH($K$2,B56)),MAX(A$4:$A55)+1,0)</f>
        <v>0</v>
      </c>
      <c r="B56" s="35"/>
      <c r="C56" s="35"/>
      <c r="D56" s="35"/>
      <c r="E56" s="35"/>
      <c r="F56" s="35"/>
      <c r="G56">
        <f>IF(ISNUMBER(SEARCH($G$2,H56)),MAX($G$4:G55)+1,0)</f>
        <v>52</v>
      </c>
      <c r="H56" s="4" t="s">
        <v>205</v>
      </c>
      <c r="K56" s="29" t="str">
        <f>IFERROR(VLOOKUP(ROWS($K$4:K55),$G$5:$I$149,2,0),"")</f>
        <v>Protection From Energy*</v>
      </c>
      <c r="L56" s="15"/>
      <c r="M56" s="16"/>
      <c r="N56" s="16">
        <v>0</v>
      </c>
      <c r="O56" s="16">
        <v>3</v>
      </c>
      <c r="P56" s="41">
        <v>0</v>
      </c>
      <c r="Q56" s="15"/>
      <c r="R56" s="16"/>
      <c r="S56" s="16"/>
      <c r="T56" s="16"/>
      <c r="U56" s="41"/>
      <c r="V56" s="15"/>
      <c r="W56" s="16"/>
      <c r="X56" s="16"/>
      <c r="Y56" s="16"/>
      <c r="Z56" s="41"/>
      <c r="AA56" s="12">
        <v>100</v>
      </c>
    </row>
    <row r="57" spans="1:27" ht="18" x14ac:dyDescent="0.35">
      <c r="A57" s="35">
        <f>IF(ISNUMBER(SEARCH($K$2,B57)),MAX(A$4:$A56)+1,0)</f>
        <v>0</v>
      </c>
      <c r="B57" s="35"/>
      <c r="C57" s="35"/>
      <c r="D57" s="35"/>
      <c r="E57" s="35"/>
      <c r="F57" s="35"/>
      <c r="G57">
        <f>IF(ISNUMBER(SEARCH($G$2,H57)),MAX($G$4:G56)+1,0)</f>
        <v>53</v>
      </c>
      <c r="H57" s="4" t="s">
        <v>232</v>
      </c>
      <c r="K57" s="29" t="str">
        <f>IFERROR(VLOOKUP(ROWS($K$4:K56),$G$5:$I$149,2,0),"")</f>
        <v>Protection from Evil*</v>
      </c>
      <c r="L57" s="39"/>
      <c r="M57" s="40"/>
      <c r="N57" s="40">
        <v>0</v>
      </c>
      <c r="O57" s="40">
        <v>2</v>
      </c>
      <c r="P57" s="92">
        <v>0</v>
      </c>
      <c r="Q57" s="39"/>
      <c r="R57" s="40"/>
      <c r="S57" s="40"/>
      <c r="T57" s="40"/>
      <c r="U57" s="92"/>
      <c r="V57" s="39"/>
      <c r="W57" s="40"/>
      <c r="X57" s="40"/>
      <c r="Y57" s="40"/>
      <c r="Z57" s="92"/>
      <c r="AA57" s="12">
        <v>100</v>
      </c>
    </row>
    <row r="58" spans="1:27" ht="18" x14ac:dyDescent="0.35">
      <c r="A58" s="35">
        <f>IF(ISNUMBER(SEARCH($K$2,B58)),MAX(A$4:$A57)+1,0)</f>
        <v>0</v>
      </c>
      <c r="B58" s="35"/>
      <c r="C58" s="35"/>
      <c r="D58" s="35"/>
      <c r="E58" s="35"/>
      <c r="F58" s="35"/>
      <c r="G58">
        <f>IF(ISNUMBER(SEARCH($G$2,H58)),MAX($G$4:G57)+1,0)</f>
        <v>54</v>
      </c>
      <c r="H58" s="4" t="s">
        <v>212</v>
      </c>
      <c r="K58" s="29" t="str">
        <f>IFERROR(VLOOKUP(ROWS($K$4:K57),$G$5:$I$149,2,0),"")</f>
        <v>Resiste From Energy*</v>
      </c>
      <c r="L58" s="15"/>
      <c r="M58" s="16"/>
      <c r="N58" s="16">
        <v>0</v>
      </c>
      <c r="O58" s="16">
        <v>2</v>
      </c>
      <c r="P58" s="41">
        <v>0</v>
      </c>
      <c r="Q58" s="15"/>
      <c r="R58" s="16"/>
      <c r="S58" s="16"/>
      <c r="T58" s="16"/>
      <c r="U58" s="41"/>
      <c r="V58" s="15"/>
      <c r="W58" s="16"/>
      <c r="X58" s="16"/>
      <c r="Y58" s="16"/>
      <c r="Z58" s="41"/>
      <c r="AA58" s="12">
        <v>100</v>
      </c>
    </row>
    <row r="59" spans="1:27" ht="18" x14ac:dyDescent="0.35">
      <c r="A59" s="35">
        <f>IF(ISNUMBER(SEARCH($K$2,B59)),MAX(A$4:$A58)+1,0)</f>
        <v>0</v>
      </c>
      <c r="B59" s="35"/>
      <c r="C59" s="35"/>
      <c r="D59" s="35"/>
      <c r="E59" s="35"/>
      <c r="F59" s="35"/>
      <c r="G59">
        <f>IF(ISNUMBER(SEARCH($G$2,H59)),MAX($G$4:G58)+1,0)</f>
        <v>55</v>
      </c>
      <c r="H59" s="4" t="s">
        <v>189</v>
      </c>
      <c r="K59" s="29" t="str">
        <f>IFERROR(VLOOKUP(ROWS($K$4:K58),$G$5:$I$149,2,0),"")</f>
        <v>Ring of protection</v>
      </c>
      <c r="L59" s="15" t="s">
        <v>28</v>
      </c>
      <c r="M59" s="16" t="s">
        <v>6</v>
      </c>
      <c r="N59" s="16">
        <v>0</v>
      </c>
      <c r="O59" s="16">
        <v>0</v>
      </c>
      <c r="P59" s="41">
        <v>1</v>
      </c>
      <c r="Q59" s="15"/>
      <c r="R59" s="16"/>
      <c r="S59" s="16"/>
      <c r="T59" s="16"/>
      <c r="U59" s="41"/>
      <c r="V59" s="15"/>
      <c r="W59" s="16"/>
      <c r="X59" s="16"/>
      <c r="Y59" s="16"/>
      <c r="Z59" s="41"/>
      <c r="AA59" s="12">
        <v>100</v>
      </c>
    </row>
    <row r="60" spans="1:27" ht="18" x14ac:dyDescent="0.35">
      <c r="A60" s="35">
        <f>IF(ISNUMBER(SEARCH($K$2,B60)),MAX(A$4:$A59)+1,0)</f>
        <v>0</v>
      </c>
      <c r="B60" s="35"/>
      <c r="C60" s="35"/>
      <c r="D60" s="35"/>
      <c r="E60" s="35"/>
      <c r="F60" s="35"/>
      <c r="G60">
        <f>IF(ISNUMBER(SEARCH($G$2,H60)),MAX($G$4:G59)+1,0)</f>
        <v>56</v>
      </c>
      <c r="H60" s="4" t="s">
        <v>206</v>
      </c>
      <c r="K60" s="29" t="str">
        <f>IFERROR(VLOOKUP(ROWS($K$4:K59),$G$5:$I$149,2,0),"")</f>
        <v>See Invisibility*</v>
      </c>
      <c r="L60" s="15"/>
      <c r="M60" s="16"/>
      <c r="N60" s="16">
        <v>0</v>
      </c>
      <c r="O60" s="16">
        <v>2</v>
      </c>
      <c r="P60" s="41">
        <v>0</v>
      </c>
      <c r="Q60" s="15"/>
      <c r="R60" s="16"/>
      <c r="S60" s="16"/>
      <c r="T60" s="16"/>
      <c r="U60" s="41"/>
      <c r="V60" s="15"/>
      <c r="W60" s="16"/>
      <c r="X60" s="16"/>
      <c r="Y60" s="16"/>
      <c r="Z60" s="41"/>
      <c r="AA60" s="12">
        <v>100</v>
      </c>
    </row>
    <row r="61" spans="1:27" ht="18" x14ac:dyDescent="0.35">
      <c r="A61" s="35">
        <f>IF(ISNUMBER(SEARCH($K$2,B61)),MAX(A$4:$A60)+1,0)</f>
        <v>0</v>
      </c>
      <c r="B61" s="35"/>
      <c r="C61" s="35"/>
      <c r="D61" s="35"/>
      <c r="E61" s="35"/>
      <c r="F61" s="35"/>
      <c r="G61">
        <f>IF(ISNUMBER(SEARCH($G$2,H61)),MAX($G$4:G60)+1,0)</f>
        <v>57</v>
      </c>
      <c r="H61" s="4" t="s">
        <v>159</v>
      </c>
      <c r="K61" s="29" t="str">
        <f>IFERROR(VLOOKUP(ROWS($K$4:K60),$G$5:$I$149,2,0),"")</f>
        <v>SHIELD ENCHA BONUS</v>
      </c>
      <c r="L61" s="15" t="s">
        <v>28</v>
      </c>
      <c r="M61" s="16" t="s">
        <v>8</v>
      </c>
      <c r="N61" s="16">
        <v>0</v>
      </c>
      <c r="O61" s="16">
        <v>0</v>
      </c>
      <c r="P61" s="41">
        <v>1</v>
      </c>
      <c r="Q61" s="15"/>
      <c r="R61" s="16"/>
      <c r="S61" s="16"/>
      <c r="T61" s="16"/>
      <c r="U61" s="41"/>
      <c r="V61" s="15"/>
      <c r="W61" s="16"/>
      <c r="X61" s="16"/>
      <c r="Y61" s="16"/>
      <c r="Z61" s="41"/>
      <c r="AA61" s="12">
        <v>100</v>
      </c>
    </row>
    <row r="62" spans="1:27" ht="18" x14ac:dyDescent="0.35">
      <c r="A62" s="35">
        <f>IF(ISNUMBER(SEARCH($K$2,B62)),MAX(A$4:$A61)+1,0)</f>
        <v>0</v>
      </c>
      <c r="B62" s="35"/>
      <c r="C62" s="35"/>
      <c r="D62" s="35"/>
      <c r="E62" s="35"/>
      <c r="F62" s="35"/>
      <c r="G62">
        <f>IF(ISNUMBER(SEARCH($G$2,H62)),MAX($G$4:G61)+1,0)</f>
        <v>58</v>
      </c>
      <c r="H62" s="4" t="s">
        <v>235</v>
      </c>
      <c r="K62" s="29" t="str">
        <f>IFERROR(VLOOKUP(ROWS($K$4:K61),$G$5:$I$149,2,0),"")</f>
        <v>Shield of faith</v>
      </c>
      <c r="L62" s="11" t="s">
        <v>28</v>
      </c>
      <c r="M62" s="16" t="s">
        <v>6</v>
      </c>
      <c r="N62" s="169">
        <v>2</v>
      </c>
      <c r="O62" s="169">
        <v>1</v>
      </c>
      <c r="P62" s="13">
        <f>1/6</f>
        <v>0.16666666666666666</v>
      </c>
      <c r="Q62" s="11"/>
      <c r="R62" s="12"/>
      <c r="S62" s="12"/>
      <c r="T62" s="12"/>
      <c r="U62" s="13"/>
      <c r="V62" s="11"/>
      <c r="W62" s="12"/>
      <c r="X62" s="12"/>
      <c r="Y62" s="12"/>
      <c r="Z62" s="13"/>
      <c r="AA62" s="12">
        <v>20</v>
      </c>
    </row>
    <row r="63" spans="1:27" ht="18" x14ac:dyDescent="0.35">
      <c r="A63" s="35">
        <f>IF(ISNUMBER(SEARCH($K$2,B63)),MAX(A$4:$A62)+1,0)</f>
        <v>0</v>
      </c>
      <c r="B63" s="35"/>
      <c r="C63" s="35"/>
      <c r="D63" s="35"/>
      <c r="E63" s="35"/>
      <c r="F63" s="35"/>
      <c r="G63">
        <f>IF(ISNUMBER(SEARCH($G$2,H63)),MAX($G$4:G62)+1,0)</f>
        <v>59</v>
      </c>
      <c r="H63" s="4" t="s">
        <v>246</v>
      </c>
      <c r="K63" s="29" t="str">
        <f>IFERROR(VLOOKUP(ROWS($K$4:K62),$G$5:$I$149,2,0),"")</f>
        <v>Shield of the anchors*</v>
      </c>
      <c r="L63" s="11"/>
      <c r="M63" s="16"/>
      <c r="N63" s="12"/>
      <c r="O63" s="169">
        <v>7</v>
      </c>
      <c r="P63" s="13"/>
      <c r="Q63" s="11"/>
      <c r="R63" s="12"/>
      <c r="S63" s="12"/>
      <c r="T63" s="12"/>
      <c r="U63" s="13"/>
      <c r="V63" s="11"/>
      <c r="W63" s="12"/>
      <c r="X63" s="12"/>
      <c r="Y63" s="12"/>
      <c r="Z63" s="13"/>
      <c r="AA63" s="12">
        <v>100</v>
      </c>
    </row>
    <row r="64" spans="1:27" ht="18" x14ac:dyDescent="0.35">
      <c r="A64" s="35">
        <f>IF(ISNUMBER(SEARCH($K$2,B64)),MAX(A$4:$A63)+1,0)</f>
        <v>0</v>
      </c>
      <c r="B64" s="35"/>
      <c r="C64" s="35"/>
      <c r="D64" s="35"/>
      <c r="E64" s="35"/>
      <c r="F64" s="35"/>
      <c r="G64">
        <f>IF(ISNUMBER(SEARCH($G$2,H64)),MAX($G$4:G63)+1,0)</f>
        <v>60</v>
      </c>
      <c r="H64" s="4" t="s">
        <v>195</v>
      </c>
      <c r="K64" s="29" t="str">
        <f>IFERROR(VLOOKUP(ROWS($K$4:K63),$G$5:$I$149,2,0),"")</f>
        <v>Shieled</v>
      </c>
      <c r="L64" s="15" t="s">
        <v>28</v>
      </c>
      <c r="M64" s="16" t="s">
        <v>19</v>
      </c>
      <c r="N64" s="16">
        <v>4</v>
      </c>
      <c r="O64" s="16">
        <v>1</v>
      </c>
      <c r="P64" s="41">
        <v>0</v>
      </c>
      <c r="Q64" s="15"/>
      <c r="R64" s="16"/>
      <c r="S64" s="16"/>
      <c r="T64" s="16"/>
      <c r="U64" s="41"/>
      <c r="V64" s="15"/>
      <c r="W64" s="16"/>
      <c r="X64" s="16"/>
      <c r="Y64" s="16"/>
      <c r="Z64" s="41"/>
      <c r="AA64" s="12">
        <v>100</v>
      </c>
    </row>
    <row r="65" spans="1:27" ht="18" x14ac:dyDescent="0.35">
      <c r="A65" s="35">
        <f>IF(ISNUMBER(SEARCH($K$2,B65)),MAX(A$4:$A64)+1,0)</f>
        <v>0</v>
      </c>
      <c r="B65" s="35"/>
      <c r="C65" s="35"/>
      <c r="D65" s="35"/>
      <c r="E65" s="35"/>
      <c r="F65" s="35"/>
      <c r="G65">
        <f>IF(ISNUMBER(SEARCH($G$2,H65)),MAX($G$4:G64)+1,0)</f>
        <v>61</v>
      </c>
      <c r="H65" s="4" t="s">
        <v>234</v>
      </c>
      <c r="K65" s="29" t="str">
        <f>IFERROR(VLOOKUP(ROWS($K$4:K64),$G$5:$I$149,2,0),"")</f>
        <v>Shiled of faith Mass</v>
      </c>
      <c r="L65" s="11" t="s">
        <v>28</v>
      </c>
      <c r="M65" s="16" t="s">
        <v>6</v>
      </c>
      <c r="N65" s="169">
        <v>2</v>
      </c>
      <c r="O65" s="169">
        <v>4</v>
      </c>
      <c r="P65" s="13">
        <f>1/6</f>
        <v>0.16666666666666666</v>
      </c>
      <c r="Q65" s="11"/>
      <c r="R65" s="12"/>
      <c r="S65" s="12"/>
      <c r="T65" s="12"/>
      <c r="U65" s="13"/>
      <c r="V65" s="11"/>
      <c r="W65" s="12"/>
      <c r="X65" s="12"/>
      <c r="Y65" s="12"/>
      <c r="Z65" s="13"/>
      <c r="AA65" s="12">
        <v>20</v>
      </c>
    </row>
    <row r="66" spans="1:27" ht="18" x14ac:dyDescent="0.35">
      <c r="A66" s="35">
        <f>IF(ISNUMBER(SEARCH($K$2,B66)),MAX(A$4:$A65)+1,0)</f>
        <v>0</v>
      </c>
      <c r="B66" s="35"/>
      <c r="C66" s="35"/>
      <c r="D66" s="35"/>
      <c r="E66" s="35"/>
      <c r="F66" s="35"/>
      <c r="G66">
        <f>IF(ISNUMBER(SEARCH($G$2,H66)),MAX($G$4:G65)+1,0)</f>
        <v>62</v>
      </c>
      <c r="H66" s="4" t="s">
        <v>199</v>
      </c>
      <c r="K66" s="29" t="str">
        <f>IFERROR(VLOOKUP(ROWS($K$4:K65),$G$5:$I$149,2,0),"")</f>
        <v>StoneSkin*</v>
      </c>
      <c r="L66" s="15"/>
      <c r="M66" s="16"/>
      <c r="N66" s="16">
        <v>0</v>
      </c>
      <c r="O66" s="16">
        <v>3</v>
      </c>
      <c r="P66" s="41">
        <v>0</v>
      </c>
      <c r="Q66" s="15"/>
      <c r="R66" s="16"/>
      <c r="S66" s="16"/>
      <c r="T66" s="16"/>
      <c r="U66" s="41"/>
      <c r="V66" s="15"/>
      <c r="W66" s="16"/>
      <c r="X66" s="16"/>
      <c r="Y66" s="16"/>
      <c r="Z66" s="41"/>
      <c r="AA66" s="12">
        <v>100</v>
      </c>
    </row>
    <row r="67" spans="1:27" ht="18" x14ac:dyDescent="0.35">
      <c r="A67" s="35">
        <f>IF(ISNUMBER(SEARCH($K$2,B67)),MAX(A$4:$A66)+1,0)</f>
        <v>0</v>
      </c>
      <c r="B67" s="35"/>
      <c r="C67" s="35"/>
      <c r="D67" s="35"/>
      <c r="E67" s="35"/>
      <c r="F67" s="35"/>
      <c r="G67">
        <f>IF(ISNUMBER(SEARCH($G$2,H67)),MAX($G$4:G66)+1,0)</f>
        <v>63</v>
      </c>
      <c r="H67" s="4" t="s">
        <v>243</v>
      </c>
      <c r="K67" s="29" t="str">
        <f>IFERROR(VLOOKUP(ROWS($K$4:K66),$G$5:$I$149,2,0),"")</f>
        <v>Superior Resistant</v>
      </c>
      <c r="L67" s="11" t="s">
        <v>29</v>
      </c>
      <c r="M67" s="16" t="s">
        <v>89</v>
      </c>
      <c r="N67" s="169">
        <v>6</v>
      </c>
      <c r="O67" s="169">
        <v>6</v>
      </c>
      <c r="P67" s="13">
        <v>0</v>
      </c>
      <c r="Q67" s="11" t="s">
        <v>30</v>
      </c>
      <c r="R67" s="12" t="s">
        <v>89</v>
      </c>
      <c r="S67" s="43">
        <v>6</v>
      </c>
      <c r="T67" s="43">
        <v>6</v>
      </c>
      <c r="U67" s="13">
        <v>0</v>
      </c>
      <c r="V67" s="11" t="s">
        <v>31</v>
      </c>
      <c r="W67" s="12" t="s">
        <v>89</v>
      </c>
      <c r="X67" s="43">
        <v>6</v>
      </c>
      <c r="Y67" s="43">
        <v>6</v>
      </c>
      <c r="Z67" s="13">
        <v>0</v>
      </c>
      <c r="AA67" s="12">
        <v>100</v>
      </c>
    </row>
    <row r="68" spans="1:27" ht="18" x14ac:dyDescent="0.35">
      <c r="A68" s="35">
        <f>IF(ISNUMBER(SEARCH($K$2,B68)),MAX(A$4:$A67)+1,0)</f>
        <v>0</v>
      </c>
      <c r="B68" s="35"/>
      <c r="C68" s="35"/>
      <c r="D68" s="35"/>
      <c r="E68" s="35"/>
      <c r="F68" s="35"/>
      <c r="G68">
        <f>IF(ISNUMBER(SEARCH($G$2,H68)),MAX($G$4:G67)+1,0)</f>
        <v>64</v>
      </c>
      <c r="H68" s="4" t="s">
        <v>237</v>
      </c>
      <c r="K68" s="29" t="str">
        <f>IFERROR(VLOOKUP(ROWS($K$4:K67),$G$5:$I$149,2,0),"")</f>
        <v>Surge of Fortune 1/2*</v>
      </c>
      <c r="L68" s="11" t="s">
        <v>29</v>
      </c>
      <c r="M68" s="16" t="s">
        <v>11</v>
      </c>
      <c r="N68" s="169">
        <v>2</v>
      </c>
      <c r="O68" s="169">
        <v>5</v>
      </c>
      <c r="P68" s="13">
        <v>0</v>
      </c>
      <c r="Q68" s="11" t="s">
        <v>30</v>
      </c>
      <c r="R68" s="12" t="s">
        <v>11</v>
      </c>
      <c r="S68" s="43">
        <v>2</v>
      </c>
      <c r="T68" s="43">
        <v>5</v>
      </c>
      <c r="U68" s="13">
        <v>0</v>
      </c>
      <c r="V68" s="11"/>
      <c r="W68" s="12"/>
      <c r="X68" s="12"/>
      <c r="Y68" s="12"/>
      <c r="Z68" s="13"/>
      <c r="AA68" s="12">
        <v>100</v>
      </c>
    </row>
    <row r="69" spans="1:27" ht="18" x14ac:dyDescent="0.35">
      <c r="A69" s="35">
        <f>IF(ISNUMBER(SEARCH($K$2,B69)),MAX(A$4:$A68)+1,0)</f>
        <v>0</v>
      </c>
      <c r="B69" s="35"/>
      <c r="C69" s="35"/>
      <c r="D69" s="35"/>
      <c r="E69" s="35"/>
      <c r="F69" s="35"/>
      <c r="G69">
        <f>IF(ISNUMBER(SEARCH($G$2,H69)),MAX($G$4:G68)+1,0)</f>
        <v>65</v>
      </c>
      <c r="H69" s="4" t="s">
        <v>238</v>
      </c>
      <c r="K69" s="29" t="str">
        <f>IFERROR(VLOOKUP(ROWS($K$4:K68),$G$5:$I$149,2,0),"")</f>
        <v>Surge of Fortune 2/2*</v>
      </c>
      <c r="L69" s="11" t="s">
        <v>28</v>
      </c>
      <c r="M69" s="16" t="s">
        <v>11</v>
      </c>
      <c r="N69" s="169">
        <v>2</v>
      </c>
      <c r="O69" s="169">
        <v>5</v>
      </c>
      <c r="P69" s="13">
        <v>0</v>
      </c>
      <c r="Q69" s="11" t="s">
        <v>31</v>
      </c>
      <c r="R69" s="12" t="s">
        <v>11</v>
      </c>
      <c r="S69" s="43">
        <v>2</v>
      </c>
      <c r="T69" s="43">
        <v>5</v>
      </c>
      <c r="U69" s="13">
        <v>0</v>
      </c>
      <c r="V69" s="11"/>
      <c r="W69" s="12"/>
      <c r="X69" s="12"/>
      <c r="Y69" s="12"/>
      <c r="Z69" s="13"/>
      <c r="AA69" s="12">
        <v>100</v>
      </c>
    </row>
    <row r="70" spans="1:27" ht="18" x14ac:dyDescent="0.35">
      <c r="A70" s="35">
        <f>IF(ISNUMBER(SEARCH($K$2,B70)),MAX(A$4:$A69)+1,0)</f>
        <v>0</v>
      </c>
      <c r="B70" s="35"/>
      <c r="C70" s="35"/>
      <c r="D70" s="35"/>
      <c r="E70" s="35"/>
      <c r="F70" s="35"/>
      <c r="G70">
        <f>IF(ISNUMBER(SEARCH($G$2,H70)),MAX($G$4:G69)+1,0)</f>
        <v>66</v>
      </c>
      <c r="H70" s="4" t="s">
        <v>175</v>
      </c>
      <c r="K70" s="29" t="str">
        <f>IFERROR(VLOOKUP(ROWS($K$4:K69),$G$5:$I$149,2,0),"")</f>
        <v>Tattoo of Contstitution</v>
      </c>
      <c r="L70" s="15" t="s">
        <v>75</v>
      </c>
      <c r="M70" s="16" t="s">
        <v>10</v>
      </c>
      <c r="N70" s="16">
        <v>0</v>
      </c>
      <c r="O70" s="16">
        <v>0</v>
      </c>
      <c r="P70" s="41">
        <v>1</v>
      </c>
      <c r="Q70" s="15"/>
      <c r="R70" s="16"/>
      <c r="S70" s="16"/>
      <c r="T70" s="16"/>
      <c r="U70" s="41"/>
      <c r="V70" s="15"/>
      <c r="W70" s="16"/>
      <c r="X70" s="16"/>
      <c r="Y70" s="16"/>
      <c r="Z70" s="41"/>
      <c r="AA70" s="12">
        <v>100</v>
      </c>
    </row>
    <row r="71" spans="1:27" ht="18" x14ac:dyDescent="0.35">
      <c r="A71" s="35">
        <f>IF(ISNUMBER(SEARCH($K$2,B71)),MAX(A$4:$A70)+1,0)</f>
        <v>0</v>
      </c>
      <c r="B71" s="35"/>
      <c r="C71" s="35"/>
      <c r="D71" s="35"/>
      <c r="E71" s="35"/>
      <c r="F71" s="35"/>
      <c r="G71">
        <f>IF(ISNUMBER(SEARCH($G$2,H71)),MAX($G$4:G70)+1,0)</f>
        <v>67</v>
      </c>
      <c r="H71" s="4" t="s">
        <v>222</v>
      </c>
      <c r="K71" s="29" t="str">
        <f>IFERROR(VLOOKUP(ROWS($K$4:K70),$G$5:$I$149,2,0),"")</f>
        <v>Tattoo of Dexterity</v>
      </c>
      <c r="L71" s="15" t="s">
        <v>76</v>
      </c>
      <c r="M71" s="16" t="s">
        <v>10</v>
      </c>
      <c r="N71" s="16">
        <v>0</v>
      </c>
      <c r="O71" s="16">
        <v>0</v>
      </c>
      <c r="P71" s="41">
        <v>1</v>
      </c>
      <c r="Q71" s="15"/>
      <c r="R71" s="16"/>
      <c r="S71" s="16"/>
      <c r="T71" s="16"/>
      <c r="U71" s="41"/>
      <c r="V71" s="15"/>
      <c r="W71" s="16"/>
      <c r="X71" s="16"/>
      <c r="Y71" s="16"/>
      <c r="Z71" s="41"/>
      <c r="AA71" s="12">
        <v>100</v>
      </c>
    </row>
    <row r="72" spans="1:27" ht="18" x14ac:dyDescent="0.35">
      <c r="A72" s="35">
        <f>IF(ISNUMBER(SEARCH($K$2,B72)),MAX(A$4:$A71)+1,0)</f>
        <v>0</v>
      </c>
      <c r="B72" s="35"/>
      <c r="C72" s="35"/>
      <c r="D72" s="35"/>
      <c r="E72" s="35"/>
      <c r="F72" s="35"/>
      <c r="G72">
        <f>IF(ISNUMBER(SEARCH($G$2,H72)),MAX($G$4:G71)+1,0)</f>
        <v>68</v>
      </c>
      <c r="H72" s="4" t="s">
        <v>221</v>
      </c>
      <c r="K72" s="29" t="str">
        <f>IFERROR(VLOOKUP(ROWS($K$4:K71),$G$5:$I$149,2,0),"")</f>
        <v>Tattoo of Strenght</v>
      </c>
      <c r="L72" s="15" t="s">
        <v>72</v>
      </c>
      <c r="M72" s="16" t="s">
        <v>10</v>
      </c>
      <c r="N72" s="16">
        <v>0</v>
      </c>
      <c r="O72" s="16">
        <v>0</v>
      </c>
      <c r="P72" s="41">
        <v>1</v>
      </c>
      <c r="Q72" s="15"/>
      <c r="R72" s="16"/>
      <c r="S72" s="16"/>
      <c r="T72" s="16"/>
      <c r="U72" s="41"/>
      <c r="V72" s="15"/>
      <c r="W72" s="16"/>
      <c r="X72" s="16"/>
      <c r="Y72" s="16"/>
      <c r="Z72" s="41"/>
      <c r="AA72" s="12">
        <v>100</v>
      </c>
    </row>
    <row r="73" spans="1:27" ht="18" x14ac:dyDescent="0.35">
      <c r="A73" s="35">
        <f>IF(ISNUMBER(SEARCH($K$2,B73)),MAX(A$4:$A72)+1,0)</f>
        <v>0</v>
      </c>
      <c r="B73" s="35"/>
      <c r="C73" s="35"/>
      <c r="D73" s="35"/>
      <c r="E73" s="35"/>
      <c r="F73" s="35"/>
      <c r="G73">
        <f>IF(ISNUMBER(SEARCH($G$2,H73)),MAX($G$4:G72)+1,0)</f>
        <v>69</v>
      </c>
      <c r="H73" s="4" t="s">
        <v>217</v>
      </c>
      <c r="K73" s="29" t="str">
        <f>IFERROR(VLOOKUP(ROWS($K$4:K72),$G$5:$I$149,2,0),"")</f>
        <v>Telepathetic Bond</v>
      </c>
      <c r="L73" s="15"/>
      <c r="M73" s="16"/>
      <c r="N73" s="16">
        <v>0</v>
      </c>
      <c r="O73" s="16">
        <v>5</v>
      </c>
      <c r="P73" s="41">
        <v>0</v>
      </c>
      <c r="Q73" s="15"/>
      <c r="R73" s="16"/>
      <c r="S73" s="16"/>
      <c r="T73" s="16"/>
      <c r="U73" s="41"/>
      <c r="V73" s="15"/>
      <c r="W73" s="16"/>
      <c r="X73" s="16"/>
      <c r="Y73" s="16"/>
      <c r="Z73" s="41"/>
      <c r="AA73" s="12">
        <v>100</v>
      </c>
    </row>
    <row r="74" spans="1:27" ht="18" x14ac:dyDescent="0.35">
      <c r="A74" s="35">
        <f>IF(ISNUMBER(SEARCH($K$2,B74)),MAX(A$4:$A73)+1,0)</f>
        <v>0</v>
      </c>
      <c r="B74" s="35"/>
      <c r="C74" s="35"/>
      <c r="D74" s="35"/>
      <c r="E74" s="35"/>
      <c r="F74" s="35"/>
      <c r="G74">
        <f>IF(ISNUMBER(SEARCH($G$2,H74)),MAX($G$4:G73)+1,0)</f>
        <v>70</v>
      </c>
      <c r="H74" s="4" t="s">
        <v>242</v>
      </c>
      <c r="K74" s="29" t="str">
        <f>IFERROR(VLOOKUP(ROWS($K$4:K73),$G$5:$I$149,2,0),"")</f>
        <v>True Seeing*</v>
      </c>
      <c r="L74" s="11"/>
      <c r="M74" s="16"/>
      <c r="N74" s="12"/>
      <c r="O74" s="169">
        <v>5</v>
      </c>
      <c r="P74" s="13"/>
      <c r="Q74" s="11"/>
      <c r="R74" s="12"/>
      <c r="S74" s="12"/>
      <c r="T74" s="12"/>
      <c r="U74" s="13"/>
      <c r="V74" s="11"/>
      <c r="W74" s="12"/>
      <c r="X74" s="12"/>
      <c r="Y74" s="12"/>
      <c r="Z74" s="13"/>
      <c r="AA74" s="12">
        <v>100</v>
      </c>
    </row>
    <row r="75" spans="1:27" ht="18" x14ac:dyDescent="0.35">
      <c r="A75" s="35">
        <f>IF(ISNUMBER(SEARCH($K$2,B75)),MAX(A$4:$A74)+1,0)</f>
        <v>0</v>
      </c>
      <c r="B75" s="35"/>
      <c r="C75" s="35"/>
      <c r="D75" s="35"/>
      <c r="E75" s="35"/>
      <c r="F75" s="35"/>
      <c r="G75">
        <f>IF(ISNUMBER(SEARCH($G$2,H75)),MAX($G$4:G74)+1,0)</f>
        <v>71</v>
      </c>
      <c r="H75" s="4" t="s">
        <v>196</v>
      </c>
      <c r="K75" s="29" t="str">
        <f>IFERROR(VLOOKUP(ROWS($K$4:K74),$G$5:$I$149,2,0),"")</f>
        <v>True Strike</v>
      </c>
      <c r="L75" s="15" t="s">
        <v>46</v>
      </c>
      <c r="M75" s="16" t="s">
        <v>10</v>
      </c>
      <c r="N75" s="16">
        <v>20</v>
      </c>
      <c r="O75" s="16">
        <v>1</v>
      </c>
      <c r="P75" s="41">
        <v>0</v>
      </c>
      <c r="Q75" s="15"/>
      <c r="R75" s="16"/>
      <c r="S75" s="16"/>
      <c r="T75" s="16"/>
      <c r="U75" s="41"/>
      <c r="V75" s="15"/>
      <c r="W75" s="16"/>
      <c r="X75" s="16"/>
      <c r="Y75" s="16"/>
      <c r="Z75" s="41"/>
      <c r="AA75" s="12">
        <v>100</v>
      </c>
    </row>
    <row r="76" spans="1:27" ht="18" x14ac:dyDescent="0.35">
      <c r="A76" s="35">
        <f>IF(ISNUMBER(SEARCH($K$2,B76)),MAX(A$4:$A75)+1,0)</f>
        <v>0</v>
      </c>
      <c r="B76" s="35"/>
      <c r="C76" s="35"/>
      <c r="D76" s="35"/>
      <c r="E76" s="35"/>
      <c r="F76" s="35"/>
      <c r="G76">
        <f>IF(ISNUMBER(SEARCH($G$2,H76)),MAX($G$4:G75)+1,0)</f>
        <v>72</v>
      </c>
      <c r="H76" s="4" t="s">
        <v>229</v>
      </c>
      <c r="K76" s="29" t="str">
        <f>IFERROR(VLOOKUP(ROWS($K$4:K75),$G$5:$I$149,2,0),"")</f>
        <v>Tyche's Touch 1</v>
      </c>
      <c r="L76" s="15" t="s">
        <v>29</v>
      </c>
      <c r="M76" s="16" t="s">
        <v>18</v>
      </c>
      <c r="N76" s="16">
        <v>1</v>
      </c>
      <c r="O76" s="16">
        <v>2</v>
      </c>
      <c r="P76" s="41">
        <v>0</v>
      </c>
      <c r="Q76" s="15" t="s">
        <v>30</v>
      </c>
      <c r="R76" s="16" t="s">
        <v>18</v>
      </c>
      <c r="S76" s="16">
        <v>1</v>
      </c>
      <c r="T76" s="16">
        <v>2</v>
      </c>
      <c r="U76" s="41">
        <v>0</v>
      </c>
      <c r="V76" s="15" t="s">
        <v>31</v>
      </c>
      <c r="W76" s="16" t="s">
        <v>18</v>
      </c>
      <c r="X76" s="16">
        <v>1</v>
      </c>
      <c r="Y76" s="16">
        <v>2</v>
      </c>
      <c r="Z76" s="41">
        <v>0</v>
      </c>
      <c r="AA76" s="12">
        <v>100</v>
      </c>
    </row>
    <row r="77" spans="1:27" ht="18" x14ac:dyDescent="0.35">
      <c r="A77" s="35">
        <f>IF(ISNUMBER(SEARCH($K$2,B77)),MAX(A$4:$A76)+1,0)</f>
        <v>0</v>
      </c>
      <c r="B77" s="35"/>
      <c r="C77" s="35"/>
      <c r="D77" s="35"/>
      <c r="E77" s="35"/>
      <c r="F77" s="35"/>
      <c r="G77">
        <f>IF(ISNUMBER(SEARCH($G$2,H77)),MAX($G$4:G76)+1,0)</f>
        <v>73</v>
      </c>
      <c r="H77" s="4" t="s">
        <v>228</v>
      </c>
      <c r="K77" s="29" t="str">
        <f>IFERROR(VLOOKUP(ROWS($K$4:K76),$G$5:$I$149,2,0),"")</f>
        <v>Tyche's Touch 2</v>
      </c>
      <c r="L77" s="15" t="s">
        <v>29</v>
      </c>
      <c r="M77" s="16" t="s">
        <v>18</v>
      </c>
      <c r="N77" s="16">
        <v>2</v>
      </c>
      <c r="O77" s="16">
        <v>2</v>
      </c>
      <c r="P77" s="41">
        <v>0</v>
      </c>
      <c r="Q77" s="15" t="s">
        <v>30</v>
      </c>
      <c r="R77" s="16" t="s">
        <v>18</v>
      </c>
      <c r="S77" s="16">
        <v>2</v>
      </c>
      <c r="T77" s="16">
        <v>2</v>
      </c>
      <c r="U77" s="41">
        <v>0</v>
      </c>
      <c r="V77" s="15" t="s">
        <v>31</v>
      </c>
      <c r="W77" s="16" t="s">
        <v>18</v>
      </c>
      <c r="X77" s="16">
        <v>2</v>
      </c>
      <c r="Y77" s="16">
        <v>2</v>
      </c>
      <c r="Z77" s="41">
        <v>0</v>
      </c>
      <c r="AA77" s="12">
        <v>100</v>
      </c>
    </row>
    <row r="78" spans="1:27" ht="18" x14ac:dyDescent="0.35">
      <c r="A78" s="35">
        <f>IF(ISNUMBER(SEARCH($K$2,B78)),MAX(A$4:$A77)+1,0)</f>
        <v>0</v>
      </c>
      <c r="B78" s="35"/>
      <c r="C78" s="35"/>
      <c r="D78" s="35"/>
      <c r="E78" s="35"/>
      <c r="F78" s="35"/>
      <c r="G78">
        <f>IF(ISNUMBER(SEARCH($G$2,H78)),MAX($G$4:G77)+1,0)</f>
        <v>74</v>
      </c>
      <c r="H78" s="4" t="s">
        <v>227</v>
      </c>
      <c r="K78" s="29" t="str">
        <f>IFERROR(VLOOKUP(ROWS($K$4:K77),$G$5:$I$149,2,0),"")</f>
        <v>Tyche's Touch 3</v>
      </c>
      <c r="L78" s="15" t="s">
        <v>29</v>
      </c>
      <c r="M78" s="16" t="s">
        <v>18</v>
      </c>
      <c r="N78" s="16">
        <v>3</v>
      </c>
      <c r="O78" s="16">
        <v>2</v>
      </c>
      <c r="P78" s="41">
        <v>0</v>
      </c>
      <c r="Q78" s="15" t="s">
        <v>30</v>
      </c>
      <c r="R78" s="16" t="s">
        <v>18</v>
      </c>
      <c r="S78" s="16">
        <v>3</v>
      </c>
      <c r="T78" s="16">
        <v>2</v>
      </c>
      <c r="U78" s="41">
        <v>0</v>
      </c>
      <c r="V78" s="15" t="s">
        <v>31</v>
      </c>
      <c r="W78" s="16" t="s">
        <v>18</v>
      </c>
      <c r="X78" s="16">
        <v>3</v>
      </c>
      <c r="Y78" s="16">
        <v>2</v>
      </c>
      <c r="Z78" s="41">
        <v>0</v>
      </c>
      <c r="AA78" s="12">
        <v>100</v>
      </c>
    </row>
    <row r="79" spans="1:27" ht="18" x14ac:dyDescent="0.35">
      <c r="A79" s="35">
        <f>IF(ISNUMBER(SEARCH($K$2,B79)),MAX(A$4:$A78)+1,0)</f>
        <v>0</v>
      </c>
      <c r="B79" s="35"/>
      <c r="C79" s="35"/>
      <c r="D79" s="35"/>
      <c r="E79" s="35"/>
      <c r="F79" s="35"/>
      <c r="G79">
        <f>IF(ISNUMBER(SEARCH($G$2,H79)),MAX($G$4:G78)+1,0)</f>
        <v>75</v>
      </c>
      <c r="H79" s="4" t="s">
        <v>226</v>
      </c>
      <c r="K79" s="29" t="str">
        <f>IFERROR(VLOOKUP(ROWS($K$4:K78),$G$5:$I$149,2,0),"")</f>
        <v>Tyche's Touch 4</v>
      </c>
      <c r="L79" s="15" t="s">
        <v>29</v>
      </c>
      <c r="M79" s="16" t="s">
        <v>18</v>
      </c>
      <c r="N79" s="16">
        <v>4</v>
      </c>
      <c r="O79" s="16">
        <v>2</v>
      </c>
      <c r="P79" s="41">
        <v>0</v>
      </c>
      <c r="Q79" s="15" t="s">
        <v>30</v>
      </c>
      <c r="R79" s="16" t="s">
        <v>18</v>
      </c>
      <c r="S79" s="16">
        <v>4</v>
      </c>
      <c r="T79" s="16">
        <v>2</v>
      </c>
      <c r="U79" s="41">
        <v>0</v>
      </c>
      <c r="V79" s="15" t="s">
        <v>31</v>
      </c>
      <c r="W79" s="16" t="s">
        <v>18</v>
      </c>
      <c r="X79" s="16">
        <v>4</v>
      </c>
      <c r="Y79" s="16">
        <v>2</v>
      </c>
      <c r="Z79" s="41">
        <v>0</v>
      </c>
      <c r="AA79" s="12">
        <v>100</v>
      </c>
    </row>
    <row r="80" spans="1:27" ht="18" x14ac:dyDescent="0.35">
      <c r="A80" s="35">
        <f>IF(ISNUMBER(SEARCH($K$2,B80)),MAX(A$4:$A79)+1,0)</f>
        <v>0</v>
      </c>
      <c r="B80" s="35"/>
      <c r="C80" s="35"/>
      <c r="D80" s="35"/>
      <c r="E80" s="35"/>
      <c r="F80" s="35"/>
      <c r="G80">
        <f>IF(ISNUMBER(SEARCH($G$2,H80)),MAX($G$4:G79)+1,0)</f>
        <v>76</v>
      </c>
      <c r="H80" s="4" t="s">
        <v>247</v>
      </c>
      <c r="K80" s="29" t="str">
        <f>IFERROR(VLOOKUP(ROWS($K$4:K79),$G$5:$I$149,2,0),"")</f>
        <v>Vision of the Omniscient Eye*</v>
      </c>
      <c r="L80" s="11"/>
      <c r="M80" s="16"/>
      <c r="N80" s="12"/>
      <c r="O80" s="169">
        <v>3</v>
      </c>
      <c r="P80" s="13"/>
      <c r="Q80" s="11"/>
      <c r="R80" s="12"/>
      <c r="S80" s="12"/>
      <c r="T80" s="12"/>
      <c r="U80" s="13"/>
      <c r="V80" s="11"/>
      <c r="W80" s="12"/>
      <c r="X80" s="12"/>
      <c r="Y80" s="12"/>
      <c r="Z80" s="13"/>
      <c r="AA80" s="12">
        <v>100</v>
      </c>
    </row>
    <row r="81" spans="1:27" ht="18" x14ac:dyDescent="0.35">
      <c r="A81" s="35">
        <f>IF(ISNUMBER(SEARCH($K$2,B81)),MAX(A$4:$A80)+1,0)</f>
        <v>0</v>
      </c>
      <c r="B81" s="35"/>
      <c r="C81" s="35"/>
      <c r="D81" s="35"/>
      <c r="E81" s="35"/>
      <c r="F81" s="35"/>
      <c r="G81">
        <f>IF(ISNUMBER(SEARCH($G$2,H81)),MAX($G$4:G80)+1,0)</f>
        <v>77</v>
      </c>
      <c r="H81" s="4" t="s">
        <v>292</v>
      </c>
      <c r="K81" s="29" t="str">
        <f>IFERROR(VLOOKUP(ROWS($K$4:K80),$G$5:$I$149,2,0),"")</f>
        <v>Visions of the Future* 1/2</v>
      </c>
      <c r="L81" s="11" t="s">
        <v>28</v>
      </c>
      <c r="M81" s="16" t="s">
        <v>7</v>
      </c>
      <c r="N81" s="43">
        <v>2</v>
      </c>
      <c r="O81" s="169">
        <v>8</v>
      </c>
      <c r="P81" s="13">
        <v>0</v>
      </c>
      <c r="Q81" s="11" t="s">
        <v>30</v>
      </c>
      <c r="R81" s="16" t="s">
        <v>18</v>
      </c>
      <c r="S81" s="43">
        <v>2</v>
      </c>
      <c r="T81" s="169">
        <v>8</v>
      </c>
      <c r="U81" s="13">
        <v>0</v>
      </c>
      <c r="V81" s="11"/>
      <c r="W81" s="12"/>
      <c r="X81" s="12"/>
      <c r="Y81" s="12"/>
      <c r="Z81" s="13"/>
      <c r="AA81" s="12">
        <v>100</v>
      </c>
    </row>
    <row r="82" spans="1:27" ht="18" x14ac:dyDescent="0.35">
      <c r="A82" s="35">
        <f>IF(ISNUMBER(SEARCH($K$2,B82)),MAX(A$4:$A81)+1,0)</f>
        <v>0</v>
      </c>
      <c r="B82" s="35"/>
      <c r="C82" s="35"/>
      <c r="D82" s="35"/>
      <c r="E82" s="35"/>
      <c r="F82" s="35"/>
      <c r="G82">
        <f>IF(ISNUMBER(SEARCH($G$2,H82)),MAX($G$4:G81)+1,0)</f>
        <v>78</v>
      </c>
      <c r="H82" s="12" t="s">
        <v>291</v>
      </c>
      <c r="K82" s="29" t="str">
        <f>IFERROR(VLOOKUP(ROWS($K$4:K81),$G$5:$I$149,2,0),"")</f>
        <v>Visions of the Future* 2/2</v>
      </c>
      <c r="L82" s="11" t="s">
        <v>29</v>
      </c>
      <c r="M82" s="16" t="s">
        <v>18</v>
      </c>
      <c r="N82" s="43">
        <v>2</v>
      </c>
      <c r="O82" s="169">
        <v>8</v>
      </c>
      <c r="P82" s="13">
        <v>0</v>
      </c>
      <c r="Q82" s="11" t="s">
        <v>31</v>
      </c>
      <c r="R82" s="16" t="s">
        <v>18</v>
      </c>
      <c r="S82" s="43">
        <v>2</v>
      </c>
      <c r="T82" s="169">
        <v>8</v>
      </c>
      <c r="U82" s="13">
        <v>0</v>
      </c>
      <c r="V82" s="11"/>
      <c r="W82" s="12"/>
      <c r="X82" s="12"/>
      <c r="Y82" s="12"/>
      <c r="Z82" s="13"/>
      <c r="AA82" s="12">
        <v>100</v>
      </c>
    </row>
    <row r="83" spans="1:27" ht="18" x14ac:dyDescent="0.35">
      <c r="A83" s="35">
        <f>IF(ISNUMBER(SEARCH($K$2,B83)),MAX(A$4:$A82)+1,0)</f>
        <v>0</v>
      </c>
      <c r="B83" s="35"/>
      <c r="C83" s="35"/>
      <c r="D83" s="35"/>
      <c r="E83" s="35"/>
      <c r="F83" s="35"/>
      <c r="G83">
        <f>IF(ISNUMBER(SEARCH($G$2,H83)),MAX($G$4:G82)+1,0)</f>
        <v>79</v>
      </c>
      <c r="H83" s="4" t="s">
        <v>305</v>
      </c>
      <c r="K83" s="29" t="str">
        <f>IFERROR(VLOOKUP(ROWS($K$4:K82),$G$5:$I$149,2,0),"")</f>
        <v>Globe of Invu*</v>
      </c>
      <c r="L83" s="11"/>
      <c r="M83" s="16"/>
      <c r="N83" s="12"/>
      <c r="O83" s="169">
        <v>6</v>
      </c>
      <c r="P83" s="13"/>
      <c r="Q83" s="11"/>
      <c r="R83" s="12"/>
      <c r="S83" s="12"/>
      <c r="T83" s="12"/>
      <c r="U83" s="13"/>
      <c r="V83" s="11"/>
      <c r="W83" s="12"/>
      <c r="X83" s="12"/>
      <c r="Y83" s="12"/>
      <c r="Z83" s="13"/>
      <c r="AA83" s="12">
        <v>100</v>
      </c>
    </row>
    <row r="84" spans="1:27" ht="18" x14ac:dyDescent="0.35">
      <c r="A84" s="35">
        <f>IF(ISNUMBER(SEARCH($K$2,B84)),MAX(A$4:$A83)+1,0)</f>
        <v>0</v>
      </c>
      <c r="B84" s="35"/>
      <c r="C84" s="35"/>
      <c r="D84" s="35"/>
      <c r="E84" s="35"/>
      <c r="F84" s="35"/>
      <c r="G84">
        <f>IF(ISNUMBER(SEARCH($G$2,H84)),MAX($G$4:G83)+1,0)</f>
        <v>80</v>
      </c>
      <c r="H84" s="4" t="s">
        <v>306</v>
      </c>
      <c r="K84" s="29" t="str">
        <f>IFERROR(VLOOKUP(ROWS($K$4:K83),$G$5:$I$149,2,0),"")</f>
        <v>Spell Immunity*</v>
      </c>
      <c r="L84" s="11"/>
      <c r="M84" s="16"/>
      <c r="N84" s="12"/>
      <c r="O84" s="169">
        <v>4</v>
      </c>
      <c r="P84" s="13"/>
      <c r="Q84" s="11"/>
      <c r="R84" s="12"/>
      <c r="S84" s="12"/>
      <c r="T84" s="12"/>
      <c r="U84" s="13"/>
      <c r="V84" s="11"/>
      <c r="W84" s="12"/>
      <c r="X84" s="12"/>
      <c r="Y84" s="12"/>
      <c r="Z84" s="13"/>
      <c r="AA84" s="12">
        <v>100</v>
      </c>
    </row>
    <row r="85" spans="1:27" ht="18" x14ac:dyDescent="0.35">
      <c r="A85" s="35">
        <f>IF(ISNUMBER(SEARCH($K$2,B85)),MAX(A$4:$A84)+1,0)</f>
        <v>0</v>
      </c>
      <c r="B85" s="35"/>
      <c r="C85" s="35"/>
      <c r="D85" s="35"/>
      <c r="E85" s="35"/>
      <c r="F85" s="35"/>
      <c r="G85">
        <f>IF(ISNUMBER(SEARCH($G$2,H85)),MAX($G$4:G84)+1,0)</f>
        <v>81</v>
      </c>
      <c r="H85" s="4" t="s">
        <v>307</v>
      </c>
      <c r="K85" s="29" t="str">
        <f>IFERROR(VLOOKUP(ROWS($K$4:K84),$G$5:$I$149,2,0),"")</f>
        <v>Magic Weapon Greater*</v>
      </c>
      <c r="L85" s="11"/>
      <c r="M85" s="16"/>
      <c r="N85" s="12"/>
      <c r="O85" s="169">
        <v>4</v>
      </c>
      <c r="P85" s="13"/>
      <c r="Q85" s="11"/>
      <c r="R85" s="12"/>
      <c r="S85" s="12"/>
      <c r="T85" s="12"/>
      <c r="U85" s="13"/>
      <c r="V85" s="11"/>
      <c r="W85" s="12"/>
      <c r="X85" s="12"/>
      <c r="Y85" s="12"/>
      <c r="Z85" s="13"/>
      <c r="AA85" s="12">
        <v>100</v>
      </c>
    </row>
    <row r="86" spans="1:27" ht="18" x14ac:dyDescent="0.35">
      <c r="A86" s="35">
        <f>IF(ISNUMBER(SEARCH($K$2,B86)),MAX(A$4:$A85)+1,0)</f>
        <v>0</v>
      </c>
      <c r="B86" s="35"/>
      <c r="C86" s="35"/>
      <c r="D86" s="35"/>
      <c r="E86" s="35"/>
      <c r="F86" s="35"/>
      <c r="G86">
        <f>IF(ISNUMBER(SEARCH($G$2,H86)),MAX($G$4:G85)+1,0)</f>
        <v>82</v>
      </c>
      <c r="H86" s="4" t="s">
        <v>308</v>
      </c>
      <c r="K86" s="29" t="str">
        <f>IFERROR(VLOOKUP(ROWS($K$4:K85),$G$5:$I$149,2,0),"")</f>
        <v>Spider Skin</v>
      </c>
      <c r="L86" s="11" t="s">
        <v>28</v>
      </c>
      <c r="M86" s="16" t="s">
        <v>14</v>
      </c>
      <c r="N86" s="12"/>
      <c r="O86" s="169">
        <v>3</v>
      </c>
      <c r="P86" s="187">
        <v>0.33329999999999999</v>
      </c>
      <c r="Q86" s="11"/>
      <c r="R86" s="12"/>
      <c r="S86" s="12"/>
      <c r="T86" s="12"/>
      <c r="U86" s="13"/>
      <c r="V86" s="11"/>
      <c r="W86" s="12"/>
      <c r="X86" s="12"/>
      <c r="Y86" s="12"/>
      <c r="Z86" s="13"/>
      <c r="AA86" s="12">
        <v>12</v>
      </c>
    </row>
    <row r="87" spans="1:27" ht="18" x14ac:dyDescent="0.35">
      <c r="A87" s="35">
        <f>IF(ISNUMBER(SEARCH($K$2,B87)),MAX(A$4:$A86)+1,0)</f>
        <v>0</v>
      </c>
      <c r="B87" s="35"/>
      <c r="C87" s="35"/>
      <c r="D87" s="35"/>
      <c r="E87" s="35"/>
      <c r="F87" s="35"/>
      <c r="G87">
        <f>IF(ISNUMBER(SEARCH($G$2,H87)),MAX($G$4:G86)+1,0)</f>
        <v>83</v>
      </c>
      <c r="H87" s="4" t="s">
        <v>318</v>
      </c>
      <c r="K87" s="29" t="str">
        <f>IFERROR(VLOOKUP(ROWS($K$4:K86),$G$5:$I$149,2,0),"")</f>
        <v>Spell Turning*</v>
      </c>
      <c r="L87" s="11"/>
      <c r="M87" s="16"/>
      <c r="N87" s="12"/>
      <c r="O87" s="12"/>
      <c r="P87" s="13"/>
      <c r="Q87" s="11"/>
      <c r="R87" s="12"/>
      <c r="S87" s="12"/>
      <c r="T87" s="12"/>
      <c r="U87" s="13"/>
      <c r="V87" s="11"/>
      <c r="W87" s="12"/>
      <c r="X87" s="12"/>
      <c r="Y87" s="12"/>
      <c r="Z87" s="13"/>
      <c r="AA87" s="12">
        <v>100</v>
      </c>
    </row>
    <row r="88" spans="1:27" ht="18" x14ac:dyDescent="0.35">
      <c r="A88" s="35">
        <f>IF(ISNUMBER(SEARCH($K$2,B88)),MAX(A$4:$A87)+1,0)</f>
        <v>0</v>
      </c>
      <c r="B88" s="35"/>
      <c r="C88" s="35"/>
      <c r="D88" s="35"/>
      <c r="E88" s="35"/>
      <c r="F88" s="35"/>
      <c r="G88">
        <f>IF(ISNUMBER(SEARCH($G$2,H88)),MAX($G$4:G87)+1,0)</f>
        <v>84</v>
      </c>
      <c r="H88" s="4" t="s">
        <v>321</v>
      </c>
      <c r="K88" s="29" t="str">
        <f>IFERROR(VLOOKUP(ROWS($K$4:K87),$G$5:$I$149,2,0),"")</f>
        <v>Inspire courage</v>
      </c>
      <c r="L88" s="11" t="s">
        <v>46</v>
      </c>
      <c r="M88" s="16" t="s">
        <v>12</v>
      </c>
      <c r="N88" s="12">
        <v>3</v>
      </c>
      <c r="O88" s="169">
        <v>0</v>
      </c>
      <c r="P88" s="13">
        <v>0</v>
      </c>
      <c r="Q88" s="11" t="s">
        <v>70</v>
      </c>
      <c r="R88" s="12" t="s">
        <v>12</v>
      </c>
      <c r="S88" s="43">
        <v>3</v>
      </c>
      <c r="T88" s="43">
        <v>0</v>
      </c>
      <c r="U88" s="13">
        <v>0</v>
      </c>
      <c r="V88" s="11"/>
      <c r="W88" s="12"/>
      <c r="X88" s="12"/>
      <c r="Y88" s="12"/>
      <c r="Z88" s="13"/>
      <c r="AA88" s="12">
        <v>100</v>
      </c>
    </row>
    <row r="89" spans="1:27" ht="18" x14ac:dyDescent="0.35">
      <c r="A89" s="35">
        <f>IF(ISNUMBER(SEARCH($K$2,B89)),MAX(A$4:$A88)+1,0)</f>
        <v>0</v>
      </c>
      <c r="B89" s="35"/>
      <c r="C89" s="35"/>
      <c r="D89" s="35"/>
      <c r="E89" s="35"/>
      <c r="F89" s="35"/>
      <c r="G89">
        <f>IF(ISNUMBER(SEARCH($G$2,H89)),MAX($G$4:G88)+1,0)</f>
        <v>85</v>
      </c>
      <c r="H89" s="4" t="s">
        <v>323</v>
      </c>
      <c r="K89" s="29" t="str">
        <f>IFERROR(VLOOKUP(ROWS($K$4:K88),$G$5:$I$149,2,0),"")</f>
        <v>inspire Greatness</v>
      </c>
      <c r="L89" s="11" t="s">
        <v>29</v>
      </c>
      <c r="M89" s="16" t="s">
        <v>4</v>
      </c>
      <c r="N89" s="12">
        <v>2</v>
      </c>
      <c r="O89" s="169">
        <v>0</v>
      </c>
      <c r="P89" s="13">
        <v>0</v>
      </c>
      <c r="Q89" s="11"/>
      <c r="R89" s="12"/>
      <c r="S89" s="12"/>
      <c r="T89" s="12"/>
      <c r="U89" s="13"/>
      <c r="V89" s="11"/>
      <c r="W89" s="12"/>
      <c r="X89" s="12"/>
      <c r="Y89" s="12"/>
      <c r="Z89" s="13"/>
      <c r="AA89" s="12">
        <v>100</v>
      </c>
    </row>
    <row r="90" spans="1:27" ht="18" x14ac:dyDescent="0.35">
      <c r="A90" s="35"/>
      <c r="B90" s="35"/>
      <c r="C90" s="35"/>
      <c r="D90" s="35"/>
      <c r="E90" s="35"/>
      <c r="F90" s="35"/>
      <c r="G90">
        <f>IF(ISNUMBER(SEARCH($G$2,H90)),MAX($G$4:G89)+1,0)</f>
        <v>86</v>
      </c>
      <c r="H90" s="4" t="s">
        <v>383</v>
      </c>
      <c r="K90" s="29" t="str">
        <f>IFERROR(VLOOKUP(ROWS($K$4:K89),$G$5:$I$149,2,0),"")</f>
        <v>Barkskin</v>
      </c>
      <c r="L90" s="11" t="s">
        <v>28</v>
      </c>
      <c r="M90" s="16" t="s">
        <v>14</v>
      </c>
      <c r="N90" s="12">
        <v>2</v>
      </c>
      <c r="O90" s="169">
        <v>2</v>
      </c>
      <c r="P90" s="13">
        <v>0.33329999999999999</v>
      </c>
      <c r="Q90" s="11"/>
      <c r="R90" s="12"/>
      <c r="S90" s="12"/>
      <c r="T90" s="12"/>
      <c r="U90" s="13"/>
      <c r="V90" s="11"/>
      <c r="W90" s="12"/>
      <c r="X90" s="12"/>
      <c r="Y90" s="12"/>
      <c r="Z90" s="13"/>
      <c r="AA90" s="12">
        <v>100</v>
      </c>
    </row>
    <row r="91" spans="1:27" ht="18" x14ac:dyDescent="0.35">
      <c r="A91" s="35"/>
      <c r="B91" s="35"/>
      <c r="C91" s="35"/>
      <c r="D91" s="35"/>
      <c r="E91" s="35"/>
      <c r="F91" s="35"/>
      <c r="G91">
        <f>IF(ISNUMBER(SEARCH($G$2,H91)),MAX($G$4:G90)+1,0)</f>
        <v>87</v>
      </c>
      <c r="H91" s="4" t="s">
        <v>384</v>
      </c>
      <c r="K91" s="29" t="str">
        <f>IFERROR(VLOOKUP(ROWS($K$4:K90),$G$5:$I$149,2,0),"")</f>
        <v>Divine Favor</v>
      </c>
      <c r="L91" s="11" t="s">
        <v>46</v>
      </c>
      <c r="M91" s="16" t="s">
        <v>11</v>
      </c>
      <c r="N91" s="43">
        <v>0</v>
      </c>
      <c r="O91" s="169">
        <v>1</v>
      </c>
      <c r="P91" s="13">
        <v>0.33329999999999999</v>
      </c>
      <c r="Q91" s="11" t="s">
        <v>70</v>
      </c>
      <c r="R91" s="12" t="s">
        <v>11</v>
      </c>
      <c r="S91" s="43">
        <v>0</v>
      </c>
      <c r="T91" s="43">
        <v>1</v>
      </c>
      <c r="U91" s="13">
        <v>0.33329999999999999</v>
      </c>
      <c r="V91" s="11"/>
      <c r="W91" s="12"/>
      <c r="X91" s="12"/>
      <c r="Y91" s="12"/>
      <c r="Z91" s="13"/>
      <c r="AA91" s="12">
        <v>9</v>
      </c>
    </row>
    <row r="92" spans="1:27" ht="18" x14ac:dyDescent="0.35">
      <c r="A92" s="35"/>
      <c r="B92" s="35"/>
      <c r="C92" s="35"/>
      <c r="D92" s="35"/>
      <c r="E92" s="35"/>
      <c r="F92" s="35"/>
      <c r="G92">
        <f>IF(ISNUMBER(SEARCH($G$2,H92)),MAX($G$4:G91)+1,0)</f>
        <v>88</v>
      </c>
      <c r="H92" s="4" t="s">
        <v>400</v>
      </c>
      <c r="K92" s="29" t="str">
        <f>IFERROR(VLOOKUP(ROWS($K$4:K91),$G$5:$I$149,2,0),"")</f>
        <v>Defending weapon*</v>
      </c>
      <c r="L92" s="11" t="s">
        <v>28</v>
      </c>
      <c r="M92" s="16" t="s">
        <v>4</v>
      </c>
      <c r="N92" s="43">
        <v>0</v>
      </c>
      <c r="O92" s="169">
        <v>0</v>
      </c>
      <c r="P92" s="13">
        <v>1</v>
      </c>
      <c r="Q92" s="11"/>
      <c r="R92" s="12"/>
      <c r="S92" s="12"/>
      <c r="T92" s="12"/>
      <c r="U92" s="13"/>
      <c r="V92" s="11"/>
      <c r="W92" s="12"/>
      <c r="X92" s="12"/>
      <c r="Y92" s="12"/>
      <c r="Z92" s="13"/>
      <c r="AA92" s="12">
        <v>100</v>
      </c>
    </row>
    <row r="93" spans="1:27" ht="18" x14ac:dyDescent="0.35">
      <c r="A93" s="35"/>
      <c r="B93" s="35"/>
      <c r="C93" s="35"/>
      <c r="D93" s="35"/>
      <c r="E93" s="35"/>
      <c r="F93" s="35"/>
      <c r="G93">
        <f>IF(ISNUMBER(SEARCH($G$2,H93)),MAX($G$4:G92)+1,0)</f>
        <v>0</v>
      </c>
      <c r="K93" s="29" t="str">
        <f>IFERROR(VLOOKUP(ROWS($K$4:K92),$G$5:$I$149,2,0),"")</f>
        <v/>
      </c>
      <c r="L93" s="11"/>
      <c r="M93" s="16"/>
      <c r="N93" s="12"/>
      <c r="O93" s="12"/>
      <c r="P93" s="13"/>
      <c r="Q93" s="11"/>
      <c r="R93" s="12"/>
      <c r="S93" s="12"/>
      <c r="T93" s="12"/>
      <c r="U93" s="13"/>
      <c r="V93" s="11"/>
      <c r="W93" s="12"/>
      <c r="X93" s="12"/>
      <c r="Y93" s="12"/>
      <c r="Z93" s="13"/>
      <c r="AA93" s="12">
        <v>100</v>
      </c>
    </row>
    <row r="94" spans="1:27" ht="18" x14ac:dyDescent="0.35">
      <c r="A94" s="35"/>
      <c r="B94" s="35"/>
      <c r="C94" s="35"/>
      <c r="D94" s="35"/>
      <c r="E94" s="35"/>
      <c r="F94" s="35"/>
      <c r="G94">
        <f>IF(ISNUMBER(SEARCH($G$2,H94)),MAX($G$4:G93)+1,0)</f>
        <v>0</v>
      </c>
      <c r="K94" s="29" t="str">
        <f>IFERROR(VLOOKUP(ROWS($K$4:K93),$G$5:$I$149,2,0),"")</f>
        <v/>
      </c>
      <c r="L94" s="11"/>
      <c r="M94" s="16"/>
      <c r="N94" s="12"/>
      <c r="O94" s="12"/>
      <c r="P94" s="13"/>
      <c r="Q94" s="11"/>
      <c r="R94" s="12"/>
      <c r="S94" s="12"/>
      <c r="T94" s="12"/>
      <c r="U94" s="13"/>
      <c r="V94" s="11"/>
      <c r="W94" s="12"/>
      <c r="X94" s="12"/>
      <c r="Y94" s="12"/>
      <c r="Z94" s="13"/>
      <c r="AA94" s="12">
        <v>100</v>
      </c>
    </row>
    <row r="95" spans="1:27" ht="18" x14ac:dyDescent="0.35">
      <c r="A95" s="35"/>
      <c r="B95" s="35"/>
      <c r="C95" s="35"/>
      <c r="D95" s="35"/>
      <c r="E95" s="35"/>
      <c r="F95" s="35"/>
      <c r="G95">
        <f>IF(ISNUMBER(SEARCH($G$2,H95)),MAX($G$4:G94)+1,0)</f>
        <v>0</v>
      </c>
      <c r="K95" s="29" t="str">
        <f>IFERROR(VLOOKUP(ROWS($K$4:K94),$G$5:$I$149,2,0),"")</f>
        <v/>
      </c>
      <c r="L95" s="11"/>
      <c r="M95" s="16"/>
      <c r="N95" s="12"/>
      <c r="O95" s="12"/>
      <c r="P95" s="13"/>
      <c r="Q95" s="11"/>
      <c r="R95" s="12"/>
      <c r="S95" s="12"/>
      <c r="T95" s="12"/>
      <c r="U95" s="13"/>
      <c r="V95" s="11"/>
      <c r="W95" s="12"/>
      <c r="X95" s="12"/>
      <c r="Y95" s="12"/>
      <c r="Z95" s="13"/>
      <c r="AA95" s="12">
        <v>100</v>
      </c>
    </row>
    <row r="96" spans="1:27" ht="18" x14ac:dyDescent="0.35">
      <c r="A96" s="35"/>
      <c r="B96" s="35"/>
      <c r="C96" s="35"/>
      <c r="D96" s="35"/>
      <c r="E96" s="35"/>
      <c r="F96" s="35"/>
      <c r="G96">
        <f>IF(ISNUMBER(SEARCH($G$2,H96)),MAX($G$4:G95)+1,0)</f>
        <v>0</v>
      </c>
      <c r="K96" s="29" t="str">
        <f>IFERROR(VLOOKUP(ROWS($K$4:K95),$G$5:$I$149,2,0),"")</f>
        <v/>
      </c>
      <c r="L96" s="11"/>
      <c r="M96" s="16"/>
      <c r="N96" s="12"/>
      <c r="O96" s="12"/>
      <c r="P96" s="13"/>
      <c r="Q96" s="11"/>
      <c r="R96" s="12"/>
      <c r="S96" s="12"/>
      <c r="T96" s="12"/>
      <c r="U96" s="13"/>
      <c r="V96" s="11"/>
      <c r="W96" s="12"/>
      <c r="X96" s="12"/>
      <c r="Y96" s="12"/>
      <c r="Z96" s="13"/>
      <c r="AA96" s="12">
        <v>100</v>
      </c>
    </row>
    <row r="97" spans="1:27" ht="18" x14ac:dyDescent="0.35">
      <c r="A97" s="35"/>
      <c r="B97" s="35"/>
      <c r="C97" s="35"/>
      <c r="D97" s="35"/>
      <c r="E97" s="35"/>
      <c r="F97" s="35"/>
      <c r="G97">
        <f>IF(ISNUMBER(SEARCH($G$2,H97)),MAX($G$4:G96)+1,0)</f>
        <v>0</v>
      </c>
      <c r="K97" s="29" t="str">
        <f>IFERROR(VLOOKUP(ROWS($K$4:K96),$G$5:$I$149,2,0),"")</f>
        <v/>
      </c>
      <c r="L97" s="11"/>
      <c r="M97" s="16"/>
      <c r="N97" s="12"/>
      <c r="O97" s="12"/>
      <c r="P97" s="13"/>
      <c r="Q97" s="11"/>
      <c r="R97" s="12"/>
      <c r="S97" s="12"/>
      <c r="T97" s="12"/>
      <c r="U97" s="13"/>
      <c r="V97" s="11"/>
      <c r="W97" s="12"/>
      <c r="X97" s="12"/>
      <c r="Y97" s="12"/>
      <c r="Z97" s="13"/>
      <c r="AA97" s="12">
        <v>100</v>
      </c>
    </row>
    <row r="98" spans="1:27" ht="18" x14ac:dyDescent="0.35">
      <c r="A98" s="35"/>
      <c r="B98" s="35"/>
      <c r="C98" s="35"/>
      <c r="D98" s="35"/>
      <c r="E98" s="35"/>
      <c r="F98" s="35"/>
      <c r="G98">
        <f>IF(ISNUMBER(SEARCH($G$2,H98)),MAX($G$4:G97)+1,0)</f>
        <v>0</v>
      </c>
      <c r="K98" s="29" t="str">
        <f>IFERROR(VLOOKUP(ROWS($K$4:K97),$G$5:$I$149,2,0),"")</f>
        <v/>
      </c>
      <c r="L98" s="11"/>
      <c r="M98" s="16"/>
      <c r="N98" s="12"/>
      <c r="O98" s="12"/>
      <c r="P98" s="13"/>
      <c r="Q98" s="11"/>
      <c r="R98" s="12"/>
      <c r="S98" s="12"/>
      <c r="T98" s="12"/>
      <c r="U98" s="13"/>
      <c r="V98" s="11"/>
      <c r="W98" s="12"/>
      <c r="X98" s="12"/>
      <c r="Y98" s="12"/>
      <c r="Z98" s="13"/>
      <c r="AA98" s="12">
        <v>100</v>
      </c>
    </row>
    <row r="99" spans="1:27" ht="18" x14ac:dyDescent="0.35">
      <c r="A99" s="35"/>
      <c r="B99" s="35"/>
      <c r="C99" s="35"/>
      <c r="D99" s="35"/>
      <c r="E99" s="35"/>
      <c r="F99" s="35"/>
      <c r="G99">
        <f>IF(ISNUMBER(SEARCH($G$2,H99)),MAX($G$4:G98)+1,0)</f>
        <v>0</v>
      </c>
      <c r="K99" s="29" t="str">
        <f>IFERROR(VLOOKUP(ROWS($K$4:K98),$G$5:$I$149,2,0),"")</f>
        <v/>
      </c>
      <c r="L99" s="11"/>
      <c r="M99" s="16"/>
      <c r="N99" s="12"/>
      <c r="O99" s="12"/>
      <c r="P99" s="13"/>
      <c r="Q99" s="11"/>
      <c r="R99" s="12"/>
      <c r="S99" s="12"/>
      <c r="T99" s="12"/>
      <c r="U99" s="13"/>
      <c r="V99" s="11"/>
      <c r="W99" s="12"/>
      <c r="X99" s="12"/>
      <c r="Y99" s="12"/>
      <c r="Z99" s="13"/>
      <c r="AA99" s="12">
        <v>100</v>
      </c>
    </row>
    <row r="100" spans="1:27" ht="18" x14ac:dyDescent="0.35">
      <c r="A100" s="35"/>
      <c r="B100" s="35"/>
      <c r="C100" s="35"/>
      <c r="D100" s="35"/>
      <c r="E100" s="35"/>
      <c r="F100" s="35"/>
      <c r="G100">
        <f>IF(ISNUMBER(SEARCH($G$2,H100)),MAX($G$4:G99)+1,0)</f>
        <v>0</v>
      </c>
      <c r="K100" s="29" t="str">
        <f>IFERROR(VLOOKUP(ROWS($K$4:K99),$G$5:$I$149,2,0),"")</f>
        <v/>
      </c>
      <c r="L100" s="11"/>
      <c r="M100" s="16"/>
      <c r="N100" s="12"/>
      <c r="O100" s="12"/>
      <c r="P100" s="13"/>
      <c r="Q100" s="11"/>
      <c r="R100" s="12"/>
      <c r="S100" s="12"/>
      <c r="T100" s="12"/>
      <c r="U100" s="13"/>
      <c r="V100" s="11"/>
      <c r="W100" s="12"/>
      <c r="X100" s="12"/>
      <c r="Y100" s="12"/>
      <c r="Z100" s="13"/>
      <c r="AA100" s="12">
        <v>100</v>
      </c>
    </row>
    <row r="101" spans="1:27" ht="18" x14ac:dyDescent="0.35">
      <c r="A101" s="35"/>
      <c r="B101" s="35"/>
      <c r="C101" s="35"/>
      <c r="D101" s="35"/>
      <c r="E101" s="35"/>
      <c r="F101" s="35"/>
      <c r="G101">
        <f>IF(ISNUMBER(SEARCH($G$2,H101)),MAX($G$4:G100)+1,0)</f>
        <v>0</v>
      </c>
      <c r="K101" s="29" t="str">
        <f>IFERROR(VLOOKUP(ROWS($K$4:K100),$G$5:$I$149,2,0),"")</f>
        <v/>
      </c>
      <c r="L101" s="11"/>
      <c r="M101" s="16"/>
      <c r="N101" s="12"/>
      <c r="O101" s="12"/>
      <c r="P101" s="13"/>
      <c r="Q101" s="11"/>
      <c r="R101" s="12"/>
      <c r="S101" s="12"/>
      <c r="T101" s="12"/>
      <c r="U101" s="13"/>
      <c r="V101" s="11"/>
      <c r="W101" s="12"/>
      <c r="X101" s="12"/>
      <c r="Y101" s="12"/>
      <c r="Z101" s="13"/>
      <c r="AA101" s="12">
        <v>100</v>
      </c>
    </row>
    <row r="102" spans="1:27" ht="18" x14ac:dyDescent="0.35">
      <c r="A102" s="35"/>
      <c r="B102" s="35"/>
      <c r="C102" s="35"/>
      <c r="D102" s="35"/>
      <c r="E102" s="35"/>
      <c r="F102" s="35"/>
      <c r="G102">
        <f>IF(ISNUMBER(SEARCH($G$2,H102)),MAX($G$4:G101)+1,0)</f>
        <v>0</v>
      </c>
      <c r="K102" s="29" t="str">
        <f>IFERROR(VLOOKUP(ROWS($K$4:K101),$G$5:$I$149,2,0),"")</f>
        <v/>
      </c>
      <c r="L102" s="11"/>
      <c r="M102" s="16"/>
      <c r="N102" s="12"/>
      <c r="O102" s="12"/>
      <c r="P102" s="13"/>
      <c r="Q102" s="11"/>
      <c r="R102" s="12"/>
      <c r="S102" s="12"/>
      <c r="T102" s="12"/>
      <c r="U102" s="13"/>
      <c r="V102" s="11"/>
      <c r="W102" s="12"/>
      <c r="X102" s="12"/>
      <c r="Y102" s="12"/>
      <c r="Z102" s="13"/>
      <c r="AA102" s="12">
        <v>100</v>
      </c>
    </row>
    <row r="103" spans="1:27" ht="18" x14ac:dyDescent="0.35">
      <c r="A103" s="35"/>
      <c r="B103" s="35"/>
      <c r="C103" s="35"/>
      <c r="D103" s="35"/>
      <c r="E103" s="35"/>
      <c r="F103" s="35"/>
      <c r="G103">
        <f>IF(ISNUMBER(SEARCH($G$2,H103)),MAX($G$4:G102)+1,0)</f>
        <v>0</v>
      </c>
      <c r="K103" s="29" t="str">
        <f>IFERROR(VLOOKUP(ROWS($K$4:K102),$G$5:$I$149,2,0),"")</f>
        <v/>
      </c>
      <c r="L103" s="11"/>
      <c r="M103" s="16"/>
      <c r="N103" s="12"/>
      <c r="O103" s="12"/>
      <c r="P103" s="13"/>
      <c r="Q103" s="11"/>
      <c r="R103" s="12"/>
      <c r="S103" s="12"/>
      <c r="T103" s="12"/>
      <c r="U103" s="13"/>
      <c r="V103" s="11"/>
      <c r="W103" s="12"/>
      <c r="X103" s="12"/>
      <c r="Y103" s="12"/>
      <c r="Z103" s="13"/>
      <c r="AA103" s="12">
        <v>100</v>
      </c>
    </row>
    <row r="104" spans="1:27" ht="18" x14ac:dyDescent="0.35">
      <c r="A104" s="35"/>
      <c r="B104" s="35"/>
      <c r="C104" s="35"/>
      <c r="D104" s="35"/>
      <c r="E104" s="35"/>
      <c r="F104" s="35"/>
      <c r="G104">
        <f>IF(ISNUMBER(SEARCH($G$2,H104)),MAX($G$4:G103)+1,0)</f>
        <v>0</v>
      </c>
      <c r="K104" s="29" t="str">
        <f>IFERROR(VLOOKUP(ROWS($K$4:K103),$G$5:$I$149,2,0),"")</f>
        <v/>
      </c>
      <c r="L104" s="11"/>
      <c r="M104" s="16"/>
      <c r="N104" s="12"/>
      <c r="O104" s="12"/>
      <c r="P104" s="13"/>
      <c r="Q104" s="11"/>
      <c r="R104" s="12"/>
      <c r="S104" s="12"/>
      <c r="T104" s="12"/>
      <c r="U104" s="13"/>
      <c r="V104" s="11"/>
      <c r="W104" s="12"/>
      <c r="X104" s="12"/>
      <c r="Y104" s="12"/>
      <c r="Z104" s="13"/>
      <c r="AA104" s="12">
        <v>100</v>
      </c>
    </row>
    <row r="105" spans="1:27" ht="18" x14ac:dyDescent="0.35">
      <c r="A105" s="35"/>
      <c r="B105" s="35"/>
      <c r="C105" s="35"/>
      <c r="D105" s="35"/>
      <c r="E105" s="35"/>
      <c r="F105" s="35"/>
      <c r="G105">
        <f>IF(ISNUMBER(SEARCH($G$2,H105)),MAX($G$4:G104)+1,0)</f>
        <v>0</v>
      </c>
      <c r="K105" s="29" t="str">
        <f>IFERROR(VLOOKUP(ROWS($K$4:K104),$G$5:$I$149,2,0),"")</f>
        <v/>
      </c>
      <c r="L105" s="11"/>
      <c r="M105" s="16"/>
      <c r="N105" s="12"/>
      <c r="O105" s="12"/>
      <c r="P105" s="13"/>
      <c r="Q105" s="11"/>
      <c r="R105" s="12"/>
      <c r="S105" s="12"/>
      <c r="T105" s="12"/>
      <c r="U105" s="13"/>
      <c r="V105" s="11"/>
      <c r="W105" s="12"/>
      <c r="X105" s="12"/>
      <c r="Y105" s="12"/>
      <c r="Z105" s="13"/>
      <c r="AA105" s="12">
        <v>100</v>
      </c>
    </row>
    <row r="106" spans="1:27" ht="18" x14ac:dyDescent="0.35">
      <c r="A106" s="35"/>
      <c r="B106" s="35"/>
      <c r="C106" s="35"/>
      <c r="D106" s="35"/>
      <c r="E106" s="35"/>
      <c r="F106" s="35"/>
      <c r="G106">
        <f>IF(ISNUMBER(SEARCH($G$2,H106)),MAX($G$4:G105)+1,0)</f>
        <v>0</v>
      </c>
      <c r="K106" s="29" t="str">
        <f>IFERROR(VLOOKUP(ROWS($K$4:K105),$G$5:$I$149,2,0),"")</f>
        <v/>
      </c>
      <c r="L106" s="11"/>
      <c r="M106" s="16"/>
      <c r="N106" s="12"/>
      <c r="O106" s="12"/>
      <c r="P106" s="13"/>
      <c r="Q106" s="11"/>
      <c r="R106" s="12"/>
      <c r="S106" s="12"/>
      <c r="T106" s="12"/>
      <c r="U106" s="13"/>
      <c r="V106" s="11"/>
      <c r="W106" s="12"/>
      <c r="X106" s="12"/>
      <c r="Y106" s="12"/>
      <c r="Z106" s="13"/>
      <c r="AA106" s="12">
        <v>100</v>
      </c>
    </row>
    <row r="107" spans="1:27" ht="18" x14ac:dyDescent="0.35">
      <c r="A107" s="35"/>
      <c r="B107" s="35"/>
      <c r="C107" s="35"/>
      <c r="D107" s="35"/>
      <c r="E107" s="35"/>
      <c r="F107" s="35"/>
      <c r="G107">
        <f>IF(ISNUMBER(SEARCH($G$2,H107)),MAX($G$4:G106)+1,0)</f>
        <v>0</v>
      </c>
      <c r="K107" s="29" t="str">
        <f>IFERROR(VLOOKUP(ROWS($K$4:K106),$G$5:$I$149,2,0),"")</f>
        <v/>
      </c>
      <c r="L107" s="11"/>
      <c r="M107" s="16"/>
      <c r="N107" s="12"/>
      <c r="O107" s="12"/>
      <c r="P107" s="13"/>
      <c r="Q107" s="11"/>
      <c r="R107" s="12"/>
      <c r="S107" s="12"/>
      <c r="T107" s="12"/>
      <c r="U107" s="13"/>
      <c r="V107" s="11"/>
      <c r="W107" s="12"/>
      <c r="X107" s="12"/>
      <c r="Y107" s="12"/>
      <c r="Z107" s="13"/>
      <c r="AA107" s="12">
        <v>100</v>
      </c>
    </row>
    <row r="108" spans="1:27" ht="18" x14ac:dyDescent="0.35">
      <c r="A108" s="35"/>
      <c r="B108" s="35"/>
      <c r="C108" s="35"/>
      <c r="D108" s="35"/>
      <c r="E108" s="35"/>
      <c r="F108" s="35"/>
      <c r="G108">
        <f>IF(ISNUMBER(SEARCH($G$2,H108)),MAX($G$4:G107)+1,0)</f>
        <v>0</v>
      </c>
      <c r="K108" s="29" t="str">
        <f>IFERROR(VLOOKUP(ROWS($K$4:K107),$G$5:$I$149,2,0),"")</f>
        <v/>
      </c>
      <c r="L108" s="11"/>
      <c r="M108" s="16"/>
      <c r="N108" s="12"/>
      <c r="O108" s="12"/>
      <c r="P108" s="13"/>
      <c r="Q108" s="11"/>
      <c r="R108" s="12"/>
      <c r="S108" s="12"/>
      <c r="T108" s="12"/>
      <c r="U108" s="13"/>
      <c r="V108" s="11"/>
      <c r="W108" s="12"/>
      <c r="X108" s="12"/>
      <c r="Y108" s="12"/>
      <c r="Z108" s="13"/>
      <c r="AA108" s="12">
        <v>100</v>
      </c>
    </row>
    <row r="109" spans="1:27" ht="18" x14ac:dyDescent="0.35">
      <c r="A109" s="35"/>
      <c r="B109" s="35"/>
      <c r="C109" s="35"/>
      <c r="D109" s="35"/>
      <c r="E109" s="35"/>
      <c r="F109" s="35"/>
      <c r="G109">
        <f>IF(ISNUMBER(SEARCH($G$2,H109)),MAX($G$4:G108)+1,0)</f>
        <v>0</v>
      </c>
      <c r="K109" s="29" t="str">
        <f>IFERROR(VLOOKUP(ROWS($K$4:K108),$G$5:$I$149,2,0),"")</f>
        <v/>
      </c>
      <c r="L109" s="11"/>
      <c r="M109" s="16"/>
      <c r="N109" s="12"/>
      <c r="O109" s="12"/>
      <c r="P109" s="13"/>
      <c r="Q109" s="11"/>
      <c r="R109" s="12"/>
      <c r="S109" s="12"/>
      <c r="T109" s="12"/>
      <c r="U109" s="13"/>
      <c r="V109" s="11"/>
      <c r="W109" s="12"/>
      <c r="X109" s="12"/>
      <c r="Y109" s="12"/>
      <c r="Z109" s="13"/>
      <c r="AA109" s="12">
        <v>100</v>
      </c>
    </row>
    <row r="110" spans="1:27" ht="18" x14ac:dyDescent="0.35">
      <c r="A110" s="35"/>
      <c r="B110" s="35"/>
      <c r="C110" s="35"/>
      <c r="D110" s="35"/>
      <c r="E110" s="35"/>
      <c r="F110" s="35"/>
      <c r="G110">
        <f>IF(ISNUMBER(SEARCH($G$2,H110)),MAX($G$4:G109)+1,0)</f>
        <v>0</v>
      </c>
      <c r="K110" s="29" t="str">
        <f>IFERROR(VLOOKUP(ROWS($K$4:K109),$G$5:$I$149,2,0),"")</f>
        <v/>
      </c>
      <c r="L110" s="11"/>
      <c r="M110" s="16"/>
      <c r="N110" s="12"/>
      <c r="O110" s="12"/>
      <c r="P110" s="13"/>
      <c r="Q110" s="11"/>
      <c r="R110" s="12"/>
      <c r="S110" s="12"/>
      <c r="T110" s="12"/>
      <c r="U110" s="13"/>
      <c r="V110" s="11"/>
      <c r="W110" s="12"/>
      <c r="X110" s="12"/>
      <c r="Y110" s="12"/>
      <c r="Z110" s="13"/>
      <c r="AA110" s="12">
        <v>100</v>
      </c>
    </row>
    <row r="111" spans="1:27" ht="18" x14ac:dyDescent="0.35">
      <c r="A111" s="35"/>
      <c r="B111" s="35"/>
      <c r="C111" s="35"/>
      <c r="D111" s="35"/>
      <c r="E111" s="35"/>
      <c r="F111" s="35"/>
      <c r="G111">
        <f>IF(ISNUMBER(SEARCH($G$2,H111)),MAX($G$4:G110)+1,0)</f>
        <v>0</v>
      </c>
      <c r="K111" s="29" t="str">
        <f>IFERROR(VLOOKUP(ROWS($K$4:K110),$G$5:$I$149,2,0),"")</f>
        <v/>
      </c>
      <c r="L111" s="11"/>
      <c r="M111" s="16"/>
      <c r="N111" s="12"/>
      <c r="O111" s="12"/>
      <c r="P111" s="13"/>
      <c r="Q111" s="11"/>
      <c r="R111" s="12"/>
      <c r="S111" s="12"/>
      <c r="T111" s="12"/>
      <c r="U111" s="13"/>
      <c r="V111" s="11"/>
      <c r="W111" s="12"/>
      <c r="X111" s="12"/>
      <c r="Y111" s="12"/>
      <c r="Z111" s="13"/>
      <c r="AA111" s="12">
        <v>100</v>
      </c>
    </row>
    <row r="112" spans="1:27" ht="18" x14ac:dyDescent="0.35">
      <c r="A112" s="35"/>
      <c r="B112" s="35"/>
      <c r="C112" s="35"/>
      <c r="D112" s="35"/>
      <c r="E112" s="35"/>
      <c r="F112" s="35"/>
      <c r="G112">
        <f>IF(ISNUMBER(SEARCH($G$2,H112)),MAX($G$4:G111)+1,0)</f>
        <v>0</v>
      </c>
      <c r="K112" s="29" t="str">
        <f>IFERROR(VLOOKUP(ROWS($K$4:K111),$G$5:$I$149,2,0),"")</f>
        <v/>
      </c>
      <c r="L112" s="11"/>
      <c r="M112" s="16"/>
      <c r="N112" s="12"/>
      <c r="O112" s="12"/>
      <c r="P112" s="13"/>
      <c r="Q112" s="11"/>
      <c r="R112" s="12"/>
      <c r="S112" s="12"/>
      <c r="T112" s="12"/>
      <c r="U112" s="13"/>
      <c r="V112" s="11"/>
      <c r="W112" s="12"/>
      <c r="X112" s="12"/>
      <c r="Y112" s="12"/>
      <c r="Z112" s="13"/>
      <c r="AA112" s="12">
        <v>100</v>
      </c>
    </row>
    <row r="113" spans="1:27" ht="18" x14ac:dyDescent="0.35">
      <c r="A113" s="35"/>
      <c r="B113" s="35"/>
      <c r="C113" s="35"/>
      <c r="D113" s="35"/>
      <c r="E113" s="35"/>
      <c r="F113" s="35"/>
      <c r="G113">
        <f>IF(ISNUMBER(SEARCH($G$2,H113)),MAX($G$4:G112)+1,0)</f>
        <v>0</v>
      </c>
      <c r="K113" s="29" t="str">
        <f>IFERROR(VLOOKUP(ROWS($K$4:K112),$G$5:$I$149,2,0),"")</f>
        <v/>
      </c>
      <c r="L113" s="11"/>
      <c r="M113" s="16"/>
      <c r="N113" s="12"/>
      <c r="O113" s="12"/>
      <c r="P113" s="13"/>
      <c r="Q113" s="11"/>
      <c r="R113" s="12"/>
      <c r="S113" s="12"/>
      <c r="T113" s="12"/>
      <c r="U113" s="13"/>
      <c r="V113" s="11"/>
      <c r="W113" s="12"/>
      <c r="X113" s="12"/>
      <c r="Y113" s="12"/>
      <c r="Z113" s="13"/>
      <c r="AA113" s="12">
        <v>100</v>
      </c>
    </row>
    <row r="114" spans="1:27" ht="18" x14ac:dyDescent="0.35">
      <c r="A114" s="35"/>
      <c r="B114" s="35"/>
      <c r="C114" s="35"/>
      <c r="D114" s="35"/>
      <c r="E114" s="35"/>
      <c r="F114" s="35"/>
      <c r="G114">
        <f>IF(ISNUMBER(SEARCH($G$2,H114)),MAX($G$4:G113)+1,0)</f>
        <v>0</v>
      </c>
      <c r="K114" s="29" t="str">
        <f>IFERROR(VLOOKUP(ROWS($K$4:K113),$G$5:$I$149,2,0),"")</f>
        <v/>
      </c>
      <c r="L114" s="11"/>
      <c r="M114" s="16"/>
      <c r="N114" s="12"/>
      <c r="O114" s="12"/>
      <c r="P114" s="13"/>
      <c r="Q114" s="11"/>
      <c r="R114" s="12"/>
      <c r="S114" s="12"/>
      <c r="T114" s="12"/>
      <c r="U114" s="13"/>
      <c r="V114" s="11"/>
      <c r="W114" s="12"/>
      <c r="X114" s="12"/>
      <c r="Y114" s="12"/>
      <c r="Z114" s="13"/>
      <c r="AA114" s="12">
        <v>100</v>
      </c>
    </row>
    <row r="115" spans="1:27" ht="18" x14ac:dyDescent="0.35">
      <c r="A115" s="35"/>
      <c r="B115" s="35"/>
      <c r="C115" s="35"/>
      <c r="D115" s="35"/>
      <c r="E115" s="35"/>
      <c r="F115" s="35"/>
      <c r="G115">
        <f>IF(ISNUMBER(SEARCH($G$2,H115)),MAX($G$4:G114)+1,0)</f>
        <v>0</v>
      </c>
      <c r="K115" s="29" t="str">
        <f>IFERROR(VLOOKUP(ROWS($K$4:K114),$G$5:$I$149,2,0),"")</f>
        <v/>
      </c>
      <c r="L115" s="11"/>
      <c r="M115" s="16"/>
      <c r="N115" s="12"/>
      <c r="O115" s="12"/>
      <c r="P115" s="13"/>
      <c r="Q115" s="11"/>
      <c r="R115" s="12"/>
      <c r="S115" s="12"/>
      <c r="T115" s="12"/>
      <c r="U115" s="13"/>
      <c r="V115" s="11"/>
      <c r="W115" s="12"/>
      <c r="X115" s="12"/>
      <c r="Y115" s="12"/>
      <c r="Z115" s="13"/>
      <c r="AA115" s="12">
        <v>100</v>
      </c>
    </row>
    <row r="116" spans="1:27" ht="18" x14ac:dyDescent="0.35">
      <c r="A116" s="35"/>
      <c r="B116" s="35"/>
      <c r="C116" s="35"/>
      <c r="D116" s="35"/>
      <c r="E116" s="35"/>
      <c r="F116" s="35"/>
      <c r="G116">
        <f>IF(ISNUMBER(SEARCH($G$2,H116)),MAX($G$4:G115)+1,0)</f>
        <v>0</v>
      </c>
      <c r="K116" s="29" t="str">
        <f>IFERROR(VLOOKUP(ROWS($K$4:K115),$G$5:$I$149,2,0),"")</f>
        <v/>
      </c>
      <c r="L116" s="11"/>
      <c r="M116" s="16"/>
      <c r="N116" s="12"/>
      <c r="O116" s="12"/>
      <c r="P116" s="13"/>
      <c r="Q116" s="11"/>
      <c r="R116" s="12"/>
      <c r="S116" s="12"/>
      <c r="T116" s="12"/>
      <c r="U116" s="13"/>
      <c r="V116" s="11"/>
      <c r="W116" s="12"/>
      <c r="X116" s="12"/>
      <c r="Y116" s="12"/>
      <c r="Z116" s="13"/>
      <c r="AA116" s="12">
        <v>100</v>
      </c>
    </row>
    <row r="117" spans="1:27" ht="18" x14ac:dyDescent="0.35">
      <c r="A117" s="35"/>
      <c r="B117" s="35"/>
      <c r="C117" s="35"/>
      <c r="D117" s="35"/>
      <c r="E117" s="35"/>
      <c r="F117" s="35"/>
      <c r="G117">
        <f>IF(ISNUMBER(SEARCH($G$2,H117)),MAX($G$4:G116)+1,0)</f>
        <v>0</v>
      </c>
      <c r="K117" s="29" t="str">
        <f>IFERROR(VLOOKUP(ROWS($K$4:K116),$G$5:$I$149,2,0),"")</f>
        <v/>
      </c>
      <c r="L117" s="11"/>
      <c r="M117" s="16"/>
      <c r="N117" s="12"/>
      <c r="O117" s="12"/>
      <c r="P117" s="13"/>
      <c r="Q117" s="11"/>
      <c r="R117" s="12"/>
      <c r="S117" s="12"/>
      <c r="T117" s="12"/>
      <c r="U117" s="13"/>
      <c r="V117" s="11"/>
      <c r="W117" s="12"/>
      <c r="X117" s="12"/>
      <c r="Y117" s="12"/>
      <c r="Z117" s="13"/>
      <c r="AA117" s="12">
        <v>100</v>
      </c>
    </row>
    <row r="118" spans="1:27" ht="18" x14ac:dyDescent="0.35">
      <c r="A118" s="35"/>
      <c r="B118" s="35"/>
      <c r="C118" s="35"/>
      <c r="D118" s="35"/>
      <c r="E118" s="35"/>
      <c r="F118" s="35"/>
      <c r="G118">
        <f>IF(ISNUMBER(SEARCH($G$2,H118)),MAX($G$4:G117)+1,0)</f>
        <v>0</v>
      </c>
      <c r="K118" s="29" t="str">
        <f>IFERROR(VLOOKUP(ROWS($K$4:K117),$G$5:$I$149,2,0),"")</f>
        <v/>
      </c>
      <c r="L118" s="11"/>
      <c r="M118" s="16"/>
      <c r="N118" s="12"/>
      <c r="O118" s="12"/>
      <c r="P118" s="13"/>
      <c r="Q118" s="11"/>
      <c r="R118" s="12"/>
      <c r="S118" s="12"/>
      <c r="T118" s="12"/>
      <c r="U118" s="13"/>
      <c r="V118" s="11"/>
      <c r="W118" s="12"/>
      <c r="X118" s="12"/>
      <c r="Y118" s="12"/>
      <c r="Z118" s="13"/>
      <c r="AA118" s="12">
        <v>100</v>
      </c>
    </row>
    <row r="119" spans="1:27" ht="18" x14ac:dyDescent="0.35">
      <c r="A119" s="35"/>
      <c r="B119" s="35"/>
      <c r="C119" s="35"/>
      <c r="D119" s="35"/>
      <c r="E119" s="35"/>
      <c r="F119" s="35"/>
      <c r="G119">
        <f>IF(ISNUMBER(SEARCH($G$2,H119)),MAX($G$4:G118)+1,0)</f>
        <v>0</v>
      </c>
      <c r="K119" s="29" t="str">
        <f>IFERROR(VLOOKUP(ROWS($K$4:K118),$G$5:$I$149,2,0),"")</f>
        <v/>
      </c>
      <c r="L119" s="11"/>
      <c r="M119" s="16"/>
      <c r="N119" s="12"/>
      <c r="O119" s="12"/>
      <c r="P119" s="13"/>
      <c r="Q119" s="11"/>
      <c r="R119" s="12"/>
      <c r="S119" s="12"/>
      <c r="T119" s="12"/>
      <c r="U119" s="13"/>
      <c r="V119" s="11"/>
      <c r="W119" s="12"/>
      <c r="X119" s="12"/>
      <c r="Y119" s="12"/>
      <c r="Z119" s="13"/>
      <c r="AA119" s="12">
        <v>100</v>
      </c>
    </row>
    <row r="120" spans="1:27" ht="18" x14ac:dyDescent="0.35">
      <c r="A120" s="35"/>
      <c r="B120" s="35"/>
      <c r="C120" s="35"/>
      <c r="D120" s="35"/>
      <c r="E120" s="35"/>
      <c r="F120" s="35"/>
      <c r="G120">
        <f>IF(ISNUMBER(SEARCH($G$2,H120)),MAX($G$4:G119)+1,0)</f>
        <v>0</v>
      </c>
      <c r="K120" s="29" t="str">
        <f>IFERROR(VLOOKUP(ROWS($K$4:K119),$G$5:$I$149,2,0),"")</f>
        <v/>
      </c>
      <c r="L120" s="11"/>
      <c r="M120" s="16"/>
      <c r="N120" s="12"/>
      <c r="O120" s="12"/>
      <c r="P120" s="13"/>
      <c r="Q120" s="11"/>
      <c r="R120" s="12"/>
      <c r="S120" s="12"/>
      <c r="T120" s="12"/>
      <c r="U120" s="13"/>
      <c r="V120" s="11"/>
      <c r="W120" s="12"/>
      <c r="X120" s="12"/>
      <c r="Y120" s="12"/>
      <c r="Z120" s="13"/>
      <c r="AA120" s="12">
        <v>100</v>
      </c>
    </row>
    <row r="121" spans="1:27" ht="18" x14ac:dyDescent="0.35">
      <c r="A121" s="35"/>
      <c r="B121" s="35"/>
      <c r="C121" s="35"/>
      <c r="D121" s="35"/>
      <c r="E121" s="35"/>
      <c r="F121" s="35"/>
      <c r="G121">
        <f>IF(ISNUMBER(SEARCH($G$2,H121)),MAX($G$4:G120)+1,0)</f>
        <v>0</v>
      </c>
      <c r="K121" s="29" t="str">
        <f>IFERROR(VLOOKUP(ROWS($K$4:K120),$G$5:$I$149,2,0),"")</f>
        <v/>
      </c>
      <c r="L121" s="11"/>
      <c r="M121" s="16"/>
      <c r="N121" s="12"/>
      <c r="O121" s="12"/>
      <c r="P121" s="13"/>
      <c r="Q121" s="11"/>
      <c r="R121" s="12"/>
      <c r="S121" s="12"/>
      <c r="T121" s="12"/>
      <c r="U121" s="13"/>
      <c r="V121" s="11"/>
      <c r="W121" s="12"/>
      <c r="X121" s="12"/>
      <c r="Y121" s="12"/>
      <c r="Z121" s="13"/>
      <c r="AA121" s="12">
        <v>100</v>
      </c>
    </row>
    <row r="122" spans="1:27" ht="18" x14ac:dyDescent="0.35">
      <c r="A122" s="35"/>
      <c r="B122" s="35"/>
      <c r="C122" s="35"/>
      <c r="D122" s="35"/>
      <c r="E122" s="35"/>
      <c r="F122" s="35"/>
      <c r="G122">
        <f>IF(ISNUMBER(SEARCH($G$2,H122)),MAX($G$4:G121)+1,0)</f>
        <v>0</v>
      </c>
      <c r="K122" s="29" t="str">
        <f>IFERROR(VLOOKUP(ROWS($K$4:K121),$G$5:$I$149,2,0),"")</f>
        <v/>
      </c>
      <c r="L122" s="11"/>
      <c r="M122" s="16"/>
      <c r="N122" s="12"/>
      <c r="O122" s="12"/>
      <c r="P122" s="13"/>
      <c r="Q122" s="11"/>
      <c r="R122" s="12"/>
      <c r="S122" s="12"/>
      <c r="T122" s="12"/>
      <c r="U122" s="13"/>
      <c r="V122" s="11"/>
      <c r="W122" s="12"/>
      <c r="X122" s="12"/>
      <c r="Y122" s="12"/>
      <c r="Z122" s="13"/>
      <c r="AA122" s="12">
        <v>100</v>
      </c>
    </row>
    <row r="123" spans="1:27" ht="18" x14ac:dyDescent="0.35">
      <c r="A123" s="35"/>
      <c r="B123" s="35"/>
      <c r="C123" s="35"/>
      <c r="D123" s="35"/>
      <c r="E123" s="35"/>
      <c r="F123" s="35"/>
      <c r="G123">
        <f>IF(ISNUMBER(SEARCH($G$2,H123)),MAX($G$4:G122)+1,0)</f>
        <v>0</v>
      </c>
      <c r="K123" s="29" t="str">
        <f>IFERROR(VLOOKUP(ROWS($K$4:K122),$G$5:$I$149,2,0),"")</f>
        <v/>
      </c>
      <c r="L123" s="11"/>
      <c r="M123" s="16"/>
      <c r="N123" s="12"/>
      <c r="O123" s="12"/>
      <c r="P123" s="13"/>
      <c r="Q123" s="11"/>
      <c r="R123" s="12"/>
      <c r="S123" s="12"/>
      <c r="T123" s="12"/>
      <c r="U123" s="13"/>
      <c r="V123" s="11"/>
      <c r="W123" s="12"/>
      <c r="X123" s="12"/>
      <c r="Y123" s="12"/>
      <c r="Z123" s="13"/>
      <c r="AA123" s="12">
        <v>100</v>
      </c>
    </row>
    <row r="124" spans="1:27" ht="18" x14ac:dyDescent="0.35">
      <c r="A124" s="35"/>
      <c r="B124" s="35"/>
      <c r="C124" s="35"/>
      <c r="D124" s="35"/>
      <c r="E124" s="35"/>
      <c r="F124" s="35"/>
      <c r="G124">
        <f>IF(ISNUMBER(SEARCH($G$2,H124)),MAX($G$4:G123)+1,0)</f>
        <v>0</v>
      </c>
      <c r="K124" s="29" t="str">
        <f>IFERROR(VLOOKUP(ROWS($K$4:K123),$G$5:$I$149,2,0),"")</f>
        <v/>
      </c>
      <c r="L124" s="11"/>
      <c r="M124" s="16"/>
      <c r="N124" s="12"/>
      <c r="O124" s="12"/>
      <c r="P124" s="13"/>
      <c r="Q124" s="11"/>
      <c r="R124" s="12"/>
      <c r="S124" s="12"/>
      <c r="T124" s="12"/>
      <c r="U124" s="13"/>
      <c r="V124" s="11"/>
      <c r="W124" s="12"/>
      <c r="X124" s="12"/>
      <c r="Y124" s="12"/>
      <c r="Z124" s="13"/>
      <c r="AA124" s="12">
        <v>100</v>
      </c>
    </row>
    <row r="125" spans="1:27" ht="18" x14ac:dyDescent="0.35">
      <c r="A125" s="35"/>
      <c r="B125" s="35"/>
      <c r="C125" s="35"/>
      <c r="D125" s="35"/>
      <c r="E125" s="35"/>
      <c r="F125" s="35"/>
      <c r="G125">
        <f>IF(ISNUMBER(SEARCH($G$2,H125)),MAX($G$4:G124)+1,0)</f>
        <v>0</v>
      </c>
      <c r="K125" s="29" t="str">
        <f>IFERROR(VLOOKUP(ROWS($K$4:K124),$G$5:$I$149,2,0),"")</f>
        <v/>
      </c>
      <c r="L125" s="11"/>
      <c r="M125" s="16"/>
      <c r="N125" s="12"/>
      <c r="O125" s="12"/>
      <c r="P125" s="13"/>
      <c r="Q125" s="11"/>
      <c r="R125" s="12"/>
      <c r="S125" s="12"/>
      <c r="T125" s="12"/>
      <c r="U125" s="13"/>
      <c r="V125" s="11"/>
      <c r="W125" s="12"/>
      <c r="X125" s="12"/>
      <c r="Y125" s="12"/>
      <c r="Z125" s="13"/>
      <c r="AA125" s="12">
        <v>100</v>
      </c>
    </row>
    <row r="126" spans="1:27" ht="18" x14ac:dyDescent="0.35">
      <c r="A126" s="35"/>
      <c r="B126" s="35"/>
      <c r="C126" s="35"/>
      <c r="D126" s="35"/>
      <c r="E126" s="35"/>
      <c r="F126" s="35"/>
      <c r="G126">
        <f>IF(ISNUMBER(SEARCH($G$2,H126)),MAX($G$4:G125)+1,0)</f>
        <v>0</v>
      </c>
      <c r="K126" s="29" t="str">
        <f>IFERROR(VLOOKUP(ROWS($K$4:K125),$G$5:$I$149,2,0),"")</f>
        <v/>
      </c>
      <c r="L126" s="11"/>
      <c r="M126" s="16"/>
      <c r="N126" s="12"/>
      <c r="O126" s="12"/>
      <c r="P126" s="13"/>
      <c r="Q126" s="11"/>
      <c r="R126" s="12"/>
      <c r="S126" s="12"/>
      <c r="T126" s="12"/>
      <c r="U126" s="13"/>
      <c r="V126" s="11"/>
      <c r="W126" s="12"/>
      <c r="X126" s="12"/>
      <c r="Y126" s="12"/>
      <c r="Z126" s="13"/>
      <c r="AA126" s="12">
        <v>100</v>
      </c>
    </row>
    <row r="127" spans="1:27" ht="18" x14ac:dyDescent="0.35">
      <c r="A127" s="35"/>
      <c r="B127" s="35"/>
      <c r="C127" s="35"/>
      <c r="D127" s="35"/>
      <c r="E127" s="35"/>
      <c r="F127" s="35"/>
      <c r="G127">
        <f>IF(ISNUMBER(SEARCH($G$2,H127)),MAX($G$4:G126)+1,0)</f>
        <v>0</v>
      </c>
      <c r="K127" s="29" t="str">
        <f>IFERROR(VLOOKUP(ROWS($K$4:K126),$G$5:$I$149,2,0),"")</f>
        <v/>
      </c>
      <c r="L127" s="11"/>
      <c r="M127" s="16"/>
      <c r="N127" s="12"/>
      <c r="O127" s="12"/>
      <c r="P127" s="13"/>
      <c r="Q127" s="11"/>
      <c r="R127" s="12"/>
      <c r="S127" s="12"/>
      <c r="T127" s="12"/>
      <c r="U127" s="13"/>
      <c r="V127" s="11"/>
      <c r="W127" s="12"/>
      <c r="X127" s="12"/>
      <c r="Y127" s="12"/>
      <c r="Z127" s="13"/>
      <c r="AA127" s="12">
        <v>100</v>
      </c>
    </row>
    <row r="128" spans="1:27" ht="18" x14ac:dyDescent="0.35">
      <c r="A128" s="35"/>
      <c r="B128" s="35"/>
      <c r="C128" s="35"/>
      <c r="D128" s="35"/>
      <c r="E128" s="35"/>
      <c r="F128" s="35"/>
      <c r="G128">
        <f>IF(ISNUMBER(SEARCH($G$2,H128)),MAX($G$4:G127)+1,0)</f>
        <v>0</v>
      </c>
      <c r="K128" s="29" t="str">
        <f>IFERROR(VLOOKUP(ROWS($K$4:K127),$G$5:$I$149,2,0),"")</f>
        <v/>
      </c>
      <c r="L128" s="11"/>
      <c r="M128" s="16"/>
      <c r="N128" s="12"/>
      <c r="O128" s="12"/>
      <c r="P128" s="13"/>
      <c r="Q128" s="11"/>
      <c r="R128" s="12"/>
      <c r="S128" s="12"/>
      <c r="T128" s="12"/>
      <c r="U128" s="13"/>
      <c r="V128" s="11"/>
      <c r="W128" s="12"/>
      <c r="X128" s="12"/>
      <c r="Y128" s="12"/>
      <c r="Z128" s="13"/>
      <c r="AA128" s="12">
        <v>100</v>
      </c>
    </row>
    <row r="129" spans="1:27" ht="18" x14ac:dyDescent="0.35">
      <c r="A129" s="35"/>
      <c r="B129" s="35"/>
      <c r="C129" s="35"/>
      <c r="D129" s="35"/>
      <c r="E129" s="35"/>
      <c r="F129" s="35"/>
      <c r="G129">
        <f>IF(ISNUMBER(SEARCH($G$2,H129)),MAX($G$4:G128)+1,0)</f>
        <v>0</v>
      </c>
      <c r="K129" s="29" t="str">
        <f>IFERROR(VLOOKUP(ROWS($K$4:K128),$G$5:$I$149,2,0),"")</f>
        <v/>
      </c>
      <c r="L129" s="11"/>
      <c r="M129" s="16"/>
      <c r="N129" s="12"/>
      <c r="O129" s="12"/>
      <c r="P129" s="13"/>
      <c r="Q129" s="11"/>
      <c r="R129" s="12"/>
      <c r="S129" s="12"/>
      <c r="T129" s="12"/>
      <c r="U129" s="13"/>
      <c r="V129" s="11"/>
      <c r="W129" s="12"/>
      <c r="X129" s="12"/>
      <c r="Y129" s="12"/>
      <c r="Z129" s="13"/>
      <c r="AA129" s="12">
        <v>100</v>
      </c>
    </row>
    <row r="130" spans="1:27" ht="18" x14ac:dyDescent="0.35">
      <c r="A130" s="35"/>
      <c r="B130" s="35"/>
      <c r="C130" s="35"/>
      <c r="D130" s="35"/>
      <c r="E130" s="35"/>
      <c r="F130" s="35"/>
      <c r="G130">
        <f>IF(ISNUMBER(SEARCH($G$2,H130)),MAX($G$4:G129)+1,0)</f>
        <v>0</v>
      </c>
      <c r="K130" s="29" t="str">
        <f>IFERROR(VLOOKUP(ROWS($K$4:K129),$G$5:$I$149,2,0),"")</f>
        <v/>
      </c>
      <c r="L130" s="11"/>
      <c r="M130" s="16"/>
      <c r="N130" s="12"/>
      <c r="O130" s="12"/>
      <c r="P130" s="13"/>
      <c r="Q130" s="11"/>
      <c r="R130" s="12"/>
      <c r="S130" s="12"/>
      <c r="T130" s="12"/>
      <c r="U130" s="13"/>
      <c r="V130" s="11"/>
      <c r="W130" s="12"/>
      <c r="X130" s="12"/>
      <c r="Y130" s="12"/>
      <c r="Z130" s="13"/>
      <c r="AA130" s="12">
        <v>100</v>
      </c>
    </row>
    <row r="131" spans="1:27" ht="18" x14ac:dyDescent="0.35">
      <c r="A131" s="35"/>
      <c r="B131" s="35"/>
      <c r="C131" s="35"/>
      <c r="D131" s="35"/>
      <c r="E131" s="35"/>
      <c r="F131" s="35"/>
      <c r="G131">
        <f>IF(ISNUMBER(SEARCH($G$2,H131)),MAX($G$4:G130)+1,0)</f>
        <v>0</v>
      </c>
      <c r="K131" s="29" t="str">
        <f>IFERROR(VLOOKUP(ROWS($K$4:K130),$G$5:$I$149,2,0),"")</f>
        <v/>
      </c>
      <c r="L131" s="11"/>
      <c r="M131" s="16"/>
      <c r="N131" s="12"/>
      <c r="O131" s="12"/>
      <c r="P131" s="13"/>
      <c r="Q131" s="11"/>
      <c r="R131" s="12"/>
      <c r="S131" s="12"/>
      <c r="T131" s="12"/>
      <c r="U131" s="13"/>
      <c r="V131" s="11"/>
      <c r="W131" s="12"/>
      <c r="X131" s="12"/>
      <c r="Y131" s="12"/>
      <c r="Z131" s="13"/>
      <c r="AA131" s="12">
        <v>100</v>
      </c>
    </row>
    <row r="132" spans="1:27" ht="18" x14ac:dyDescent="0.35">
      <c r="A132" s="35"/>
      <c r="B132" s="35"/>
      <c r="C132" s="35"/>
      <c r="D132" s="35"/>
      <c r="E132" s="35"/>
      <c r="F132" s="35"/>
      <c r="G132">
        <f>IF(ISNUMBER(SEARCH($G$2,H132)),MAX($G$4:G131)+1,0)</f>
        <v>0</v>
      </c>
      <c r="K132" s="29" t="str">
        <f>IFERROR(VLOOKUP(ROWS($K$4:K131),$G$5:$I$149,2,0),"")</f>
        <v/>
      </c>
      <c r="L132" s="11"/>
      <c r="M132" s="16"/>
      <c r="N132" s="12"/>
      <c r="O132" s="12"/>
      <c r="P132" s="13"/>
      <c r="Q132" s="11"/>
      <c r="R132" s="12"/>
      <c r="S132" s="12"/>
      <c r="T132" s="12"/>
      <c r="U132" s="13"/>
      <c r="V132" s="11"/>
      <c r="W132" s="12"/>
      <c r="X132" s="12"/>
      <c r="Y132" s="12"/>
      <c r="Z132" s="13"/>
      <c r="AA132" s="12">
        <v>100</v>
      </c>
    </row>
    <row r="133" spans="1:27" ht="18" x14ac:dyDescent="0.35">
      <c r="A133" s="35"/>
      <c r="B133" s="35"/>
      <c r="C133" s="35"/>
      <c r="D133" s="35"/>
      <c r="E133" s="35"/>
      <c r="F133" s="35"/>
      <c r="G133">
        <f>IF(ISNUMBER(SEARCH($G$2,H133)),MAX($G$4:G132)+1,0)</f>
        <v>0</v>
      </c>
      <c r="K133" s="29" t="str">
        <f>IFERROR(VLOOKUP(ROWS($K$4:K132),$G$5:$I$149,2,0),"")</f>
        <v/>
      </c>
      <c r="L133" s="11"/>
      <c r="M133" s="16"/>
      <c r="N133" s="12"/>
      <c r="O133" s="12"/>
      <c r="P133" s="13"/>
      <c r="Q133" s="11"/>
      <c r="R133" s="12"/>
      <c r="S133" s="12"/>
      <c r="T133" s="12"/>
      <c r="U133" s="13"/>
      <c r="V133" s="11"/>
      <c r="W133" s="12"/>
      <c r="X133" s="12"/>
      <c r="Y133" s="12"/>
      <c r="Z133" s="13"/>
      <c r="AA133" s="12">
        <v>100</v>
      </c>
    </row>
    <row r="134" spans="1:27" ht="18" x14ac:dyDescent="0.35">
      <c r="A134" s="35"/>
      <c r="B134" s="35"/>
      <c r="C134" s="35"/>
      <c r="D134" s="35"/>
      <c r="E134" s="35"/>
      <c r="F134" s="35"/>
      <c r="G134">
        <f>IF(ISNUMBER(SEARCH($G$2,H134)),MAX($G$4:G133)+1,0)</f>
        <v>0</v>
      </c>
      <c r="K134" s="29" t="str">
        <f>IFERROR(VLOOKUP(ROWS($K$4:K133),$G$5:$I$149,2,0),"")</f>
        <v/>
      </c>
      <c r="L134" s="11"/>
      <c r="M134" s="16"/>
      <c r="N134" s="12"/>
      <c r="O134" s="12"/>
      <c r="P134" s="13"/>
      <c r="Q134" s="11"/>
      <c r="R134" s="12"/>
      <c r="S134" s="12"/>
      <c r="T134" s="12"/>
      <c r="U134" s="13"/>
      <c r="V134" s="11"/>
      <c r="W134" s="12"/>
      <c r="X134" s="12"/>
      <c r="Y134" s="12"/>
      <c r="Z134" s="13"/>
      <c r="AA134" s="12">
        <v>100</v>
      </c>
    </row>
    <row r="135" spans="1:27" ht="18" x14ac:dyDescent="0.35">
      <c r="A135" s="35"/>
      <c r="B135" s="35"/>
      <c r="C135" s="35"/>
      <c r="D135" s="35"/>
      <c r="E135" s="35"/>
      <c r="F135" s="35"/>
      <c r="G135">
        <f>IF(ISNUMBER(SEARCH($G$2,H135)),MAX($G$4:G134)+1,0)</f>
        <v>0</v>
      </c>
      <c r="K135" s="29" t="str">
        <f>IFERROR(VLOOKUP(ROWS($K$4:K134),$G$5:$I$149,2,0),"")</f>
        <v/>
      </c>
      <c r="L135" s="11"/>
      <c r="M135" s="16"/>
      <c r="N135" s="12"/>
      <c r="O135" s="12"/>
      <c r="P135" s="13"/>
      <c r="Q135" s="11"/>
      <c r="R135" s="12"/>
      <c r="S135" s="12"/>
      <c r="T135" s="12"/>
      <c r="U135" s="13"/>
      <c r="V135" s="11"/>
      <c r="W135" s="12"/>
      <c r="X135" s="12"/>
      <c r="Y135" s="12"/>
      <c r="Z135" s="13"/>
      <c r="AA135" s="12">
        <v>100</v>
      </c>
    </row>
    <row r="136" spans="1:27" ht="18" x14ac:dyDescent="0.35">
      <c r="A136" s="35"/>
      <c r="B136" s="35"/>
      <c r="C136" s="35"/>
      <c r="D136" s="35"/>
      <c r="E136" s="35"/>
      <c r="F136" s="35"/>
      <c r="G136">
        <f>IF(ISNUMBER(SEARCH($G$2,H136)),MAX($G$4:G135)+1,0)</f>
        <v>0</v>
      </c>
      <c r="K136" s="29" t="str">
        <f>IFERROR(VLOOKUP(ROWS($K$4:K135),$G$5:$I$149,2,0),"")</f>
        <v/>
      </c>
      <c r="L136" s="11"/>
      <c r="M136" s="16"/>
      <c r="N136" s="12"/>
      <c r="O136" s="12"/>
      <c r="P136" s="13"/>
      <c r="Q136" s="11"/>
      <c r="R136" s="12"/>
      <c r="S136" s="12"/>
      <c r="T136" s="12"/>
      <c r="U136" s="13"/>
      <c r="V136" s="11"/>
      <c r="W136" s="12"/>
      <c r="X136" s="12"/>
      <c r="Y136" s="12"/>
      <c r="Z136" s="13"/>
      <c r="AA136" s="12">
        <v>100</v>
      </c>
    </row>
    <row r="137" spans="1:27" ht="18" x14ac:dyDescent="0.35">
      <c r="A137" s="34"/>
      <c r="B137" s="34"/>
      <c r="C137" s="34"/>
      <c r="D137" s="34"/>
      <c r="E137" s="34"/>
      <c r="F137" s="34"/>
      <c r="G137">
        <f>IF(ISNUMBER(SEARCH($G$2,H137)),MAX($G$4:G136)+1,0)</f>
        <v>0</v>
      </c>
      <c r="K137" s="29" t="str">
        <f>IFERROR(VLOOKUP(ROWS($K$4:K136),$G$5:$I$149,2,0),"")</f>
        <v/>
      </c>
      <c r="L137" s="11"/>
      <c r="M137" s="16"/>
      <c r="N137" s="12"/>
      <c r="O137" s="12"/>
      <c r="P137" s="13"/>
      <c r="Q137" s="11"/>
      <c r="R137" s="12"/>
      <c r="S137" s="12"/>
      <c r="T137" s="12"/>
      <c r="U137" s="13"/>
      <c r="V137" s="11"/>
      <c r="W137" s="12"/>
      <c r="X137" s="12"/>
      <c r="Y137" s="12"/>
      <c r="Z137" s="13"/>
      <c r="AA137" s="12">
        <v>100</v>
      </c>
    </row>
    <row r="138" spans="1:27" ht="18" x14ac:dyDescent="0.35">
      <c r="G138">
        <f>IF(ISNUMBER(SEARCH($G$2,H138)),MAX($G$4:G137)+1,0)</f>
        <v>0</v>
      </c>
      <c r="K138" s="29" t="str">
        <f>IFERROR(VLOOKUP(ROWS($K$4:K137),$G$5:$I$149,2,0),"")</f>
        <v/>
      </c>
      <c r="L138" s="11"/>
      <c r="M138" s="16"/>
      <c r="N138" s="12"/>
      <c r="O138" s="12"/>
      <c r="P138" s="13"/>
      <c r="Q138" s="11"/>
      <c r="R138" s="12"/>
      <c r="S138" s="12"/>
      <c r="T138" s="12"/>
      <c r="U138" s="13"/>
      <c r="V138" s="11"/>
      <c r="W138" s="12"/>
      <c r="X138" s="12"/>
      <c r="Y138" s="12"/>
      <c r="Z138" s="13"/>
      <c r="AA138" s="12">
        <v>100</v>
      </c>
    </row>
    <row r="139" spans="1:27" ht="18" x14ac:dyDescent="0.35">
      <c r="G139">
        <f>IF(ISNUMBER(SEARCH($G$2,H139)),MAX($G$4:G138)+1,0)</f>
        <v>0</v>
      </c>
      <c r="K139" s="29" t="str">
        <f>IFERROR(VLOOKUP(ROWS($K$4:K138),$G$5:$I$149,2,0),"")</f>
        <v/>
      </c>
      <c r="L139" s="11"/>
      <c r="M139" s="16"/>
      <c r="N139" s="12"/>
      <c r="O139" s="12"/>
      <c r="P139" s="13"/>
      <c r="Q139" s="11"/>
      <c r="R139" s="12"/>
      <c r="S139" s="12"/>
      <c r="T139" s="12"/>
      <c r="U139" s="13"/>
      <c r="V139" s="11"/>
      <c r="W139" s="12"/>
      <c r="X139" s="12"/>
      <c r="Y139" s="12"/>
      <c r="Z139" s="13"/>
      <c r="AA139" s="12">
        <v>100</v>
      </c>
    </row>
    <row r="140" spans="1:27" ht="18" x14ac:dyDescent="0.35">
      <c r="G140">
        <f>IF(ISNUMBER(SEARCH($G$2,H140)),MAX($G$4:G139)+1,0)</f>
        <v>0</v>
      </c>
      <c r="K140" s="29" t="str">
        <f>IFERROR(VLOOKUP(ROWS($K$4:K139),$G$5:$I$149,2,0),"")</f>
        <v/>
      </c>
      <c r="L140" s="11"/>
      <c r="M140" s="16"/>
      <c r="N140" s="12"/>
      <c r="O140" s="12"/>
      <c r="P140" s="13"/>
      <c r="Q140" s="11"/>
      <c r="R140" s="12"/>
      <c r="S140" s="12"/>
      <c r="T140" s="12"/>
      <c r="U140" s="13"/>
      <c r="V140" s="11"/>
      <c r="W140" s="12"/>
      <c r="X140" s="12"/>
      <c r="Y140" s="12"/>
      <c r="Z140" s="13"/>
      <c r="AA140" s="12">
        <v>100</v>
      </c>
    </row>
    <row r="141" spans="1:27" ht="18" x14ac:dyDescent="0.35">
      <c r="G141">
        <f>IF(ISNUMBER(SEARCH($G$2,H141)),MAX($G$4:G140)+1,0)</f>
        <v>0</v>
      </c>
      <c r="K141" s="29" t="str">
        <f>IFERROR(VLOOKUP(ROWS($K$4:K140),$G$5:$I$149,2,0),"")</f>
        <v/>
      </c>
      <c r="L141" s="11"/>
      <c r="M141" s="16"/>
      <c r="N141" s="12"/>
      <c r="O141" s="12"/>
      <c r="P141" s="13"/>
      <c r="Q141" s="11"/>
      <c r="R141" s="12"/>
      <c r="S141" s="12"/>
      <c r="T141" s="12"/>
      <c r="U141" s="13"/>
      <c r="V141" s="11"/>
      <c r="W141" s="12"/>
      <c r="X141" s="12"/>
      <c r="Y141" s="12"/>
      <c r="Z141" s="13"/>
      <c r="AA141" s="12">
        <v>100</v>
      </c>
    </row>
    <row r="142" spans="1:27" ht="18" x14ac:dyDescent="0.35">
      <c r="G142">
        <f>IF(ISNUMBER(SEARCH($G$2,H142)),MAX($G$4:G141)+1,0)</f>
        <v>0</v>
      </c>
      <c r="K142" s="29" t="str">
        <f>IFERROR(VLOOKUP(ROWS($K$4:K141),$G$5:$I$149,2,0),"")</f>
        <v/>
      </c>
      <c r="L142" s="11"/>
      <c r="M142" s="16"/>
      <c r="N142" s="12"/>
      <c r="O142" s="12"/>
      <c r="P142" s="13"/>
      <c r="Q142" s="11"/>
      <c r="R142" s="12"/>
      <c r="S142" s="12"/>
      <c r="T142" s="12"/>
      <c r="U142" s="13"/>
      <c r="V142" s="11"/>
      <c r="W142" s="12"/>
      <c r="X142" s="12"/>
      <c r="Y142" s="12"/>
      <c r="Z142" s="13"/>
      <c r="AA142" s="12">
        <v>100</v>
      </c>
    </row>
    <row r="143" spans="1:27" ht="18" x14ac:dyDescent="0.35">
      <c r="G143">
        <f>IF(ISNUMBER(SEARCH($G$2,H143)),MAX($G$4:G142)+1,0)</f>
        <v>0</v>
      </c>
      <c r="K143" s="29" t="str">
        <f>IFERROR(VLOOKUP(ROWS($K$4:K142),$G$5:$I$149,2,0),"")</f>
        <v/>
      </c>
      <c r="L143" s="11"/>
      <c r="M143" s="16"/>
      <c r="N143" s="12"/>
      <c r="O143" s="12"/>
      <c r="P143" s="13"/>
      <c r="Q143" s="11"/>
      <c r="R143" s="12"/>
      <c r="S143" s="12"/>
      <c r="T143" s="12"/>
      <c r="U143" s="13"/>
      <c r="V143" s="11"/>
      <c r="W143" s="12"/>
      <c r="X143" s="12"/>
      <c r="Y143" s="12"/>
      <c r="Z143" s="13"/>
      <c r="AA143" s="12">
        <v>100</v>
      </c>
    </row>
    <row r="144" spans="1:27" ht="18" x14ac:dyDescent="0.35">
      <c r="G144">
        <f>IF(ISNUMBER(SEARCH($G$2,H144)),MAX($G$4:G143)+1,0)</f>
        <v>0</v>
      </c>
      <c r="K144" s="29" t="str">
        <f>IFERROR(VLOOKUP(ROWS($K$4:K143),$G$5:$I$149,2,0),"")</f>
        <v/>
      </c>
      <c r="L144" s="11"/>
      <c r="M144" s="16"/>
      <c r="N144" s="12"/>
      <c r="O144" s="12"/>
      <c r="P144" s="13"/>
      <c r="Q144" s="11"/>
      <c r="R144" s="12"/>
      <c r="S144" s="12"/>
      <c r="T144" s="12"/>
      <c r="U144" s="13"/>
      <c r="V144" s="11"/>
      <c r="W144" s="12"/>
      <c r="X144" s="12"/>
      <c r="Y144" s="12"/>
      <c r="Z144" s="13"/>
      <c r="AA144" s="12">
        <v>100</v>
      </c>
    </row>
    <row r="145" spans="7:27" ht="18" x14ac:dyDescent="0.35">
      <c r="G145">
        <f>IF(ISNUMBER(SEARCH($G$2,H145)),MAX($G$4:G144)+1,0)</f>
        <v>0</v>
      </c>
      <c r="K145" s="29" t="str">
        <f>IFERROR(VLOOKUP(ROWS($K$4:K144),$G$5:$I$149,2,0),"")</f>
        <v/>
      </c>
      <c r="L145" s="11"/>
      <c r="M145" s="16"/>
      <c r="N145" s="12"/>
      <c r="O145" s="12"/>
      <c r="P145" s="13"/>
      <c r="Q145" s="11"/>
      <c r="R145" s="12"/>
      <c r="S145" s="12"/>
      <c r="T145" s="12"/>
      <c r="U145" s="13"/>
      <c r="V145" s="11"/>
      <c r="W145" s="12"/>
      <c r="X145" s="12"/>
      <c r="Y145" s="12"/>
      <c r="Z145" s="13"/>
      <c r="AA145" s="12">
        <v>100</v>
      </c>
    </row>
    <row r="146" spans="7:27" ht="18" x14ac:dyDescent="0.35">
      <c r="G146">
        <f>IF(ISNUMBER(SEARCH($G$2,H146)),MAX($G$4:G145)+1,0)</f>
        <v>0</v>
      </c>
      <c r="K146" s="29" t="str">
        <f>IFERROR(VLOOKUP(ROWS($K$4:K145),$G$5:$I$149,2,0),"")</f>
        <v/>
      </c>
      <c r="L146" s="11"/>
      <c r="M146" s="16"/>
      <c r="N146" s="12"/>
      <c r="O146" s="12"/>
      <c r="P146" s="13"/>
      <c r="Q146" s="11"/>
      <c r="R146" s="12"/>
      <c r="S146" s="12"/>
      <c r="T146" s="12"/>
      <c r="U146" s="13"/>
      <c r="V146" s="11"/>
      <c r="W146" s="12"/>
      <c r="X146" s="12"/>
      <c r="Y146" s="12"/>
      <c r="Z146" s="13"/>
      <c r="AA146" s="12">
        <v>100</v>
      </c>
    </row>
    <row r="147" spans="7:27" ht="18" x14ac:dyDescent="0.35">
      <c r="G147">
        <f>IF(ISNUMBER(SEARCH($G$2,H147)),MAX($G$4:G146)+1,0)</f>
        <v>0</v>
      </c>
      <c r="K147" s="29" t="str">
        <f>IFERROR(VLOOKUP(ROWS($K$4:K146),$G$5:$I$149,2,0),"")</f>
        <v/>
      </c>
      <c r="L147" s="11"/>
      <c r="M147" s="16"/>
      <c r="N147" s="12"/>
      <c r="O147" s="12"/>
      <c r="P147" s="13"/>
      <c r="Q147" s="11"/>
      <c r="R147" s="12"/>
      <c r="S147" s="12"/>
      <c r="T147" s="12"/>
      <c r="U147" s="13"/>
      <c r="V147" s="11"/>
      <c r="W147" s="12"/>
      <c r="X147" s="12"/>
      <c r="Y147" s="12"/>
      <c r="Z147" s="13"/>
      <c r="AA147" s="12">
        <v>100</v>
      </c>
    </row>
    <row r="148" spans="7:27" ht="18" x14ac:dyDescent="0.35">
      <c r="G148">
        <f>IF(ISNUMBER(SEARCH($G$2,H148)),MAX($G$4:G147)+1,0)</f>
        <v>0</v>
      </c>
      <c r="K148" s="29" t="str">
        <f>IFERROR(VLOOKUP(ROWS($K$4:K147),$G$5:$I$149,2,0),"")</f>
        <v/>
      </c>
      <c r="L148" s="11"/>
      <c r="M148" s="16"/>
      <c r="N148" s="12"/>
      <c r="O148" s="12"/>
      <c r="P148" s="13"/>
      <c r="Q148" s="11"/>
      <c r="R148" s="12"/>
      <c r="S148" s="12"/>
      <c r="T148" s="12"/>
      <c r="U148" s="13"/>
      <c r="V148" s="11"/>
      <c r="W148" s="12"/>
      <c r="X148" s="12"/>
      <c r="Y148" s="12"/>
      <c r="Z148" s="13"/>
      <c r="AA148" s="12">
        <v>100</v>
      </c>
    </row>
    <row r="149" spans="7:27" ht="18" x14ac:dyDescent="0.35">
      <c r="G149">
        <f>IF(ISNUMBER(SEARCH($G$2,H149)),MAX($G$4:G148)+1,0)</f>
        <v>0</v>
      </c>
      <c r="K149" s="29" t="str">
        <f>IFERROR(VLOOKUP(ROWS($K$4:K148),$G$5:$I$149,2,0),"")</f>
        <v/>
      </c>
      <c r="L149" s="11"/>
      <c r="M149" s="16"/>
      <c r="N149" s="12"/>
      <c r="O149" s="12"/>
      <c r="P149" s="13"/>
      <c r="Q149" s="11"/>
      <c r="R149" s="12"/>
      <c r="S149" s="12"/>
      <c r="T149" s="12"/>
      <c r="U149" s="13"/>
      <c r="V149" s="11"/>
      <c r="W149" s="12"/>
      <c r="X149" s="12"/>
      <c r="Y149" s="12"/>
      <c r="Z149" s="13"/>
      <c r="AA149" s="12">
        <v>100</v>
      </c>
    </row>
    <row r="150" spans="7:27" ht="18" x14ac:dyDescent="0.35">
      <c r="G150">
        <f>IF(ISNUMBER(SEARCH($G$2,H150)),MAX($G$4:G149)+1,0)</f>
        <v>0</v>
      </c>
      <c r="K150" s="29" t="str">
        <f>IFERROR(VLOOKUP(ROWS($K$4:K149),$G$5:$I$149,2,0),"")</f>
        <v/>
      </c>
      <c r="L150" s="11"/>
      <c r="M150" s="16"/>
      <c r="N150" s="12"/>
      <c r="O150" s="12"/>
      <c r="P150" s="13"/>
      <c r="Q150" s="11"/>
      <c r="R150" s="12"/>
      <c r="S150" s="12"/>
      <c r="T150" s="12"/>
      <c r="U150" s="13"/>
      <c r="V150" s="11"/>
      <c r="W150" s="12"/>
      <c r="X150" s="12"/>
      <c r="Y150" s="12"/>
      <c r="Z150" s="13"/>
      <c r="AA150" s="12">
        <v>100</v>
      </c>
    </row>
    <row r="151" spans="7:27" ht="18" x14ac:dyDescent="0.35">
      <c r="G151">
        <f>IF(ISNUMBER(SEARCH($G$2,H151)),MAX($G$4:G150)+1,0)</f>
        <v>0</v>
      </c>
      <c r="K151" s="29" t="str">
        <f>IFERROR(VLOOKUP(ROWS($K$4:K150),$G$5:$I$149,2,0),"")</f>
        <v/>
      </c>
      <c r="L151" s="11"/>
      <c r="M151" s="16"/>
      <c r="N151" s="12"/>
      <c r="O151" s="12"/>
      <c r="P151" s="13"/>
      <c r="Q151" s="11"/>
      <c r="R151" s="12"/>
      <c r="S151" s="12"/>
      <c r="T151" s="12"/>
      <c r="U151" s="13"/>
      <c r="V151" s="11"/>
      <c r="W151" s="12"/>
      <c r="X151" s="12"/>
      <c r="Y151" s="12"/>
      <c r="Z151" s="13"/>
      <c r="AA151" s="12">
        <v>100</v>
      </c>
    </row>
    <row r="152" spans="7:27" ht="18" x14ac:dyDescent="0.35">
      <c r="G152">
        <f>IF(ISNUMBER(SEARCH($G$2,H152)),MAX($G$4:G151)+1,0)</f>
        <v>0</v>
      </c>
      <c r="K152" s="29" t="str">
        <f>IFERROR(VLOOKUP(ROWS($K$4:K151),$G$5:$I$149,2,0),"")</f>
        <v/>
      </c>
      <c r="L152" s="11"/>
      <c r="M152" s="16"/>
      <c r="N152" s="12"/>
      <c r="O152" s="12"/>
      <c r="P152" s="13"/>
      <c r="Q152" s="11"/>
      <c r="R152" s="12"/>
      <c r="S152" s="12"/>
      <c r="T152" s="12"/>
      <c r="U152" s="13"/>
      <c r="V152" s="11"/>
      <c r="W152" s="12"/>
      <c r="X152" s="12"/>
      <c r="Y152" s="12"/>
      <c r="Z152" s="13"/>
      <c r="AA152" s="12">
        <v>100</v>
      </c>
    </row>
    <row r="153" spans="7:27" ht="18" x14ac:dyDescent="0.35">
      <c r="G153">
        <f>IF(ISNUMBER(SEARCH($G$2,H153)),MAX($G$4:G152)+1,0)</f>
        <v>0</v>
      </c>
      <c r="K153" s="29" t="str">
        <f>IFERROR(VLOOKUP(ROWS($K$4:K152),$G$5:$I$149,2,0),"")</f>
        <v/>
      </c>
      <c r="L153" s="11"/>
      <c r="M153" s="16"/>
      <c r="N153" s="12"/>
      <c r="O153" s="12"/>
      <c r="P153" s="13"/>
      <c r="Q153" s="11"/>
      <c r="R153" s="12"/>
      <c r="S153" s="12"/>
      <c r="T153" s="12"/>
      <c r="U153" s="13"/>
      <c r="V153" s="11"/>
      <c r="W153" s="12"/>
      <c r="X153" s="12"/>
      <c r="Y153" s="12"/>
      <c r="Z153" s="13"/>
      <c r="AA153" s="12">
        <v>100</v>
      </c>
    </row>
    <row r="154" spans="7:27" ht="18" x14ac:dyDescent="0.35">
      <c r="G154">
        <f>IF(ISNUMBER(SEARCH($G$2,H154)),MAX($G$4:G153)+1,0)</f>
        <v>0</v>
      </c>
      <c r="K154" s="29" t="str">
        <f>IFERROR(VLOOKUP(ROWS($K$4:K153),$G$5:$I$149,2,0),"")</f>
        <v/>
      </c>
      <c r="L154" s="11"/>
      <c r="M154" s="16"/>
      <c r="N154" s="12"/>
      <c r="O154" s="12"/>
      <c r="P154" s="13"/>
      <c r="Q154" s="11"/>
      <c r="R154" s="12"/>
      <c r="S154" s="12"/>
      <c r="T154" s="12"/>
      <c r="U154" s="13"/>
      <c r="V154" s="11"/>
      <c r="W154" s="12"/>
      <c r="X154" s="12"/>
      <c r="Y154" s="12"/>
      <c r="Z154" s="13"/>
      <c r="AA154" s="12">
        <v>100</v>
      </c>
    </row>
    <row r="155" spans="7:27" ht="18" x14ac:dyDescent="0.35">
      <c r="G155">
        <f>IF(ISNUMBER(SEARCH($G$2,H155)),MAX($G$4:G154)+1,0)</f>
        <v>0</v>
      </c>
      <c r="K155" s="29" t="str">
        <f>IFERROR(VLOOKUP(ROWS($K$4:K154),$G$5:$I$149,2,0),"")</f>
        <v/>
      </c>
      <c r="L155" s="11"/>
      <c r="M155" s="16"/>
      <c r="N155" s="12"/>
      <c r="O155" s="12"/>
      <c r="P155" s="13"/>
      <c r="Q155" s="11"/>
      <c r="R155" s="12"/>
      <c r="S155" s="12"/>
      <c r="T155" s="12"/>
      <c r="U155" s="13"/>
      <c r="V155" s="11"/>
      <c r="W155" s="12"/>
      <c r="X155" s="12"/>
      <c r="Y155" s="12"/>
      <c r="Z155" s="13"/>
      <c r="AA155" s="12">
        <v>100</v>
      </c>
    </row>
    <row r="156" spans="7:27" ht="18" x14ac:dyDescent="0.35">
      <c r="G156">
        <f>IF(ISNUMBER(SEARCH($G$2,H156)),MAX($G$4:G155)+1,0)</f>
        <v>0</v>
      </c>
      <c r="K156" s="29" t="str">
        <f>IFERROR(VLOOKUP(ROWS($K$4:K155),$G$5:$I$149,2,0),"")</f>
        <v/>
      </c>
      <c r="L156" s="11"/>
      <c r="M156" s="16"/>
      <c r="N156" s="12"/>
      <c r="O156" s="12"/>
      <c r="P156" s="13"/>
      <c r="Q156" s="11"/>
      <c r="R156" s="12"/>
      <c r="S156" s="12"/>
      <c r="T156" s="12"/>
      <c r="U156" s="13"/>
      <c r="V156" s="11"/>
      <c r="W156" s="12"/>
      <c r="X156" s="12"/>
      <c r="Y156" s="12"/>
      <c r="Z156" s="13"/>
      <c r="AA156" s="12">
        <v>100</v>
      </c>
    </row>
    <row r="157" spans="7:27" ht="18" x14ac:dyDescent="0.35">
      <c r="G157">
        <f>IF(ISNUMBER(SEARCH($G$2,H157)),MAX($G$4:G156)+1,0)</f>
        <v>0</v>
      </c>
      <c r="K157" s="29" t="str">
        <f>IFERROR(VLOOKUP(ROWS($K$4:K156),$G$5:$I$149,2,0),"")</f>
        <v/>
      </c>
      <c r="L157" s="11"/>
      <c r="M157" s="16"/>
      <c r="N157" s="12"/>
      <c r="O157" s="12"/>
      <c r="P157" s="13"/>
      <c r="Q157" s="11"/>
      <c r="R157" s="12"/>
      <c r="S157" s="12"/>
      <c r="T157" s="12"/>
      <c r="U157" s="13"/>
      <c r="V157" s="11"/>
      <c r="W157" s="12"/>
      <c r="X157" s="12"/>
      <c r="Y157" s="12"/>
      <c r="Z157" s="13"/>
      <c r="AA157" s="12">
        <v>100</v>
      </c>
    </row>
    <row r="158" spans="7:27" ht="18" x14ac:dyDescent="0.35">
      <c r="G158">
        <f>IF(ISNUMBER(SEARCH($G$2,H158)),MAX($G$4:G157)+1,0)</f>
        <v>0</v>
      </c>
      <c r="K158" s="29" t="str">
        <f>IFERROR(VLOOKUP(ROWS($K$4:K157),$G$5:$I$149,2,0),"")</f>
        <v/>
      </c>
      <c r="L158" s="11"/>
      <c r="M158" s="16"/>
      <c r="N158" s="12"/>
      <c r="O158" s="12"/>
      <c r="P158" s="13"/>
      <c r="Q158" s="11"/>
      <c r="R158" s="12"/>
      <c r="S158" s="12"/>
      <c r="T158" s="12"/>
      <c r="U158" s="13"/>
      <c r="V158" s="11"/>
      <c r="W158" s="12"/>
      <c r="X158" s="12"/>
      <c r="Y158" s="12"/>
      <c r="Z158" s="13"/>
      <c r="AA158" s="12">
        <v>100</v>
      </c>
    </row>
    <row r="159" spans="7:27" ht="18" x14ac:dyDescent="0.35">
      <c r="G159">
        <f>IF(ISNUMBER(SEARCH($G$2,H159)),MAX($G$4:G158)+1,0)</f>
        <v>0</v>
      </c>
      <c r="K159" s="29" t="str">
        <f>IFERROR(VLOOKUP(ROWS($K$4:K158),$G$5:$I$149,2,0),"")</f>
        <v/>
      </c>
      <c r="L159" s="11"/>
      <c r="M159" s="16"/>
      <c r="N159" s="12"/>
      <c r="O159" s="12"/>
      <c r="P159" s="13"/>
      <c r="Q159" s="11"/>
      <c r="R159" s="12"/>
      <c r="S159" s="12"/>
      <c r="T159" s="12"/>
      <c r="U159" s="13"/>
      <c r="V159" s="11"/>
      <c r="W159" s="12"/>
      <c r="X159" s="12"/>
      <c r="Y159" s="12"/>
      <c r="Z159" s="13"/>
      <c r="AA159" s="12">
        <v>100</v>
      </c>
    </row>
    <row r="160" spans="7:27" ht="18" x14ac:dyDescent="0.35">
      <c r="G160">
        <f>IF(ISNUMBER(SEARCH($G$2,H160)),MAX($G$4:G159)+1,0)</f>
        <v>0</v>
      </c>
      <c r="K160" s="29" t="str">
        <f>IFERROR(VLOOKUP(ROWS($K$4:K159),$G$5:$I$149,2,0),"")</f>
        <v/>
      </c>
      <c r="L160" s="11"/>
      <c r="M160" s="16"/>
      <c r="N160" s="12"/>
      <c r="O160" s="12"/>
      <c r="P160" s="13"/>
      <c r="Q160" s="11"/>
      <c r="R160" s="12"/>
      <c r="S160" s="12"/>
      <c r="T160" s="12"/>
      <c r="U160" s="13"/>
      <c r="V160" s="11"/>
      <c r="W160" s="12"/>
      <c r="X160" s="12"/>
      <c r="Y160" s="12"/>
      <c r="Z160" s="13"/>
      <c r="AA160" s="12">
        <v>100</v>
      </c>
    </row>
    <row r="161" spans="7:27" ht="18" x14ac:dyDescent="0.35">
      <c r="G161">
        <f>IF(ISNUMBER(SEARCH($G$2,H161)),MAX($G$4:G160)+1,0)</f>
        <v>0</v>
      </c>
      <c r="K161" s="29" t="str">
        <f>IFERROR(VLOOKUP(ROWS($K$4:K160),$G$5:$I$149,2,0),"")</f>
        <v/>
      </c>
      <c r="L161" s="11"/>
      <c r="M161" s="16"/>
      <c r="N161" s="12"/>
      <c r="O161" s="12"/>
      <c r="P161" s="13"/>
      <c r="Q161" s="11"/>
      <c r="R161" s="12"/>
      <c r="S161" s="12"/>
      <c r="T161" s="12"/>
      <c r="U161" s="13"/>
      <c r="V161" s="11"/>
      <c r="W161" s="12"/>
      <c r="X161" s="12"/>
      <c r="Y161" s="12"/>
      <c r="Z161" s="13"/>
      <c r="AA161" s="12">
        <v>100</v>
      </c>
    </row>
    <row r="162" spans="7:27" ht="18" x14ac:dyDescent="0.35">
      <c r="G162">
        <f>IF(ISNUMBER(SEARCH($G$2,H162)),MAX($G$4:G161)+1,0)</f>
        <v>0</v>
      </c>
      <c r="K162" s="29" t="str">
        <f>IFERROR(VLOOKUP(ROWS($K$4:K161),$G$5:$I$149,2,0),"")</f>
        <v/>
      </c>
      <c r="L162" s="11"/>
      <c r="M162" s="16"/>
      <c r="N162" s="12"/>
      <c r="O162" s="12"/>
      <c r="P162" s="13"/>
      <c r="Q162" s="11"/>
      <c r="R162" s="12"/>
      <c r="S162" s="12"/>
      <c r="T162" s="12"/>
      <c r="U162" s="13"/>
      <c r="V162" s="11"/>
      <c r="W162" s="12"/>
      <c r="X162" s="12"/>
      <c r="Y162" s="12"/>
      <c r="Z162" s="13"/>
      <c r="AA162" s="12">
        <v>100</v>
      </c>
    </row>
    <row r="163" spans="7:27" ht="18" x14ac:dyDescent="0.35">
      <c r="G163">
        <f>IF(ISNUMBER(SEARCH($G$2,H163)),MAX($G$4:G162)+1,0)</f>
        <v>0</v>
      </c>
      <c r="K163" s="29" t="str">
        <f>IFERROR(VLOOKUP(ROWS($K$4:K162),$G$5:$I$149,2,0),"")</f>
        <v/>
      </c>
      <c r="L163" s="11"/>
      <c r="M163" s="16"/>
      <c r="N163" s="12"/>
      <c r="O163" s="12"/>
      <c r="P163" s="13"/>
      <c r="Q163" s="11"/>
      <c r="R163" s="12"/>
      <c r="S163" s="12"/>
      <c r="T163" s="12"/>
      <c r="U163" s="13"/>
      <c r="V163" s="11"/>
      <c r="W163" s="12"/>
      <c r="X163" s="12"/>
      <c r="Y163" s="12"/>
      <c r="Z163" s="13"/>
      <c r="AA163" s="12">
        <v>100</v>
      </c>
    </row>
    <row r="164" spans="7:27" ht="18" x14ac:dyDescent="0.35">
      <c r="G164">
        <f>IF(ISNUMBER(SEARCH($G$2,H164)),MAX($G$4:G163)+1,0)</f>
        <v>0</v>
      </c>
      <c r="K164" s="29" t="str">
        <f>IFERROR(VLOOKUP(ROWS($K$4:K163),$G$5:$I$149,2,0),"")</f>
        <v/>
      </c>
      <c r="L164" s="11"/>
      <c r="M164" s="16"/>
      <c r="N164" s="12"/>
      <c r="O164" s="12"/>
      <c r="P164" s="13"/>
      <c r="Q164" s="11"/>
      <c r="R164" s="12"/>
      <c r="S164" s="12"/>
      <c r="T164" s="12"/>
      <c r="U164" s="13"/>
      <c r="V164" s="11"/>
      <c r="W164" s="12"/>
      <c r="X164" s="12"/>
      <c r="Y164" s="12"/>
      <c r="Z164" s="13"/>
      <c r="AA164" s="12">
        <v>100</v>
      </c>
    </row>
    <row r="165" spans="7:27" ht="18" x14ac:dyDescent="0.35">
      <c r="G165">
        <f>IF(ISNUMBER(SEARCH($G$2,H165)),MAX($G$4:G164)+1,0)</f>
        <v>0</v>
      </c>
      <c r="K165" s="29" t="str">
        <f>IFERROR(VLOOKUP(ROWS($K$4:K164),$G$5:$I$149,2,0),"")</f>
        <v/>
      </c>
      <c r="L165" s="11"/>
      <c r="M165" s="16"/>
      <c r="N165" s="12"/>
      <c r="O165" s="12"/>
      <c r="P165" s="13"/>
      <c r="Q165" s="11"/>
      <c r="R165" s="12"/>
      <c r="S165" s="12"/>
      <c r="T165" s="12"/>
      <c r="U165" s="13"/>
      <c r="V165" s="11"/>
      <c r="W165" s="12"/>
      <c r="X165" s="12"/>
      <c r="Y165" s="12"/>
      <c r="Z165" s="13"/>
      <c r="AA165" s="12">
        <v>100</v>
      </c>
    </row>
    <row r="166" spans="7:27" ht="18" x14ac:dyDescent="0.35">
      <c r="G166">
        <f>IF(ISNUMBER(SEARCH($G$2,H166)),MAX($G$4:G165)+1,0)</f>
        <v>0</v>
      </c>
      <c r="K166" s="29" t="str">
        <f>IFERROR(VLOOKUP(ROWS($K$4:K165),$G$5:$I$149,2,0),"")</f>
        <v/>
      </c>
      <c r="L166" s="11"/>
      <c r="M166" s="16"/>
      <c r="N166" s="12"/>
      <c r="O166" s="12"/>
      <c r="P166" s="13"/>
      <c r="Q166" s="11"/>
      <c r="R166" s="12"/>
      <c r="S166" s="12"/>
      <c r="T166" s="12"/>
      <c r="U166" s="13"/>
      <c r="V166" s="11"/>
      <c r="W166" s="12"/>
      <c r="X166" s="12"/>
      <c r="Y166" s="12"/>
      <c r="Z166" s="13"/>
      <c r="AA166" s="12">
        <v>100</v>
      </c>
    </row>
    <row r="167" spans="7:27" ht="18" x14ac:dyDescent="0.35">
      <c r="G167">
        <f>IF(ISNUMBER(SEARCH($G$2,H167)),MAX($G$4:G166)+1,0)</f>
        <v>0</v>
      </c>
      <c r="K167" s="29" t="str">
        <f>IFERROR(VLOOKUP(ROWS($K$4:K166),$G$5:$I$149,2,0),"")</f>
        <v/>
      </c>
      <c r="L167" s="11"/>
      <c r="M167" s="16"/>
      <c r="N167" s="12"/>
      <c r="O167" s="12"/>
      <c r="P167" s="13"/>
      <c r="Q167" s="11"/>
      <c r="R167" s="12"/>
      <c r="S167" s="12"/>
      <c r="T167" s="12"/>
      <c r="U167" s="13"/>
      <c r="V167" s="11"/>
      <c r="W167" s="12"/>
      <c r="X167" s="12"/>
      <c r="Y167" s="12"/>
      <c r="Z167" s="13"/>
      <c r="AA167" s="12">
        <v>100</v>
      </c>
    </row>
    <row r="168" spans="7:27" ht="18" x14ac:dyDescent="0.35">
      <c r="G168">
        <f>IF(ISNUMBER(SEARCH($G$2,H168)),MAX($G$4:G167)+1,0)</f>
        <v>0</v>
      </c>
      <c r="K168" s="29" t="str">
        <f>IFERROR(VLOOKUP(ROWS($K$4:K167),$G$5:$I$149,2,0),"")</f>
        <v/>
      </c>
      <c r="L168" s="11"/>
      <c r="M168" s="16"/>
      <c r="N168" s="12"/>
      <c r="O168" s="12"/>
      <c r="P168" s="13"/>
      <c r="Q168" s="11"/>
      <c r="R168" s="12"/>
      <c r="S168" s="12"/>
      <c r="T168" s="12"/>
      <c r="U168" s="13"/>
      <c r="V168" s="11"/>
      <c r="W168" s="12"/>
      <c r="X168" s="12"/>
      <c r="Y168" s="12"/>
      <c r="Z168" s="13"/>
      <c r="AA168" s="12">
        <v>100</v>
      </c>
    </row>
    <row r="169" spans="7:27" ht="18" x14ac:dyDescent="0.35">
      <c r="G169">
        <f>IF(ISNUMBER(SEARCH($G$2,H169)),MAX($G$4:G168)+1,0)</f>
        <v>0</v>
      </c>
      <c r="K169" s="29" t="str">
        <f>IFERROR(VLOOKUP(ROWS($K$4:K168),$G$5:$I$149,2,0),"")</f>
        <v/>
      </c>
      <c r="L169" s="11"/>
      <c r="M169" s="16"/>
      <c r="N169" s="12"/>
      <c r="O169" s="12"/>
      <c r="P169" s="13"/>
      <c r="Q169" s="11"/>
      <c r="R169" s="12"/>
      <c r="S169" s="12"/>
      <c r="T169" s="12"/>
      <c r="U169" s="13"/>
      <c r="V169" s="11"/>
      <c r="W169" s="12"/>
      <c r="X169" s="12"/>
      <c r="Y169" s="12"/>
      <c r="Z169" s="13"/>
      <c r="AA169" s="12">
        <v>100</v>
      </c>
    </row>
    <row r="170" spans="7:27" ht="18" x14ac:dyDescent="0.35">
      <c r="G170">
        <f>IF(ISNUMBER(SEARCH($G$2,H170)),MAX($G$4:G169)+1,0)</f>
        <v>0</v>
      </c>
      <c r="K170" s="29" t="str">
        <f>IFERROR(VLOOKUP(ROWS($K$4:K169),$G$5:$I$149,2,0),"")</f>
        <v/>
      </c>
      <c r="L170" s="11"/>
      <c r="M170" s="16"/>
      <c r="N170" s="12"/>
      <c r="O170" s="12"/>
      <c r="P170" s="13"/>
      <c r="Q170" s="11"/>
      <c r="R170" s="12"/>
      <c r="S170" s="12"/>
      <c r="T170" s="12"/>
      <c r="U170" s="13"/>
      <c r="V170" s="11"/>
      <c r="W170" s="12"/>
      <c r="X170" s="12"/>
      <c r="Y170" s="12"/>
      <c r="Z170" s="13"/>
      <c r="AA170" s="12">
        <v>100</v>
      </c>
    </row>
    <row r="171" spans="7:27" ht="18" x14ac:dyDescent="0.35">
      <c r="G171">
        <f>IF(ISNUMBER(SEARCH($G$2,H171)),MAX($G$4:G170)+1,0)</f>
        <v>0</v>
      </c>
      <c r="K171" s="29" t="str">
        <f>IFERROR(VLOOKUP(ROWS($K$4:K170),$G$5:$I$149,2,0),"")</f>
        <v/>
      </c>
      <c r="L171" s="11"/>
      <c r="M171" s="16"/>
      <c r="N171" s="12"/>
      <c r="O171" s="12"/>
      <c r="P171" s="13"/>
      <c r="Q171" s="11"/>
      <c r="R171" s="12"/>
      <c r="S171" s="12"/>
      <c r="T171" s="12"/>
      <c r="U171" s="13"/>
      <c r="V171" s="11"/>
      <c r="W171" s="12"/>
      <c r="X171" s="12"/>
      <c r="Y171" s="12"/>
      <c r="Z171" s="13"/>
      <c r="AA171" s="12">
        <v>100</v>
      </c>
    </row>
    <row r="172" spans="7:27" ht="18" x14ac:dyDescent="0.35">
      <c r="G172">
        <f>IF(ISNUMBER(SEARCH($G$2,H172)),MAX($G$4:G171)+1,0)</f>
        <v>0</v>
      </c>
      <c r="K172" s="29" t="str">
        <f>IFERROR(VLOOKUP(ROWS($K$4:K171),$G$5:$I$149,2,0),"")</f>
        <v/>
      </c>
      <c r="L172" s="11"/>
      <c r="M172" s="16"/>
      <c r="N172" s="12"/>
      <c r="O172" s="12"/>
      <c r="P172" s="13"/>
      <c r="Q172" s="11"/>
      <c r="R172" s="12"/>
      <c r="S172" s="12"/>
      <c r="T172" s="12"/>
      <c r="U172" s="13"/>
      <c r="V172" s="11"/>
      <c r="W172" s="12"/>
      <c r="X172" s="12"/>
      <c r="Y172" s="12"/>
      <c r="Z172" s="13"/>
      <c r="AA172" s="12">
        <v>100</v>
      </c>
    </row>
    <row r="173" spans="7:27" ht="18" x14ac:dyDescent="0.35">
      <c r="G173">
        <f>IF(ISNUMBER(SEARCH($G$2,H173)),MAX($G$4:G172)+1,0)</f>
        <v>0</v>
      </c>
      <c r="L173" s="11"/>
      <c r="M173" s="16"/>
      <c r="N173" s="12"/>
      <c r="O173" s="12"/>
      <c r="P173" s="13"/>
      <c r="Q173" s="11"/>
      <c r="R173" s="12"/>
      <c r="S173" s="12"/>
      <c r="T173" s="12"/>
      <c r="U173" s="13"/>
      <c r="V173" s="11"/>
      <c r="W173" s="12"/>
      <c r="X173" s="12"/>
      <c r="Y173" s="12"/>
      <c r="Z173" s="13"/>
      <c r="AA173" s="12">
        <v>100</v>
      </c>
    </row>
    <row r="174" spans="7:27" ht="18" x14ac:dyDescent="0.35">
      <c r="G174">
        <f>IF(ISNUMBER(SEARCH($G$2,H174)),MAX($G$4:G173)+1,0)</f>
        <v>0</v>
      </c>
      <c r="L174" s="11"/>
      <c r="M174" s="16"/>
      <c r="N174" s="12"/>
      <c r="O174" s="12"/>
      <c r="P174" s="13"/>
      <c r="Q174" s="11"/>
      <c r="R174" s="12"/>
      <c r="S174" s="12"/>
      <c r="T174" s="12"/>
      <c r="U174" s="13"/>
      <c r="V174" s="11"/>
      <c r="W174" s="12"/>
      <c r="X174" s="12"/>
      <c r="Y174" s="12"/>
      <c r="Z174" s="13"/>
      <c r="AA174" s="12">
        <v>100</v>
      </c>
    </row>
    <row r="175" spans="7:27" ht="18" x14ac:dyDescent="0.35">
      <c r="G175">
        <f>IF(ISNUMBER(SEARCH($G$2,H175)),MAX($G$4:G174)+1,0)</f>
        <v>0</v>
      </c>
      <c r="L175" s="11"/>
      <c r="M175" s="16"/>
      <c r="N175" s="12"/>
      <c r="O175" s="12"/>
      <c r="P175" s="13"/>
      <c r="Q175" s="11"/>
      <c r="R175" s="12"/>
      <c r="S175" s="12"/>
      <c r="T175" s="12"/>
      <c r="U175" s="13"/>
      <c r="V175" s="11"/>
      <c r="W175" s="12"/>
      <c r="X175" s="12"/>
      <c r="Y175" s="12"/>
      <c r="Z175" s="13"/>
      <c r="AA175" s="12">
        <v>100</v>
      </c>
    </row>
    <row r="176" spans="7:27" ht="18" x14ac:dyDescent="0.35">
      <c r="G176">
        <f>IF(ISNUMBER(SEARCH($G$2,H176)),MAX($G$4:G175)+1,0)</f>
        <v>0</v>
      </c>
      <c r="L176" s="11"/>
      <c r="M176" s="16"/>
      <c r="N176" s="12"/>
      <c r="O176" s="12"/>
      <c r="P176" s="13"/>
      <c r="Q176" s="11"/>
      <c r="R176" s="12"/>
      <c r="S176" s="12"/>
      <c r="T176" s="12"/>
      <c r="U176" s="13"/>
      <c r="V176" s="11"/>
      <c r="W176" s="12"/>
      <c r="X176" s="12"/>
      <c r="Y176" s="12"/>
      <c r="Z176" s="13"/>
      <c r="AA176" s="12">
        <v>100</v>
      </c>
    </row>
    <row r="177" spans="7:27" ht="18" x14ac:dyDescent="0.35">
      <c r="G177">
        <f>IF(ISNUMBER(SEARCH($G$2,H177)),MAX($G$4:G176)+1,0)</f>
        <v>0</v>
      </c>
      <c r="L177" s="11"/>
      <c r="M177" s="16"/>
      <c r="N177" s="12"/>
      <c r="O177" s="12"/>
      <c r="P177" s="13"/>
      <c r="Q177" s="11"/>
      <c r="R177" s="12"/>
      <c r="S177" s="12"/>
      <c r="T177" s="12"/>
      <c r="U177" s="13"/>
      <c r="V177" s="11"/>
      <c r="W177" s="12"/>
      <c r="X177" s="12"/>
      <c r="Y177" s="12"/>
      <c r="Z177" s="13"/>
      <c r="AA177" s="12">
        <v>100</v>
      </c>
    </row>
    <row r="178" spans="7:27" ht="18" x14ac:dyDescent="0.35">
      <c r="G178">
        <f>IF(ISNUMBER(SEARCH($G$2,H178)),MAX($G$4:G177)+1,0)</f>
        <v>0</v>
      </c>
      <c r="L178" s="11"/>
      <c r="M178" s="16"/>
      <c r="N178" s="12"/>
      <c r="O178" s="12"/>
      <c r="P178" s="13"/>
      <c r="Q178" s="11"/>
      <c r="R178" s="12"/>
      <c r="S178" s="12"/>
      <c r="T178" s="12"/>
      <c r="U178" s="13"/>
      <c r="V178" s="11"/>
      <c r="W178" s="12"/>
      <c r="X178" s="12"/>
      <c r="Y178" s="12"/>
      <c r="Z178" s="13"/>
      <c r="AA178" s="12">
        <v>100</v>
      </c>
    </row>
    <row r="179" spans="7:27" ht="18" x14ac:dyDescent="0.35">
      <c r="G179">
        <f>IF(ISNUMBER(SEARCH($G$2,H179)),MAX($G$4:G178)+1,0)</f>
        <v>0</v>
      </c>
      <c r="L179" s="11"/>
      <c r="M179" s="16"/>
      <c r="N179" s="12"/>
      <c r="O179" s="12"/>
      <c r="P179" s="13"/>
      <c r="Q179" s="11"/>
      <c r="R179" s="12"/>
      <c r="S179" s="12"/>
      <c r="T179" s="12"/>
      <c r="U179" s="13"/>
      <c r="V179" s="11"/>
      <c r="W179" s="12"/>
      <c r="X179" s="12"/>
      <c r="Y179" s="12"/>
      <c r="Z179" s="13"/>
      <c r="AA179" s="12">
        <v>100</v>
      </c>
    </row>
    <row r="180" spans="7:27" ht="18" x14ac:dyDescent="0.35">
      <c r="G180">
        <f>IF(ISNUMBER(SEARCH($G$2,H180)),MAX($G$4:G179)+1,0)</f>
        <v>0</v>
      </c>
      <c r="L180" s="11"/>
      <c r="M180" s="16"/>
      <c r="N180" s="12"/>
      <c r="O180" s="12"/>
      <c r="P180" s="13"/>
      <c r="Q180" s="11"/>
      <c r="R180" s="12"/>
      <c r="S180" s="12"/>
      <c r="T180" s="12"/>
      <c r="U180" s="13"/>
      <c r="V180" s="11"/>
      <c r="W180" s="12"/>
      <c r="X180" s="12"/>
      <c r="Y180" s="12"/>
      <c r="Z180" s="13"/>
      <c r="AA180" s="12">
        <v>100</v>
      </c>
    </row>
    <row r="181" spans="7:27" ht="18" x14ac:dyDescent="0.35">
      <c r="G181">
        <f>IF(ISNUMBER(SEARCH($G$2,H181)),MAX($G$4:G180)+1,0)</f>
        <v>0</v>
      </c>
      <c r="L181" s="11"/>
      <c r="M181" s="16"/>
      <c r="N181" s="12"/>
      <c r="O181" s="12"/>
      <c r="P181" s="13"/>
      <c r="Q181" s="11"/>
      <c r="R181" s="12"/>
      <c r="S181" s="12"/>
      <c r="T181" s="12"/>
      <c r="U181" s="13"/>
      <c r="V181" s="11"/>
      <c r="W181" s="12"/>
      <c r="X181" s="12"/>
      <c r="Y181" s="12"/>
      <c r="Z181" s="13"/>
      <c r="AA181" s="12">
        <v>100</v>
      </c>
    </row>
    <row r="182" spans="7:27" ht="18" x14ac:dyDescent="0.35">
      <c r="G182">
        <f>IF(ISNUMBER(SEARCH($G$2,H182)),MAX($G$4:G181)+1,0)</f>
        <v>0</v>
      </c>
      <c r="L182" s="11"/>
      <c r="M182" s="16"/>
      <c r="N182" s="12"/>
      <c r="O182" s="12"/>
      <c r="P182" s="13"/>
      <c r="Q182" s="11"/>
      <c r="R182" s="12"/>
      <c r="S182" s="12"/>
      <c r="T182" s="12"/>
      <c r="U182" s="13"/>
      <c r="V182" s="11"/>
      <c r="W182" s="12"/>
      <c r="X182" s="12"/>
      <c r="Y182" s="12"/>
      <c r="Z182" s="13"/>
      <c r="AA182" s="12">
        <v>100</v>
      </c>
    </row>
    <row r="183" spans="7:27" ht="18" x14ac:dyDescent="0.35">
      <c r="G183">
        <f>IF(ISNUMBER(SEARCH($G$2,H183)),MAX($G$4:G182)+1,0)</f>
        <v>0</v>
      </c>
      <c r="L183" s="11"/>
      <c r="M183" s="16"/>
      <c r="N183" s="12"/>
      <c r="O183" s="12"/>
      <c r="P183" s="13"/>
      <c r="Q183" s="11"/>
      <c r="R183" s="12"/>
      <c r="S183" s="12"/>
      <c r="T183" s="12"/>
      <c r="U183" s="13"/>
      <c r="V183" s="11"/>
      <c r="W183" s="12"/>
      <c r="X183" s="12"/>
      <c r="Y183" s="12"/>
      <c r="Z183" s="13"/>
      <c r="AA183" s="12">
        <v>100</v>
      </c>
    </row>
    <row r="184" spans="7:27" ht="18" x14ac:dyDescent="0.35">
      <c r="G184">
        <f>IF(ISNUMBER(SEARCH($G$2,H184)),MAX($G$4:G183)+1,0)</f>
        <v>0</v>
      </c>
      <c r="L184" s="11"/>
      <c r="M184" s="16"/>
      <c r="N184" s="12"/>
      <c r="O184" s="12"/>
      <c r="P184" s="13"/>
      <c r="Q184" s="11"/>
      <c r="R184" s="12"/>
      <c r="S184" s="12"/>
      <c r="T184" s="12"/>
      <c r="U184" s="13"/>
      <c r="V184" s="11"/>
      <c r="W184" s="12"/>
      <c r="X184" s="12"/>
      <c r="Y184" s="12"/>
      <c r="Z184" s="13"/>
      <c r="AA184" s="12">
        <v>100</v>
      </c>
    </row>
    <row r="185" spans="7:27" ht="18" x14ac:dyDescent="0.35">
      <c r="G185">
        <f>IF(ISNUMBER(SEARCH($G$2,H185)),MAX($G$4:G184)+1,0)</f>
        <v>0</v>
      </c>
      <c r="L185" s="11"/>
      <c r="M185" s="16"/>
      <c r="N185" s="12"/>
      <c r="O185" s="12"/>
      <c r="P185" s="13"/>
      <c r="Q185" s="11"/>
      <c r="R185" s="12"/>
      <c r="S185" s="12"/>
      <c r="T185" s="12"/>
      <c r="U185" s="13"/>
      <c r="V185" s="11"/>
      <c r="W185" s="12"/>
      <c r="X185" s="12"/>
      <c r="Y185" s="12"/>
      <c r="Z185" s="13"/>
      <c r="AA185" s="12">
        <v>100</v>
      </c>
    </row>
    <row r="186" spans="7:27" ht="18" x14ac:dyDescent="0.35">
      <c r="G186">
        <f>IF(ISNUMBER(SEARCH($G$2,H186)),MAX($G$4:G185)+1,0)</f>
        <v>0</v>
      </c>
      <c r="L186" s="11"/>
      <c r="M186" s="16"/>
      <c r="N186" s="12"/>
      <c r="O186" s="12"/>
      <c r="P186" s="13"/>
      <c r="Q186" s="11"/>
      <c r="R186" s="12"/>
      <c r="S186" s="12"/>
      <c r="T186" s="12"/>
      <c r="U186" s="13"/>
      <c r="V186" s="11"/>
      <c r="W186" s="12"/>
      <c r="X186" s="12"/>
      <c r="Y186" s="12"/>
      <c r="Z186" s="13"/>
      <c r="AA186" s="12">
        <v>100</v>
      </c>
    </row>
    <row r="187" spans="7:27" ht="18" x14ac:dyDescent="0.35">
      <c r="G187">
        <f>IF(ISNUMBER(SEARCH($G$2,H187)),MAX($G$4:G186)+1,0)</f>
        <v>0</v>
      </c>
      <c r="L187" s="11"/>
      <c r="M187" s="16"/>
      <c r="N187" s="12"/>
      <c r="O187" s="12"/>
      <c r="P187" s="13"/>
      <c r="Q187" s="11"/>
      <c r="R187" s="12"/>
      <c r="S187" s="12"/>
      <c r="T187" s="12"/>
      <c r="U187" s="13"/>
      <c r="V187" s="11"/>
      <c r="W187" s="12"/>
      <c r="X187" s="12"/>
      <c r="Y187" s="12"/>
      <c r="Z187" s="13"/>
      <c r="AA187" s="12">
        <v>100</v>
      </c>
    </row>
    <row r="188" spans="7:27" x14ac:dyDescent="0.3">
      <c r="G188">
        <f>IF(ISNUMBER(SEARCH($G$2,H188)),MAX($G$4:G187)+1,0)</f>
        <v>0</v>
      </c>
      <c r="L188" s="11"/>
      <c r="M188" s="12"/>
      <c r="N188" s="12"/>
      <c r="O188" s="12"/>
      <c r="P188" s="13"/>
      <c r="Q188" s="11"/>
      <c r="R188" s="12"/>
      <c r="S188" s="12"/>
      <c r="T188" s="12"/>
      <c r="U188" s="13"/>
      <c r="V188" s="11"/>
      <c r="W188" s="12"/>
      <c r="X188" s="12"/>
      <c r="Y188" s="12"/>
      <c r="Z188" s="13"/>
      <c r="AA188" s="12">
        <v>100</v>
      </c>
    </row>
    <row r="189" spans="7:27" x14ac:dyDescent="0.3">
      <c r="G189">
        <f>IF(ISNUMBER(SEARCH($G$2,H189)),MAX($G$4:G188)+1,0)</f>
        <v>0</v>
      </c>
      <c r="L189" s="11"/>
      <c r="M189" s="12"/>
      <c r="N189" s="12"/>
      <c r="O189" s="12"/>
      <c r="P189" s="13"/>
      <c r="Q189" s="11"/>
      <c r="R189" s="12"/>
      <c r="S189" s="12"/>
      <c r="T189" s="12"/>
      <c r="U189" s="13"/>
      <c r="V189" s="11"/>
      <c r="W189" s="12"/>
      <c r="X189" s="12"/>
      <c r="Y189" s="12"/>
      <c r="Z189" s="13"/>
      <c r="AA189" s="12">
        <v>100</v>
      </c>
    </row>
    <row r="190" spans="7:27" x14ac:dyDescent="0.3">
      <c r="G190">
        <f>IF(ISNUMBER(SEARCH($G$2,H190)),MAX($G$4:G189)+1,0)</f>
        <v>0</v>
      </c>
      <c r="L190" s="11"/>
      <c r="M190" s="12"/>
      <c r="N190" s="12"/>
      <c r="O190" s="12"/>
      <c r="P190" s="13"/>
      <c r="Q190" s="11"/>
      <c r="R190" s="12"/>
      <c r="S190" s="12"/>
      <c r="T190" s="12"/>
      <c r="U190" s="13"/>
      <c r="V190" s="11"/>
      <c r="W190" s="12"/>
      <c r="X190" s="12"/>
      <c r="Y190" s="12"/>
      <c r="Z190" s="13"/>
      <c r="AA190" s="12">
        <v>100</v>
      </c>
    </row>
    <row r="191" spans="7:27" x14ac:dyDescent="0.3">
      <c r="G191">
        <f>IF(ISNUMBER(SEARCH($G$2,H191)),MAX($G$4:G190)+1,0)</f>
        <v>0</v>
      </c>
      <c r="L191" s="11"/>
      <c r="M191" s="12"/>
      <c r="N191" s="12"/>
      <c r="O191" s="12"/>
      <c r="P191" s="13"/>
      <c r="Q191" s="11"/>
      <c r="R191" s="12"/>
      <c r="S191" s="12"/>
      <c r="T191" s="12"/>
      <c r="U191" s="13"/>
      <c r="V191" s="11"/>
      <c r="W191" s="12"/>
      <c r="X191" s="12"/>
      <c r="Y191" s="12"/>
      <c r="Z191" s="13"/>
      <c r="AA191" s="12">
        <v>100</v>
      </c>
    </row>
    <row r="192" spans="7:27" x14ac:dyDescent="0.3">
      <c r="G192">
        <f>IF(ISNUMBER(SEARCH($G$2,H192)),MAX($G$4:G191)+1,0)</f>
        <v>0</v>
      </c>
      <c r="L192" s="11"/>
      <c r="M192" s="12"/>
      <c r="N192" s="12"/>
      <c r="O192" s="12"/>
      <c r="P192" s="13"/>
      <c r="Q192" s="11"/>
      <c r="R192" s="12"/>
      <c r="S192" s="12"/>
      <c r="T192" s="12"/>
      <c r="U192" s="13"/>
      <c r="V192" s="11"/>
      <c r="W192" s="12"/>
      <c r="X192" s="12"/>
      <c r="Y192" s="12"/>
      <c r="Z192" s="13"/>
      <c r="AA192" s="12">
        <v>100</v>
      </c>
    </row>
    <row r="193" spans="7:27" x14ac:dyDescent="0.3">
      <c r="G193">
        <f>IF(ISNUMBER(SEARCH($G$2,H193)),MAX($G$4:G192)+1,0)</f>
        <v>0</v>
      </c>
      <c r="L193" s="11"/>
      <c r="M193" s="12"/>
      <c r="N193" s="12"/>
      <c r="O193" s="12"/>
      <c r="P193" s="13"/>
      <c r="Q193" s="11"/>
      <c r="R193" s="12"/>
      <c r="S193" s="12"/>
      <c r="T193" s="12"/>
      <c r="U193" s="13"/>
      <c r="V193" s="11"/>
      <c r="W193" s="12"/>
      <c r="X193" s="12"/>
      <c r="Y193" s="12"/>
      <c r="Z193" s="13"/>
      <c r="AA193" s="12">
        <v>100</v>
      </c>
    </row>
    <row r="194" spans="7:27" x14ac:dyDescent="0.3">
      <c r="G194">
        <f>IF(ISNUMBER(SEARCH($G$2,H194)),MAX($G$4:G193)+1,0)</f>
        <v>0</v>
      </c>
      <c r="L194" s="11"/>
      <c r="M194" s="12"/>
      <c r="N194" s="12"/>
      <c r="O194" s="12"/>
      <c r="P194" s="13"/>
      <c r="Q194" s="11"/>
      <c r="R194" s="12"/>
      <c r="S194" s="12"/>
      <c r="T194" s="12"/>
      <c r="U194" s="13"/>
      <c r="V194" s="11"/>
      <c r="W194" s="12"/>
      <c r="X194" s="12"/>
      <c r="Y194" s="12"/>
      <c r="Z194" s="13"/>
      <c r="AA194" s="12">
        <v>100</v>
      </c>
    </row>
    <row r="195" spans="7:27" x14ac:dyDescent="0.3">
      <c r="G195">
        <f>IF(ISNUMBER(SEARCH($G$2,H195)),MAX($G$4:G194)+1,0)</f>
        <v>0</v>
      </c>
      <c r="L195" s="11"/>
      <c r="M195" s="12"/>
      <c r="N195" s="12"/>
      <c r="O195" s="12"/>
      <c r="P195" s="13"/>
      <c r="Q195" s="11"/>
      <c r="R195" s="12"/>
      <c r="S195" s="12"/>
      <c r="T195" s="12"/>
      <c r="U195" s="13"/>
      <c r="V195" s="11"/>
      <c r="W195" s="12"/>
      <c r="X195" s="12"/>
      <c r="Y195" s="12"/>
      <c r="Z195" s="13"/>
    </row>
    <row r="196" spans="7:27" x14ac:dyDescent="0.3">
      <c r="G196">
        <f>IF(ISNUMBER(SEARCH($G$2,H196)),MAX($G$4:G195)+1,0)</f>
        <v>0</v>
      </c>
      <c r="L196" s="11"/>
      <c r="M196" s="12"/>
      <c r="N196" s="12"/>
      <c r="O196" s="12"/>
      <c r="P196" s="13"/>
      <c r="Q196" s="11"/>
      <c r="R196" s="12"/>
      <c r="S196" s="12"/>
      <c r="T196" s="12"/>
      <c r="U196" s="13"/>
      <c r="V196" s="11"/>
      <c r="W196" s="12"/>
      <c r="X196" s="12"/>
      <c r="Y196" s="12"/>
      <c r="Z196" s="13"/>
    </row>
    <row r="197" spans="7:27" x14ac:dyDescent="0.3">
      <c r="G197">
        <f>IF(ISNUMBER(SEARCH($G$2,H197)),MAX($G$4:G196)+1,0)</f>
        <v>0</v>
      </c>
      <c r="L197" s="11"/>
      <c r="M197" s="12"/>
      <c r="N197" s="12"/>
      <c r="O197" s="12"/>
      <c r="P197" s="13"/>
      <c r="Q197" s="11"/>
      <c r="R197" s="12"/>
      <c r="S197" s="12"/>
      <c r="T197" s="12"/>
      <c r="U197" s="13"/>
      <c r="V197" s="11"/>
      <c r="W197" s="12"/>
      <c r="X197" s="12"/>
      <c r="Y197" s="12"/>
      <c r="Z197" s="13"/>
    </row>
    <row r="198" spans="7:27" x14ac:dyDescent="0.3">
      <c r="G198">
        <f>IF(ISNUMBER(SEARCH($G$2,H198)),MAX($G$4:G197)+1,0)</f>
        <v>0</v>
      </c>
      <c r="L198" s="11"/>
      <c r="M198" s="12"/>
      <c r="N198" s="12"/>
      <c r="O198" s="12"/>
      <c r="P198" s="13"/>
      <c r="Q198" s="11"/>
      <c r="R198" s="12"/>
      <c r="S198" s="12"/>
      <c r="T198" s="12"/>
      <c r="U198" s="13"/>
      <c r="V198" s="11"/>
      <c r="W198" s="12"/>
      <c r="X198" s="12"/>
      <c r="Y198" s="12"/>
      <c r="Z198" s="13"/>
    </row>
    <row r="199" spans="7:27" x14ac:dyDescent="0.3">
      <c r="G199">
        <f>IF(ISNUMBER(SEARCH($G$2,H199)),MAX($G$4:G198)+1,0)</f>
        <v>0</v>
      </c>
      <c r="L199" s="11"/>
      <c r="M199" s="12"/>
      <c r="N199" s="12"/>
      <c r="O199" s="12"/>
      <c r="P199" s="13"/>
      <c r="Q199" s="11"/>
      <c r="R199" s="12"/>
      <c r="S199" s="12"/>
      <c r="T199" s="12"/>
      <c r="U199" s="13"/>
      <c r="V199" s="11"/>
      <c r="W199" s="12"/>
      <c r="X199" s="12"/>
      <c r="Y199" s="12"/>
      <c r="Z199" s="13"/>
    </row>
    <row r="200" spans="7:27" x14ac:dyDescent="0.3">
      <c r="G200">
        <f>IF(ISNUMBER(SEARCH($G$2,H200)),MAX($G$4:G199)+1,0)</f>
        <v>0</v>
      </c>
      <c r="L200" s="11"/>
      <c r="M200" s="12"/>
      <c r="N200" s="12"/>
      <c r="O200" s="12"/>
      <c r="P200" s="13"/>
      <c r="Q200" s="11"/>
      <c r="R200" s="12"/>
      <c r="S200" s="12"/>
      <c r="T200" s="12"/>
      <c r="U200" s="13"/>
      <c r="V200" s="11"/>
      <c r="W200" s="12"/>
      <c r="X200" s="12"/>
      <c r="Y200" s="12"/>
      <c r="Z200" s="13"/>
    </row>
    <row r="201" spans="7:27" x14ac:dyDescent="0.3">
      <c r="L201" s="11"/>
      <c r="M201" s="12"/>
      <c r="N201" s="12"/>
      <c r="O201" s="12"/>
      <c r="P201" s="13"/>
      <c r="Q201" s="11"/>
      <c r="R201" s="12"/>
      <c r="S201" s="12"/>
      <c r="T201" s="12"/>
      <c r="U201" s="13"/>
      <c r="V201" s="11"/>
      <c r="W201" s="12"/>
      <c r="X201" s="12"/>
      <c r="Y201" s="12"/>
      <c r="Z201" s="13"/>
    </row>
    <row r="202" spans="7:27" x14ac:dyDescent="0.3">
      <c r="L202" s="11"/>
      <c r="M202" s="12"/>
      <c r="N202" s="12"/>
      <c r="O202" s="12"/>
      <c r="P202" s="13"/>
      <c r="Q202" s="11"/>
      <c r="R202" s="12"/>
      <c r="S202" s="12"/>
      <c r="T202" s="12"/>
      <c r="U202" s="13"/>
      <c r="V202" s="11"/>
      <c r="W202" s="12"/>
      <c r="X202" s="12"/>
      <c r="Y202" s="12"/>
      <c r="Z202" s="13"/>
    </row>
  </sheetData>
  <sortState ref="H6:AA86">
    <sortCondition ref="H6:H86"/>
  </sortState>
  <mergeCells count="2">
    <mergeCell ref="K1:L1"/>
    <mergeCell ref="K2:L2"/>
  </mergeCells>
  <dataValidations count="5">
    <dataValidation type="list" allowBlank="1" showInputMessage="1" sqref="A2 M5:M187 R77:R79 W77 R82 W82">
      <formula1>Modifiers_List</formula1>
    </dataValidation>
    <dataValidation type="list" allowBlank="1" showInputMessage="1" showErrorMessage="1" sqref="B5:B29">
      <formula1>$A$5:$A$34</formula1>
    </dataValidation>
    <dataValidation type="list" allowBlank="1" showInputMessage="1" sqref="G2">
      <formula1>BUFFS</formula1>
    </dataValidation>
    <dataValidation type="list" allowBlank="1" showInputMessage="1" showErrorMessage="1" sqref="L5:L263 V5:V58 V67 V77 Q5:Q254 V82">
      <formula1>Types</formula1>
    </dataValidation>
    <dataValidation type="list" allowBlank="1" showInputMessage="1" showErrorMessage="1" sqref="W5:W58 W67 R5:R76 R80:R81 R83:R262">
      <formula1>Modifiers_List</formula1>
    </dataValidation>
  </dataValidation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Y472"/>
  <sheetViews>
    <sheetView tabSelected="1" zoomScale="70" zoomScaleNormal="70" workbookViewId="0">
      <pane xSplit="1" topLeftCell="B1" activePane="topRight" state="frozen"/>
      <selection pane="topRight" activeCell="I3" sqref="I3:J3"/>
    </sheetView>
  </sheetViews>
  <sheetFormatPr defaultRowHeight="18" x14ac:dyDescent="0.35"/>
  <cols>
    <col min="1" max="1" width="25.33203125" style="3" bestFit="1" customWidth="1"/>
    <col min="2" max="2" width="11.44140625" bestFit="1" customWidth="1"/>
    <col min="3" max="3" width="15" bestFit="1" customWidth="1"/>
    <col min="4" max="4" width="18.5546875" customWidth="1"/>
    <col min="5" max="5" width="12.88671875" bestFit="1" customWidth="1"/>
    <col min="6" max="6" width="20.33203125" bestFit="1" customWidth="1"/>
    <col min="7" max="7" width="28.109375" bestFit="1" customWidth="1"/>
    <col min="8" max="8" width="11" bestFit="1" customWidth="1"/>
    <col min="9" max="9" width="15" customWidth="1"/>
    <col min="10" max="10" width="20.88671875" customWidth="1"/>
    <col min="11" max="11" width="15.5546875" customWidth="1"/>
    <col min="12" max="12" width="17.5546875" customWidth="1"/>
    <col min="13" max="13" width="13.5546875" bestFit="1" customWidth="1"/>
    <col min="14" max="14" width="12.88671875" bestFit="1" customWidth="1"/>
    <col min="15" max="15" width="20.109375" bestFit="1" customWidth="1"/>
    <col min="16" max="16" width="14.109375" bestFit="1" customWidth="1"/>
    <col min="17" max="17" width="26.88671875" customWidth="1"/>
    <col min="18" max="18" width="26.88671875" bestFit="1" customWidth="1"/>
    <col min="19" max="19" width="18.88671875" bestFit="1" customWidth="1"/>
    <col min="20" max="20" width="18" bestFit="1" customWidth="1"/>
    <col min="21" max="21" width="22.109375" bestFit="1" customWidth="1"/>
    <col min="22" max="22" width="12.5546875" customWidth="1"/>
    <col min="23" max="23" width="25.6640625" customWidth="1"/>
    <col min="24" max="24" width="22.109375" bestFit="1" customWidth="1"/>
    <col min="25" max="25" width="26.88671875" bestFit="1" customWidth="1"/>
    <col min="26" max="26" width="28.109375" bestFit="1" customWidth="1"/>
    <col min="27" max="27" width="14.44140625" bestFit="1" customWidth="1"/>
    <col min="28" max="28" width="14.33203125" bestFit="1" customWidth="1"/>
    <col min="29" max="29" width="16" bestFit="1" customWidth="1"/>
    <col min="30" max="30" width="21.44140625" bestFit="1" customWidth="1"/>
    <col min="31" max="31" width="37.44140625" customWidth="1"/>
    <col min="32" max="32" width="17.33203125" bestFit="1" customWidth="1"/>
    <col min="33" max="33" width="14.33203125" bestFit="1" customWidth="1"/>
    <col min="34" max="34" width="19.109375" bestFit="1" customWidth="1"/>
    <col min="35" max="35" width="16.33203125" bestFit="1" customWidth="1"/>
    <col min="36" max="36" width="14.33203125" bestFit="1" customWidth="1"/>
    <col min="37" max="37" width="13.5546875" bestFit="1" customWidth="1"/>
    <col min="38" max="38" width="12" bestFit="1" customWidth="1"/>
    <col min="39" max="40" width="13.5546875" bestFit="1" customWidth="1"/>
    <col min="41" max="41" width="18.6640625" customWidth="1"/>
    <col min="42" max="42" width="9.33203125" bestFit="1" customWidth="1"/>
    <col min="43" max="43" width="14.5546875" bestFit="1" customWidth="1"/>
    <col min="44" max="44" width="23" bestFit="1" customWidth="1"/>
    <col min="52" max="52" width="14.109375" bestFit="1" customWidth="1"/>
    <col min="53" max="53" width="15.6640625" bestFit="1" customWidth="1"/>
    <col min="54" max="54" width="15.33203125" bestFit="1" customWidth="1"/>
    <col min="55" max="55" width="26" bestFit="1" customWidth="1"/>
    <col min="56" max="56" width="16.109375" bestFit="1" customWidth="1"/>
  </cols>
  <sheetData>
    <row r="1" spans="1:389" ht="23.4" x14ac:dyDescent="0.45">
      <c r="A1" s="3" t="s">
        <v>39</v>
      </c>
      <c r="B1" s="157" t="s">
        <v>149</v>
      </c>
      <c r="C1" t="s">
        <v>88</v>
      </c>
      <c r="D1" s="86" t="s">
        <v>128</v>
      </c>
      <c r="H1" s="164" t="s">
        <v>150</v>
      </c>
      <c r="L1" s="207"/>
      <c r="M1" s="207"/>
    </row>
    <row r="2" spans="1:389" x14ac:dyDescent="0.35">
      <c r="L2" s="207"/>
      <c r="M2" s="207"/>
      <c r="AW2" s="50"/>
      <c r="AX2" s="51"/>
      <c r="AY2" s="51"/>
      <c r="AZ2" s="51"/>
      <c r="BA2" s="51"/>
      <c r="BB2" s="51"/>
      <c r="BC2" s="51"/>
      <c r="BD2" s="12"/>
      <c r="BE2" s="51"/>
      <c r="BF2" t="s">
        <v>111</v>
      </c>
      <c r="BG2" s="12"/>
      <c r="BH2" s="51"/>
      <c r="BI2" s="51"/>
      <c r="BJ2" s="51"/>
      <c r="BK2" s="51"/>
      <c r="BL2" s="51"/>
      <c r="BM2" s="51"/>
      <c r="BN2" s="52"/>
    </row>
    <row r="3" spans="1:389" x14ac:dyDescent="0.35">
      <c r="A3" s="3" t="s">
        <v>120</v>
      </c>
      <c r="B3">
        <f>101000+3150+1680+350+5000+3000+1500</f>
        <v>115680</v>
      </c>
      <c r="C3" s="188">
        <v>6750</v>
      </c>
      <c r="D3" s="188">
        <v>5000</v>
      </c>
      <c r="E3">
        <f>C3+D3</f>
        <v>11750</v>
      </c>
      <c r="F3">
        <f>SUM(B3:D3)</f>
        <v>127430</v>
      </c>
      <c r="I3" s="207"/>
      <c r="J3" s="207"/>
      <c r="L3" s="207"/>
      <c r="M3" s="207"/>
      <c r="AW3" s="11" t="s">
        <v>81</v>
      </c>
      <c r="AX3" s="12"/>
      <c r="AY3" s="12"/>
      <c r="AZ3" s="12"/>
      <c r="BA3" s="12"/>
      <c r="BB3" s="12"/>
      <c r="BC3" s="12"/>
      <c r="BD3" s="12"/>
      <c r="BE3" s="12"/>
      <c r="BF3" t="s">
        <v>26</v>
      </c>
      <c r="BG3" s="12">
        <f>$B$28*(-5)</f>
        <v>0</v>
      </c>
      <c r="BH3" s="12"/>
      <c r="BI3" s="12"/>
      <c r="BJ3" s="12"/>
      <c r="BK3" s="12"/>
      <c r="BL3" s="12"/>
      <c r="BM3" s="12"/>
      <c r="BN3" s="13"/>
    </row>
    <row r="4" spans="1:389" x14ac:dyDescent="0.35">
      <c r="A4" s="3" t="s">
        <v>148</v>
      </c>
      <c r="B4">
        <v>16</v>
      </c>
      <c r="R4" s="95" t="s">
        <v>1</v>
      </c>
      <c r="S4" s="95" t="s">
        <v>2</v>
      </c>
      <c r="T4" s="95" t="s">
        <v>3</v>
      </c>
      <c r="U4" s="95" t="s">
        <v>5</v>
      </c>
      <c r="V4" s="95" t="s">
        <v>89</v>
      </c>
      <c r="W4" s="95" t="s">
        <v>6</v>
      </c>
      <c r="X4" s="95" t="s">
        <v>57</v>
      </c>
      <c r="Y4" s="95" t="s">
        <v>8</v>
      </c>
      <c r="Z4" s="95" t="s">
        <v>9</v>
      </c>
      <c r="AA4" s="95" t="s">
        <v>10</v>
      </c>
      <c r="AB4" s="95" t="s">
        <v>11</v>
      </c>
      <c r="AC4" s="95" t="s">
        <v>12</v>
      </c>
      <c r="AD4" s="95" t="s">
        <v>13</v>
      </c>
      <c r="AE4" s="95" t="s">
        <v>14</v>
      </c>
      <c r="AF4" s="95" t="s">
        <v>15</v>
      </c>
      <c r="AG4" s="95" t="s">
        <v>16</v>
      </c>
      <c r="AH4" s="95" t="s">
        <v>17</v>
      </c>
      <c r="AI4" s="95" t="s">
        <v>18</v>
      </c>
      <c r="AJ4" s="95" t="s">
        <v>19</v>
      </c>
      <c r="AK4" s="95" t="s">
        <v>20</v>
      </c>
      <c r="AL4" s="95" t="s">
        <v>21</v>
      </c>
      <c r="AM4" s="95" t="s">
        <v>22</v>
      </c>
      <c r="AN4" s="95" t="s">
        <v>23</v>
      </c>
      <c r="AO4" s="96" t="s">
        <v>24</v>
      </c>
      <c r="AP4" s="95" t="s">
        <v>25</v>
      </c>
      <c r="AQ4" s="95" t="s">
        <v>7</v>
      </c>
      <c r="AR4" s="95" t="s">
        <v>4</v>
      </c>
      <c r="AS4" s="155"/>
      <c r="AW4" s="197" t="s">
        <v>107</v>
      </c>
      <c r="AX4" s="198"/>
      <c r="AY4" s="198"/>
      <c r="AZ4" s="12">
        <v>0</v>
      </c>
      <c r="BA4" s="12" t="s">
        <v>108</v>
      </c>
      <c r="BB4" s="12"/>
      <c r="BC4" s="12"/>
      <c r="BE4" s="12"/>
      <c r="BF4" s="12" t="s">
        <v>123</v>
      </c>
      <c r="BG4" s="12">
        <f>$B$28*(-1)</f>
        <v>0</v>
      </c>
      <c r="BH4" s="12"/>
      <c r="BI4" s="12"/>
      <c r="BJ4" s="12"/>
      <c r="BK4" s="12"/>
      <c r="BL4" s="12"/>
      <c r="BM4" s="12"/>
      <c r="BN4" s="13"/>
    </row>
    <row r="5" spans="1:389" x14ac:dyDescent="0.35">
      <c r="C5" s="148" t="s">
        <v>117</v>
      </c>
      <c r="D5" s="98" t="s">
        <v>116</v>
      </c>
      <c r="F5" s="123" t="s">
        <v>118</v>
      </c>
      <c r="G5" s="124" t="s">
        <v>102</v>
      </c>
      <c r="H5" s="125" t="s">
        <v>112</v>
      </c>
      <c r="I5" s="122" t="s">
        <v>113</v>
      </c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W5" s="11"/>
      <c r="AX5" s="12"/>
      <c r="AY5" s="12"/>
      <c r="AZ5" s="12">
        <v>1</v>
      </c>
      <c r="BA5" s="12" t="s">
        <v>109</v>
      </c>
      <c r="BB5" s="12"/>
      <c r="BC5" s="12"/>
      <c r="BF5" s="43" t="s">
        <v>30</v>
      </c>
      <c r="BG5" s="12">
        <f>$B$28*(-1)</f>
        <v>0</v>
      </c>
      <c r="BH5" s="12"/>
      <c r="BI5" s="12"/>
      <c r="BJ5" s="12"/>
      <c r="BK5" s="12"/>
      <c r="BL5" s="12"/>
      <c r="BM5" s="12"/>
      <c r="BN5" s="13"/>
    </row>
    <row r="6" spans="1:389" ht="33.6" x14ac:dyDescent="0.65">
      <c r="A6" s="116" t="s">
        <v>26</v>
      </c>
      <c r="B6" s="117">
        <f>SUM(C6:D6,R6:AR6,BG3)</f>
        <v>186</v>
      </c>
      <c r="C6" s="42">
        <f>C14*1*B4</f>
        <v>80</v>
      </c>
      <c r="D6" s="42">
        <v>106</v>
      </c>
      <c r="F6" s="86"/>
      <c r="G6" s="120">
        <v>0</v>
      </c>
      <c r="H6" s="121">
        <v>0</v>
      </c>
      <c r="I6" s="126">
        <v>0</v>
      </c>
      <c r="R6" s="102">
        <v>0</v>
      </c>
      <c r="S6" s="102">
        <v>0</v>
      </c>
      <c r="T6" s="102">
        <v>0</v>
      </c>
      <c r="U6" s="102">
        <v>0</v>
      </c>
      <c r="V6" s="102">
        <v>0</v>
      </c>
      <c r="W6" s="102">
        <v>0</v>
      </c>
      <c r="X6" s="102">
        <v>0</v>
      </c>
      <c r="Y6" s="102">
        <v>0</v>
      </c>
      <c r="Z6" s="102">
        <v>0</v>
      </c>
      <c r="AA6" s="102">
        <v>0</v>
      </c>
      <c r="AB6" s="102">
        <v>0</v>
      </c>
      <c r="AC6" s="102">
        <v>0</v>
      </c>
      <c r="AD6" s="102">
        <v>0</v>
      </c>
      <c r="AE6" s="102">
        <v>0</v>
      </c>
      <c r="AF6" s="102">
        <v>0</v>
      </c>
      <c r="AG6" s="102">
        <v>0</v>
      </c>
      <c r="AH6" s="102">
        <v>0</v>
      </c>
      <c r="AI6" s="102">
        <v>0</v>
      </c>
      <c r="AJ6" s="102">
        <v>0</v>
      </c>
      <c r="AK6" s="102">
        <v>0</v>
      </c>
      <c r="AL6" s="102">
        <v>0</v>
      </c>
      <c r="AM6" s="102">
        <v>0</v>
      </c>
      <c r="AN6" s="102">
        <v>0</v>
      </c>
      <c r="AO6" s="102">
        <v>0</v>
      </c>
      <c r="AP6" s="102">
        <v>0</v>
      </c>
      <c r="AQ6" s="102">
        <v>0</v>
      </c>
      <c r="AR6" s="102">
        <v>0</v>
      </c>
      <c r="AW6" s="11"/>
      <c r="AX6" s="12"/>
      <c r="AY6" s="12"/>
      <c r="AZ6" s="12">
        <v>2</v>
      </c>
      <c r="BA6" s="12"/>
      <c r="BB6" s="12"/>
      <c r="BC6" s="12"/>
      <c r="BF6" s="43" t="s">
        <v>31</v>
      </c>
      <c r="BG6" s="12">
        <f>$B$28*(-1)</f>
        <v>0</v>
      </c>
      <c r="BH6" s="12"/>
      <c r="BI6" s="12"/>
      <c r="BJ6" s="12"/>
      <c r="BK6" s="12"/>
      <c r="BL6" s="12"/>
      <c r="BM6" s="12"/>
      <c r="BN6" s="13"/>
    </row>
    <row r="7" spans="1:389" ht="31.2" x14ac:dyDescent="0.6">
      <c r="A7" s="118" t="s">
        <v>28</v>
      </c>
      <c r="B7" s="119">
        <f>SUM(MIN(C13,G7),D7,R7:AR7,BA10,H30*6)</f>
        <v>47</v>
      </c>
      <c r="D7" s="42">
        <v>10</v>
      </c>
      <c r="F7" s="76" t="s">
        <v>119</v>
      </c>
      <c r="G7" s="42">
        <v>100</v>
      </c>
      <c r="R7" s="142">
        <v>0</v>
      </c>
      <c r="S7" s="142">
        <v>0</v>
      </c>
      <c r="T7" s="142">
        <v>8</v>
      </c>
      <c r="U7" s="142">
        <v>0</v>
      </c>
      <c r="V7" s="142">
        <v>0</v>
      </c>
      <c r="W7" s="142">
        <v>0</v>
      </c>
      <c r="X7" s="142">
        <v>0</v>
      </c>
      <c r="Y7" s="142">
        <v>5</v>
      </c>
      <c r="Z7" s="142">
        <v>5</v>
      </c>
      <c r="AA7" s="142">
        <v>0</v>
      </c>
      <c r="AB7" s="142">
        <v>1</v>
      </c>
      <c r="AC7" s="142">
        <v>0</v>
      </c>
      <c r="AD7" s="142">
        <v>6</v>
      </c>
      <c r="AE7" s="142">
        <v>5</v>
      </c>
      <c r="AF7" s="142">
        <v>0</v>
      </c>
      <c r="AG7" s="142">
        <v>0</v>
      </c>
      <c r="AH7" s="142">
        <v>0</v>
      </c>
      <c r="AI7" s="142">
        <v>0</v>
      </c>
      <c r="AJ7" s="142">
        <v>2</v>
      </c>
      <c r="AK7" s="142">
        <v>0</v>
      </c>
      <c r="AL7" s="142">
        <v>0</v>
      </c>
      <c r="AM7" s="142">
        <v>0</v>
      </c>
      <c r="AN7" s="142">
        <v>0</v>
      </c>
      <c r="AO7" s="142">
        <v>0</v>
      </c>
      <c r="AP7" s="142">
        <v>0</v>
      </c>
      <c r="AQ7" s="142">
        <v>0</v>
      </c>
      <c r="AR7" s="142">
        <v>4</v>
      </c>
      <c r="AW7" s="11"/>
      <c r="AX7" s="12"/>
      <c r="AY7" s="12"/>
      <c r="AZ7" s="12"/>
      <c r="BA7" s="12"/>
      <c r="BB7" s="12"/>
      <c r="BC7" s="12"/>
      <c r="BE7" s="12"/>
      <c r="BF7" s="43" t="s">
        <v>124</v>
      </c>
      <c r="BG7" s="12">
        <f>$B$28*(-1)</f>
        <v>0</v>
      </c>
      <c r="BH7" s="12"/>
      <c r="BI7" s="12"/>
      <c r="BJ7" s="12"/>
      <c r="BK7" s="12"/>
      <c r="BL7" s="12"/>
      <c r="BM7" s="12"/>
      <c r="BN7" s="13"/>
      <c r="NT7" s="76"/>
      <c r="NU7" s="76"/>
      <c r="NV7" s="76"/>
      <c r="NW7" s="76"/>
      <c r="NX7" s="76"/>
      <c r="NY7" s="76"/>
    </row>
    <row r="8" spans="1:389" x14ac:dyDescent="0.35">
      <c r="A8" s="3" t="s">
        <v>78</v>
      </c>
      <c r="B8">
        <f>B7-T7-Y7-Z7-AD7-AE7-AJ7</f>
        <v>16</v>
      </c>
      <c r="O8" t="s">
        <v>177</v>
      </c>
      <c r="R8" s="97">
        <v>0</v>
      </c>
      <c r="S8" s="97">
        <v>0</v>
      </c>
      <c r="T8" s="97">
        <v>0</v>
      </c>
      <c r="U8" s="97">
        <v>0</v>
      </c>
      <c r="V8" s="97">
        <v>0</v>
      </c>
      <c r="W8" s="97">
        <v>0</v>
      </c>
      <c r="X8" s="97">
        <v>0</v>
      </c>
      <c r="Y8" s="97">
        <v>0</v>
      </c>
      <c r="Z8" s="97">
        <v>0</v>
      </c>
      <c r="AA8" s="97">
        <v>0</v>
      </c>
      <c r="AB8" s="97">
        <v>0</v>
      </c>
      <c r="AC8" s="97">
        <v>0</v>
      </c>
      <c r="AD8" s="97">
        <v>0</v>
      </c>
      <c r="AE8" s="97">
        <v>0</v>
      </c>
      <c r="AF8" s="97">
        <v>0</v>
      </c>
      <c r="AG8" s="97">
        <v>0</v>
      </c>
      <c r="AH8" s="97">
        <v>0</v>
      </c>
      <c r="AI8" s="97">
        <v>0</v>
      </c>
      <c r="AJ8" s="97">
        <v>0</v>
      </c>
      <c r="AK8" s="97">
        <v>0</v>
      </c>
      <c r="AL8" s="97">
        <v>0</v>
      </c>
      <c r="AM8" s="97">
        <v>0</v>
      </c>
      <c r="AN8" s="97">
        <v>0</v>
      </c>
      <c r="AO8" s="97">
        <v>0</v>
      </c>
      <c r="AP8" s="97">
        <v>0</v>
      </c>
      <c r="AQ8" s="97">
        <v>0</v>
      </c>
      <c r="AR8" s="97">
        <v>0</v>
      </c>
      <c r="AW8" s="11"/>
      <c r="AX8" s="12"/>
      <c r="AY8" s="12"/>
      <c r="AZ8" s="12"/>
      <c r="BA8" s="12"/>
      <c r="BB8" s="12"/>
      <c r="BC8" s="12"/>
      <c r="BE8" s="12"/>
      <c r="BF8" s="12"/>
      <c r="BG8" s="12"/>
      <c r="BH8" s="12"/>
      <c r="BI8" s="12"/>
      <c r="BJ8" s="12"/>
      <c r="BK8" s="12"/>
      <c r="BL8" s="12"/>
      <c r="BM8" s="12"/>
      <c r="BN8" s="13"/>
      <c r="NT8" s="76"/>
      <c r="NU8" s="76"/>
      <c r="NV8" s="76"/>
      <c r="NW8" s="76"/>
      <c r="NX8" s="76"/>
      <c r="NY8" s="76"/>
    </row>
    <row r="9" spans="1:389" x14ac:dyDescent="0.35">
      <c r="A9" s="3" t="s">
        <v>79</v>
      </c>
      <c r="B9">
        <f>B7-C13</f>
        <v>46</v>
      </c>
      <c r="O9" t="s">
        <v>178</v>
      </c>
      <c r="R9" s="97">
        <v>0</v>
      </c>
      <c r="S9" s="97">
        <v>0</v>
      </c>
      <c r="T9" s="97">
        <v>0</v>
      </c>
      <c r="U9" s="97">
        <v>0</v>
      </c>
      <c r="V9" s="97">
        <v>0</v>
      </c>
      <c r="W9" s="97">
        <v>0</v>
      </c>
      <c r="X9" s="97">
        <v>0</v>
      </c>
      <c r="Y9" s="97">
        <v>0</v>
      </c>
      <c r="Z9" s="97">
        <v>0</v>
      </c>
      <c r="AA9" s="97">
        <v>0</v>
      </c>
      <c r="AB9" s="97">
        <v>0</v>
      </c>
      <c r="AC9" s="97">
        <v>0</v>
      </c>
      <c r="AD9" s="97">
        <v>0</v>
      </c>
      <c r="AE9" s="97">
        <v>0</v>
      </c>
      <c r="AF9" s="97">
        <v>0</v>
      </c>
      <c r="AG9" s="97">
        <v>0</v>
      </c>
      <c r="AH9" s="97">
        <v>0</v>
      </c>
      <c r="AI9" s="97">
        <v>0</v>
      </c>
      <c r="AJ9" s="97">
        <v>0</v>
      </c>
      <c r="AK9" s="97">
        <v>0</v>
      </c>
      <c r="AL9" s="97">
        <v>0</v>
      </c>
      <c r="AM9" s="97">
        <v>0</v>
      </c>
      <c r="AN9" s="97">
        <v>0</v>
      </c>
      <c r="AO9" s="97">
        <v>0</v>
      </c>
      <c r="AP9" s="97">
        <v>0</v>
      </c>
      <c r="AQ9" s="97">
        <v>0</v>
      </c>
      <c r="AR9" s="97">
        <v>0</v>
      </c>
      <c r="AX9" s="56" t="s">
        <v>137</v>
      </c>
      <c r="AY9" s="56" t="s">
        <v>138</v>
      </c>
      <c r="AZ9" s="56" t="s">
        <v>139</v>
      </c>
      <c r="BA9" s="12"/>
      <c r="BB9" s="12"/>
      <c r="BC9" s="12"/>
      <c r="BE9" s="12"/>
      <c r="BF9" s="12"/>
      <c r="BG9" s="12"/>
      <c r="BH9" s="12"/>
      <c r="BI9" s="12"/>
      <c r="BJ9" s="12"/>
      <c r="BK9" s="12"/>
      <c r="BL9" s="12"/>
      <c r="BM9" s="12"/>
      <c r="BN9" s="13"/>
      <c r="NT9" s="76"/>
      <c r="NU9" s="76"/>
      <c r="NV9" s="76"/>
      <c r="NW9" s="76"/>
      <c r="NX9" s="76"/>
      <c r="NY9" s="76"/>
    </row>
    <row r="10" spans="1:389" x14ac:dyDescent="0.35">
      <c r="A10" s="3" t="s">
        <v>40</v>
      </c>
      <c r="B10">
        <f>SUM(C13,R10:AR10,C10)</f>
        <v>1</v>
      </c>
      <c r="C10" s="86"/>
      <c r="F10" s="170"/>
      <c r="G10" s="91" t="s">
        <v>81</v>
      </c>
      <c r="H10" s="83">
        <v>0</v>
      </c>
      <c r="I10" s="208" t="s">
        <v>107</v>
      </c>
      <c r="J10" s="209"/>
      <c r="K10" s="84">
        <v>0</v>
      </c>
      <c r="L10" s="170"/>
      <c r="M10" s="170"/>
      <c r="N10" s="170"/>
      <c r="O10" t="s">
        <v>167</v>
      </c>
      <c r="R10" s="143">
        <v>0</v>
      </c>
      <c r="S10" s="143">
        <v>0</v>
      </c>
      <c r="T10" s="143">
        <v>0</v>
      </c>
      <c r="U10" s="143">
        <v>0</v>
      </c>
      <c r="V10" s="143">
        <v>0</v>
      </c>
      <c r="W10" s="143">
        <v>0</v>
      </c>
      <c r="X10" s="143">
        <v>0</v>
      </c>
      <c r="Y10" s="143">
        <v>0</v>
      </c>
      <c r="Z10" s="143">
        <v>0</v>
      </c>
      <c r="AA10" s="143">
        <v>0</v>
      </c>
      <c r="AB10" s="143">
        <v>0</v>
      </c>
      <c r="AC10" s="143">
        <v>0</v>
      </c>
      <c r="AD10" s="143">
        <v>0</v>
      </c>
      <c r="AE10" s="143">
        <v>0</v>
      </c>
      <c r="AF10" s="143">
        <v>0</v>
      </c>
      <c r="AG10" s="143">
        <v>0</v>
      </c>
      <c r="AH10" s="143">
        <v>0</v>
      </c>
      <c r="AI10" s="143">
        <v>0</v>
      </c>
      <c r="AJ10" s="143">
        <v>0</v>
      </c>
      <c r="AK10" s="143">
        <v>0</v>
      </c>
      <c r="AL10" s="143">
        <v>0</v>
      </c>
      <c r="AM10" s="143">
        <v>0</v>
      </c>
      <c r="AN10" s="143">
        <v>0</v>
      </c>
      <c r="AO10" s="143">
        <v>0</v>
      </c>
      <c r="AP10" s="143">
        <v>0</v>
      </c>
      <c r="AQ10" s="143">
        <v>0</v>
      </c>
      <c r="AR10" s="143">
        <v>0</v>
      </c>
      <c r="AX10" s="42" t="s">
        <v>136</v>
      </c>
      <c r="AY10" s="42">
        <v>8</v>
      </c>
      <c r="AZ10" s="42">
        <v>-16</v>
      </c>
      <c r="BA10" s="153">
        <f>VLOOKUP($D$1,$AX$10:$AZ$18,2,0)</f>
        <v>0</v>
      </c>
      <c r="BB10" s="153">
        <f>VLOOKUP($D$1,$AX$10:$AZ$18,3,0)</f>
        <v>0</v>
      </c>
      <c r="BC10" s="76"/>
      <c r="BD10" s="76"/>
      <c r="BE10" s="76"/>
      <c r="BF10" s="76"/>
      <c r="BG10" s="76"/>
      <c r="BH10" s="12"/>
      <c r="BI10" s="12"/>
      <c r="BJ10" s="12"/>
      <c r="BK10" s="12"/>
      <c r="BL10" s="12"/>
      <c r="BM10" s="12"/>
      <c r="BN10" s="13"/>
      <c r="NT10" s="76"/>
      <c r="NU10" s="76"/>
      <c r="NV10" s="76"/>
      <c r="NW10" s="76"/>
      <c r="NX10" s="76"/>
      <c r="NY10" s="76"/>
    </row>
    <row r="11" spans="1:389" x14ac:dyDescent="0.35">
      <c r="B11" s="98" t="s">
        <v>122</v>
      </c>
      <c r="C11" s="98" t="s">
        <v>121</v>
      </c>
      <c r="D11" s="98" t="s">
        <v>116</v>
      </c>
      <c r="F11" s="170"/>
      <c r="G11" s="166" t="s">
        <v>82</v>
      </c>
      <c r="H11" s="45" t="s">
        <v>84</v>
      </c>
      <c r="I11" s="4" t="s">
        <v>83</v>
      </c>
      <c r="J11" s="4" t="s">
        <v>93</v>
      </c>
      <c r="K11" s="44" t="s">
        <v>95</v>
      </c>
      <c r="L11" s="44" t="s">
        <v>94</v>
      </c>
      <c r="M11" s="44" t="s">
        <v>124</v>
      </c>
      <c r="N11" s="44" t="s">
        <v>153</v>
      </c>
      <c r="O11" s="167" t="s">
        <v>179</v>
      </c>
      <c r="R11" s="133">
        <v>0</v>
      </c>
      <c r="S11" s="133">
        <v>0</v>
      </c>
      <c r="T11" s="133">
        <v>0</v>
      </c>
      <c r="U11" s="133">
        <v>0</v>
      </c>
      <c r="V11" s="133">
        <v>0</v>
      </c>
      <c r="W11" s="133">
        <v>0</v>
      </c>
      <c r="X11" s="133">
        <v>0</v>
      </c>
      <c r="Y11" s="133">
        <v>0</v>
      </c>
      <c r="Z11" s="133">
        <v>0</v>
      </c>
      <c r="AA11" s="133">
        <v>0</v>
      </c>
      <c r="AB11" s="133">
        <v>0</v>
      </c>
      <c r="AC11" s="133">
        <v>0</v>
      </c>
      <c r="AD11" s="133">
        <v>0</v>
      </c>
      <c r="AE11" s="133">
        <v>0</v>
      </c>
      <c r="AF11" s="133">
        <v>0</v>
      </c>
      <c r="AG11" s="133">
        <v>0</v>
      </c>
      <c r="AH11" s="133">
        <v>0</v>
      </c>
      <c r="AI11" s="133">
        <v>0</v>
      </c>
      <c r="AJ11" s="133">
        <v>0</v>
      </c>
      <c r="AK11" s="133">
        <v>0</v>
      </c>
      <c r="AL11" s="133">
        <v>0</v>
      </c>
      <c r="AM11" s="133">
        <v>0</v>
      </c>
      <c r="AN11" s="133">
        <v>0</v>
      </c>
      <c r="AO11" s="133">
        <v>0</v>
      </c>
      <c r="AP11" s="133">
        <v>0</v>
      </c>
      <c r="AQ11" s="133">
        <v>0</v>
      </c>
      <c r="AR11" s="133">
        <v>0</v>
      </c>
      <c r="AX11" s="42" t="s">
        <v>125</v>
      </c>
      <c r="AY11" s="42">
        <v>4</v>
      </c>
      <c r="AZ11" s="42">
        <v>-12</v>
      </c>
      <c r="BB11" s="76"/>
      <c r="BC11" s="76"/>
      <c r="BD11" s="76"/>
      <c r="BE11" s="76"/>
      <c r="BF11" s="76"/>
      <c r="BG11" s="76"/>
      <c r="BH11" s="12"/>
      <c r="BI11" s="12"/>
      <c r="BJ11" s="12"/>
      <c r="BK11" s="12"/>
      <c r="BL11" s="12"/>
      <c r="BM11" s="12"/>
      <c r="BN11" s="13"/>
      <c r="NT11" s="76"/>
      <c r="NU11" s="76"/>
      <c r="NV11" s="76"/>
      <c r="NW11" s="76"/>
      <c r="NX11" s="76"/>
      <c r="NY11" s="76"/>
    </row>
    <row r="12" spans="1:389" ht="20.399999999999999" x14ac:dyDescent="0.35">
      <c r="A12" s="105" t="s">
        <v>72</v>
      </c>
      <c r="B12" s="129">
        <f t="shared" ref="B12:B17" si="0">SUM(D12,R12:AR12)</f>
        <v>14</v>
      </c>
      <c r="C12" s="130">
        <f t="shared" ref="C12:C17" si="1">ROUNDDOWN(B12/2,0)-5</f>
        <v>2</v>
      </c>
      <c r="D12" s="131">
        <v>14</v>
      </c>
      <c r="F12" s="3" t="s">
        <v>67</v>
      </c>
      <c r="G12" s="173">
        <f>SUM($B$24,IF(L12="Strength",$C$12,$C$13),M12,$H$10*(-1))</f>
        <v>15</v>
      </c>
      <c r="H12" s="45" t="s">
        <v>278</v>
      </c>
      <c r="I12" s="45">
        <f>SUM(N13,$B$25)</f>
        <v>5</v>
      </c>
      <c r="J12" s="45" t="s">
        <v>109</v>
      </c>
      <c r="K12" s="154" t="s">
        <v>97</v>
      </c>
      <c r="L12" s="85" t="s">
        <v>76</v>
      </c>
      <c r="M12" s="4">
        <f>SUM($H$23*2,$H$24*(-2),$H$25*(2),$J$23*2,$J$24,$J$25,$L$23*2,$H$31*(-2),$L$24)</f>
        <v>0</v>
      </c>
      <c r="N12" s="4">
        <f>SUM(IF(K12=$AZ$20,$AZ$25,IF(K12=$BA$20,$BA$25,IF(K12=$BB$20,$BB$25,IF(K12=$BC$20,$BC$25,IF(K12=$BD$20,$BD$25,0))))),IF(L12=$AZ$20,$AZ$24,IF(K12=$BA$20,$BA$24,IF(K12=$BB$20,$BB$24,IF(K12=$BC$20,$BC$24,IF(K12=$BD$20,$BD$24,0))))))</f>
        <v>2</v>
      </c>
      <c r="O12" s="43" t="s">
        <v>180</v>
      </c>
      <c r="R12" s="134">
        <v>0</v>
      </c>
      <c r="S12" s="134">
        <v>0</v>
      </c>
      <c r="T12" s="134">
        <v>0</v>
      </c>
      <c r="U12" s="134">
        <v>0</v>
      </c>
      <c r="V12" s="134">
        <v>0</v>
      </c>
      <c r="W12" s="134">
        <v>0</v>
      </c>
      <c r="X12" s="134">
        <v>0</v>
      </c>
      <c r="Y12" s="134">
        <v>0</v>
      </c>
      <c r="Z12" s="134">
        <v>0</v>
      </c>
      <c r="AA12" s="134">
        <v>0</v>
      </c>
      <c r="AB12" s="134">
        <v>0</v>
      </c>
      <c r="AC12" s="134">
        <v>0</v>
      </c>
      <c r="AD12" s="134">
        <v>0</v>
      </c>
      <c r="AE12" s="134">
        <v>0</v>
      </c>
      <c r="AF12" s="134">
        <v>0</v>
      </c>
      <c r="AG12" s="134">
        <v>0</v>
      </c>
      <c r="AH12" s="134">
        <v>0</v>
      </c>
      <c r="AI12" s="134">
        <v>0</v>
      </c>
      <c r="AJ12" s="134">
        <v>0</v>
      </c>
      <c r="AK12" s="134">
        <v>0</v>
      </c>
      <c r="AL12" s="134">
        <v>0</v>
      </c>
      <c r="AM12" s="134">
        <v>0</v>
      </c>
      <c r="AN12" s="134">
        <v>0</v>
      </c>
      <c r="AO12" s="134">
        <v>0</v>
      </c>
      <c r="AP12" s="134">
        <v>0</v>
      </c>
      <c r="AQ12" s="134">
        <v>0</v>
      </c>
      <c r="AR12" s="134">
        <v>0</v>
      </c>
      <c r="AX12" s="42" t="s">
        <v>126</v>
      </c>
      <c r="AY12" s="42">
        <v>2</v>
      </c>
      <c r="AZ12" s="42">
        <v>-8</v>
      </c>
      <c r="BB12" s="76"/>
      <c r="BC12" s="76"/>
      <c r="BD12" s="76"/>
      <c r="BE12" s="76"/>
      <c r="BF12" s="76"/>
      <c r="BG12" s="76"/>
      <c r="BH12" s="12"/>
      <c r="BI12" s="12"/>
      <c r="BJ12" s="12"/>
      <c r="BK12" s="12"/>
      <c r="BL12" s="12"/>
      <c r="BM12" s="12"/>
      <c r="BN12" s="13"/>
      <c r="NT12" s="76"/>
      <c r="NU12" s="76"/>
      <c r="NV12" s="76"/>
      <c r="NW12" s="76"/>
      <c r="NX12" s="76"/>
      <c r="NY12" s="76"/>
    </row>
    <row r="13" spans="1:389" ht="20.399999999999999" x14ac:dyDescent="0.35">
      <c r="A13" s="106" t="s">
        <v>76</v>
      </c>
      <c r="B13" s="99">
        <f t="shared" si="0"/>
        <v>13</v>
      </c>
      <c r="C13" s="99">
        <f t="shared" si="1"/>
        <v>1</v>
      </c>
      <c r="D13" s="108">
        <v>13</v>
      </c>
      <c r="F13" s="170"/>
      <c r="G13" s="200" t="s">
        <v>289</v>
      </c>
      <c r="H13" s="201"/>
      <c r="I13" s="202"/>
      <c r="J13" s="203"/>
      <c r="K13" s="204"/>
      <c r="L13" s="205"/>
      <c r="M13" s="4"/>
      <c r="N13" s="4">
        <f>SUM(N12,$L$24,$L$25*($B$4))</f>
        <v>2</v>
      </c>
      <c r="O13" s="43" t="s">
        <v>181</v>
      </c>
      <c r="R13" s="135">
        <v>0</v>
      </c>
      <c r="S13" s="135">
        <v>0</v>
      </c>
      <c r="T13" s="135">
        <v>0</v>
      </c>
      <c r="U13" s="135">
        <v>0</v>
      </c>
      <c r="V13" s="135">
        <v>0</v>
      </c>
      <c r="W13" s="135">
        <v>0</v>
      </c>
      <c r="X13" s="135">
        <v>0</v>
      </c>
      <c r="Y13" s="135"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5">
        <v>0</v>
      </c>
      <c r="AH13" s="135">
        <v>0</v>
      </c>
      <c r="AI13" s="135">
        <v>0</v>
      </c>
      <c r="AJ13" s="135">
        <v>0</v>
      </c>
      <c r="AK13" s="135">
        <v>0</v>
      </c>
      <c r="AL13" s="135">
        <v>0</v>
      </c>
      <c r="AM13" s="135">
        <v>0</v>
      </c>
      <c r="AN13" s="135">
        <v>0</v>
      </c>
      <c r="AO13" s="135">
        <v>0</v>
      </c>
      <c r="AP13" s="135">
        <v>0</v>
      </c>
      <c r="AQ13" s="135">
        <v>0</v>
      </c>
      <c r="AR13" s="135">
        <v>0</v>
      </c>
      <c r="AX13" s="42" t="s">
        <v>127</v>
      </c>
      <c r="AY13" s="42">
        <v>1</v>
      </c>
      <c r="AZ13" s="42">
        <v>-4</v>
      </c>
      <c r="BB13" s="76"/>
      <c r="BC13" s="76"/>
      <c r="BD13" s="76"/>
      <c r="BE13" s="76"/>
      <c r="BF13" s="76"/>
      <c r="BG13" s="76"/>
      <c r="BH13" s="12"/>
      <c r="BI13" s="12"/>
      <c r="BJ13" s="12"/>
      <c r="BK13" s="12"/>
      <c r="BL13" s="12"/>
      <c r="BM13" s="12"/>
      <c r="BN13" s="13"/>
      <c r="NT13" s="76"/>
      <c r="NU13" s="76"/>
      <c r="NV13" s="76"/>
      <c r="NW13" s="76"/>
      <c r="NX13" s="76"/>
      <c r="NY13" s="76"/>
    </row>
    <row r="14" spans="1:389" ht="20.399999999999999" x14ac:dyDescent="0.35">
      <c r="A14" s="127" t="s">
        <v>75</v>
      </c>
      <c r="B14" s="103">
        <f t="shared" si="0"/>
        <v>21</v>
      </c>
      <c r="C14" s="103">
        <f t="shared" si="1"/>
        <v>5</v>
      </c>
      <c r="D14" s="128">
        <v>15</v>
      </c>
      <c r="F14" s="171"/>
      <c r="G14" s="171"/>
      <c r="H14" s="171"/>
      <c r="I14" s="171"/>
      <c r="J14" s="171"/>
      <c r="K14" s="171"/>
      <c r="L14" s="171"/>
      <c r="M14" s="171"/>
      <c r="N14" s="171"/>
      <c r="O14" s="43" t="s">
        <v>182</v>
      </c>
      <c r="R14" s="136">
        <v>0</v>
      </c>
      <c r="S14" s="136">
        <v>0</v>
      </c>
      <c r="T14" s="136">
        <v>0</v>
      </c>
      <c r="U14" s="136">
        <v>0</v>
      </c>
      <c r="V14" s="136">
        <v>4</v>
      </c>
      <c r="W14" s="136">
        <v>0</v>
      </c>
      <c r="X14" s="136">
        <v>0</v>
      </c>
      <c r="Y14" s="136">
        <v>0</v>
      </c>
      <c r="Z14" s="136">
        <v>0</v>
      </c>
      <c r="AA14" s="136">
        <v>2</v>
      </c>
      <c r="AB14" s="136">
        <v>0</v>
      </c>
      <c r="AC14" s="136">
        <v>0</v>
      </c>
      <c r="AD14" s="136">
        <v>0</v>
      </c>
      <c r="AE14" s="136">
        <v>0</v>
      </c>
      <c r="AF14" s="136">
        <v>0</v>
      </c>
      <c r="AG14" s="136">
        <v>0</v>
      </c>
      <c r="AH14" s="136">
        <v>0</v>
      </c>
      <c r="AI14" s="136">
        <v>0</v>
      </c>
      <c r="AJ14" s="136">
        <v>0</v>
      </c>
      <c r="AK14" s="136">
        <v>0</v>
      </c>
      <c r="AL14" s="136">
        <v>0</v>
      </c>
      <c r="AM14" s="136">
        <v>0</v>
      </c>
      <c r="AN14" s="136">
        <v>0</v>
      </c>
      <c r="AO14" s="136">
        <v>0</v>
      </c>
      <c r="AP14" s="136">
        <v>0</v>
      </c>
      <c r="AQ14" s="136">
        <v>0</v>
      </c>
      <c r="AR14" s="136">
        <v>0</v>
      </c>
      <c r="AX14" s="42" t="s">
        <v>128</v>
      </c>
      <c r="AY14" s="42">
        <v>0</v>
      </c>
      <c r="AZ14" s="42">
        <v>0</v>
      </c>
      <c r="BB14" s="76"/>
      <c r="BC14" s="76"/>
      <c r="BD14" s="76"/>
      <c r="BE14" s="76"/>
      <c r="BF14" s="76"/>
      <c r="BG14" s="76"/>
      <c r="BH14" s="12"/>
      <c r="BI14" s="12"/>
      <c r="BJ14" s="12"/>
      <c r="BK14" s="12"/>
      <c r="BL14" s="12"/>
      <c r="BM14" s="12"/>
      <c r="BN14" s="13"/>
      <c r="NT14" s="76"/>
      <c r="NU14" s="76"/>
      <c r="NV14" s="76"/>
      <c r="NW14" s="76"/>
      <c r="NX14" s="76"/>
      <c r="NY14" s="76"/>
    </row>
    <row r="15" spans="1:389" ht="20.399999999999999" x14ac:dyDescent="0.35">
      <c r="A15" s="109" t="s">
        <v>115</v>
      </c>
      <c r="B15" s="100">
        <f t="shared" si="0"/>
        <v>12</v>
      </c>
      <c r="C15" s="100">
        <f t="shared" si="1"/>
        <v>1</v>
      </c>
      <c r="D15" s="110">
        <v>12</v>
      </c>
      <c r="F15" s="171"/>
      <c r="G15" s="207"/>
      <c r="H15" s="207"/>
      <c r="I15" s="207"/>
      <c r="J15" s="171"/>
      <c r="K15" s="171"/>
      <c r="L15" s="171"/>
      <c r="M15" s="171"/>
      <c r="N15" s="171"/>
      <c r="O15" s="43" t="s">
        <v>183</v>
      </c>
      <c r="R15" s="137">
        <v>0</v>
      </c>
      <c r="S15" s="137">
        <v>0</v>
      </c>
      <c r="T15" s="137">
        <v>0</v>
      </c>
      <c r="U15" s="137">
        <v>0</v>
      </c>
      <c r="V15" s="137">
        <v>0</v>
      </c>
      <c r="W15" s="137">
        <v>0</v>
      </c>
      <c r="X15" s="137">
        <v>0</v>
      </c>
      <c r="Y15" s="137">
        <v>0</v>
      </c>
      <c r="Z15" s="137">
        <v>0</v>
      </c>
      <c r="AA15" s="137">
        <v>0</v>
      </c>
      <c r="AB15" s="137">
        <v>0</v>
      </c>
      <c r="AC15" s="137">
        <v>0</v>
      </c>
      <c r="AD15" s="137">
        <v>0</v>
      </c>
      <c r="AE15" s="137">
        <v>0</v>
      </c>
      <c r="AF15" s="137">
        <v>0</v>
      </c>
      <c r="AG15" s="137">
        <v>0</v>
      </c>
      <c r="AH15" s="137">
        <v>0</v>
      </c>
      <c r="AI15" s="137">
        <v>0</v>
      </c>
      <c r="AJ15" s="137">
        <v>0</v>
      </c>
      <c r="AK15" s="137">
        <v>0</v>
      </c>
      <c r="AL15" s="137">
        <v>0</v>
      </c>
      <c r="AM15" s="137">
        <v>0</v>
      </c>
      <c r="AN15" s="137">
        <v>0</v>
      </c>
      <c r="AO15" s="137">
        <v>0</v>
      </c>
      <c r="AP15" s="137">
        <v>0</v>
      </c>
      <c r="AQ15" s="137">
        <v>0</v>
      </c>
      <c r="AR15" s="137">
        <v>0</v>
      </c>
      <c r="AX15" s="42" t="s">
        <v>129</v>
      </c>
      <c r="AY15" s="42" t="s">
        <v>130</v>
      </c>
      <c r="AZ15" s="42">
        <v>4</v>
      </c>
      <c r="BB15" s="76"/>
      <c r="BC15" s="76"/>
      <c r="BD15" s="76"/>
      <c r="BE15" s="76"/>
      <c r="BF15" s="76"/>
      <c r="BG15" s="76"/>
      <c r="BH15" s="12"/>
      <c r="BI15" s="12"/>
      <c r="BJ15" s="12"/>
      <c r="BK15" s="12"/>
      <c r="BL15" s="12"/>
      <c r="BM15" s="12"/>
      <c r="BN15" s="13"/>
      <c r="NT15" s="76"/>
      <c r="NU15" s="76"/>
      <c r="NV15" s="76"/>
      <c r="NW15" s="76"/>
      <c r="NX15" s="76"/>
      <c r="NY15" s="76"/>
    </row>
    <row r="16" spans="1:389" ht="20.399999999999999" x14ac:dyDescent="0.35">
      <c r="A16" s="111" t="s">
        <v>73</v>
      </c>
      <c r="B16" s="101">
        <f t="shared" si="0"/>
        <v>28</v>
      </c>
      <c r="C16" s="101">
        <f t="shared" si="1"/>
        <v>9</v>
      </c>
      <c r="D16" s="112">
        <v>20</v>
      </c>
      <c r="F16" s="171">
        <v>23</v>
      </c>
      <c r="G16" s="171"/>
      <c r="H16" s="171"/>
      <c r="I16" s="171"/>
      <c r="J16" s="171"/>
      <c r="K16" s="171"/>
      <c r="L16" s="171"/>
      <c r="M16" s="171"/>
      <c r="N16" s="171"/>
      <c r="O16" s="43" t="s">
        <v>184</v>
      </c>
      <c r="R16" s="138">
        <v>0</v>
      </c>
      <c r="S16" s="138">
        <v>0</v>
      </c>
      <c r="T16" s="138">
        <v>0</v>
      </c>
      <c r="U16" s="138">
        <v>0</v>
      </c>
      <c r="V16" s="138">
        <v>6</v>
      </c>
      <c r="W16" s="138">
        <v>0</v>
      </c>
      <c r="X16" s="138">
        <v>0</v>
      </c>
      <c r="Y16" s="138">
        <v>0</v>
      </c>
      <c r="Z16" s="138">
        <v>0</v>
      </c>
      <c r="AA16" s="138">
        <v>2</v>
      </c>
      <c r="AB16" s="138">
        <v>0</v>
      </c>
      <c r="AC16" s="138">
        <v>0</v>
      </c>
      <c r="AD16" s="138">
        <v>0</v>
      </c>
      <c r="AE16" s="138">
        <v>0</v>
      </c>
      <c r="AF16" s="138">
        <v>0</v>
      </c>
      <c r="AG16" s="138">
        <v>0</v>
      </c>
      <c r="AH16" s="138">
        <v>0</v>
      </c>
      <c r="AI16" s="138">
        <v>0</v>
      </c>
      <c r="AJ16" s="138">
        <v>0</v>
      </c>
      <c r="AK16" s="138">
        <v>0</v>
      </c>
      <c r="AL16" s="138">
        <v>0</v>
      </c>
      <c r="AM16" s="138">
        <v>0</v>
      </c>
      <c r="AN16" s="138">
        <v>0</v>
      </c>
      <c r="AO16" s="138">
        <v>0</v>
      </c>
      <c r="AP16" s="138">
        <v>0</v>
      </c>
      <c r="AQ16" s="138">
        <v>0</v>
      </c>
      <c r="AR16" s="138">
        <v>0</v>
      </c>
      <c r="AX16" s="42" t="s">
        <v>131</v>
      </c>
      <c r="AY16" s="42" t="s">
        <v>132</v>
      </c>
      <c r="AZ16" s="42">
        <v>8</v>
      </c>
      <c r="BB16" s="76"/>
      <c r="BC16" s="76"/>
      <c r="BD16" s="76"/>
      <c r="BE16" s="76"/>
      <c r="BF16" s="76"/>
      <c r="BG16" s="76"/>
      <c r="BH16" s="12"/>
      <c r="BI16" s="12"/>
      <c r="BJ16" s="12"/>
      <c r="BK16" s="12"/>
      <c r="BL16" s="12"/>
      <c r="BM16" s="12"/>
      <c r="BN16" s="13"/>
    </row>
    <row r="17" spans="1:66" ht="20.399999999999999" x14ac:dyDescent="0.35">
      <c r="A17" s="113" t="s">
        <v>74</v>
      </c>
      <c r="B17" s="114">
        <f t="shared" si="0"/>
        <v>15</v>
      </c>
      <c r="C17" s="114">
        <f t="shared" si="1"/>
        <v>2</v>
      </c>
      <c r="D17" s="115">
        <v>15</v>
      </c>
      <c r="F17" s="171">
        <v>9</v>
      </c>
      <c r="G17" s="207"/>
      <c r="H17" s="207"/>
      <c r="I17" s="207"/>
      <c r="J17" s="207"/>
      <c r="K17" s="207"/>
      <c r="L17" s="207"/>
      <c r="M17" s="171"/>
      <c r="N17" s="171"/>
      <c r="O17" s="43" t="s">
        <v>185</v>
      </c>
      <c r="R17" s="139">
        <v>0</v>
      </c>
      <c r="S17" s="139">
        <v>0</v>
      </c>
      <c r="T17" s="139">
        <v>0</v>
      </c>
      <c r="U17" s="139">
        <v>0</v>
      </c>
      <c r="V17" s="139">
        <v>0</v>
      </c>
      <c r="W17" s="139">
        <v>0</v>
      </c>
      <c r="X17" s="139">
        <v>0</v>
      </c>
      <c r="Y17" s="139">
        <v>0</v>
      </c>
      <c r="Z17" s="139">
        <v>0</v>
      </c>
      <c r="AA17" s="139">
        <v>0</v>
      </c>
      <c r="AB17" s="139">
        <v>0</v>
      </c>
      <c r="AC17" s="139">
        <v>0</v>
      </c>
      <c r="AD17" s="139">
        <v>0</v>
      </c>
      <c r="AE17" s="139">
        <v>0</v>
      </c>
      <c r="AF17" s="139">
        <v>0</v>
      </c>
      <c r="AG17" s="139">
        <v>0</v>
      </c>
      <c r="AH17" s="139">
        <v>0</v>
      </c>
      <c r="AI17" s="139">
        <v>0</v>
      </c>
      <c r="AJ17" s="139">
        <v>0</v>
      </c>
      <c r="AK17" s="139">
        <v>0</v>
      </c>
      <c r="AL17" s="139">
        <v>0</v>
      </c>
      <c r="AM17" s="139">
        <v>0</v>
      </c>
      <c r="AN17" s="139">
        <v>0</v>
      </c>
      <c r="AO17" s="139">
        <v>0</v>
      </c>
      <c r="AP17" s="139">
        <v>0</v>
      </c>
      <c r="AQ17" s="139">
        <v>0</v>
      </c>
      <c r="AR17" s="139">
        <v>0</v>
      </c>
      <c r="AX17" s="42" t="s">
        <v>133</v>
      </c>
      <c r="AY17" s="42" t="s">
        <v>134</v>
      </c>
      <c r="AZ17" s="42">
        <v>12</v>
      </c>
      <c r="BB17" s="76"/>
      <c r="BC17" s="76"/>
      <c r="BD17" s="76"/>
      <c r="BE17" s="76"/>
      <c r="BF17" s="76"/>
      <c r="BG17" s="76"/>
      <c r="BH17" s="12"/>
      <c r="BI17" s="12"/>
      <c r="BJ17" s="12"/>
      <c r="BK17" s="12"/>
      <c r="BL17" s="12"/>
      <c r="BM17" s="12"/>
      <c r="BN17" s="13"/>
    </row>
    <row r="18" spans="1:66" x14ac:dyDescent="0.35">
      <c r="B18" s="45" t="s">
        <v>122</v>
      </c>
      <c r="C18" s="45" t="s">
        <v>116</v>
      </c>
      <c r="K18" s="93"/>
      <c r="O18" s="43" t="s">
        <v>186</v>
      </c>
      <c r="R18" s="133">
        <v>0</v>
      </c>
      <c r="S18" s="133">
        <v>0</v>
      </c>
      <c r="T18" s="133">
        <v>0</v>
      </c>
      <c r="U18" s="133">
        <v>0</v>
      </c>
      <c r="V18" s="133">
        <v>0</v>
      </c>
      <c r="W18" s="133">
        <v>0</v>
      </c>
      <c r="X18" s="133">
        <v>0</v>
      </c>
      <c r="Y18" s="133">
        <v>0</v>
      </c>
      <c r="Z18" s="133">
        <v>0</v>
      </c>
      <c r="AA18" s="133">
        <v>0</v>
      </c>
      <c r="AB18" s="133">
        <v>0</v>
      </c>
      <c r="AC18" s="133">
        <v>0</v>
      </c>
      <c r="AD18" s="133">
        <v>0</v>
      </c>
      <c r="AE18" s="133">
        <v>0</v>
      </c>
      <c r="AF18" s="133">
        <v>0</v>
      </c>
      <c r="AG18" s="133">
        <v>0</v>
      </c>
      <c r="AH18" s="133">
        <v>0</v>
      </c>
      <c r="AI18" s="133">
        <v>0</v>
      </c>
      <c r="AJ18" s="133">
        <v>0</v>
      </c>
      <c r="AK18" s="133">
        <v>0</v>
      </c>
      <c r="AL18" s="133">
        <v>0</v>
      </c>
      <c r="AM18" s="133">
        <v>0</v>
      </c>
      <c r="AN18" s="133">
        <v>0</v>
      </c>
      <c r="AO18" s="133">
        <v>0</v>
      </c>
      <c r="AP18" s="133">
        <v>0</v>
      </c>
      <c r="AQ18" s="133">
        <v>0</v>
      </c>
      <c r="AR18" s="133">
        <v>0</v>
      </c>
      <c r="AX18" s="42" t="s">
        <v>140</v>
      </c>
      <c r="AY18" s="42" t="s">
        <v>135</v>
      </c>
      <c r="AZ18" s="42">
        <v>16</v>
      </c>
      <c r="BB18" s="76"/>
      <c r="BC18" s="76"/>
      <c r="BD18" s="76"/>
      <c r="BE18" s="76"/>
      <c r="BF18" s="76"/>
      <c r="BG18" s="76"/>
      <c r="BH18" s="12"/>
      <c r="BI18" s="12"/>
      <c r="BJ18" s="12"/>
      <c r="BK18" s="12"/>
      <c r="BL18" s="12"/>
      <c r="BM18" s="12"/>
      <c r="BN18" s="13"/>
    </row>
    <row r="19" spans="1:66" ht="17.399999999999999" x14ac:dyDescent="0.3">
      <c r="A19" s="132" t="s">
        <v>29</v>
      </c>
      <c r="B19" s="149">
        <f>SUM(C14,C19,R19:AR19,BG4)</f>
        <v>30</v>
      </c>
      <c r="C19" s="94">
        <v>11</v>
      </c>
      <c r="O19" s="43" t="s">
        <v>187</v>
      </c>
      <c r="R19" s="136">
        <v>0</v>
      </c>
      <c r="S19" s="136">
        <v>0</v>
      </c>
      <c r="T19" s="136">
        <v>0</v>
      </c>
      <c r="U19" s="136">
        <v>0</v>
      </c>
      <c r="V19" s="136">
        <v>4</v>
      </c>
      <c r="W19" s="136">
        <v>0</v>
      </c>
      <c r="X19" s="136">
        <v>0</v>
      </c>
      <c r="Y19" s="136">
        <v>0</v>
      </c>
      <c r="Z19" s="136">
        <v>0</v>
      </c>
      <c r="AA19" s="136">
        <v>0</v>
      </c>
      <c r="AB19" s="136">
        <v>2</v>
      </c>
      <c r="AC19" s="136">
        <v>4</v>
      </c>
      <c r="AD19" s="136">
        <v>0</v>
      </c>
      <c r="AE19" s="136">
        <v>0</v>
      </c>
      <c r="AF19" s="136">
        <v>0</v>
      </c>
      <c r="AG19" s="136">
        <v>0</v>
      </c>
      <c r="AH19" s="136">
        <v>0</v>
      </c>
      <c r="AI19" s="136">
        <v>4</v>
      </c>
      <c r="AJ19" s="136">
        <v>0</v>
      </c>
      <c r="AK19" s="136">
        <v>0</v>
      </c>
      <c r="AL19" s="136">
        <v>0</v>
      </c>
      <c r="AM19" s="136">
        <v>0</v>
      </c>
      <c r="AN19" s="136">
        <v>0</v>
      </c>
      <c r="AO19" s="136">
        <v>0</v>
      </c>
      <c r="AP19" s="136">
        <v>0</v>
      </c>
      <c r="AQ19" s="136">
        <v>0</v>
      </c>
      <c r="AR19" s="136">
        <v>0</v>
      </c>
      <c r="AW19" s="11"/>
      <c r="AX19" s="12"/>
      <c r="AY19" s="12"/>
      <c r="AZ19" s="12"/>
      <c r="BA19" s="12"/>
      <c r="BB19" s="12"/>
      <c r="BC19" s="12"/>
      <c r="BE19" s="12"/>
      <c r="BF19" s="12"/>
      <c r="BG19" s="12"/>
      <c r="BH19" s="12"/>
      <c r="BI19" s="12"/>
      <c r="BJ19" s="12"/>
      <c r="BK19" s="12"/>
      <c r="BL19" s="12"/>
      <c r="BM19" s="12"/>
      <c r="BN19" s="13"/>
    </row>
    <row r="20" spans="1:66" ht="17.399999999999999" x14ac:dyDescent="0.3">
      <c r="A20" s="106" t="s">
        <v>30</v>
      </c>
      <c r="B20" s="104">
        <f>SUM(C13,C20,R20:AR20,BG5)</f>
        <v>19</v>
      </c>
      <c r="C20" s="156">
        <v>4</v>
      </c>
      <c r="H20" s="49"/>
      <c r="O20" s="43" t="s">
        <v>188</v>
      </c>
      <c r="R20" s="140">
        <v>0</v>
      </c>
      <c r="S20" s="140">
        <v>0</v>
      </c>
      <c r="T20" s="140">
        <v>0</v>
      </c>
      <c r="U20" s="140">
        <v>0</v>
      </c>
      <c r="V20" s="140">
        <v>4</v>
      </c>
      <c r="W20" s="140">
        <v>0</v>
      </c>
      <c r="X20" s="140">
        <v>0</v>
      </c>
      <c r="Y20" s="140">
        <v>0</v>
      </c>
      <c r="Z20" s="140">
        <v>0</v>
      </c>
      <c r="AA20" s="140">
        <v>0</v>
      </c>
      <c r="AB20" s="140">
        <v>2</v>
      </c>
      <c r="AC20" s="140">
        <v>4</v>
      </c>
      <c r="AD20" s="140">
        <v>0</v>
      </c>
      <c r="AE20" s="140">
        <v>0</v>
      </c>
      <c r="AF20" s="140">
        <v>0</v>
      </c>
      <c r="AG20" s="140">
        <v>0</v>
      </c>
      <c r="AH20" s="140">
        <v>0</v>
      </c>
      <c r="AI20" s="140">
        <v>4</v>
      </c>
      <c r="AJ20" s="140">
        <v>0</v>
      </c>
      <c r="AK20" s="140">
        <v>0</v>
      </c>
      <c r="AL20" s="140">
        <v>0</v>
      </c>
      <c r="AM20" s="140">
        <v>0</v>
      </c>
      <c r="AN20" s="140">
        <v>0</v>
      </c>
      <c r="AO20" s="140">
        <v>0</v>
      </c>
      <c r="AP20" s="140">
        <v>0</v>
      </c>
      <c r="AQ20" s="140">
        <v>0</v>
      </c>
      <c r="AR20" s="140">
        <v>0</v>
      </c>
      <c r="AW20" s="206" t="s">
        <v>155</v>
      </c>
      <c r="AX20" s="206"/>
      <c r="AY20" s="206"/>
      <c r="AZ20" s="123" t="s">
        <v>97</v>
      </c>
      <c r="BA20" s="123" t="s">
        <v>152</v>
      </c>
      <c r="BB20" s="123" t="s">
        <v>106</v>
      </c>
      <c r="BC20" s="165" t="s">
        <v>151</v>
      </c>
      <c r="BD20" s="123" t="s">
        <v>105</v>
      </c>
      <c r="BE20" s="12"/>
      <c r="BF20" s="12"/>
      <c r="BG20" s="12"/>
      <c r="BH20" s="12"/>
      <c r="BI20" s="12"/>
      <c r="BJ20" s="12"/>
      <c r="BK20" s="12"/>
      <c r="BL20" s="12"/>
      <c r="BM20" s="12"/>
      <c r="BN20" s="13"/>
    </row>
    <row r="21" spans="1:66" ht="17.399999999999999" x14ac:dyDescent="0.3">
      <c r="A21" s="107" t="s">
        <v>31</v>
      </c>
      <c r="B21" s="150">
        <f>SUM(C21,C16,R21:AR21,BG6)</f>
        <v>34</v>
      </c>
      <c r="C21" s="57">
        <v>11</v>
      </c>
      <c r="O21" s="43" t="s">
        <v>248</v>
      </c>
      <c r="P21">
        <v>12</v>
      </c>
      <c r="R21" s="141">
        <v>0</v>
      </c>
      <c r="S21" s="141">
        <v>0</v>
      </c>
      <c r="T21" s="141">
        <v>0</v>
      </c>
      <c r="U21" s="141">
        <v>0</v>
      </c>
      <c r="V21" s="141">
        <v>4</v>
      </c>
      <c r="W21" s="141">
        <v>0</v>
      </c>
      <c r="X21" s="141">
        <v>0</v>
      </c>
      <c r="Y21" s="141">
        <v>0</v>
      </c>
      <c r="Z21" s="141">
        <v>0</v>
      </c>
      <c r="AA21" s="141">
        <v>0</v>
      </c>
      <c r="AB21" s="141">
        <v>2</v>
      </c>
      <c r="AC21" s="141">
        <v>4</v>
      </c>
      <c r="AD21" s="141">
        <v>0</v>
      </c>
      <c r="AE21" s="141">
        <v>0</v>
      </c>
      <c r="AF21" s="141">
        <v>0</v>
      </c>
      <c r="AG21" s="141">
        <v>0</v>
      </c>
      <c r="AH21" s="141">
        <v>0</v>
      </c>
      <c r="AI21" s="141">
        <v>4</v>
      </c>
      <c r="AJ21" s="141">
        <v>0</v>
      </c>
      <c r="AK21" s="141">
        <v>0</v>
      </c>
      <c r="AL21" s="141">
        <v>0</v>
      </c>
      <c r="AM21" s="141">
        <v>0</v>
      </c>
      <c r="AN21" s="141">
        <v>0</v>
      </c>
      <c r="AO21" s="141">
        <v>0</v>
      </c>
      <c r="AP21" s="141">
        <v>0</v>
      </c>
      <c r="AQ21" s="141">
        <v>0</v>
      </c>
      <c r="AR21" s="141">
        <v>0</v>
      </c>
      <c r="AW21" s="198" t="s">
        <v>142</v>
      </c>
      <c r="AX21" s="198"/>
      <c r="AY21" s="12">
        <f>SUM($H$10)</f>
        <v>0</v>
      </c>
      <c r="AZ21" s="12">
        <v>0</v>
      </c>
      <c r="BA21" s="12">
        <v>0</v>
      </c>
      <c r="BB21" s="12">
        <f>AY21</f>
        <v>0</v>
      </c>
      <c r="BC21" s="12">
        <f>AY21</f>
        <v>0</v>
      </c>
      <c r="BD21">
        <f>AY21*2</f>
        <v>0</v>
      </c>
      <c r="BE21" s="12"/>
      <c r="BF21" s="12"/>
      <c r="BG21" s="12"/>
      <c r="BH21" s="12"/>
      <c r="BI21" s="12"/>
      <c r="BJ21" s="12"/>
      <c r="BK21" s="12"/>
      <c r="BL21" s="12"/>
      <c r="BM21" s="12"/>
      <c r="BN21" s="13"/>
    </row>
    <row r="22" spans="1:66" x14ac:dyDescent="0.35">
      <c r="B22" s="47" t="s">
        <v>122</v>
      </c>
      <c r="C22" s="48" t="s">
        <v>116</v>
      </c>
      <c r="G22" s="199" t="s">
        <v>114</v>
      </c>
      <c r="H22" s="199"/>
      <c r="O22" s="43" t="s">
        <v>249</v>
      </c>
      <c r="P22">
        <v>2</v>
      </c>
      <c r="Q22" t="s">
        <v>420</v>
      </c>
      <c r="R22" s="133">
        <v>0</v>
      </c>
      <c r="S22" s="133">
        <v>0</v>
      </c>
      <c r="T22" s="133">
        <v>0</v>
      </c>
      <c r="U22" s="133">
        <v>0</v>
      </c>
      <c r="V22" s="133">
        <v>0</v>
      </c>
      <c r="W22" s="133">
        <v>0</v>
      </c>
      <c r="X22" s="133">
        <v>0</v>
      </c>
      <c r="Y22" s="133">
        <v>0</v>
      </c>
      <c r="Z22" s="133">
        <v>0</v>
      </c>
      <c r="AA22" s="133">
        <v>0</v>
      </c>
      <c r="AB22" s="133">
        <v>0</v>
      </c>
      <c r="AC22" s="133">
        <v>0</v>
      </c>
      <c r="AD22" s="133">
        <v>0</v>
      </c>
      <c r="AE22" s="133">
        <v>0</v>
      </c>
      <c r="AF22" s="133">
        <v>0</v>
      </c>
      <c r="AG22" s="133">
        <v>0</v>
      </c>
      <c r="AH22" s="133">
        <v>0</v>
      </c>
      <c r="AI22" s="133">
        <v>0</v>
      </c>
      <c r="AJ22" s="133">
        <v>0</v>
      </c>
      <c r="AK22" s="133">
        <v>0</v>
      </c>
      <c r="AL22" s="133">
        <v>0</v>
      </c>
      <c r="AM22" s="133">
        <v>0</v>
      </c>
      <c r="AN22" s="133">
        <v>0</v>
      </c>
      <c r="AO22" s="133">
        <v>0</v>
      </c>
      <c r="AP22" s="133">
        <v>0</v>
      </c>
      <c r="AQ22" s="133">
        <v>0</v>
      </c>
      <c r="AR22" s="133">
        <v>0</v>
      </c>
      <c r="AW22" s="11"/>
      <c r="AX22" s="12"/>
      <c r="AY22" s="12"/>
      <c r="BE22" s="12"/>
      <c r="BF22" s="12"/>
      <c r="BG22" s="12"/>
      <c r="BH22" s="12"/>
      <c r="BI22" s="12"/>
      <c r="BJ22" s="12"/>
      <c r="BK22" s="12"/>
      <c r="BL22" s="12"/>
      <c r="BM22" s="12"/>
      <c r="BN22" s="13"/>
    </row>
    <row r="23" spans="1:66" ht="14.4" x14ac:dyDescent="0.3">
      <c r="A23" s="151" t="s">
        <v>71</v>
      </c>
      <c r="B23" s="51">
        <f>SUM(C23,B29,R23:AR23)</f>
        <v>11</v>
      </c>
      <c r="C23" s="52">
        <v>11</v>
      </c>
      <c r="G23" s="79" t="s">
        <v>99</v>
      </c>
      <c r="H23" s="82">
        <v>0</v>
      </c>
      <c r="I23" s="50" t="s">
        <v>98</v>
      </c>
      <c r="J23" s="87">
        <v>0</v>
      </c>
      <c r="K23" s="79" t="s">
        <v>110</v>
      </c>
      <c r="L23" s="82">
        <v>0</v>
      </c>
      <c r="O23" s="43" t="s">
        <v>250</v>
      </c>
      <c r="P23" t="s">
        <v>405</v>
      </c>
      <c r="Q23" t="s">
        <v>419</v>
      </c>
      <c r="R23" s="145">
        <v>0</v>
      </c>
      <c r="S23" s="145">
        <v>0</v>
      </c>
      <c r="T23" s="145">
        <v>0</v>
      </c>
      <c r="U23" s="145">
        <v>0</v>
      </c>
      <c r="V23" s="145">
        <v>0</v>
      </c>
      <c r="W23" s="145">
        <v>0</v>
      </c>
      <c r="X23" s="145">
        <v>0</v>
      </c>
      <c r="Y23" s="145">
        <v>0</v>
      </c>
      <c r="Z23" s="145">
        <v>0</v>
      </c>
      <c r="AA23" s="145">
        <v>0</v>
      </c>
      <c r="AB23" s="145">
        <v>0</v>
      </c>
      <c r="AC23" s="145">
        <v>0</v>
      </c>
      <c r="AD23" s="145">
        <v>0</v>
      </c>
      <c r="AE23" s="145">
        <v>0</v>
      </c>
      <c r="AF23" s="145">
        <v>0</v>
      </c>
      <c r="AG23" s="145">
        <v>0</v>
      </c>
      <c r="AH23" s="145">
        <v>0</v>
      </c>
      <c r="AI23" s="145">
        <v>0</v>
      </c>
      <c r="AJ23" s="145">
        <v>0</v>
      </c>
      <c r="AK23" s="145">
        <v>0</v>
      </c>
      <c r="AL23" s="145">
        <v>0</v>
      </c>
      <c r="AM23" s="145">
        <v>0</v>
      </c>
      <c r="AN23" s="145">
        <v>0</v>
      </c>
      <c r="AO23" s="145">
        <v>0</v>
      </c>
      <c r="AP23" s="145">
        <v>0</v>
      </c>
      <c r="AQ23" s="145">
        <v>0</v>
      </c>
      <c r="AR23" s="145">
        <v>0</v>
      </c>
      <c r="AW23" s="11"/>
      <c r="AX23" s="12"/>
      <c r="AY23" s="12"/>
      <c r="AZ23" s="12"/>
      <c r="BA23" s="12"/>
      <c r="BB23" s="12"/>
      <c r="BC23" s="12"/>
      <c r="BE23" s="12"/>
      <c r="BF23" s="12"/>
      <c r="BG23" s="12"/>
      <c r="BH23" s="12"/>
      <c r="BI23" s="12"/>
      <c r="BJ23" s="12"/>
      <c r="BK23" s="12"/>
      <c r="BL23" s="12"/>
      <c r="BM23" s="12"/>
      <c r="BN23" s="13"/>
    </row>
    <row r="24" spans="1:66" ht="17.399999999999999" x14ac:dyDescent="0.3">
      <c r="A24" s="146" t="s">
        <v>46</v>
      </c>
      <c r="B24" s="12">
        <f>SUM(B23,R24:AR24,BG7,BA10)</f>
        <v>14</v>
      </c>
      <c r="C24" s="13"/>
      <c r="D24" s="161"/>
      <c r="G24" s="79" t="s">
        <v>100</v>
      </c>
      <c r="H24" s="82">
        <v>0</v>
      </c>
      <c r="I24" s="11" t="s">
        <v>103</v>
      </c>
      <c r="J24" s="88">
        <v>0</v>
      </c>
      <c r="O24" s="43" t="s">
        <v>404</v>
      </c>
      <c r="P24">
        <v>4</v>
      </c>
      <c r="Q24" t="s">
        <v>418</v>
      </c>
      <c r="R24" s="143">
        <v>0</v>
      </c>
      <c r="S24" s="143">
        <v>0</v>
      </c>
      <c r="T24" s="143">
        <v>0</v>
      </c>
      <c r="U24" s="143">
        <v>0</v>
      </c>
      <c r="V24" s="143">
        <v>0</v>
      </c>
      <c r="W24" s="143">
        <v>0</v>
      </c>
      <c r="X24" s="143">
        <v>0</v>
      </c>
      <c r="Y24" s="143">
        <v>0</v>
      </c>
      <c r="Z24" s="143">
        <v>0</v>
      </c>
      <c r="AA24" s="143">
        <v>0</v>
      </c>
      <c r="AB24" s="143">
        <v>0</v>
      </c>
      <c r="AC24" s="143">
        <v>3</v>
      </c>
      <c r="AD24" s="143">
        <v>0</v>
      </c>
      <c r="AE24" s="143">
        <v>0</v>
      </c>
      <c r="AF24" s="143">
        <v>0</v>
      </c>
      <c r="AG24" s="143">
        <v>0</v>
      </c>
      <c r="AH24" s="143">
        <v>0</v>
      </c>
      <c r="AI24" s="143">
        <v>0</v>
      </c>
      <c r="AJ24" s="143">
        <v>0</v>
      </c>
      <c r="AK24" s="143">
        <v>0</v>
      </c>
      <c r="AL24" s="143">
        <v>0</v>
      </c>
      <c r="AM24" s="143">
        <v>0</v>
      </c>
      <c r="AN24" s="143">
        <v>0</v>
      </c>
      <c r="AO24" s="143">
        <v>0</v>
      </c>
      <c r="AP24" s="143">
        <v>0</v>
      </c>
      <c r="AQ24" s="143">
        <v>0</v>
      </c>
      <c r="AR24" s="143">
        <v>0</v>
      </c>
      <c r="AW24" s="197" t="s">
        <v>143</v>
      </c>
      <c r="AX24" s="198"/>
      <c r="AY24" s="12">
        <f>$K$10+1</f>
        <v>1</v>
      </c>
      <c r="AZ24" s="12">
        <f>AZ21*$AY$24</f>
        <v>0</v>
      </c>
      <c r="BA24" s="12">
        <f>BA21*$AY$24</f>
        <v>0</v>
      </c>
      <c r="BB24" s="12">
        <f>BB21*$AY$24</f>
        <v>0</v>
      </c>
      <c r="BC24" s="12">
        <f>BC21*$AY$24</f>
        <v>0</v>
      </c>
      <c r="BD24" s="12">
        <f>BD21*$AY$24</f>
        <v>0</v>
      </c>
      <c r="BE24" s="43">
        <f>IF($K$12=$AZ$20,AZ24,IF($K$12=$BA$20,BA24,IF($K$12=$BB$20,BB24,IF($K$12=$BC$20,BC24,IF($K$12=$BD$20,BD24,0)))))</f>
        <v>0</v>
      </c>
      <c r="BF24" s="12"/>
      <c r="BG24" s="12"/>
      <c r="BH24" s="12"/>
      <c r="BI24" s="12"/>
      <c r="BJ24" s="12"/>
      <c r="BK24" s="12"/>
      <c r="BL24" s="12"/>
      <c r="BM24" s="12"/>
      <c r="BN24" s="13"/>
    </row>
    <row r="25" spans="1:66" ht="14.4" x14ac:dyDescent="0.3">
      <c r="A25" s="152" t="s">
        <v>70</v>
      </c>
      <c r="B25" s="12">
        <f>SUM(R25:AR25)</f>
        <v>3</v>
      </c>
      <c r="C25" s="13"/>
      <c r="G25" s="79" t="s">
        <v>101</v>
      </c>
      <c r="H25" s="82">
        <v>0</v>
      </c>
      <c r="I25" s="90" t="s">
        <v>104</v>
      </c>
      <c r="J25" s="89">
        <v>0</v>
      </c>
      <c r="O25" s="43" t="s">
        <v>251</v>
      </c>
      <c r="P25">
        <v>2</v>
      </c>
      <c r="Q25" t="s">
        <v>420</v>
      </c>
      <c r="R25" s="145">
        <v>0</v>
      </c>
      <c r="S25" s="145">
        <v>0</v>
      </c>
      <c r="T25" s="145">
        <v>0</v>
      </c>
      <c r="U25" s="145">
        <v>0</v>
      </c>
      <c r="V25" s="145">
        <v>0</v>
      </c>
      <c r="W25" s="145">
        <v>0</v>
      </c>
      <c r="X25" s="145">
        <v>0</v>
      </c>
      <c r="Y25" s="145">
        <v>0</v>
      </c>
      <c r="Z25" s="145">
        <v>0</v>
      </c>
      <c r="AA25" s="145">
        <v>0</v>
      </c>
      <c r="AB25" s="145">
        <v>0</v>
      </c>
      <c r="AC25" s="145">
        <v>3</v>
      </c>
      <c r="AD25" s="145">
        <v>0</v>
      </c>
      <c r="AE25" s="145">
        <v>0</v>
      </c>
      <c r="AF25" s="145">
        <v>0</v>
      </c>
      <c r="AG25" s="145">
        <v>0</v>
      </c>
      <c r="AH25" s="145">
        <v>0</v>
      </c>
      <c r="AI25" s="145">
        <v>0</v>
      </c>
      <c r="AJ25" s="145">
        <v>0</v>
      </c>
      <c r="AK25" s="145">
        <v>0</v>
      </c>
      <c r="AL25" s="145">
        <v>0</v>
      </c>
      <c r="AM25" s="145">
        <v>0</v>
      </c>
      <c r="AN25" s="145">
        <v>0</v>
      </c>
      <c r="AO25" s="145">
        <v>0</v>
      </c>
      <c r="AP25" s="145">
        <v>0</v>
      </c>
      <c r="AQ25" s="145">
        <v>0</v>
      </c>
      <c r="AR25" s="145">
        <v>0</v>
      </c>
      <c r="AW25" s="11"/>
      <c r="AX25" s="12" t="s">
        <v>154</v>
      </c>
      <c r="AY25" s="12"/>
      <c r="AZ25" s="12">
        <f>$C$12</f>
        <v>2</v>
      </c>
      <c r="BA25" s="12">
        <f>ROUNDDOWN($C$12*0.5,0)</f>
        <v>1</v>
      </c>
      <c r="BB25" s="12">
        <f>$C$12</f>
        <v>2</v>
      </c>
      <c r="BC25" s="12">
        <f>ROUNDDOWN($C$12*0.5,0)</f>
        <v>1</v>
      </c>
      <c r="BD25" s="12">
        <f>ROUNDDOWN($C$12*1.5,0)</f>
        <v>3</v>
      </c>
      <c r="BE25" s="43">
        <f>IF(L12=A12,IF($K$12=$AZ$20,AZ25,IF($K$12=$BA$20,BA25,IF($K$12=$BB$20,BB25,IF($K$12=$BC$20,BC25,IF($K$12=$BD$20,BD25,0))))),0)</f>
        <v>0</v>
      </c>
      <c r="BF25" s="12"/>
      <c r="BG25" s="12"/>
      <c r="BH25" s="12"/>
      <c r="BI25" s="12"/>
      <c r="BJ25" s="12"/>
      <c r="BK25" s="12"/>
      <c r="BL25" s="12"/>
      <c r="BM25" s="12"/>
      <c r="BN25" s="13"/>
    </row>
    <row r="26" spans="1:66" x14ac:dyDescent="0.35">
      <c r="A26" s="147" t="s">
        <v>77</v>
      </c>
      <c r="B26" s="54">
        <f>SUM(B23,C12,BB10,R26:AR26)</f>
        <v>13</v>
      </c>
      <c r="C26" s="55"/>
      <c r="O26" s="43" t="s">
        <v>241</v>
      </c>
      <c r="P26">
        <v>1</v>
      </c>
      <c r="Q26" t="s">
        <v>422</v>
      </c>
      <c r="R26" s="144">
        <v>0</v>
      </c>
      <c r="S26" s="144">
        <v>0</v>
      </c>
      <c r="T26" s="144">
        <v>0</v>
      </c>
      <c r="U26" s="144">
        <v>0</v>
      </c>
      <c r="V26" s="144">
        <v>0</v>
      </c>
      <c r="W26" s="144">
        <v>0</v>
      </c>
      <c r="X26" s="144">
        <v>0</v>
      </c>
      <c r="Y26" s="144">
        <v>0</v>
      </c>
      <c r="Z26" s="144">
        <v>0</v>
      </c>
      <c r="AA26" s="144">
        <v>0</v>
      </c>
      <c r="AB26" s="144">
        <v>0</v>
      </c>
      <c r="AC26" s="144">
        <v>0</v>
      </c>
      <c r="AD26" s="144">
        <v>0</v>
      </c>
      <c r="AE26" s="144">
        <v>0</v>
      </c>
      <c r="AF26" s="144">
        <v>0</v>
      </c>
      <c r="AG26" s="144">
        <v>0</v>
      </c>
      <c r="AH26" s="144">
        <v>0</v>
      </c>
      <c r="AI26" s="144">
        <v>0</v>
      </c>
      <c r="AJ26" s="144">
        <v>0</v>
      </c>
      <c r="AK26" s="144">
        <v>0</v>
      </c>
      <c r="AL26" s="144">
        <v>0</v>
      </c>
      <c r="AM26" s="144">
        <v>0</v>
      </c>
      <c r="AN26" s="144">
        <v>0</v>
      </c>
      <c r="AO26" s="144">
        <v>0</v>
      </c>
      <c r="AP26" s="144">
        <v>0</v>
      </c>
      <c r="AQ26" s="144">
        <v>0</v>
      </c>
      <c r="AR26" s="144">
        <v>0</v>
      </c>
      <c r="AW26" s="11"/>
      <c r="AX26" s="12"/>
      <c r="AY26" s="12"/>
      <c r="AZ26" s="12"/>
      <c r="BA26" s="12"/>
      <c r="BB26" s="12"/>
      <c r="BC26" s="43"/>
      <c r="BD26" s="43"/>
      <c r="BE26" s="43" t="e">
        <f>if</f>
        <v>#NAME?</v>
      </c>
      <c r="BF26" s="12"/>
      <c r="BG26" s="12"/>
      <c r="BH26" s="12"/>
      <c r="BI26" s="12"/>
      <c r="BJ26" s="12"/>
      <c r="BK26" s="12"/>
      <c r="BL26" s="12"/>
      <c r="BM26" s="12"/>
      <c r="BN26" s="13"/>
    </row>
    <row r="27" spans="1:66" x14ac:dyDescent="0.35">
      <c r="O27" s="43" t="s">
        <v>252</v>
      </c>
      <c r="AW27" s="53"/>
      <c r="AX27" s="54"/>
      <c r="AY27" s="54"/>
      <c r="AZ27" s="54"/>
      <c r="BA27" s="54"/>
      <c r="BB27" s="54"/>
      <c r="BC27" s="54"/>
      <c r="BE27" s="54"/>
      <c r="BF27" s="54"/>
      <c r="BG27" s="54"/>
      <c r="BH27" s="54"/>
      <c r="BI27" s="54"/>
      <c r="BJ27" s="54"/>
      <c r="BK27" s="54"/>
      <c r="BL27" s="54"/>
      <c r="BM27" s="54"/>
      <c r="BN27" s="55"/>
    </row>
    <row r="28" spans="1:66" ht="14.4" x14ac:dyDescent="0.3">
      <c r="A28" s="4" t="s">
        <v>86</v>
      </c>
      <c r="B28" s="77">
        <v>0</v>
      </c>
      <c r="O28" s="43" t="s">
        <v>253</v>
      </c>
      <c r="P28" t="s">
        <v>421</v>
      </c>
    </row>
    <row r="29" spans="1:66" ht="14.4" x14ac:dyDescent="0.3">
      <c r="A29" s="4" t="s">
        <v>87</v>
      </c>
      <c r="B29" s="78">
        <v>0</v>
      </c>
      <c r="G29" s="199" t="s">
        <v>145</v>
      </c>
      <c r="H29" s="199"/>
      <c r="O29" t="s">
        <v>363</v>
      </c>
      <c r="P29" t="s">
        <v>364</v>
      </c>
    </row>
    <row r="30" spans="1:66" ht="14.4" x14ac:dyDescent="0.3">
      <c r="A30" s="4" t="s">
        <v>141</v>
      </c>
      <c r="B30" s="78">
        <v>0</v>
      </c>
      <c r="G30" s="79" t="s">
        <v>146</v>
      </c>
      <c r="H30" s="82">
        <v>0</v>
      </c>
      <c r="O30" t="s">
        <v>365</v>
      </c>
      <c r="P30" t="s">
        <v>366</v>
      </c>
    </row>
    <row r="31" spans="1:66" s="1" customFormat="1" ht="14.4" x14ac:dyDescent="0.3">
      <c r="G31" s="79" t="s">
        <v>147</v>
      </c>
      <c r="H31" s="82">
        <v>0</v>
      </c>
      <c r="I31"/>
      <c r="J31"/>
      <c r="K31"/>
      <c r="L31"/>
      <c r="M31"/>
      <c r="N31"/>
      <c r="O31" t="s">
        <v>367</v>
      </c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</row>
    <row r="32" spans="1:66" x14ac:dyDescent="0.35">
      <c r="O32" t="s">
        <v>423</v>
      </c>
      <c r="P32">
        <v>2</v>
      </c>
      <c r="Q32" t="s">
        <v>424</v>
      </c>
    </row>
    <row r="33" spans="1:27" x14ac:dyDescent="0.35">
      <c r="A33" s="3" t="s">
        <v>64</v>
      </c>
      <c r="B33">
        <f>COUNTA(A35:A81)</f>
        <v>24</v>
      </c>
    </row>
    <row r="34" spans="1:27" x14ac:dyDescent="0.35">
      <c r="A34" s="3" t="s">
        <v>43</v>
      </c>
      <c r="B34" s="19" t="s">
        <v>55</v>
      </c>
      <c r="C34" s="30" t="s">
        <v>69</v>
      </c>
      <c r="D34" s="32" t="s">
        <v>63</v>
      </c>
      <c r="E34" s="21" t="s">
        <v>59</v>
      </c>
      <c r="F34" s="58" t="s">
        <v>44</v>
      </c>
      <c r="G34" s="59" t="s">
        <v>50</v>
      </c>
      <c r="H34" s="60" t="s">
        <v>51</v>
      </c>
      <c r="I34" s="61" t="s">
        <v>58</v>
      </c>
      <c r="J34" s="62" t="s">
        <v>47</v>
      </c>
      <c r="K34" s="59" t="s">
        <v>50</v>
      </c>
      <c r="L34" s="60" t="s">
        <v>51</v>
      </c>
      <c r="M34" s="61" t="s">
        <v>58</v>
      </c>
      <c r="N34" s="63" t="s">
        <v>59</v>
      </c>
      <c r="O34" s="62" t="s">
        <v>47</v>
      </c>
      <c r="P34" s="59" t="s">
        <v>50</v>
      </c>
      <c r="Q34" s="60" t="s">
        <v>51</v>
      </c>
      <c r="R34" s="61" t="s">
        <v>58</v>
      </c>
      <c r="S34" s="63" t="s">
        <v>59</v>
      </c>
      <c r="T34" s="64" t="s">
        <v>66</v>
      </c>
      <c r="W34" s="1"/>
      <c r="X34" s="1"/>
      <c r="Y34" s="1"/>
      <c r="Z34" s="1"/>
      <c r="AA34" s="1"/>
    </row>
    <row r="35" spans="1:27" x14ac:dyDescent="0.35">
      <c r="A35" s="17" t="s">
        <v>90</v>
      </c>
      <c r="B35" s="80">
        <v>8</v>
      </c>
      <c r="C35" s="177" t="s">
        <v>299</v>
      </c>
      <c r="D35" s="31">
        <f>IFERROR(VLOOKUP(A35,BUFFS!$H$5:$AF$195,8,),"")</f>
        <v>0</v>
      </c>
      <c r="E35" s="24">
        <f>IFERROR(SUM(H35,ROUNDDOWN(MIN(B35,T$35)*I35,0)),"")</f>
        <v>8</v>
      </c>
      <c r="F35" s="65" t="str">
        <f>IFERROR(VLOOKUP(A35,BUFFS!$H$5:$AF$195,5,),"")</f>
        <v>AC</v>
      </c>
      <c r="G35" s="66" t="str">
        <f>IFERROR(VLOOKUP(A35,BUFFS!$H$5:$AF$195,6,),"")</f>
        <v xml:space="preserve">Armor Bonus </v>
      </c>
      <c r="H35" s="67">
        <f>IFERROR(VLOOKUP(A35,BUFFS!$H$5:$AF$195,7,),"")</f>
        <v>0</v>
      </c>
      <c r="I35" s="66">
        <f>IFERROR(VLOOKUP(A35,BUFFS!$H$5:$AF$195,9,),"")</f>
        <v>1</v>
      </c>
      <c r="J35" s="65">
        <f>IFERROR(VLOOKUP(A35,BUFFS!$H$5:$AF$195,10,),"")</f>
        <v>0</v>
      </c>
      <c r="K35" s="66">
        <f>IFERROR(VLOOKUP(A35,BUFFS!$H$5:$AF$195,11,),"")</f>
        <v>0</v>
      </c>
      <c r="L35" s="66">
        <f>IFERROR(VLOOKUP(A35,BUFFS!$H$5:$AF$195,12,),"")</f>
        <v>0</v>
      </c>
      <c r="M35" s="66">
        <f>IFERROR(VLOOKUP(A35,BUFFS!$H$5:$AF$195,14,),"")</f>
        <v>0</v>
      </c>
      <c r="N35" s="68">
        <f>IFERROR(SUM(L35,ROUNDDOWN(MIN(B35,T$35)*M35,0)),"")</f>
        <v>0</v>
      </c>
      <c r="O35" s="65">
        <f>IFERROR(VLOOKUP(A35,BUFFS!$H$5:$AF$195,15,),"")</f>
        <v>0</v>
      </c>
      <c r="P35" s="66">
        <f>IFERROR(VLOOKUP(A35,BUFFS!$H$5:$AF$195,16,),"")</f>
        <v>0</v>
      </c>
      <c r="Q35" s="66">
        <f>IFERROR(VLOOKUP(A35,BUFFS!$H$5:$AF$195,17,),"")</f>
        <v>0</v>
      </c>
      <c r="R35" s="66">
        <f>IFERROR(VLOOKUP(A35,BUFFS!$H$5:$AF$195,19,),"")</f>
        <v>0</v>
      </c>
      <c r="S35" s="69">
        <f>IFERROR(SUM(Q35,ROUNDDOWN(MIN(B35,T$35)*R35,0)),"")</f>
        <v>0</v>
      </c>
      <c r="T35" s="70">
        <f>IFERROR(VLOOKUP(A35,BUFFS!$H$5:$AF$195,20,),"")</f>
        <v>100</v>
      </c>
    </row>
    <row r="36" spans="1:27" x14ac:dyDescent="0.35">
      <c r="A36" s="17" t="s">
        <v>91</v>
      </c>
      <c r="B36" s="80">
        <v>2</v>
      </c>
      <c r="C36" s="177" t="s">
        <v>299</v>
      </c>
      <c r="D36" s="31">
        <f>IFERROR(VLOOKUP(A36,BUFFS!$H$5:$AF$195,8,),"")</f>
        <v>0</v>
      </c>
      <c r="E36" s="24">
        <f>IFERROR(SUM(H36,ROUNDDOWN(MIN(B36,T$35)*I36,0)),"")</f>
        <v>2</v>
      </c>
      <c r="F36" s="65" t="str">
        <f>IFERROR(VLOOKUP(A36,BUFFS!$H$5:$AF$195,5,),"")</f>
        <v>AC</v>
      </c>
      <c r="G36" s="66" t="str">
        <f>IFERROR(VLOOKUP(A36,BUFFS!$H$5:$AF$195,6,),"")</f>
        <v xml:space="preserve">Shield Bonus </v>
      </c>
      <c r="H36" s="67">
        <f>IFERROR(VLOOKUP(A36,BUFFS!$H$5:$AF$195,7,),"")</f>
        <v>0</v>
      </c>
      <c r="I36" s="66">
        <f>IFERROR(VLOOKUP(A36,BUFFS!$H$5:$AF$195,9,),"")</f>
        <v>1</v>
      </c>
      <c r="J36" s="65">
        <f>IFERROR(VLOOKUP(A36,BUFFS!$H$5:$AF$195,10,),"")</f>
        <v>0</v>
      </c>
      <c r="K36" s="66">
        <f>IFERROR(VLOOKUP(A36,BUFFS!$H$5:$AF$195,11,),"")</f>
        <v>0</v>
      </c>
      <c r="L36" s="66">
        <f>IFERROR(VLOOKUP(A36,BUFFS!$H$5:$AF$195,12,),"")</f>
        <v>0</v>
      </c>
      <c r="M36" s="66">
        <f>IFERROR(VLOOKUP(A36,BUFFS!$H$5:$AF$195,14,),"")</f>
        <v>0</v>
      </c>
      <c r="N36" s="68">
        <f>IFERROR(SUM(L36,ROUNDDOWN(MIN(B36,T$35)*M36,0)),"")</f>
        <v>0</v>
      </c>
      <c r="O36" s="65">
        <f>IFERROR(VLOOKUP(A36,BUFFS!$H$5:$AF$195,15,),"")</f>
        <v>0</v>
      </c>
      <c r="P36" s="66">
        <f>IFERROR(VLOOKUP(A36,BUFFS!$H$5:$AF$195,16,),"")</f>
        <v>0</v>
      </c>
      <c r="Q36" s="66">
        <f>IFERROR(VLOOKUP(A36,BUFFS!$H$5:$AF$195,17,),"")</f>
        <v>0</v>
      </c>
      <c r="R36" s="66">
        <f>IFERROR(VLOOKUP(A36,BUFFS!$H$5:$AF$195,19,),"")</f>
        <v>0</v>
      </c>
      <c r="S36" s="69">
        <f>IFERROR(SUM(Q36,ROUNDDOWN(MIN(B36,T$35)*R36,0)),"")</f>
        <v>0</v>
      </c>
      <c r="T36" s="70">
        <f>IFERROR(VLOOKUP(A36,BUFFS!$H$5:$AF$195,20,),"")</f>
        <v>100</v>
      </c>
    </row>
    <row r="37" spans="1:27" x14ac:dyDescent="0.35">
      <c r="A37" s="17" t="s">
        <v>158</v>
      </c>
      <c r="B37" s="80">
        <v>0</v>
      </c>
      <c r="C37" s="177" t="s">
        <v>299</v>
      </c>
      <c r="D37" s="31">
        <f>IFERROR(VLOOKUP(A37,BUFFS!$H$5:$AF$195,8,),"")</f>
        <v>0</v>
      </c>
      <c r="E37" s="24">
        <f>IFERROR(SUM(H37,ROUNDDOWN(MIN(B37,T$35)*I37,0)),"")</f>
        <v>0</v>
      </c>
      <c r="F37" s="65" t="str">
        <f>IFERROR(VLOOKUP(A37,BUFFS!$H$5:$AF$195,5,),"")</f>
        <v>AC</v>
      </c>
      <c r="G37" s="66" t="str">
        <f>IFERROR(VLOOKUP(A37,BUFFS!$H$5:$AF$195,6,),"")</f>
        <v xml:space="preserve">Enhancement Armor Bonus </v>
      </c>
      <c r="H37" s="67">
        <f>IFERROR(VLOOKUP(A37,BUFFS!$H$5:$AF$195,7,),"")</f>
        <v>0</v>
      </c>
      <c r="I37" s="66">
        <f>IFERROR(VLOOKUP(A37,BUFFS!$H$5:$AF$195,9,),"")</f>
        <v>1</v>
      </c>
      <c r="J37" s="65">
        <f>IFERROR(VLOOKUP(A37,BUFFS!$H$5:$AF$195,10,),"")</f>
        <v>0</v>
      </c>
      <c r="K37" s="66">
        <f>IFERROR(VLOOKUP(A37,BUFFS!$H$5:$AF$195,11,),"")</f>
        <v>0</v>
      </c>
      <c r="L37" s="66">
        <f>IFERROR(VLOOKUP(A37,BUFFS!$H$5:$AF$195,12,),"")</f>
        <v>0</v>
      </c>
      <c r="M37" s="66">
        <f>IFERROR(VLOOKUP(A37,BUFFS!$H$5:$AF$195,14,),"")</f>
        <v>0</v>
      </c>
      <c r="N37" s="68">
        <f>IFERROR(SUM(L37,ROUNDDOWN(MIN(B37,T$35)*M37,0)),"")</f>
        <v>0</v>
      </c>
      <c r="O37" s="65">
        <f>IFERROR(VLOOKUP(A37,BUFFS!$H$5:$AF$195,15,),"")</f>
        <v>0</v>
      </c>
      <c r="P37" s="66">
        <f>IFERROR(VLOOKUP(A37,BUFFS!$H$5:$AF$195,16,),"")</f>
        <v>0</v>
      </c>
      <c r="Q37" s="66">
        <f>IFERROR(VLOOKUP(A37,BUFFS!$H$5:$AF$195,17,),"")</f>
        <v>0</v>
      </c>
      <c r="R37" s="66">
        <f>IFERROR(VLOOKUP(A37,BUFFS!$H$5:$AF$195,19,),"")</f>
        <v>0</v>
      </c>
      <c r="S37" s="69">
        <f>IFERROR(SUM(Q37,ROUNDDOWN(MIN(B37,T$35)*R37,0)),"")</f>
        <v>0</v>
      </c>
      <c r="T37" s="70">
        <f>IFERROR(VLOOKUP(A37,BUFFS!$H$5:$AF$195,20,),"")</f>
        <v>100</v>
      </c>
    </row>
    <row r="38" spans="1:27" x14ac:dyDescent="0.35">
      <c r="A38" s="17" t="s">
        <v>92</v>
      </c>
      <c r="B38" s="80">
        <v>4</v>
      </c>
      <c r="C38" s="177" t="s">
        <v>299</v>
      </c>
      <c r="D38" s="31">
        <f>IFERROR(VLOOKUP(A38,BUFFS!$H$5:$AF$195,8,),"")</f>
        <v>0</v>
      </c>
      <c r="E38" s="24">
        <f>IFERROR(SUM(H38,ROUNDDOWN(MIN(B38,T$35)*I38,0)),"")</f>
        <v>4</v>
      </c>
      <c r="F38" s="65" t="str">
        <f>IFERROR(VLOOKUP(A38,BUFFS!$H$5:$AF$195,5,),"")</f>
        <v>FORT</v>
      </c>
      <c r="G38" s="66" t="str">
        <f>IFERROR(VLOOKUP(A38,BUFFS!$H$5:$AF$195,6,),"")</f>
        <v>Enhancement</v>
      </c>
      <c r="H38" s="67">
        <f>IFERROR(VLOOKUP(A38,BUFFS!$H$5:$AF$195,7,),"")</f>
        <v>0</v>
      </c>
      <c r="I38" s="66">
        <f>IFERROR(VLOOKUP(A38,BUFFS!$H$5:$AF$195,9,),"")</f>
        <v>1</v>
      </c>
      <c r="J38" s="65" t="str">
        <f>IFERROR(VLOOKUP(A38,BUFFS!$H$5:$AF$195,10,),"")</f>
        <v>REF</v>
      </c>
      <c r="K38" s="66" t="str">
        <f>IFERROR(VLOOKUP(A38,BUFFS!$H$5:$AF$195,11,),"")</f>
        <v>Enhancement</v>
      </c>
      <c r="L38" s="66">
        <f>IFERROR(VLOOKUP(A38,BUFFS!$H$5:$AF$195,12,),"")</f>
        <v>0</v>
      </c>
      <c r="M38" s="66">
        <f>IFERROR(VLOOKUP(A38,BUFFS!$H$5:$AF$195,14,),"")</f>
        <v>1</v>
      </c>
      <c r="N38" s="68">
        <f>IFERROR(SUM(L38,ROUNDDOWN(MIN(B38,T$35)*M38,0)),"")</f>
        <v>4</v>
      </c>
      <c r="O38" s="65" t="str">
        <f>IFERROR(VLOOKUP(A38,BUFFS!$H$5:$AF$195,15,),"")</f>
        <v>WILL</v>
      </c>
      <c r="P38" s="66" t="str">
        <f>IFERROR(VLOOKUP(A38,BUFFS!$H$5:$AF$195,16,),"")</f>
        <v>Enhancement</v>
      </c>
      <c r="Q38" s="66">
        <f>IFERROR(VLOOKUP(A38,BUFFS!$H$5:$AF$195,17,),"")</f>
        <v>0</v>
      </c>
      <c r="R38" s="66">
        <f>IFERROR(VLOOKUP(A38,BUFFS!$H$5:$AF$195,19,),"")</f>
        <v>1</v>
      </c>
      <c r="S38" s="69">
        <f>IFERROR(SUM(Q38,ROUNDDOWN(MIN(B38,T$35)*R38,0)),"")</f>
        <v>4</v>
      </c>
      <c r="T38" s="70">
        <f>IFERROR(VLOOKUP(A38,BUFFS!$H$5:$AF$195,20,),"")</f>
        <v>100</v>
      </c>
    </row>
    <row r="39" spans="1:27" x14ac:dyDescent="0.35">
      <c r="A39" s="17" t="s">
        <v>175</v>
      </c>
      <c r="B39" s="80">
        <v>2</v>
      </c>
      <c r="C39" s="177" t="s">
        <v>299</v>
      </c>
      <c r="D39" s="31">
        <f>IFERROR(VLOOKUP(A39,BUFFS!$H$5:$AF$195,8,),"")</f>
        <v>0</v>
      </c>
      <c r="E39" s="24">
        <f>IFERROR(SUM(H39,ROUNDDOWN(MIN(B39,T$35)*I39,0)),"")</f>
        <v>2</v>
      </c>
      <c r="F39" s="65" t="str">
        <f>IFERROR(VLOOKUP(A39,BUFFS!$H$5:$AF$195,5,),"")</f>
        <v>Constitution</v>
      </c>
      <c r="G39" s="66" t="str">
        <f>IFERROR(VLOOKUP(A39,BUFFS!$H$5:$AF$195,6,),"")</f>
        <v xml:space="preserve">Insight Bonus </v>
      </c>
      <c r="H39" s="67">
        <f>IFERROR(VLOOKUP(A39,BUFFS!$H$5:$AF$195,7,),"")</f>
        <v>0</v>
      </c>
      <c r="I39" s="66">
        <f>IFERROR(VLOOKUP(A39,BUFFS!$H$5:$AF$195,9,),"")</f>
        <v>1</v>
      </c>
      <c r="J39" s="65">
        <f>IFERROR(VLOOKUP(A39,BUFFS!$H$5:$AF$195,10,),"")</f>
        <v>0</v>
      </c>
      <c r="K39" s="66">
        <f>IFERROR(VLOOKUP(A39,BUFFS!$H$5:$AF$195,11,),"")</f>
        <v>0</v>
      </c>
      <c r="L39" s="66">
        <f>IFERROR(VLOOKUP(A39,BUFFS!$H$5:$AF$195,12,),"")</f>
        <v>0</v>
      </c>
      <c r="M39" s="66">
        <f>IFERROR(VLOOKUP(A39,BUFFS!$H$5:$AF$195,14,),"")</f>
        <v>0</v>
      </c>
      <c r="N39" s="68">
        <f>IFERROR(SUM(L39,ROUNDDOWN(MIN(B39,T$35)*M39,0)),"")</f>
        <v>0</v>
      </c>
      <c r="O39" s="65">
        <f>IFERROR(VLOOKUP(A39,BUFFS!$H$5:$AF$195,15,),"")</f>
        <v>0</v>
      </c>
      <c r="P39" s="66">
        <f>IFERROR(VLOOKUP(A39,BUFFS!$H$5:$AF$195,16,),"")</f>
        <v>0</v>
      </c>
      <c r="Q39" s="66">
        <f>IFERROR(VLOOKUP(A39,BUFFS!$H$5:$AF$195,17,),"")</f>
        <v>0</v>
      </c>
      <c r="R39" s="66">
        <f>IFERROR(VLOOKUP(A39,BUFFS!$H$5:$AF$195,19,),"")</f>
        <v>0</v>
      </c>
      <c r="S39" s="69">
        <f>IFERROR(SUM(Q39,ROUNDDOWN(MIN(B39,T$35)*R39,0)),"")</f>
        <v>0</v>
      </c>
      <c r="T39" s="70">
        <f>IFERROR(VLOOKUP(A39,BUFFS!$H$5:$AF$195,20,),"")</f>
        <v>100</v>
      </c>
    </row>
    <row r="40" spans="1:27" x14ac:dyDescent="0.35">
      <c r="A40" s="17" t="s">
        <v>176</v>
      </c>
      <c r="B40" s="80">
        <v>4</v>
      </c>
      <c r="C40" s="177" t="s">
        <v>299</v>
      </c>
      <c r="D40" s="31">
        <f>IFERROR(VLOOKUP(A40,BUFFS!$H$5:$AF$195,8,),"")</f>
        <v>0</v>
      </c>
      <c r="E40" s="24">
        <v>4</v>
      </c>
      <c r="F40" s="65" t="str">
        <f>IFERROR(VLOOKUP(A40,BUFFS!$H$5:$AF$195,5,),"")</f>
        <v>Constitution</v>
      </c>
      <c r="G40" s="66" t="str">
        <f>IFERROR(VLOOKUP(A40,BUFFS!$H$5:$AF$195,6,),"")</f>
        <v>Enhancement</v>
      </c>
      <c r="H40" s="67">
        <f>IFERROR(VLOOKUP(A40,BUFFS!$H$5:$AF$195,7,),"")</f>
        <v>0</v>
      </c>
      <c r="I40" s="66">
        <f>IFERROR(VLOOKUP(A40,BUFFS!$H$5:$AF$195,9,),"")</f>
        <v>1</v>
      </c>
      <c r="J40" s="65">
        <f>IFERROR(VLOOKUP(A40,BUFFS!$H$5:$AF$195,10,),"")</f>
        <v>0</v>
      </c>
      <c r="K40" s="66">
        <f>IFERROR(VLOOKUP(A40,BUFFS!$H$5:$AF$195,11,),"")</f>
        <v>0</v>
      </c>
      <c r="L40" s="66">
        <f>IFERROR(VLOOKUP(A40,BUFFS!$H$5:$AF$195,12,),"")</f>
        <v>0</v>
      </c>
      <c r="M40" s="66">
        <f>IFERROR(VLOOKUP(A40,BUFFS!$H$5:$AF$195,14,),"")</f>
        <v>0</v>
      </c>
      <c r="N40" s="68">
        <f>IFERROR(SUM(L40,ROUNDDOWN(MIN(B40,T$35)*M40,0)),"")</f>
        <v>0</v>
      </c>
      <c r="O40" s="65">
        <f>IFERROR(VLOOKUP(A40,BUFFS!$H$5:$AF$195,15,),"")</f>
        <v>0</v>
      </c>
      <c r="P40" s="66">
        <f>IFERROR(VLOOKUP(A40,BUFFS!$H$5:$AF$195,16,),"")</f>
        <v>0</v>
      </c>
      <c r="Q40" s="66">
        <f>IFERROR(VLOOKUP(A40,BUFFS!$H$5:$AF$195,17,),"")</f>
        <v>0</v>
      </c>
      <c r="R40" s="66">
        <f>IFERROR(VLOOKUP(A40,BUFFS!$H$5:$AF$195,19,),"")</f>
        <v>0</v>
      </c>
      <c r="S40" s="69">
        <f>IFERROR(SUM(Q40,ROUNDDOWN(MIN(B40,T$35)*R40,0)),"")</f>
        <v>0</v>
      </c>
      <c r="T40" s="70">
        <f>IFERROR(VLOOKUP(A40,BUFFS!$H$5:$AF$195,20,),"")</f>
        <v>100</v>
      </c>
    </row>
    <row r="41" spans="1:27" x14ac:dyDescent="0.35">
      <c r="A41" s="17" t="s">
        <v>189</v>
      </c>
      <c r="B41" s="80">
        <v>0</v>
      </c>
      <c r="C41" s="177" t="s">
        <v>299</v>
      </c>
      <c r="D41" s="31">
        <f>IFERROR(VLOOKUP(A41,BUFFS!$H$5:$AF$195,8,),"")</f>
        <v>0</v>
      </c>
      <c r="E41" s="24">
        <f>IFERROR(SUM(H41,ROUNDDOWN(MIN(B41,T$35)*I41,0)),"")</f>
        <v>0</v>
      </c>
      <c r="F41" s="65" t="str">
        <f>IFERROR(VLOOKUP(A41,BUFFS!$H$5:$AF$195,5,),"")</f>
        <v>AC</v>
      </c>
      <c r="G41" s="66" t="str">
        <f>IFERROR(VLOOKUP(A41,BUFFS!$H$5:$AF$195,6,),"")</f>
        <v xml:space="preserve">Deflection Bonus </v>
      </c>
      <c r="H41" s="67">
        <f>IFERROR(VLOOKUP(A41,BUFFS!$H$5:$AF$195,7,),"")</f>
        <v>0</v>
      </c>
      <c r="I41" s="66">
        <f>IFERROR(VLOOKUP(A41,BUFFS!$H$5:$AF$195,9,),"")</f>
        <v>1</v>
      </c>
      <c r="J41" s="65">
        <f>IFERROR(VLOOKUP(A41,BUFFS!$H$5:$AF$195,10,),"")</f>
        <v>0</v>
      </c>
      <c r="K41" s="66">
        <f>IFERROR(VLOOKUP(A41,BUFFS!$H$5:$AF$195,11,),"")</f>
        <v>0</v>
      </c>
      <c r="L41" s="66">
        <f>IFERROR(VLOOKUP(A41,BUFFS!$H$5:$AF$195,12,),"")</f>
        <v>0</v>
      </c>
      <c r="M41" s="66">
        <f>IFERROR(VLOOKUP(A41,BUFFS!$H$5:$AF$195,14,),"")</f>
        <v>0</v>
      </c>
      <c r="N41" s="68">
        <f>IFERROR(SUM(L41,ROUNDDOWN(MIN(B41,T$35)*M41,0)),"")</f>
        <v>0</v>
      </c>
      <c r="O41" s="65">
        <f>IFERROR(VLOOKUP(A41,BUFFS!$H$5:$AF$195,15,),"")</f>
        <v>0</v>
      </c>
      <c r="P41" s="66">
        <f>IFERROR(VLOOKUP(A41,BUFFS!$H$5:$AF$195,16,),"")</f>
        <v>0</v>
      </c>
      <c r="Q41" s="66">
        <f>IFERROR(VLOOKUP(A41,BUFFS!$H$5:$AF$195,17,),"")</f>
        <v>0</v>
      </c>
      <c r="R41" s="66">
        <f>IFERROR(VLOOKUP(A41,BUFFS!$H$5:$AF$195,19,),"")</f>
        <v>0</v>
      </c>
      <c r="S41" s="69">
        <f>IFERROR(SUM(Q41,ROUNDDOWN(MIN(B41,T$35)*R41,0)),"")</f>
        <v>0</v>
      </c>
      <c r="T41" s="70">
        <f>IFERROR(VLOOKUP(A41,BUFFS!$H$5:$AF$195,20,),"")</f>
        <v>100</v>
      </c>
    </row>
    <row r="42" spans="1:27" x14ac:dyDescent="0.35">
      <c r="A42" s="17" t="s">
        <v>190</v>
      </c>
      <c r="B42" s="80">
        <v>2</v>
      </c>
      <c r="C42" s="177" t="s">
        <v>299</v>
      </c>
      <c r="D42" s="31">
        <f>IFERROR(VLOOKUP(A42,BUFFS!$H$5:$AF$195,8,),"")</f>
        <v>0</v>
      </c>
      <c r="E42" s="24">
        <f>IFERROR(SUM(H42,ROUNDDOWN(MIN(B42,T$35)*I42,0)),"")</f>
        <v>2</v>
      </c>
      <c r="F42" s="65" t="str">
        <f>IFERROR(VLOOKUP(A42,BUFFS!$H$5:$AF$195,5,),"")</f>
        <v>Wisdom</v>
      </c>
      <c r="G42" s="66" t="str">
        <f>IFERROR(VLOOKUP(A42,BUFFS!$H$5:$AF$195,6,),"")</f>
        <v xml:space="preserve">Insight Bonus </v>
      </c>
      <c r="H42" s="67">
        <f>IFERROR(VLOOKUP(A42,BUFFS!$H$5:$AF$195,7,),"")</f>
        <v>0</v>
      </c>
      <c r="I42" s="66">
        <f>IFERROR(VLOOKUP(A42,BUFFS!$H$5:$AF$195,9,),"")</f>
        <v>1</v>
      </c>
      <c r="J42" s="65">
        <f>IFERROR(VLOOKUP(A42,BUFFS!$H$5:$AF$195,10,),"")</f>
        <v>0</v>
      </c>
      <c r="K42" s="66">
        <f>IFERROR(VLOOKUP(A42,BUFFS!$H$5:$AF$195,11,),"")</f>
        <v>0</v>
      </c>
      <c r="L42" s="66">
        <f>IFERROR(VLOOKUP(A42,BUFFS!$H$5:$AF$195,12,),"")</f>
        <v>0</v>
      </c>
      <c r="M42" s="66">
        <f>IFERROR(VLOOKUP(A42,BUFFS!$H$5:$AF$195,14,),"")</f>
        <v>0</v>
      </c>
      <c r="N42" s="68">
        <f>IFERROR(SUM(L42,ROUNDDOWN(MIN(B42,T$35)*M42,0)),"")</f>
        <v>0</v>
      </c>
      <c r="O42" s="65">
        <f>IFERROR(VLOOKUP(A42,BUFFS!$H$5:$AF$195,15,),"")</f>
        <v>0</v>
      </c>
      <c r="P42" s="66">
        <f>IFERROR(VLOOKUP(A42,BUFFS!$H$5:$AF$195,16,),"")</f>
        <v>0</v>
      </c>
      <c r="Q42" s="66">
        <f>IFERROR(VLOOKUP(A42,BUFFS!$H$5:$AF$195,17,),"")</f>
        <v>0</v>
      </c>
      <c r="R42" s="66">
        <f>IFERROR(VLOOKUP(A42,BUFFS!$H$5:$AF$195,19,),"")</f>
        <v>0</v>
      </c>
      <c r="S42" s="69">
        <f>IFERROR(SUM(Q42,ROUNDDOWN(MIN(B42,T$35)*R42,0)),"")</f>
        <v>0</v>
      </c>
      <c r="T42" s="70">
        <f>IFERROR(VLOOKUP(A42,BUFFS!$H$5:$AF$195,20,),"")</f>
        <v>100</v>
      </c>
    </row>
    <row r="43" spans="1:27" x14ac:dyDescent="0.35">
      <c r="A43" s="17" t="s">
        <v>191</v>
      </c>
      <c r="B43" s="80">
        <v>6</v>
      </c>
      <c r="C43" s="177" t="s">
        <v>299</v>
      </c>
      <c r="D43" s="31">
        <f>IFERROR(VLOOKUP(A43,BUFFS!$H$5:$AF$195,8,),"")</f>
        <v>0</v>
      </c>
      <c r="E43" s="24">
        <f>IFERROR(SUM(H43,ROUNDDOWN(MIN(B43,T$35)*I43,0)),"")</f>
        <v>6</v>
      </c>
      <c r="F43" s="65" t="str">
        <f>IFERROR(VLOOKUP(A43,BUFFS!$H$5:$AF$195,5,),"")</f>
        <v>Wisdom</v>
      </c>
      <c r="G43" s="66" t="str">
        <f>IFERROR(VLOOKUP(A43,BUFFS!$H$5:$AF$195,6,),"")</f>
        <v>Enhancement</v>
      </c>
      <c r="H43" s="67">
        <f>IFERROR(VLOOKUP(A43,BUFFS!$H$5:$AF$195,7,),"")</f>
        <v>0</v>
      </c>
      <c r="I43" s="66">
        <f>IFERROR(VLOOKUP(A43,BUFFS!$H$5:$AF$195,9,),"")</f>
        <v>1</v>
      </c>
      <c r="J43" s="65">
        <f>IFERROR(VLOOKUP(A43,BUFFS!$H$5:$AF$195,10,),"")</f>
        <v>0</v>
      </c>
      <c r="K43" s="66">
        <f>IFERROR(VLOOKUP(A43,BUFFS!$H$5:$AF$195,11,),"")</f>
        <v>0</v>
      </c>
      <c r="L43" s="66">
        <f>IFERROR(VLOOKUP(A43,BUFFS!$H$5:$AF$195,12,),"")</f>
        <v>0</v>
      </c>
      <c r="M43" s="66">
        <f>IFERROR(VLOOKUP(A43,BUFFS!$H$5:$AF$195,14,),"")</f>
        <v>0</v>
      </c>
      <c r="N43" s="68">
        <f>IFERROR(SUM(L43,ROUNDDOWN(MIN(B43,T$35)*M43,0)),"")</f>
        <v>0</v>
      </c>
      <c r="O43" s="65">
        <f>IFERROR(VLOOKUP(A43,BUFFS!$H$5:$AF$195,15,),"")</f>
        <v>0</v>
      </c>
      <c r="P43" s="66">
        <f>IFERROR(VLOOKUP(A43,BUFFS!$H$5:$AF$195,16,),"")</f>
        <v>0</v>
      </c>
      <c r="Q43" s="66">
        <f>IFERROR(VLOOKUP(A43,BUFFS!$H$5:$AF$195,17,),"")</f>
        <v>0</v>
      </c>
      <c r="R43" s="66">
        <f>IFERROR(VLOOKUP(A43,BUFFS!$H$5:$AF$195,19,),"")</f>
        <v>0</v>
      </c>
      <c r="S43" s="69">
        <f>IFERROR(SUM(Q43,ROUNDDOWN(MIN(B43,T$35)*R43,0)),"")</f>
        <v>0</v>
      </c>
      <c r="T43" s="70">
        <f>IFERROR(VLOOKUP(A43,BUFFS!$H$5:$AF$195,20,),"")</f>
        <v>100</v>
      </c>
    </row>
    <row r="44" spans="1:27" x14ac:dyDescent="0.35">
      <c r="A44" s="17" t="s">
        <v>240</v>
      </c>
      <c r="B44" s="80">
        <v>0</v>
      </c>
      <c r="C44" s="177" t="s">
        <v>299</v>
      </c>
      <c r="D44" s="31">
        <f>IFERROR(VLOOKUP(A44,BUFFS!$H$5:$AF$195,8,),"")</f>
        <v>0</v>
      </c>
      <c r="E44" s="24">
        <f>IFERROR(SUM(H44,ROUNDDOWN(MIN(B44,T$35)*I44,0)),"")</f>
        <v>1</v>
      </c>
      <c r="F44" s="65" t="str">
        <f>IFERROR(VLOOKUP(A44,BUFFS!$H$5:$AF$195,5,),"")</f>
        <v>AC</v>
      </c>
      <c r="G44" s="66" t="str">
        <f>IFERROR(VLOOKUP(A44,BUFFS!$H$5:$AF$195,6,),"")</f>
        <v xml:space="preserve">Luck Modifier </v>
      </c>
      <c r="H44" s="67">
        <f>IFERROR(VLOOKUP(A44,BUFFS!$H$5:$AF$195,7,),"")</f>
        <v>1</v>
      </c>
      <c r="I44" s="66">
        <f>IFERROR(VLOOKUP(A44,BUFFS!$H$5:$AF$195,9,),"")</f>
        <v>0</v>
      </c>
      <c r="J44" s="65" t="str">
        <f>IFERROR(VLOOKUP(A44,BUFFS!$H$5:$AF$195,10,),"")</f>
        <v>REF</v>
      </c>
      <c r="K44" s="66" t="str">
        <f>IFERROR(VLOOKUP(A44,BUFFS!$H$5:$AF$195,11,),"")</f>
        <v xml:space="preserve">Luck Modifier </v>
      </c>
      <c r="L44" s="66">
        <f>IFERROR(VLOOKUP(A44,BUFFS!$H$5:$AF$195,12,),"")</f>
        <v>1</v>
      </c>
      <c r="M44" s="66">
        <f>IFERROR(VLOOKUP(A44,BUFFS!$H$5:$AF$195,14,),"")</f>
        <v>0</v>
      </c>
      <c r="N44" s="68">
        <f>IFERROR(SUM(L44,ROUNDDOWN(MIN(B44,T$35)*M44,0)),"")</f>
        <v>1</v>
      </c>
      <c r="O44" s="65">
        <f>IFERROR(VLOOKUP(A44,BUFFS!$H$5:$AF$195,15,),"")</f>
        <v>0</v>
      </c>
      <c r="P44" s="66">
        <f>IFERROR(VLOOKUP(A44,BUFFS!$H$5:$AF$195,16,),"")</f>
        <v>0</v>
      </c>
      <c r="Q44" s="66">
        <f>IFERROR(VLOOKUP(A44,BUFFS!$H$5:$AF$195,17,),"")</f>
        <v>0</v>
      </c>
      <c r="R44" s="66">
        <f>IFERROR(VLOOKUP(A44,BUFFS!$H$5:$AF$195,19,),"")</f>
        <v>0</v>
      </c>
      <c r="S44" s="69">
        <f>IFERROR(SUM(Q44,ROUNDDOWN(MIN(B44,T$35)*R44,0)),"")</f>
        <v>0</v>
      </c>
      <c r="T44" s="70">
        <f>IFERROR(VLOOKUP(A44,BUFFS!$H$5:$AF$195,20,),"")</f>
        <v>100</v>
      </c>
    </row>
    <row r="45" spans="1:27" x14ac:dyDescent="0.35">
      <c r="A45" s="17" t="s">
        <v>239</v>
      </c>
      <c r="B45" s="80">
        <v>0</v>
      </c>
      <c r="C45" s="177" t="s">
        <v>299</v>
      </c>
      <c r="D45" s="31">
        <f>IFERROR(VLOOKUP(A45,BUFFS!$H$5:$AF$195,8,),"")</f>
        <v>0</v>
      </c>
      <c r="E45" s="24">
        <f>IFERROR(SUM(H45,ROUNDDOWN(MIN(B45,T$35)*I45,0)),"")</f>
        <v>1</v>
      </c>
      <c r="F45" s="65" t="str">
        <f>IFERROR(VLOOKUP(A45,BUFFS!$H$5:$AF$195,5,),"")</f>
        <v>FORT</v>
      </c>
      <c r="G45" s="66" t="str">
        <f>IFERROR(VLOOKUP(A45,BUFFS!$H$5:$AF$195,6,),"")</f>
        <v xml:space="preserve">Luck Modifier </v>
      </c>
      <c r="H45" s="67">
        <f>IFERROR(VLOOKUP(A45,BUFFS!$H$5:$AF$195,7,),"")</f>
        <v>1</v>
      </c>
      <c r="I45" s="66">
        <f>IFERROR(VLOOKUP(A45,BUFFS!$H$5:$AF$195,9,),"")</f>
        <v>0</v>
      </c>
      <c r="J45" s="65" t="str">
        <f>IFERROR(VLOOKUP(A45,BUFFS!$H$5:$AF$195,10,),"")</f>
        <v>WILL</v>
      </c>
      <c r="K45" s="66" t="str">
        <f>IFERROR(VLOOKUP(A45,BUFFS!$H$5:$AF$195,11,),"")</f>
        <v xml:space="preserve">Luck Modifier </v>
      </c>
      <c r="L45" s="66">
        <f>IFERROR(VLOOKUP(A45,BUFFS!$H$5:$AF$195,12,),"")</f>
        <v>1</v>
      </c>
      <c r="M45" s="66">
        <f>IFERROR(VLOOKUP(A45,BUFFS!$H$5:$AF$195,14,),"")</f>
        <v>0</v>
      </c>
      <c r="N45" s="68">
        <f>IFERROR(SUM(L45,ROUNDDOWN(MIN(B45,T$35)*M45,0)),"")</f>
        <v>1</v>
      </c>
      <c r="O45" s="65">
        <f>IFERROR(VLOOKUP(A45,BUFFS!$H$5:$AF$195,15,),"")</f>
        <v>0</v>
      </c>
      <c r="P45" s="66">
        <f>IFERROR(VLOOKUP(A45,BUFFS!$H$5:$AF$195,16,),"")</f>
        <v>0</v>
      </c>
      <c r="Q45" s="66">
        <f>IFERROR(VLOOKUP(A45,BUFFS!$H$5:$AF$195,17,),"")</f>
        <v>0</v>
      </c>
      <c r="R45" s="66">
        <f>IFERROR(VLOOKUP(A45,BUFFS!$H$5:$AF$195,19,),"")</f>
        <v>0</v>
      </c>
      <c r="S45" s="69">
        <f>IFERROR(SUM(Q45,ROUNDDOWN(MIN(B45,T$35)*R45,0)),"")</f>
        <v>0</v>
      </c>
      <c r="T45" s="70">
        <f>IFERROR(VLOOKUP(A45,BUFFS!$H$5:$AF$195,20,),"")</f>
        <v>100</v>
      </c>
    </row>
    <row r="46" spans="1:27" x14ac:dyDescent="0.35">
      <c r="A46" s="17" t="s">
        <v>159</v>
      </c>
      <c r="B46" s="80">
        <v>1</v>
      </c>
      <c r="C46" s="177" t="s">
        <v>299</v>
      </c>
      <c r="D46" s="31">
        <f>IFERROR(VLOOKUP(A46,BUFFS!$H$5:$AF$195,8,),"")</f>
        <v>0</v>
      </c>
      <c r="E46" s="24">
        <f>IFERROR(SUM(H46,ROUNDDOWN(MIN(B46,T$35)*I46,0)),"")</f>
        <v>1</v>
      </c>
      <c r="F46" s="65" t="str">
        <f>IFERROR(VLOOKUP(A46,BUFFS!$H$5:$AF$195,5,),"")</f>
        <v>AC</v>
      </c>
      <c r="G46" s="66" t="str">
        <f>IFERROR(VLOOKUP(A46,BUFFS!$H$5:$AF$195,6,),"")</f>
        <v>Enhancement Shield Bonus</v>
      </c>
      <c r="H46" s="67">
        <f>IFERROR(VLOOKUP(A46,BUFFS!$H$5:$AF$195,7,),"")</f>
        <v>0</v>
      </c>
      <c r="I46" s="66">
        <f>IFERROR(VLOOKUP(A46,BUFFS!$H$5:$AF$195,9,),"")</f>
        <v>1</v>
      </c>
      <c r="J46" s="65">
        <f>IFERROR(VLOOKUP(A46,BUFFS!$H$5:$AF$195,10,),"")</f>
        <v>0</v>
      </c>
      <c r="K46" s="66">
        <f>IFERROR(VLOOKUP(A46,BUFFS!$H$5:$AF$195,11,),"")</f>
        <v>0</v>
      </c>
      <c r="L46" s="66">
        <f>IFERROR(VLOOKUP(A46,BUFFS!$H$5:$AF$195,12,),"")</f>
        <v>0</v>
      </c>
      <c r="M46" s="66">
        <f>IFERROR(VLOOKUP(A46,BUFFS!$H$5:$AF$195,14,),"")</f>
        <v>0</v>
      </c>
      <c r="N46" s="68">
        <f>IFERROR(SUM(L46,ROUNDDOWN(MIN(B46,T$35)*M46,0)),"")</f>
        <v>0</v>
      </c>
      <c r="O46" s="65">
        <f>IFERROR(VLOOKUP(A46,BUFFS!$H$5:$AF$195,15,),"")</f>
        <v>0</v>
      </c>
      <c r="P46" s="66">
        <f>IFERROR(VLOOKUP(A46,BUFFS!$H$5:$AF$195,16,),"")</f>
        <v>0</v>
      </c>
      <c r="Q46" s="66">
        <f>IFERROR(VLOOKUP(A46,BUFFS!$H$5:$AF$195,17,),"")</f>
        <v>0</v>
      </c>
      <c r="R46" s="66">
        <f>IFERROR(VLOOKUP(A46,BUFFS!$H$5:$AF$195,19,),"")</f>
        <v>0</v>
      </c>
      <c r="S46" s="69">
        <f>IFERROR(SUM(Q46,ROUNDDOWN(MIN(B46,T$35)*R46,0)),"")</f>
        <v>0</v>
      </c>
      <c r="T46" s="70">
        <f>IFERROR(VLOOKUP(A46,BUFFS!$H$5:$AF$195,20,),"")</f>
        <v>100</v>
      </c>
    </row>
    <row r="47" spans="1:27" x14ac:dyDescent="0.35">
      <c r="A47" s="17" t="s">
        <v>321</v>
      </c>
      <c r="B47" s="80">
        <v>16</v>
      </c>
      <c r="C47" s="81">
        <v>90000</v>
      </c>
      <c r="D47" s="31">
        <f>IFERROR(VLOOKUP(A47,BUFFS!$H$5:$AF$195,8,),"")</f>
        <v>0</v>
      </c>
      <c r="E47" s="24">
        <f>IFERROR(SUM(H47,ROUNDDOWN(MIN(B47,T$35)*I47,0)),"")</f>
        <v>3</v>
      </c>
      <c r="F47" s="65" t="str">
        <f>IFERROR(VLOOKUP(A47,BUFFS!$H$5:$AF$195,5,),"")</f>
        <v>attack</v>
      </c>
      <c r="G47" s="66" t="str">
        <f>IFERROR(VLOOKUP(A47,BUFFS!$H$5:$AF$195,6,),"")</f>
        <v xml:space="preserve">Morale Modifier </v>
      </c>
      <c r="H47" s="67">
        <f>IFERROR(VLOOKUP(A47,BUFFS!$H$5:$AF$195,7,),"")</f>
        <v>3</v>
      </c>
      <c r="I47" s="66">
        <f>IFERROR(VLOOKUP(A47,BUFFS!$H$5:$AF$195,9,),"")</f>
        <v>0</v>
      </c>
      <c r="J47" s="65" t="str">
        <f>IFERROR(VLOOKUP(A47,BUFFS!$H$5:$AF$195,10,),"")</f>
        <v>damage</v>
      </c>
      <c r="K47" s="66" t="str">
        <f>IFERROR(VLOOKUP(A47,BUFFS!$H$5:$AF$195,11,),"")</f>
        <v xml:space="preserve">Morale Modifier </v>
      </c>
      <c r="L47" s="66">
        <f>IFERROR(VLOOKUP(A47,BUFFS!$H$5:$AF$195,12,),"")</f>
        <v>3</v>
      </c>
      <c r="M47" s="66">
        <f>IFERROR(VLOOKUP(A47,BUFFS!$H$5:$AF$195,14,),"")</f>
        <v>0</v>
      </c>
      <c r="N47" s="68">
        <f>IFERROR(SUM(L47,ROUNDDOWN(MIN(B47,T$35)*M47,0)),"")</f>
        <v>3</v>
      </c>
      <c r="O47" s="65">
        <f>IFERROR(VLOOKUP(A47,BUFFS!$H$5:$AF$195,15,),"")</f>
        <v>0</v>
      </c>
      <c r="P47" s="66">
        <f>IFERROR(VLOOKUP(A47,BUFFS!$H$5:$AF$195,16,),"")</f>
        <v>0</v>
      </c>
      <c r="Q47" s="66">
        <f>IFERROR(VLOOKUP(A47,BUFFS!$H$5:$AF$195,17,),"")</f>
        <v>0</v>
      </c>
      <c r="R47" s="66">
        <f>IFERROR(VLOOKUP(A47,BUFFS!$H$5:$AF$195,19,),"")</f>
        <v>0</v>
      </c>
      <c r="S47" s="69">
        <f>IFERROR(SUM(Q47,ROUNDDOWN(MIN(B47,T$35)*R47,0)),"")</f>
        <v>0</v>
      </c>
      <c r="T47" s="70">
        <f>IFERROR(VLOOKUP(A47,BUFFS!$H$5:$AF$195,20,),"")</f>
        <v>100</v>
      </c>
    </row>
    <row r="48" spans="1:27" x14ac:dyDescent="0.35">
      <c r="A48" s="17" t="s">
        <v>400</v>
      </c>
      <c r="B48" s="80">
        <v>4</v>
      </c>
      <c r="C48" s="180">
        <v>16000</v>
      </c>
      <c r="D48" s="31">
        <f>IFERROR(VLOOKUP(A48,BUFFS!$H$5:$AF$195,8,),"")</f>
        <v>0</v>
      </c>
      <c r="E48" s="24">
        <f>IFERROR(SUM(H48,ROUNDDOWN(MIN(B48,T$35)*I48,0)),"")</f>
        <v>4</v>
      </c>
      <c r="F48" s="65" t="str">
        <f>IFERROR(VLOOKUP(A48,BUFFS!$H$5:$AF$195,5,),"")</f>
        <v>AC</v>
      </c>
      <c r="G48" s="66" t="str">
        <f>IFERROR(VLOOKUP(A48,BUFFS!$H$5:$AF$195,6,),"")</f>
        <v xml:space="preserve">Circumstance Modifier </v>
      </c>
      <c r="H48" s="67">
        <f>IFERROR(VLOOKUP(A48,BUFFS!$H$5:$AF$195,7,),"")</f>
        <v>0</v>
      </c>
      <c r="I48" s="66">
        <f>IFERROR(VLOOKUP(A48,BUFFS!$H$5:$AF$195,9,),"")</f>
        <v>1</v>
      </c>
      <c r="J48" s="65">
        <f>IFERROR(VLOOKUP(A48,BUFFS!$H$5:$AF$195,10,),"")</f>
        <v>0</v>
      </c>
      <c r="K48" s="66">
        <f>IFERROR(VLOOKUP(A48,BUFFS!$H$5:$AF$195,11,),"")</f>
        <v>0</v>
      </c>
      <c r="L48" s="66">
        <f>IFERROR(VLOOKUP(A48,BUFFS!$H$5:$AF$195,12,),"")</f>
        <v>0</v>
      </c>
      <c r="M48" s="66">
        <f>IFERROR(VLOOKUP(A48,BUFFS!$H$5:$AF$195,14,),"")</f>
        <v>0</v>
      </c>
      <c r="N48" s="68">
        <f>IFERROR(SUM(L48,ROUNDDOWN(MIN(B48,T$35)*M48,0)),"")</f>
        <v>0</v>
      </c>
      <c r="O48" s="65">
        <f>IFERROR(VLOOKUP(A48,BUFFS!$H$5:$AF$195,15,),"")</f>
        <v>0</v>
      </c>
      <c r="P48" s="66">
        <f>IFERROR(VLOOKUP(A48,BUFFS!$H$5:$AF$195,16,),"")</f>
        <v>0</v>
      </c>
      <c r="Q48" s="66">
        <f>IFERROR(VLOOKUP(A48,BUFFS!$H$5:$AF$195,17,),"")</f>
        <v>0</v>
      </c>
      <c r="R48" s="66">
        <f>IFERROR(VLOOKUP(A48,BUFFS!$H$5:$AF$195,19,),"")</f>
        <v>0</v>
      </c>
      <c r="S48" s="69">
        <f>IFERROR(SUM(Q48,ROUNDDOWN(MIN(B48,T$35)*R48,0)),"")</f>
        <v>0</v>
      </c>
      <c r="T48" s="70">
        <f>IFERROR(VLOOKUP(A48,BUFFS!$H$5:$AF$195,20,),"")</f>
        <v>100</v>
      </c>
    </row>
    <row r="49" spans="1:20" x14ac:dyDescent="0.35">
      <c r="A49" s="17" t="s">
        <v>226</v>
      </c>
      <c r="B49" s="80">
        <v>17</v>
      </c>
      <c r="C49" s="179" t="s">
        <v>301</v>
      </c>
      <c r="D49" s="31">
        <f>IFERROR(VLOOKUP(A49,BUFFS!$H$5:$AF$195,8,),"")</f>
        <v>2</v>
      </c>
      <c r="E49" s="24">
        <f>IFERROR(SUM(H49,ROUNDDOWN(MIN(B49,T$35)*I49,0)),"")</f>
        <v>4</v>
      </c>
      <c r="F49" s="65" t="str">
        <f>IFERROR(VLOOKUP(A49,BUFFS!$H$5:$AF$195,5,),"")</f>
        <v>FORT</v>
      </c>
      <c r="G49" s="66" t="str">
        <f>IFERROR(VLOOKUP(A49,BUFFS!$H$5:$AF$195,6,),"")</f>
        <v>Sacred Modifier</v>
      </c>
      <c r="H49" s="67">
        <f>IFERROR(VLOOKUP(A49,BUFFS!$H$5:$AF$195,7,),"")</f>
        <v>4</v>
      </c>
      <c r="I49" s="66">
        <f>IFERROR(VLOOKUP(A49,BUFFS!$H$5:$AF$195,9,),"")</f>
        <v>0</v>
      </c>
      <c r="J49" s="65" t="str">
        <f>IFERROR(VLOOKUP(A49,BUFFS!$H$5:$AF$195,10,),"")</f>
        <v>REF</v>
      </c>
      <c r="K49" s="66" t="str">
        <f>IFERROR(VLOOKUP(A49,BUFFS!$H$5:$AF$195,11,),"")</f>
        <v>Sacred Modifier</v>
      </c>
      <c r="L49" s="66">
        <f>IFERROR(VLOOKUP(A49,BUFFS!$H$5:$AF$195,12,),"")</f>
        <v>4</v>
      </c>
      <c r="M49" s="66">
        <f>IFERROR(VLOOKUP(A49,BUFFS!$H$5:$AF$195,14,),"")</f>
        <v>0</v>
      </c>
      <c r="N49" s="68">
        <f>IFERROR(SUM(L49,ROUNDDOWN(MIN(B49,T$35)*M49,0)),"")</f>
        <v>4</v>
      </c>
      <c r="O49" s="65" t="str">
        <f>IFERROR(VLOOKUP(A49,BUFFS!$H$5:$AF$195,15,),"")</f>
        <v>WILL</v>
      </c>
      <c r="P49" s="66" t="str">
        <f>IFERROR(VLOOKUP(A49,BUFFS!$H$5:$AF$195,16,),"")</f>
        <v>Sacred Modifier</v>
      </c>
      <c r="Q49" s="66">
        <f>IFERROR(VLOOKUP(A49,BUFFS!$H$5:$AF$195,17,),"")</f>
        <v>4</v>
      </c>
      <c r="R49" s="66">
        <f>IFERROR(VLOOKUP(A49,BUFFS!$H$5:$AF$195,19,),"")</f>
        <v>0</v>
      </c>
      <c r="S49" s="69">
        <f>IFERROR(SUM(Q49,ROUNDDOWN(MIN(B49,T$35)*R49,0)),"")</f>
        <v>4</v>
      </c>
      <c r="T49" s="70">
        <f>IFERROR(VLOOKUP(A49,BUFFS!$H$5:$AF$195,20,),"")</f>
        <v>100</v>
      </c>
    </row>
    <row r="50" spans="1:20" x14ac:dyDescent="0.35">
      <c r="A50" s="17" t="s">
        <v>295</v>
      </c>
      <c r="B50" s="80">
        <v>4</v>
      </c>
      <c r="C50" s="178"/>
      <c r="D50" s="31">
        <f>IFERROR(VLOOKUP(A50,BUFFS!$H$5:$AF$195,8,),"")</f>
        <v>2</v>
      </c>
      <c r="E50" s="24">
        <f>IFERROR(SUM(H50,ROUNDDOWN(MIN(B50,T$35)*I50,0)),"")</f>
        <v>2</v>
      </c>
      <c r="F50" s="65" t="str">
        <f>IFERROR(VLOOKUP(A50,BUFFS!$H$5:$AF$195,5,),"")</f>
        <v>FORT</v>
      </c>
      <c r="G50" s="66" t="str">
        <f>IFERROR(VLOOKUP(A50,BUFFS!$H$5:$AF$195,6,),"")</f>
        <v xml:space="preserve">Luck Modifier </v>
      </c>
      <c r="H50" s="67">
        <f>IFERROR(VLOOKUP(A50,BUFFS!$H$5:$AF$195,7,),"")</f>
        <v>2</v>
      </c>
      <c r="I50" s="66">
        <f>IFERROR(VLOOKUP(A50,BUFFS!$H$5:$AF$195,9,),"")</f>
        <v>0</v>
      </c>
      <c r="J50" s="65" t="str">
        <f>IFERROR(VLOOKUP(A50,BUFFS!$H$5:$AF$195,10,),"")</f>
        <v>REF</v>
      </c>
      <c r="K50" s="66" t="str">
        <f>IFERROR(VLOOKUP(A50,BUFFS!$H$5:$AF$195,11,),"")</f>
        <v xml:space="preserve">Luck Modifier </v>
      </c>
      <c r="L50" s="66">
        <f>IFERROR(VLOOKUP(A50,BUFFS!$H$5:$AF$195,12,),"")</f>
        <v>2</v>
      </c>
      <c r="M50" s="66">
        <f>IFERROR(VLOOKUP(A50,BUFFS!$H$5:$AF$195,14,),"")</f>
        <v>0</v>
      </c>
      <c r="N50" s="68">
        <f>IFERROR(SUM(L50,ROUNDDOWN(MIN(B50,T$35)*M50,0)),"")</f>
        <v>2</v>
      </c>
      <c r="O50" s="65" t="str">
        <f>IFERROR(VLOOKUP(A50,BUFFS!$H$5:$AF$195,15,),"")</f>
        <v>WILL</v>
      </c>
      <c r="P50" s="66" t="str">
        <f>IFERROR(VLOOKUP(A50,BUFFS!$H$5:$AF$195,16,),"")</f>
        <v xml:space="preserve">Luck Modifier </v>
      </c>
      <c r="Q50" s="66">
        <f>IFERROR(VLOOKUP(A50,BUFFS!$H$5:$AF$195,17,),"")</f>
        <v>2</v>
      </c>
      <c r="R50" s="66">
        <f>IFERROR(VLOOKUP(A50,BUFFS!$H$5:$AF$195,19,),"")</f>
        <v>0</v>
      </c>
      <c r="S50" s="69">
        <f>IFERROR(SUM(Q50,ROUNDDOWN(MIN(B50,T$35)*R50,0)),"")</f>
        <v>2</v>
      </c>
      <c r="T50" s="70">
        <f>IFERROR(VLOOKUP(A50,BUFFS!$H$5:$AF$195,20,),"")</f>
        <v>100</v>
      </c>
    </row>
    <row r="51" spans="1:20" x14ac:dyDescent="0.35">
      <c r="A51" s="17" t="s">
        <v>194</v>
      </c>
      <c r="B51" s="80">
        <v>17</v>
      </c>
      <c r="C51" s="178">
        <v>56464646</v>
      </c>
      <c r="D51" s="31">
        <f>IFERROR(VLOOKUP(A51,BUFFS!$H$5:$AF$195,8,),"")</f>
        <v>2</v>
      </c>
      <c r="E51" s="24">
        <f>IFERROR(SUM(H51,ROUNDDOWN(MIN(B51,T$35)*I51,0)),"")</f>
        <v>6</v>
      </c>
      <c r="F51" s="65" t="str">
        <f>IFERROR(VLOOKUP(A51,BUFFS!$H$5:$AF$195,5,),"")</f>
        <v>AC</v>
      </c>
      <c r="G51" s="66" t="str">
        <f>IFERROR(VLOOKUP(A51,BUFFS!$H$5:$AF$195,6,),"")</f>
        <v xml:space="preserve">Natural Armor Bonus </v>
      </c>
      <c r="H51" s="67">
        <f>IFERROR(VLOOKUP(A51,BUFFS!$H$5:$AF$195,7,),"")</f>
        <v>6</v>
      </c>
      <c r="I51" s="66">
        <f>IFERROR(VLOOKUP(A51,BUFFS!$H$5:$AF$195,9,),"")</f>
        <v>0</v>
      </c>
      <c r="J51" s="65">
        <f>IFERROR(VLOOKUP(A51,BUFFS!$H$5:$AF$195,10,),"")</f>
        <v>0</v>
      </c>
      <c r="K51" s="66">
        <f>IFERROR(VLOOKUP(A51,BUFFS!$H$5:$AF$195,11,),"")</f>
        <v>0</v>
      </c>
      <c r="L51" s="66">
        <f>IFERROR(VLOOKUP(A51,BUFFS!$H$5:$AF$195,12,),"")</f>
        <v>0</v>
      </c>
      <c r="M51" s="66">
        <f>IFERROR(VLOOKUP(A51,BUFFS!$H$5:$AF$195,14,),"")</f>
        <v>0</v>
      </c>
      <c r="N51" s="68">
        <f>IFERROR(SUM(L51,ROUNDDOWN(MIN(B51,T$35)*M51,0)),"")</f>
        <v>0</v>
      </c>
      <c r="O51" s="65">
        <f>IFERROR(VLOOKUP(A51,BUFFS!$H$5:$AF$195,15,),"")</f>
        <v>0</v>
      </c>
      <c r="P51" s="66">
        <f>IFERROR(VLOOKUP(A51,BUFFS!$H$5:$AF$195,16,),"")</f>
        <v>0</v>
      </c>
      <c r="Q51" s="66">
        <f>IFERROR(VLOOKUP(A51,BUFFS!$H$5:$AF$195,17,),"")</f>
        <v>0</v>
      </c>
      <c r="R51" s="66">
        <f>IFERROR(VLOOKUP(A51,BUFFS!$H$5:$AF$195,19,),"")</f>
        <v>0</v>
      </c>
      <c r="S51" s="69">
        <f>IFERROR(SUM(Q51,ROUNDDOWN(MIN(B51,T$35)*R51,0)),"")</f>
        <v>0</v>
      </c>
      <c r="T51" s="70">
        <f>IFERROR(VLOOKUP(A51,BUFFS!$H$5:$AF$195,20,),"")</f>
        <v>100</v>
      </c>
    </row>
    <row r="52" spans="1:20" x14ac:dyDescent="0.35">
      <c r="A52" s="17" t="s">
        <v>60</v>
      </c>
      <c r="B52" s="80">
        <v>21</v>
      </c>
      <c r="C52" s="177" t="s">
        <v>302</v>
      </c>
      <c r="D52" s="31">
        <f>IFERROR(VLOOKUP(A52,BUFFS!$H$5:$AF$195,8,),"")</f>
        <v>3</v>
      </c>
      <c r="E52" s="24">
        <f>IFERROR(SUM(H52,ROUNDDOWN(MIN(B52,T$35)*I52,0)),"")</f>
        <v>5</v>
      </c>
      <c r="F52" s="65" t="str">
        <f>IFERROR(VLOOKUP(A52,BUFFS!$H$5:$AF$195,5,),"")</f>
        <v>AC</v>
      </c>
      <c r="G52" s="66" t="str">
        <f>IFERROR(VLOOKUP(A52,BUFFS!$H$5:$AF$195,6,),"")</f>
        <v>Enhancement Shield Bonus</v>
      </c>
      <c r="H52" s="67">
        <f>IFERROR(VLOOKUP(A52,BUFFS!$H$5:$AF$195,7,),"")</f>
        <v>0</v>
      </c>
      <c r="I52" s="66">
        <f>IFERROR(VLOOKUP(A52,BUFFS!$H$5:$AF$195,9,),"")</f>
        <v>0.25</v>
      </c>
      <c r="J52" s="65">
        <f>IFERROR(VLOOKUP(A52,BUFFS!$H$5:$AF$195,10,),"")</f>
        <v>0</v>
      </c>
      <c r="K52" s="66">
        <f>IFERROR(VLOOKUP(A52,BUFFS!$H$5:$AF$195,11,),"")</f>
        <v>0</v>
      </c>
      <c r="L52" s="66">
        <f>IFERROR(VLOOKUP(A52,BUFFS!$H$5:$AF$195,12,),"")</f>
        <v>0</v>
      </c>
      <c r="M52" s="66">
        <f>IFERROR(VLOOKUP(A52,BUFFS!$H$5:$AF$195,14,),"")</f>
        <v>0</v>
      </c>
      <c r="N52" s="68">
        <f>IFERROR(SUM(L52,ROUNDDOWN(MIN(B52,T$35)*M52,0)),"")</f>
        <v>0</v>
      </c>
      <c r="O52" s="65">
        <f>IFERROR(VLOOKUP(A52,BUFFS!$H$5:$AF$195,15,),"")</f>
        <v>0</v>
      </c>
      <c r="P52" s="66">
        <f>IFERROR(VLOOKUP(A52,BUFFS!$H$5:$AF$195,16,),"")</f>
        <v>0</v>
      </c>
      <c r="Q52" s="66">
        <f>IFERROR(VLOOKUP(A52,BUFFS!$H$5:$AF$195,17,),"")</f>
        <v>0</v>
      </c>
      <c r="R52" s="66">
        <f>IFERROR(VLOOKUP(A52,BUFFS!$H$5:$AF$195,19,),"")</f>
        <v>0</v>
      </c>
      <c r="S52" s="69">
        <f>IFERROR(SUM(Q52,ROUNDDOWN(MIN(B52,T$35)*R52,0)),"")</f>
        <v>0</v>
      </c>
      <c r="T52" s="70">
        <f>IFERROR(VLOOKUP(A52,BUFFS!$H$5:$AF$195,20,),"")</f>
        <v>20</v>
      </c>
    </row>
    <row r="53" spans="1:20" x14ac:dyDescent="0.35">
      <c r="A53" s="17" t="s">
        <v>61</v>
      </c>
      <c r="B53" s="80">
        <v>21</v>
      </c>
      <c r="C53" s="177" t="s">
        <v>302</v>
      </c>
      <c r="D53" s="31">
        <f>IFERROR(VLOOKUP(A53,BUFFS!$H$5:$AF$195,8,),"")</f>
        <v>3</v>
      </c>
      <c r="E53" s="24">
        <f>IFERROR(SUM(H53,ROUNDDOWN(MIN(B53,T$35)*I53,0)),"")</f>
        <v>5</v>
      </c>
      <c r="F53" s="65" t="str">
        <f>IFERROR(VLOOKUP(A53,BUFFS!$H$5:$AF$195,5,),"")</f>
        <v>AC</v>
      </c>
      <c r="G53" s="66" t="str">
        <f>IFERROR(VLOOKUP(A53,BUFFS!$H$5:$AF$195,6,),"")</f>
        <v xml:space="preserve">Enhancement Armor Bonus </v>
      </c>
      <c r="H53" s="67">
        <f>IFERROR(VLOOKUP(A53,BUFFS!$H$5:$AF$195,7,),"")</f>
        <v>0</v>
      </c>
      <c r="I53" s="66">
        <f>IFERROR(VLOOKUP(A53,BUFFS!$H$5:$AF$195,9,),"")</f>
        <v>0.25</v>
      </c>
      <c r="J53" s="65">
        <f>IFERROR(VLOOKUP(A53,BUFFS!$H$5:$AF$195,10,),"")</f>
        <v>0</v>
      </c>
      <c r="K53" s="66">
        <f>IFERROR(VLOOKUP(A53,BUFFS!$H$5:$AF$195,11,),"")</f>
        <v>0</v>
      </c>
      <c r="L53" s="66">
        <f>IFERROR(VLOOKUP(A53,BUFFS!$H$5:$AF$195,12,),"")</f>
        <v>0</v>
      </c>
      <c r="M53" s="66">
        <f>IFERROR(VLOOKUP(A53,BUFFS!$H$5:$AF$195,14,),"")</f>
        <v>0</v>
      </c>
      <c r="N53" s="68">
        <f>IFERROR(SUM(L53,ROUNDDOWN(MIN(B53,T$35)*M53,0)),"")</f>
        <v>0</v>
      </c>
      <c r="O53" s="65">
        <f>IFERROR(VLOOKUP(A53,BUFFS!$H$5:$AF$195,15,),"")</f>
        <v>0</v>
      </c>
      <c r="P53" s="66">
        <f>IFERROR(VLOOKUP(A53,BUFFS!$H$5:$AF$195,16,),"")</f>
        <v>0</v>
      </c>
      <c r="Q53" s="66">
        <f>IFERROR(VLOOKUP(A53,BUFFS!$H$5:$AF$195,17,),"")</f>
        <v>0</v>
      </c>
      <c r="R53" s="66">
        <f>IFERROR(VLOOKUP(A53,BUFFS!$H$5:$AF$195,19,),"")</f>
        <v>0</v>
      </c>
      <c r="S53" s="69">
        <f>IFERROR(SUM(Q53,ROUNDDOWN(MIN(B53,T$35)*R53,0)),"")</f>
        <v>0</v>
      </c>
      <c r="T53" s="70">
        <f>IFERROR(VLOOKUP(A53,BUFFS!$H$5:$AF$195,20,),"")</f>
        <v>20</v>
      </c>
    </row>
    <row r="54" spans="1:20" x14ac:dyDescent="0.35">
      <c r="A54" s="17" t="s">
        <v>233</v>
      </c>
      <c r="B54" s="80">
        <v>17</v>
      </c>
      <c r="C54" s="177" t="s">
        <v>299</v>
      </c>
      <c r="D54" s="31">
        <f>IFERROR(VLOOKUP(A54,BUFFS!$H$5:$AF$195,8,),"")</f>
        <v>3</v>
      </c>
      <c r="E54" s="24">
        <f>IFERROR(SUM(H54,ROUNDDOWN(MIN(B54,T$35)*I54,0)),"")</f>
        <v>0</v>
      </c>
      <c r="F54" s="65">
        <f>IFERROR(VLOOKUP(A54,BUFFS!$H$5:$AF$195,5,),"")</f>
        <v>0</v>
      </c>
      <c r="G54" s="66">
        <f>IFERROR(VLOOKUP(A54,BUFFS!$H$5:$AF$195,6,),"")</f>
        <v>0</v>
      </c>
      <c r="H54" s="67">
        <f>IFERROR(VLOOKUP(A54,BUFFS!$H$5:$AF$195,7,),"")</f>
        <v>0</v>
      </c>
      <c r="I54" s="66">
        <f>IFERROR(VLOOKUP(A54,BUFFS!$H$5:$AF$195,9,),"")</f>
        <v>0</v>
      </c>
      <c r="J54" s="65">
        <f>IFERROR(VLOOKUP(A54,BUFFS!$H$5:$AF$195,10,),"")</f>
        <v>0</v>
      </c>
      <c r="K54" s="66">
        <f>IFERROR(VLOOKUP(A54,BUFFS!$H$5:$AF$195,11,),"")</f>
        <v>0</v>
      </c>
      <c r="L54" s="66">
        <f>IFERROR(VLOOKUP(A54,BUFFS!$H$5:$AF$195,12,),"")</f>
        <v>0</v>
      </c>
      <c r="M54" s="66">
        <f>IFERROR(VLOOKUP(A54,BUFFS!$H$5:$AF$195,14,),"")</f>
        <v>0</v>
      </c>
      <c r="N54" s="68">
        <f>IFERROR(SUM(L54,ROUNDDOWN(MIN(B54,T$35)*M54,0)),"")</f>
        <v>0</v>
      </c>
      <c r="O54" s="65">
        <f>IFERROR(VLOOKUP(A54,BUFFS!$H$5:$AF$195,15,),"")</f>
        <v>0</v>
      </c>
      <c r="P54" s="66">
        <f>IFERROR(VLOOKUP(A54,BUFFS!$H$5:$AF$195,16,),"")</f>
        <v>0</v>
      </c>
      <c r="Q54" s="66">
        <f>IFERROR(VLOOKUP(A54,BUFFS!$H$5:$AF$195,17,),"")</f>
        <v>0</v>
      </c>
      <c r="R54" s="66">
        <f>IFERROR(VLOOKUP(A54,BUFFS!$H$5:$AF$195,19,),"")</f>
        <v>0</v>
      </c>
      <c r="S54" s="69">
        <f>IFERROR(SUM(Q54,ROUNDDOWN(MIN(B54,T$35)*R54,0)),"")</f>
        <v>0</v>
      </c>
      <c r="T54" s="70">
        <f>IFERROR(VLOOKUP(A54,BUFFS!$H$5:$AF$195,20,),"")</f>
        <v>100</v>
      </c>
    </row>
    <row r="55" spans="1:20" x14ac:dyDescent="0.35">
      <c r="A55" s="17" t="s">
        <v>290</v>
      </c>
      <c r="B55" s="80">
        <v>17</v>
      </c>
      <c r="C55" s="179" t="s">
        <v>300</v>
      </c>
      <c r="D55" s="31">
        <f>IFERROR(VLOOKUP(A55,BUFFS!$H$5:$AF$195,8,),"")</f>
        <v>3</v>
      </c>
      <c r="E55" s="24">
        <f>IFERROR(SUM(H55,ROUNDDOWN(MIN(B55,T$35)*I55,0)),"")</f>
        <v>4</v>
      </c>
      <c r="F55" s="65" t="str">
        <f>IFERROR(VLOOKUP(A55,BUFFS!$H$5:$AF$195,5,),"")</f>
        <v>FORT</v>
      </c>
      <c r="G55" s="66" t="str">
        <f>IFERROR(VLOOKUP(A55,BUFFS!$H$5:$AF$195,6,),"")</f>
        <v xml:space="preserve">Morale Modifier </v>
      </c>
      <c r="H55" s="67">
        <f>IFERROR(VLOOKUP(A55,BUFFS!$H$5:$AF$195,7,),"")</f>
        <v>2</v>
      </c>
      <c r="I55" s="66">
        <f>IFERROR(VLOOKUP(A55,BUFFS!$H$5:$AF$195,9,),"")</f>
        <v>0.16666666666666666</v>
      </c>
      <c r="J55" s="65" t="str">
        <f>IFERROR(VLOOKUP(A55,BUFFS!$H$5:$AF$195,10,),"")</f>
        <v>REF</v>
      </c>
      <c r="K55" s="66" t="str">
        <f>IFERROR(VLOOKUP(A55,BUFFS!$H$5:$AF$195,11,),"")</f>
        <v xml:space="preserve">Morale Modifier </v>
      </c>
      <c r="L55" s="66">
        <f>IFERROR(VLOOKUP(A55,BUFFS!$H$5:$AF$195,12,),"")</f>
        <v>2</v>
      </c>
      <c r="M55" s="66">
        <f>IFERROR(VLOOKUP(A55,BUFFS!$H$5:$AF$195,14,),"")</f>
        <v>0.16666666666666666</v>
      </c>
      <c r="N55" s="68">
        <f>IFERROR(SUM(L55,ROUNDDOWN(MIN(B55,T$35)*M55,0)),"")</f>
        <v>4</v>
      </c>
      <c r="O55" s="65" t="str">
        <f>IFERROR(VLOOKUP(A55,BUFFS!$H$5:$AF$195,15,),"")</f>
        <v>WILL</v>
      </c>
      <c r="P55" s="66" t="str">
        <f>IFERROR(VLOOKUP(A55,BUFFS!$H$5:$AF$195,16,),"")</f>
        <v xml:space="preserve">Morale Modifier </v>
      </c>
      <c r="Q55" s="66">
        <f>IFERROR(VLOOKUP(A55,BUFFS!$H$5:$AF$195,17,),"")</f>
        <v>2</v>
      </c>
      <c r="R55" s="66">
        <f>IFERROR(VLOOKUP(A55,BUFFS!$H$5:$AF$195,19,),"")</f>
        <v>0.16666666666666666</v>
      </c>
      <c r="S55" s="69">
        <f>IFERROR(SUM(Q55,ROUNDDOWN(MIN(B55,T$35)*R55,0)),"")</f>
        <v>4</v>
      </c>
      <c r="T55" s="70">
        <f>IFERROR(VLOOKUP(A55,BUFFS!$H$5:$AF$195,20,),"")</f>
        <v>100</v>
      </c>
    </row>
    <row r="56" spans="1:20" x14ac:dyDescent="0.35">
      <c r="A56" s="17" t="s">
        <v>308</v>
      </c>
      <c r="B56" s="80">
        <v>17</v>
      </c>
      <c r="C56" s="178">
        <v>16000</v>
      </c>
      <c r="D56" s="31">
        <f>IFERROR(VLOOKUP(A56,BUFFS!$H$5:$AF$195,8,),"")</f>
        <v>3</v>
      </c>
      <c r="E56" s="24">
        <f>IFERROR(SUM(H56,ROUNDDOWN(MIN(B56,T$35)*I56,0)),"")</f>
        <v>5</v>
      </c>
      <c r="F56" s="65" t="str">
        <f>IFERROR(VLOOKUP(A56,BUFFS!$H$5:$AF$195,5,),"")</f>
        <v>AC</v>
      </c>
      <c r="G56" s="66" t="str">
        <f>IFERROR(VLOOKUP(A56,BUFFS!$H$5:$AF$195,6,),"")</f>
        <v>Enhancement to Natural Armor Bonus</v>
      </c>
      <c r="H56" s="67">
        <f>IFERROR(VLOOKUP(A56,BUFFS!$H$5:$AF$195,7,),"")</f>
        <v>0</v>
      </c>
      <c r="I56" s="66">
        <f>IFERROR(VLOOKUP(A56,BUFFS!$H$5:$AF$195,9,),"")</f>
        <v>0.33329999999999999</v>
      </c>
      <c r="J56" s="65">
        <f>IFERROR(VLOOKUP(A56,BUFFS!$H$5:$AF$195,10,),"")</f>
        <v>0</v>
      </c>
      <c r="K56" s="66">
        <f>IFERROR(VLOOKUP(A56,BUFFS!$H$5:$AF$195,11,),"")</f>
        <v>0</v>
      </c>
      <c r="L56" s="66">
        <f>IFERROR(VLOOKUP(A56,BUFFS!$H$5:$AF$195,12,),"")</f>
        <v>0</v>
      </c>
      <c r="M56" s="66">
        <f>IFERROR(VLOOKUP(A56,BUFFS!$H$5:$AF$195,14,),"")</f>
        <v>0</v>
      </c>
      <c r="N56" s="68">
        <f>IFERROR(SUM(L56,ROUNDDOWN(MIN(B56,T$35)*M56,0)),"")</f>
        <v>0</v>
      </c>
      <c r="O56" s="65">
        <f>IFERROR(VLOOKUP(A56,BUFFS!$H$5:$AF$195,15,),"")</f>
        <v>0</v>
      </c>
      <c r="P56" s="66">
        <f>IFERROR(VLOOKUP(A56,BUFFS!$H$5:$AF$195,16,),"")</f>
        <v>0</v>
      </c>
      <c r="Q56" s="66">
        <f>IFERROR(VLOOKUP(A56,BUFFS!$H$5:$AF$195,17,),"")</f>
        <v>0</v>
      </c>
      <c r="R56" s="66">
        <f>IFERROR(VLOOKUP(A56,BUFFS!$H$5:$AF$195,19,),"")</f>
        <v>0</v>
      </c>
      <c r="S56" s="69">
        <f>IFERROR(SUM(Q56,ROUNDDOWN(MIN(B56,T$35)*R56,0)),"")</f>
        <v>0</v>
      </c>
      <c r="T56" s="70">
        <f>IFERROR(VLOOKUP(A56,BUFFS!$H$5:$AF$195,20,),"")</f>
        <v>12</v>
      </c>
    </row>
    <row r="57" spans="1:20" x14ac:dyDescent="0.35">
      <c r="A57" s="17" t="s">
        <v>307</v>
      </c>
      <c r="B57" s="80">
        <v>17</v>
      </c>
      <c r="C57" s="180">
        <v>16000</v>
      </c>
      <c r="D57" s="31">
        <f>IFERROR(VLOOKUP(A57,BUFFS!$H$5:$AF$195,8,),"")</f>
        <v>4</v>
      </c>
      <c r="E57" s="24">
        <f>IFERROR(SUM(H57,ROUNDDOWN(MIN(B57,T$35)*I57,0)),"")</f>
        <v>0</v>
      </c>
      <c r="F57" s="65">
        <f>IFERROR(VLOOKUP(A57,BUFFS!$H$5:$AF$195,5,),"")</f>
        <v>0</v>
      </c>
      <c r="G57" s="66">
        <f>IFERROR(VLOOKUP(A57,BUFFS!$H$5:$AF$195,6,),"")</f>
        <v>0</v>
      </c>
      <c r="H57" s="67">
        <f>IFERROR(VLOOKUP(A57,BUFFS!$H$5:$AF$195,7,),"")</f>
        <v>0</v>
      </c>
      <c r="I57" s="66">
        <f>IFERROR(VLOOKUP(A57,BUFFS!$H$5:$AF$195,9,),"")</f>
        <v>0</v>
      </c>
      <c r="J57" s="65">
        <f>IFERROR(VLOOKUP(A57,BUFFS!$H$5:$AF$195,10,),"")</f>
        <v>0</v>
      </c>
      <c r="K57" s="66">
        <f>IFERROR(VLOOKUP(A57,BUFFS!$H$5:$AF$195,11,),"")</f>
        <v>0</v>
      </c>
      <c r="L57" s="66">
        <f>IFERROR(VLOOKUP(A57,BUFFS!$H$5:$AF$195,12,),"")</f>
        <v>0</v>
      </c>
      <c r="M57" s="66">
        <f>IFERROR(VLOOKUP(A57,BUFFS!$H$5:$AF$195,14,),"")</f>
        <v>0</v>
      </c>
      <c r="N57" s="68">
        <f>IFERROR(SUM(L57,ROUNDDOWN(MIN(B57,T$35)*M57,0)),"")</f>
        <v>0</v>
      </c>
      <c r="O57" s="65">
        <f>IFERROR(VLOOKUP(A57,BUFFS!$H$5:$AF$195,15,),"")</f>
        <v>0</v>
      </c>
      <c r="P57" s="66">
        <f>IFERROR(VLOOKUP(A57,BUFFS!$H$5:$AF$195,16,),"")</f>
        <v>0</v>
      </c>
      <c r="Q57" s="66">
        <f>IFERROR(VLOOKUP(A57,BUFFS!$H$5:$AF$195,17,),"")</f>
        <v>0</v>
      </c>
      <c r="R57" s="66">
        <f>IFERROR(VLOOKUP(A57,BUFFS!$H$5:$AF$195,19,),"")</f>
        <v>0</v>
      </c>
      <c r="S57" s="69">
        <f>IFERROR(SUM(Q57,ROUNDDOWN(MIN(B57,T$35)*R57,0)),"")</f>
        <v>0</v>
      </c>
      <c r="T57" s="70">
        <f>IFERROR(VLOOKUP(A57,BUFFS!$H$5:$AF$195,20,),"")</f>
        <v>100</v>
      </c>
    </row>
    <row r="58" spans="1:20" x14ac:dyDescent="0.35">
      <c r="A58" s="17" t="s">
        <v>244</v>
      </c>
      <c r="B58" s="80">
        <v>17</v>
      </c>
      <c r="C58" s="178">
        <v>90000</v>
      </c>
      <c r="D58" s="31">
        <f>IFERROR(VLOOKUP(A58,BUFFS!$H$5:$AF$195,8,),"")</f>
        <v>7</v>
      </c>
      <c r="E58" s="24">
        <f>IFERROR(SUM(H58,ROUNDDOWN(MIN(B58,T$35)*I58,0)),"")</f>
        <v>0</v>
      </c>
      <c r="F58" s="65">
        <f>IFERROR(VLOOKUP(A58,BUFFS!$H$5:$AF$195,5,),"")</f>
        <v>0</v>
      </c>
      <c r="G58" s="66">
        <f>IFERROR(VLOOKUP(A58,BUFFS!$H$5:$AF$195,6,),"")</f>
        <v>0</v>
      </c>
      <c r="H58" s="67">
        <f>IFERROR(VLOOKUP(A58,BUFFS!$H$5:$AF$195,7,),"")</f>
        <v>0</v>
      </c>
      <c r="I58" s="66">
        <f>IFERROR(VLOOKUP(A58,BUFFS!$H$5:$AF$195,9,),"")</f>
        <v>0</v>
      </c>
      <c r="J58" s="65">
        <f>IFERROR(VLOOKUP(A58,BUFFS!$H$5:$AF$195,10,),"")</f>
        <v>0</v>
      </c>
      <c r="K58" s="66">
        <f>IFERROR(VLOOKUP(A58,BUFFS!$H$5:$AF$195,11,),"")</f>
        <v>0</v>
      </c>
      <c r="L58" s="66">
        <f>IFERROR(VLOOKUP(A58,BUFFS!$H$5:$AF$195,12,),"")</f>
        <v>0</v>
      </c>
      <c r="M58" s="66">
        <f>IFERROR(VLOOKUP(A58,BUFFS!$H$5:$AF$195,14,),"")</f>
        <v>0</v>
      </c>
      <c r="N58" s="68">
        <f>IFERROR(SUM(L58,ROUNDDOWN(MIN(B58,T$35)*M58,0)),"")</f>
        <v>0</v>
      </c>
      <c r="O58" s="65">
        <f>IFERROR(VLOOKUP(A58,BUFFS!$H$5:$AF$195,15,),"")</f>
        <v>0</v>
      </c>
      <c r="P58" s="66">
        <f>IFERROR(VLOOKUP(A58,BUFFS!$H$5:$AF$195,16,),"")</f>
        <v>0</v>
      </c>
      <c r="Q58" s="66">
        <f>IFERROR(VLOOKUP(A58,BUFFS!$H$5:$AF$195,17,),"")</f>
        <v>0</v>
      </c>
      <c r="R58" s="66">
        <f>IFERROR(VLOOKUP(A58,BUFFS!$H$5:$AF$195,19,),"")</f>
        <v>0</v>
      </c>
      <c r="S58" s="69">
        <f>IFERROR(SUM(Q58,ROUNDDOWN(MIN(B58,T$35)*R58,0)),"")</f>
        <v>0</v>
      </c>
      <c r="T58" s="70">
        <f>IFERROR(VLOOKUP(A58,BUFFS!$H$5:$AF$195,20,),"")</f>
        <v>100</v>
      </c>
    </row>
    <row r="59" spans="1:20" x14ac:dyDescent="0.35">
      <c r="A59" s="17"/>
      <c r="B59" s="213"/>
      <c r="C59" s="180"/>
      <c r="D59" s="31" t="str">
        <f>IFERROR(VLOOKUP(A59,BUFFS!$H$5:$AF$195,8,),"")</f>
        <v/>
      </c>
      <c r="E59" s="24" t="str">
        <f>IFERROR(SUM(H59,ROUNDDOWN(MIN(B59,T$35)*I59,0)),"")</f>
        <v/>
      </c>
      <c r="F59" s="65" t="str">
        <f>IFERROR(VLOOKUP(A59,BUFFS!$H$5:$AF$195,5,),"")</f>
        <v/>
      </c>
      <c r="G59" s="66" t="str">
        <f>IFERROR(VLOOKUP(A59,BUFFS!$H$5:$AF$195,6,),"")</f>
        <v/>
      </c>
      <c r="H59" s="67" t="str">
        <f>IFERROR(VLOOKUP(A59,BUFFS!$H$5:$AF$195,7,),"")</f>
        <v/>
      </c>
      <c r="I59" s="66" t="str">
        <f>IFERROR(VLOOKUP(A59,BUFFS!$H$5:$AF$195,9,),"")</f>
        <v/>
      </c>
      <c r="J59" s="65" t="str">
        <f>IFERROR(VLOOKUP(A59,BUFFS!$H$5:$AF$195,10,),"")</f>
        <v/>
      </c>
      <c r="K59" s="66" t="str">
        <f>IFERROR(VLOOKUP(A59,BUFFS!$H$5:$AF$195,11,),"")</f>
        <v/>
      </c>
      <c r="L59" s="66" t="str">
        <f>IFERROR(VLOOKUP(A59,BUFFS!$H$5:$AF$195,12,),"")</f>
        <v/>
      </c>
      <c r="M59" s="66" t="str">
        <f>IFERROR(VLOOKUP(A59,BUFFS!$H$5:$AF$195,14,),"")</f>
        <v/>
      </c>
      <c r="N59" s="68" t="str">
        <f>IFERROR(SUM(L59,ROUNDDOWN(MIN(B59,T$35)*M59,0)),"")</f>
        <v/>
      </c>
      <c r="O59" s="65" t="str">
        <f>IFERROR(VLOOKUP(A59,BUFFS!$H$5:$AF$195,15,),"")</f>
        <v/>
      </c>
      <c r="P59" s="66" t="str">
        <f>IFERROR(VLOOKUP(A59,BUFFS!$H$5:$AF$195,16,),"")</f>
        <v/>
      </c>
      <c r="Q59" s="66" t="str">
        <f>IFERROR(VLOOKUP(A59,BUFFS!$H$5:$AF$195,17,),"")</f>
        <v/>
      </c>
      <c r="R59" s="66" t="str">
        <f>IFERROR(VLOOKUP(A59,BUFFS!$H$5:$AF$195,19,),"")</f>
        <v/>
      </c>
      <c r="S59" s="69" t="str">
        <f>IFERROR(SUM(Q59,ROUNDDOWN(MIN(B59,T$35)*R59,0)),"")</f>
        <v/>
      </c>
      <c r="T59" s="70" t="str">
        <f>IFERROR(VLOOKUP(A59,BUFFS!$H$5:$AF$195,20,),"")</f>
        <v/>
      </c>
    </row>
    <row r="60" spans="1:20" x14ac:dyDescent="0.35">
      <c r="A60" s="17"/>
      <c r="B60" s="81"/>
      <c r="C60" s="81"/>
      <c r="D60" s="31" t="str">
        <f>IFERROR(VLOOKUP(A60,BUFFS!$H$5:$AF$195,8,),"")</f>
        <v/>
      </c>
      <c r="E60" s="24" t="str">
        <f>IFERROR(SUM(H60,ROUNDDOWN(MIN(B60,T$35)*I60,0)),"")</f>
        <v/>
      </c>
      <c r="F60" s="65" t="str">
        <f>IFERROR(VLOOKUP(A60,BUFFS!$H$5:$AF$195,5,),"")</f>
        <v/>
      </c>
      <c r="G60" s="66" t="str">
        <f>IFERROR(VLOOKUP(A60,BUFFS!$H$5:$AF$195,6,),"")</f>
        <v/>
      </c>
      <c r="H60" s="67" t="str">
        <f>IFERROR(VLOOKUP(A60,BUFFS!$H$5:$AF$195,7,),"")</f>
        <v/>
      </c>
      <c r="I60" s="66" t="str">
        <f>IFERROR(VLOOKUP(A60,BUFFS!$H$5:$AF$195,9,),"")</f>
        <v/>
      </c>
      <c r="J60" s="65" t="str">
        <f>IFERROR(VLOOKUP(A60,BUFFS!$H$5:$AF$195,10,),"")</f>
        <v/>
      </c>
      <c r="K60" s="66" t="str">
        <f>IFERROR(VLOOKUP(A60,BUFFS!$H$5:$AF$195,11,),"")</f>
        <v/>
      </c>
      <c r="L60" s="66" t="str">
        <f>IFERROR(VLOOKUP(A60,BUFFS!$H$5:$AF$195,12,),"")</f>
        <v/>
      </c>
      <c r="M60" s="66" t="str">
        <f>IFERROR(VLOOKUP(A60,BUFFS!$H$5:$AF$195,14,),"")</f>
        <v/>
      </c>
      <c r="N60" s="68" t="str">
        <f>IFERROR(SUM(L60,ROUNDDOWN(MIN(B60,T$35)*M60,0)),"")</f>
        <v/>
      </c>
      <c r="O60" s="65" t="str">
        <f>IFERROR(VLOOKUP(A60,BUFFS!$H$5:$AF$195,15,),"")</f>
        <v/>
      </c>
      <c r="P60" s="66" t="str">
        <f>IFERROR(VLOOKUP(A60,BUFFS!$H$5:$AF$195,16,),"")</f>
        <v/>
      </c>
      <c r="Q60" s="66" t="str">
        <f>IFERROR(VLOOKUP(A60,BUFFS!$H$5:$AF$195,17,),"")</f>
        <v/>
      </c>
      <c r="R60" s="66" t="str">
        <f>IFERROR(VLOOKUP(A60,BUFFS!$H$5:$AF$195,19,),"")</f>
        <v/>
      </c>
      <c r="S60" s="69" t="str">
        <f>IFERROR(SUM(Q60,ROUNDDOWN(MIN(B60,T$35)*R60,0)),"")</f>
        <v/>
      </c>
      <c r="T60" s="70" t="str">
        <f>IFERROR(VLOOKUP(A60,BUFFS!$H$5:$AF$195,20,),"")</f>
        <v/>
      </c>
    </row>
    <row r="61" spans="1:20" x14ac:dyDescent="0.35">
      <c r="A61" s="17"/>
      <c r="B61" s="80">
        <v>21</v>
      </c>
      <c r="C61" s="178">
        <v>1000</v>
      </c>
      <c r="D61" s="31" t="str">
        <f>IFERROR(VLOOKUP(A61,BUFFS!$H$5:$AF$195,8,),"")</f>
        <v/>
      </c>
      <c r="E61" s="24" t="str">
        <f>IFERROR(SUM(H61,ROUNDDOWN(MIN(B61,T$35)*I61,0)),"")</f>
        <v/>
      </c>
      <c r="F61" s="65" t="str">
        <f>IFERROR(VLOOKUP(A61,BUFFS!$H$5:$AF$195,5,),"")</f>
        <v/>
      </c>
      <c r="G61" s="66" t="str">
        <f>IFERROR(VLOOKUP(A61,BUFFS!$H$5:$AF$195,6,),"")</f>
        <v/>
      </c>
      <c r="H61" s="67" t="str">
        <f>IFERROR(VLOOKUP(A61,BUFFS!$H$5:$AF$195,7,),"")</f>
        <v/>
      </c>
      <c r="I61" s="66" t="str">
        <f>IFERROR(VLOOKUP(A61,BUFFS!$H$5:$AF$195,9,),"")</f>
        <v/>
      </c>
      <c r="J61" s="65" t="str">
        <f>IFERROR(VLOOKUP(A61,BUFFS!$H$5:$AF$195,10,),"")</f>
        <v/>
      </c>
      <c r="K61" s="66" t="str">
        <f>IFERROR(VLOOKUP(A61,BUFFS!$H$5:$AF$195,11,),"")</f>
        <v/>
      </c>
      <c r="L61" s="66" t="str">
        <f>IFERROR(VLOOKUP(A61,BUFFS!$H$5:$AF$195,12,),"")</f>
        <v/>
      </c>
      <c r="M61" s="66" t="str">
        <f>IFERROR(VLOOKUP(A61,BUFFS!$H$5:$AF$195,14,),"")</f>
        <v/>
      </c>
      <c r="N61" s="68" t="str">
        <f>IFERROR(SUM(L61,ROUNDDOWN(MIN(B61,T$35)*M61,0)),"")</f>
        <v/>
      </c>
      <c r="O61" s="65" t="str">
        <f>IFERROR(VLOOKUP(A61,BUFFS!$H$5:$AF$195,15,),"")</f>
        <v/>
      </c>
      <c r="P61" s="66" t="str">
        <f>IFERROR(VLOOKUP(A61,BUFFS!$H$5:$AF$195,16,),"")</f>
        <v/>
      </c>
      <c r="Q61" s="66" t="str">
        <f>IFERROR(VLOOKUP(A61,BUFFS!$H$5:$AF$195,17,),"")</f>
        <v/>
      </c>
      <c r="R61" s="66" t="str">
        <f>IFERROR(VLOOKUP(A61,BUFFS!$H$5:$AF$195,19,),"")</f>
        <v/>
      </c>
      <c r="S61" s="69" t="str">
        <f>IFERROR(SUM(Q61,ROUNDDOWN(MIN(B61,T$35)*R61,0)),"")</f>
        <v/>
      </c>
      <c r="T61" s="70" t="str">
        <f>IFERROR(VLOOKUP(A61,BUFFS!$H$5:$AF$195,20,),"")</f>
        <v/>
      </c>
    </row>
    <row r="62" spans="1:20" x14ac:dyDescent="0.35">
      <c r="A62" s="17"/>
      <c r="B62" s="80"/>
      <c r="C62" s="81"/>
      <c r="D62" s="31" t="str">
        <f>IFERROR(VLOOKUP(A62,BUFFS!$H$5:$AF$195,8,),"")</f>
        <v/>
      </c>
      <c r="E62" s="24" t="str">
        <f t="shared" ref="E52:E64" si="2">IFERROR(SUM(H62,ROUNDDOWN(MIN(B62,T$35)*I62,0)),"")</f>
        <v/>
      </c>
      <c r="F62" s="65" t="str">
        <f>IFERROR(VLOOKUP(A62,BUFFS!$H$5:$AF$195,5,),"")</f>
        <v/>
      </c>
      <c r="G62" s="66" t="str">
        <f>IFERROR(VLOOKUP(A62,BUFFS!$H$5:$AF$195,6,),"")</f>
        <v/>
      </c>
      <c r="H62" s="67" t="str">
        <f>IFERROR(VLOOKUP(A62,BUFFS!$H$5:$AF$195,7,),"")</f>
        <v/>
      </c>
      <c r="I62" s="66" t="str">
        <f>IFERROR(VLOOKUP(A62,BUFFS!$H$5:$AF$195,9,),"")</f>
        <v/>
      </c>
      <c r="J62" s="65" t="str">
        <f>IFERROR(VLOOKUP(A62,BUFFS!$H$5:$AF$195,10,),"")</f>
        <v/>
      </c>
      <c r="K62" s="66" t="str">
        <f>IFERROR(VLOOKUP(A62,BUFFS!$H$5:$AF$195,11,),"")</f>
        <v/>
      </c>
      <c r="L62" s="66" t="str">
        <f>IFERROR(VLOOKUP(A62,BUFFS!$H$5:$AF$195,12,),"")</f>
        <v/>
      </c>
      <c r="M62" s="66" t="str">
        <f>IFERROR(VLOOKUP(A62,BUFFS!$H$5:$AF$195,14,),"")</f>
        <v/>
      </c>
      <c r="N62" s="68" t="str">
        <f t="shared" ref="N52:N64" si="3">IFERROR(SUM(L62,ROUNDDOWN(MIN(B62,T$35)*M62,0)),"")</f>
        <v/>
      </c>
      <c r="O62" s="65" t="str">
        <f>IFERROR(VLOOKUP(A62,BUFFS!$H$5:$AF$195,15,),"")</f>
        <v/>
      </c>
      <c r="P62" s="66" t="str">
        <f>IFERROR(VLOOKUP(A62,BUFFS!$H$5:$AF$195,16,),"")</f>
        <v/>
      </c>
      <c r="Q62" s="66" t="str">
        <f>IFERROR(VLOOKUP(A62,BUFFS!$H$5:$AF$195,17,),"")</f>
        <v/>
      </c>
      <c r="R62" s="66" t="str">
        <f>IFERROR(VLOOKUP(A62,BUFFS!$H$5:$AF$195,19,),"")</f>
        <v/>
      </c>
      <c r="S62" s="69" t="str">
        <f t="shared" ref="S52:S64" si="4">IFERROR(SUM(Q62,ROUNDDOWN(MIN(B62,T$35)*R62,0)),"")</f>
        <v/>
      </c>
      <c r="T62" s="70" t="str">
        <f>IFERROR(VLOOKUP(A62,BUFFS!$H$5:$AF$195,20,),"")</f>
        <v/>
      </c>
    </row>
    <row r="63" spans="1:20" x14ac:dyDescent="0.35">
      <c r="A63" s="17"/>
      <c r="B63" s="80"/>
      <c r="C63" s="81"/>
      <c r="D63" s="31" t="str">
        <f>IFERROR(VLOOKUP(A63,BUFFS!$H$5:$AF$195,8,),"")</f>
        <v/>
      </c>
      <c r="E63" s="24" t="str">
        <f t="shared" si="2"/>
        <v/>
      </c>
      <c r="F63" s="65" t="str">
        <f>IFERROR(VLOOKUP(A63,BUFFS!$H$5:$AF$195,5,),"")</f>
        <v/>
      </c>
      <c r="G63" s="66" t="str">
        <f>IFERROR(VLOOKUP(A63,BUFFS!$H$5:$AF$195,6,),"")</f>
        <v/>
      </c>
      <c r="H63" s="67" t="str">
        <f>IFERROR(VLOOKUP(A63,BUFFS!$H$5:$AF$195,7,),"")</f>
        <v/>
      </c>
      <c r="I63" s="66" t="str">
        <f>IFERROR(VLOOKUP(A63,BUFFS!$H$5:$AF$195,9,),"")</f>
        <v/>
      </c>
      <c r="J63" s="65" t="str">
        <f>IFERROR(VLOOKUP(A63,BUFFS!$H$5:$AF$195,10,),"")</f>
        <v/>
      </c>
      <c r="K63" s="66" t="str">
        <f>IFERROR(VLOOKUP(A63,BUFFS!$H$5:$AF$195,11,),"")</f>
        <v/>
      </c>
      <c r="L63" s="66" t="str">
        <f>IFERROR(VLOOKUP(A63,BUFFS!$H$5:$AF$195,12,),"")</f>
        <v/>
      </c>
      <c r="M63" s="66" t="str">
        <f>IFERROR(VLOOKUP(A63,BUFFS!$H$5:$AF$195,14,),"")</f>
        <v/>
      </c>
      <c r="N63" s="68" t="str">
        <f t="shared" si="3"/>
        <v/>
      </c>
      <c r="O63" s="65" t="str">
        <f>IFERROR(VLOOKUP(A63,BUFFS!$H$5:$AF$195,15,),"")</f>
        <v/>
      </c>
      <c r="P63" s="66" t="str">
        <f>IFERROR(VLOOKUP(A63,BUFFS!$H$5:$AF$195,16,),"")</f>
        <v/>
      </c>
      <c r="Q63" s="66" t="str">
        <f>IFERROR(VLOOKUP(A63,BUFFS!$H$5:$AF$195,17,),"")</f>
        <v/>
      </c>
      <c r="R63" s="66" t="str">
        <f>IFERROR(VLOOKUP(A63,BUFFS!$H$5:$AF$195,19,),"")</f>
        <v/>
      </c>
      <c r="S63" s="69" t="str">
        <f t="shared" si="4"/>
        <v/>
      </c>
      <c r="T63" s="70" t="str">
        <f>IFERROR(VLOOKUP(A63,BUFFS!$H$5:$AF$195,20,),"")</f>
        <v/>
      </c>
    </row>
    <row r="64" spans="1:20" x14ac:dyDescent="0.35">
      <c r="A64" s="17"/>
      <c r="B64" s="80"/>
      <c r="C64" s="81"/>
      <c r="D64" s="31" t="str">
        <f>IFERROR(VLOOKUP(A64,BUFFS!$H$5:$AF$195,8,),"")</f>
        <v/>
      </c>
      <c r="E64" s="24" t="str">
        <f t="shared" si="2"/>
        <v/>
      </c>
      <c r="F64" s="65" t="str">
        <f>IFERROR(VLOOKUP(A64,BUFFS!$H$5:$AF$195,5,),"")</f>
        <v/>
      </c>
      <c r="G64" s="66" t="str">
        <f>IFERROR(VLOOKUP(A64,BUFFS!$H$5:$AF$195,6,),"")</f>
        <v/>
      </c>
      <c r="H64" s="67" t="str">
        <f>IFERROR(VLOOKUP(A64,BUFFS!$H$5:$AF$195,7,),"")</f>
        <v/>
      </c>
      <c r="I64" s="66" t="str">
        <f>IFERROR(VLOOKUP(A64,BUFFS!$H$5:$AF$195,9,),"")</f>
        <v/>
      </c>
      <c r="J64" s="65" t="str">
        <f>IFERROR(VLOOKUP(A64,BUFFS!$H$5:$AF$195,10,),"")</f>
        <v/>
      </c>
      <c r="K64" s="66" t="str">
        <f>IFERROR(VLOOKUP(A64,BUFFS!$H$5:$AF$195,11,),"")</f>
        <v/>
      </c>
      <c r="L64" s="66" t="str">
        <f>IFERROR(VLOOKUP(A64,BUFFS!$H$5:$AF$195,12,),"")</f>
        <v/>
      </c>
      <c r="M64" s="66" t="str">
        <f>IFERROR(VLOOKUP(A64,BUFFS!$H$5:$AF$195,14,),"")</f>
        <v/>
      </c>
      <c r="N64" s="68" t="str">
        <f t="shared" si="3"/>
        <v/>
      </c>
      <c r="O64" s="65" t="str">
        <f>IFERROR(VLOOKUP(A64,BUFFS!$H$5:$AF$195,15,),"")</f>
        <v/>
      </c>
      <c r="P64" s="66" t="str">
        <f>IFERROR(VLOOKUP(A64,BUFFS!$H$5:$AF$195,16,),"")</f>
        <v/>
      </c>
      <c r="Q64" s="66" t="str">
        <f>IFERROR(VLOOKUP(A64,BUFFS!$H$5:$AF$195,17,),"")</f>
        <v/>
      </c>
      <c r="R64" s="66" t="str">
        <f>IFERROR(VLOOKUP(A64,BUFFS!$H$5:$AF$195,19,),"")</f>
        <v/>
      </c>
      <c r="S64" s="69" t="str">
        <f t="shared" si="4"/>
        <v/>
      </c>
      <c r="T64" s="70" t="str">
        <f>IFERROR(VLOOKUP(A64,BUFFS!$H$5:$AF$195,20,),"")</f>
        <v/>
      </c>
    </row>
    <row r="65" spans="1:20" x14ac:dyDescent="0.35">
      <c r="A65" s="17"/>
      <c r="B65" s="80"/>
      <c r="C65" s="81"/>
      <c r="D65" s="31" t="str">
        <f>IFERROR(VLOOKUP(A65,BUFFS!$H$5:$AF$195,8,),"")</f>
        <v/>
      </c>
      <c r="E65" s="24" t="str">
        <f t="shared" ref="E63:E107" si="5">IFERROR(SUM(H65,ROUNDDOWN(MIN(B65,T$35)*I65,0)),"")</f>
        <v/>
      </c>
      <c r="F65" s="65" t="str">
        <f>IFERROR(VLOOKUP(A65,BUFFS!$H$5:$AF$195,5,),"")</f>
        <v/>
      </c>
      <c r="G65" s="66" t="str">
        <f>IFERROR(VLOOKUP(A65,BUFFS!$H$5:$AF$195,6,),"")</f>
        <v/>
      </c>
      <c r="H65" s="67" t="str">
        <f>IFERROR(VLOOKUP(A65,BUFFS!$H$5:$AF$195,7,),"")</f>
        <v/>
      </c>
      <c r="I65" s="66" t="str">
        <f>IFERROR(VLOOKUP(A65,BUFFS!$H$5:$AF$195,9,),"")</f>
        <v/>
      </c>
      <c r="J65" s="65" t="str">
        <f>IFERROR(VLOOKUP(A65,BUFFS!$H$5:$AF$195,10,),"")</f>
        <v/>
      </c>
      <c r="K65" s="66" t="str">
        <f>IFERROR(VLOOKUP(A65,BUFFS!$H$5:$AF$195,11,),"")</f>
        <v/>
      </c>
      <c r="L65" s="66" t="str">
        <f>IFERROR(VLOOKUP(A65,BUFFS!$H$5:$AF$195,12,),"")</f>
        <v/>
      </c>
      <c r="M65" s="66" t="str">
        <f>IFERROR(VLOOKUP(A65,BUFFS!$H$5:$AF$195,14,),"")</f>
        <v/>
      </c>
      <c r="N65" s="68" t="str">
        <f t="shared" ref="N63:N107" si="6">IFERROR(SUM(L65,ROUNDDOWN(MIN(B65,T$35)*M65,0)),"")</f>
        <v/>
      </c>
      <c r="O65" s="65" t="str">
        <f>IFERROR(VLOOKUP(A65,BUFFS!$H$5:$AF$195,15,),"")</f>
        <v/>
      </c>
      <c r="P65" s="66" t="str">
        <f>IFERROR(VLOOKUP(A65,BUFFS!$H$5:$AF$195,16,),"")</f>
        <v/>
      </c>
      <c r="Q65" s="66" t="str">
        <f>IFERROR(VLOOKUP(A65,BUFFS!$H$5:$AF$195,17,),"")</f>
        <v/>
      </c>
      <c r="R65" s="66" t="str">
        <f>IFERROR(VLOOKUP(A65,BUFFS!$H$5:$AF$195,19,),"")</f>
        <v/>
      </c>
      <c r="S65" s="69" t="str">
        <f t="shared" ref="S63:S107" si="7">IFERROR(SUM(Q65,ROUNDDOWN(MIN(B65,T$35)*R65,0)),"")</f>
        <v/>
      </c>
      <c r="T65" s="70" t="str">
        <f>IFERROR(VLOOKUP(A65,BUFFS!$H$5:$AF$195,20,),"")</f>
        <v/>
      </c>
    </row>
    <row r="66" spans="1:20" x14ac:dyDescent="0.35">
      <c r="A66" s="17"/>
      <c r="B66" s="80"/>
      <c r="C66" s="81"/>
      <c r="D66" s="31" t="str">
        <f>IFERROR(VLOOKUP(A66,BUFFS!$H$5:$AF$195,8,),"")</f>
        <v/>
      </c>
      <c r="E66" s="24" t="str">
        <f t="shared" si="5"/>
        <v/>
      </c>
      <c r="F66" s="65" t="str">
        <f>IFERROR(VLOOKUP(A66,BUFFS!$H$5:$AF$195,5,),"")</f>
        <v/>
      </c>
      <c r="G66" s="66" t="str">
        <f>IFERROR(VLOOKUP(A66,BUFFS!$H$5:$AF$195,6,),"")</f>
        <v/>
      </c>
      <c r="H66" s="67" t="str">
        <f>IFERROR(VLOOKUP(A66,BUFFS!$H$5:$AF$195,7,),"")</f>
        <v/>
      </c>
      <c r="I66" s="66" t="str">
        <f>IFERROR(VLOOKUP(A66,BUFFS!$H$5:$AF$195,9,),"")</f>
        <v/>
      </c>
      <c r="J66" s="65" t="str">
        <f>IFERROR(VLOOKUP(A66,BUFFS!$H$5:$AF$195,10,),"")</f>
        <v/>
      </c>
      <c r="K66" s="66" t="str">
        <f>IFERROR(VLOOKUP(A66,BUFFS!$H$5:$AF$195,11,),"")</f>
        <v/>
      </c>
      <c r="L66" s="66" t="str">
        <f>IFERROR(VLOOKUP(A66,BUFFS!$H$5:$AF$195,12,),"")</f>
        <v/>
      </c>
      <c r="M66" s="66" t="str">
        <f>IFERROR(VLOOKUP(A66,BUFFS!$H$5:$AF$195,14,),"")</f>
        <v/>
      </c>
      <c r="N66" s="68" t="str">
        <f t="shared" si="6"/>
        <v/>
      </c>
      <c r="O66" s="65" t="str">
        <f>IFERROR(VLOOKUP(A66,BUFFS!$H$5:$AF$195,15,),"")</f>
        <v/>
      </c>
      <c r="P66" s="66" t="str">
        <f>IFERROR(VLOOKUP(A66,BUFFS!$H$5:$AF$195,16,),"")</f>
        <v/>
      </c>
      <c r="Q66" s="66" t="str">
        <f>IFERROR(VLOOKUP(A66,BUFFS!$H$5:$AF$195,17,),"")</f>
        <v/>
      </c>
      <c r="R66" s="66" t="str">
        <f>IFERROR(VLOOKUP(A66,BUFFS!$H$5:$AF$195,19,),"")</f>
        <v/>
      </c>
      <c r="S66" s="69" t="str">
        <f t="shared" si="7"/>
        <v/>
      </c>
      <c r="T66" s="70" t="str">
        <f>IFERROR(VLOOKUP(A66,BUFFS!$H$5:$AF$195,20,),"")</f>
        <v/>
      </c>
    </row>
    <row r="67" spans="1:20" x14ac:dyDescent="0.35">
      <c r="A67" s="17"/>
      <c r="B67" s="80"/>
      <c r="C67" s="81"/>
      <c r="D67" s="31" t="str">
        <f>IFERROR(VLOOKUP(A67,BUFFS!$H$5:$AF$195,8,),"")</f>
        <v/>
      </c>
      <c r="E67" s="24" t="str">
        <f t="shared" si="5"/>
        <v/>
      </c>
      <c r="F67" s="65" t="str">
        <f>IFERROR(VLOOKUP(A67,BUFFS!$H$5:$AF$195,5,),"")</f>
        <v/>
      </c>
      <c r="G67" s="66" t="str">
        <f>IFERROR(VLOOKUP(A67,BUFFS!$H$5:$AF$195,6,),"")</f>
        <v/>
      </c>
      <c r="H67" s="67" t="str">
        <f>IFERROR(VLOOKUP(A67,BUFFS!$H$5:$AF$195,7,),"")</f>
        <v/>
      </c>
      <c r="I67" s="66" t="str">
        <f>IFERROR(VLOOKUP(A67,BUFFS!$H$5:$AF$195,9,),"")</f>
        <v/>
      </c>
      <c r="J67" s="65" t="str">
        <f>IFERROR(VLOOKUP(A67,BUFFS!$H$5:$AF$195,10,),"")</f>
        <v/>
      </c>
      <c r="K67" s="66" t="str">
        <f>IFERROR(VLOOKUP(A67,BUFFS!$H$5:$AF$195,11,),"")</f>
        <v/>
      </c>
      <c r="L67" s="66" t="str">
        <f>IFERROR(VLOOKUP(A67,BUFFS!$H$5:$AF$195,12,),"")</f>
        <v/>
      </c>
      <c r="M67" s="66" t="str">
        <f>IFERROR(VLOOKUP(A67,BUFFS!$H$5:$AF$195,14,),"")</f>
        <v/>
      </c>
      <c r="N67" s="68" t="str">
        <f t="shared" si="6"/>
        <v/>
      </c>
      <c r="O67" s="65" t="str">
        <f>IFERROR(VLOOKUP(A67,BUFFS!$H$5:$AF$195,15,),"")</f>
        <v/>
      </c>
      <c r="P67" s="66" t="str">
        <f>IFERROR(VLOOKUP(A67,BUFFS!$H$5:$AF$195,16,),"")</f>
        <v/>
      </c>
      <c r="Q67" s="66" t="str">
        <f>IFERROR(VLOOKUP(A67,BUFFS!$H$5:$AF$195,17,),"")</f>
        <v/>
      </c>
      <c r="R67" s="66" t="str">
        <f>IFERROR(VLOOKUP(A67,BUFFS!$H$5:$AF$195,19,),"")</f>
        <v/>
      </c>
      <c r="S67" s="69" t="str">
        <f t="shared" si="7"/>
        <v/>
      </c>
      <c r="T67" s="70" t="str">
        <f>IFERROR(VLOOKUP(A67,BUFFS!$H$5:$AF$195,20,),"")</f>
        <v/>
      </c>
    </row>
    <row r="68" spans="1:20" x14ac:dyDescent="0.35">
      <c r="A68" s="17"/>
      <c r="B68" s="80"/>
      <c r="C68" s="81"/>
      <c r="D68" s="31" t="str">
        <f>IFERROR(VLOOKUP(A68,BUFFS!$H$5:$AF$195,8,),"")</f>
        <v/>
      </c>
      <c r="E68" s="24" t="str">
        <f t="shared" si="5"/>
        <v/>
      </c>
      <c r="F68" s="65" t="str">
        <f>IFERROR(VLOOKUP(A68,BUFFS!$H$5:$AF$195,5,),"")</f>
        <v/>
      </c>
      <c r="G68" s="66" t="str">
        <f>IFERROR(VLOOKUP(A68,BUFFS!$H$5:$AF$195,6,),"")</f>
        <v/>
      </c>
      <c r="H68" s="67" t="str">
        <f>IFERROR(VLOOKUP(A68,BUFFS!$H$5:$AF$195,7,),"")</f>
        <v/>
      </c>
      <c r="I68" s="66" t="str">
        <f>IFERROR(VLOOKUP(A68,BUFFS!$H$5:$AF$195,9,),"")</f>
        <v/>
      </c>
      <c r="J68" s="65" t="str">
        <f>IFERROR(VLOOKUP(A68,BUFFS!$H$5:$AF$195,10,),"")</f>
        <v/>
      </c>
      <c r="K68" s="66" t="str">
        <f>IFERROR(VLOOKUP(A68,BUFFS!$H$5:$AF$195,11,),"")</f>
        <v/>
      </c>
      <c r="L68" s="66" t="str">
        <f>IFERROR(VLOOKUP(A68,BUFFS!$H$5:$AF$195,12,),"")</f>
        <v/>
      </c>
      <c r="M68" s="66" t="str">
        <f>IFERROR(VLOOKUP(A68,BUFFS!$H$5:$AF$195,14,),"")</f>
        <v/>
      </c>
      <c r="N68" s="68" t="str">
        <f t="shared" si="6"/>
        <v/>
      </c>
      <c r="O68" s="65" t="str">
        <f>IFERROR(VLOOKUP(A68,BUFFS!$H$5:$AF$195,15,),"")</f>
        <v/>
      </c>
      <c r="P68" s="66" t="str">
        <f>IFERROR(VLOOKUP(A68,BUFFS!$H$5:$AF$195,16,),"")</f>
        <v/>
      </c>
      <c r="Q68" s="66" t="str">
        <f>IFERROR(VLOOKUP(A68,BUFFS!$H$5:$AF$195,17,),"")</f>
        <v/>
      </c>
      <c r="R68" s="66" t="str">
        <f>IFERROR(VLOOKUP(A68,BUFFS!$H$5:$AF$195,19,),"")</f>
        <v/>
      </c>
      <c r="S68" s="69" t="str">
        <f t="shared" si="7"/>
        <v/>
      </c>
      <c r="T68" s="70" t="str">
        <f>IFERROR(VLOOKUP(A68,BUFFS!$H$5:$AF$195,20,),"")</f>
        <v/>
      </c>
    </row>
    <row r="69" spans="1:20" x14ac:dyDescent="0.35">
      <c r="A69" s="17"/>
      <c r="B69" s="80"/>
      <c r="C69" s="81"/>
      <c r="D69" s="31" t="str">
        <f>IFERROR(VLOOKUP(A69,BUFFS!$H$5:$AF$195,8,),"")</f>
        <v/>
      </c>
      <c r="E69" s="24" t="str">
        <f t="shared" si="5"/>
        <v/>
      </c>
      <c r="F69" s="65" t="str">
        <f>IFERROR(VLOOKUP(A69,BUFFS!$H$5:$AF$195,5,),"")</f>
        <v/>
      </c>
      <c r="G69" s="66" t="str">
        <f>IFERROR(VLOOKUP(A69,BUFFS!$H$5:$AF$195,6,),"")</f>
        <v/>
      </c>
      <c r="H69" s="67" t="str">
        <f>IFERROR(VLOOKUP(A69,BUFFS!$H$5:$AF$195,7,),"")</f>
        <v/>
      </c>
      <c r="I69" s="66" t="str">
        <f>IFERROR(VLOOKUP(A69,BUFFS!$H$5:$AF$195,9,),"")</f>
        <v/>
      </c>
      <c r="J69" s="65" t="str">
        <f>IFERROR(VLOOKUP(A69,BUFFS!$H$5:$AF$195,10,),"")</f>
        <v/>
      </c>
      <c r="K69" s="66" t="str">
        <f>IFERROR(VLOOKUP(A69,BUFFS!$H$5:$AF$195,11,),"")</f>
        <v/>
      </c>
      <c r="L69" s="66" t="str">
        <f>IFERROR(VLOOKUP(A69,BUFFS!$H$5:$AF$195,12,),"")</f>
        <v/>
      </c>
      <c r="M69" s="66" t="str">
        <f>IFERROR(VLOOKUP(A69,BUFFS!$H$5:$AF$195,14,),"")</f>
        <v/>
      </c>
      <c r="N69" s="68" t="str">
        <f t="shared" si="6"/>
        <v/>
      </c>
      <c r="O69" s="65" t="str">
        <f>IFERROR(VLOOKUP(A69,BUFFS!$H$5:$AF$195,15,),"")</f>
        <v/>
      </c>
      <c r="P69" s="66" t="str">
        <f>IFERROR(VLOOKUP(A69,BUFFS!$H$5:$AF$195,16,),"")</f>
        <v/>
      </c>
      <c r="Q69" s="66" t="str">
        <f>IFERROR(VLOOKUP(A69,BUFFS!$H$5:$AF$195,17,),"")</f>
        <v/>
      </c>
      <c r="R69" s="66" t="str">
        <f>IFERROR(VLOOKUP(A69,BUFFS!$H$5:$AF$195,19,),"")</f>
        <v/>
      </c>
      <c r="S69" s="69" t="str">
        <f t="shared" si="7"/>
        <v/>
      </c>
      <c r="T69" s="70" t="str">
        <f>IFERROR(VLOOKUP(A69,BUFFS!$H$5:$AF$195,20,),"")</f>
        <v/>
      </c>
    </row>
    <row r="70" spans="1:20" x14ac:dyDescent="0.35">
      <c r="A70" s="17"/>
      <c r="B70" s="80"/>
      <c r="C70" s="81"/>
      <c r="D70" s="31" t="str">
        <f>IFERROR(VLOOKUP(A70,BUFFS!$H$5:$AF$195,8,),"")</f>
        <v/>
      </c>
      <c r="E70" s="24" t="str">
        <f t="shared" si="5"/>
        <v/>
      </c>
      <c r="F70" s="65" t="str">
        <f>IFERROR(VLOOKUP(A70,BUFFS!$H$5:$AF$195,5,),"")</f>
        <v/>
      </c>
      <c r="G70" s="66" t="str">
        <f>IFERROR(VLOOKUP(A70,BUFFS!$H$5:$AF$195,6,),"")</f>
        <v/>
      </c>
      <c r="H70" s="67" t="str">
        <f>IFERROR(VLOOKUP(A70,BUFFS!$H$5:$AF$195,7,),"")</f>
        <v/>
      </c>
      <c r="I70" s="66" t="str">
        <f>IFERROR(VLOOKUP(A70,BUFFS!$H$5:$AF$195,9,),"")</f>
        <v/>
      </c>
      <c r="J70" s="65" t="str">
        <f>IFERROR(VLOOKUP(A70,BUFFS!$H$5:$AF$195,10,),"")</f>
        <v/>
      </c>
      <c r="K70" s="66" t="str">
        <f>IFERROR(VLOOKUP(A70,BUFFS!$H$5:$AF$195,11,),"")</f>
        <v/>
      </c>
      <c r="L70" s="66" t="str">
        <f>IFERROR(VLOOKUP(A70,BUFFS!$H$5:$AF$195,12,),"")</f>
        <v/>
      </c>
      <c r="M70" s="66" t="str">
        <f>IFERROR(VLOOKUP(A70,BUFFS!$H$5:$AF$195,14,),"")</f>
        <v/>
      </c>
      <c r="N70" s="68" t="str">
        <f t="shared" si="6"/>
        <v/>
      </c>
      <c r="O70" s="65" t="str">
        <f>IFERROR(VLOOKUP(A70,BUFFS!$H$5:$AF$195,15,),"")</f>
        <v/>
      </c>
      <c r="P70" s="66" t="str">
        <f>IFERROR(VLOOKUP(A70,BUFFS!$H$5:$AF$195,16,),"")</f>
        <v/>
      </c>
      <c r="Q70" s="66" t="str">
        <f>IFERROR(VLOOKUP(A70,BUFFS!$H$5:$AF$195,17,),"")</f>
        <v/>
      </c>
      <c r="R70" s="66" t="str">
        <f>IFERROR(VLOOKUP(A70,BUFFS!$H$5:$AF$195,19,),"")</f>
        <v/>
      </c>
      <c r="S70" s="69" t="str">
        <f t="shared" si="7"/>
        <v/>
      </c>
      <c r="T70" s="70" t="str">
        <f>IFERROR(VLOOKUP(A70,BUFFS!$H$5:$AF$195,20,),"")</f>
        <v/>
      </c>
    </row>
    <row r="71" spans="1:20" x14ac:dyDescent="0.35">
      <c r="A71" s="17"/>
      <c r="B71" s="80"/>
      <c r="C71" s="81"/>
      <c r="D71" s="31" t="str">
        <f>IFERROR(VLOOKUP(A71,BUFFS!$H$5:$AF$195,8,),"")</f>
        <v/>
      </c>
      <c r="E71" s="24" t="str">
        <f t="shared" si="5"/>
        <v/>
      </c>
      <c r="F71" s="65" t="str">
        <f>IFERROR(VLOOKUP(A71,BUFFS!$H$5:$AF$195,5,),"")</f>
        <v/>
      </c>
      <c r="G71" s="66" t="str">
        <f>IFERROR(VLOOKUP(A71,BUFFS!$H$5:$AF$195,6,),"")</f>
        <v/>
      </c>
      <c r="H71" s="67" t="str">
        <f>IFERROR(VLOOKUP(A71,BUFFS!$H$5:$AF$195,7,),"")</f>
        <v/>
      </c>
      <c r="I71" s="66" t="str">
        <f>IFERROR(VLOOKUP(A71,BUFFS!$H$5:$AF$195,9,),"")</f>
        <v/>
      </c>
      <c r="J71" s="65" t="str">
        <f>IFERROR(VLOOKUP(A71,BUFFS!$H$5:$AF$195,10,),"")</f>
        <v/>
      </c>
      <c r="K71" s="66" t="str">
        <f>IFERROR(VLOOKUP(A71,BUFFS!$H$5:$AF$195,11,),"")</f>
        <v/>
      </c>
      <c r="L71" s="66" t="str">
        <f>IFERROR(VLOOKUP(A71,BUFFS!$H$5:$AF$195,12,),"")</f>
        <v/>
      </c>
      <c r="M71" s="66" t="str">
        <f>IFERROR(VLOOKUP(A71,BUFFS!$H$5:$AF$195,14,),"")</f>
        <v/>
      </c>
      <c r="N71" s="68" t="str">
        <f t="shared" si="6"/>
        <v/>
      </c>
      <c r="O71" s="65" t="str">
        <f>IFERROR(VLOOKUP(A71,BUFFS!$H$5:$AF$195,15,),"")</f>
        <v/>
      </c>
      <c r="P71" s="66" t="str">
        <f>IFERROR(VLOOKUP(A71,BUFFS!$H$5:$AF$195,16,),"")</f>
        <v/>
      </c>
      <c r="Q71" s="66" t="str">
        <f>IFERROR(VLOOKUP(A71,BUFFS!$H$5:$AF$195,17,),"")</f>
        <v/>
      </c>
      <c r="R71" s="66" t="str">
        <f>IFERROR(VLOOKUP(A71,BUFFS!$H$5:$AF$195,19,),"")</f>
        <v/>
      </c>
      <c r="S71" s="69" t="str">
        <f t="shared" si="7"/>
        <v/>
      </c>
      <c r="T71" s="70" t="str">
        <f>IFERROR(VLOOKUP(A71,BUFFS!$H$5:$AF$195,20,),"")</f>
        <v/>
      </c>
    </row>
    <row r="72" spans="1:20" x14ac:dyDescent="0.35">
      <c r="A72" s="17"/>
      <c r="B72" s="80"/>
      <c r="C72" s="81"/>
      <c r="D72" s="31" t="str">
        <f>IFERROR(VLOOKUP(A72,BUFFS!$H$5:$AF$195,8,),"")</f>
        <v/>
      </c>
      <c r="E72" s="24" t="str">
        <f t="shared" si="5"/>
        <v/>
      </c>
      <c r="F72" s="65" t="str">
        <f>IFERROR(VLOOKUP(A72,BUFFS!$H$5:$AF$195,5,),"")</f>
        <v/>
      </c>
      <c r="G72" s="66" t="str">
        <f>IFERROR(VLOOKUP(A72,BUFFS!$H$5:$AF$195,6,),"")</f>
        <v/>
      </c>
      <c r="H72" s="67" t="str">
        <f>IFERROR(VLOOKUP(A72,BUFFS!$H$5:$AF$195,7,),"")</f>
        <v/>
      </c>
      <c r="I72" s="66" t="str">
        <f>IFERROR(VLOOKUP(A72,BUFFS!$H$5:$AF$195,9,),"")</f>
        <v/>
      </c>
      <c r="J72" s="65" t="str">
        <f>IFERROR(VLOOKUP(A72,BUFFS!$H$5:$AF$195,10,),"")</f>
        <v/>
      </c>
      <c r="K72" s="66" t="str">
        <f>IFERROR(VLOOKUP(A72,BUFFS!$H$5:$AF$195,11,),"")</f>
        <v/>
      </c>
      <c r="L72" s="66" t="str">
        <f>IFERROR(VLOOKUP(A72,BUFFS!$H$5:$AF$195,12,),"")</f>
        <v/>
      </c>
      <c r="M72" s="66" t="str">
        <f>IFERROR(VLOOKUP(A72,BUFFS!$H$5:$AF$195,14,),"")</f>
        <v/>
      </c>
      <c r="N72" s="68" t="str">
        <f t="shared" si="6"/>
        <v/>
      </c>
      <c r="O72" s="65" t="str">
        <f>IFERROR(VLOOKUP(A72,BUFFS!$H$5:$AF$195,15,),"")</f>
        <v/>
      </c>
      <c r="P72" s="66" t="str">
        <f>IFERROR(VLOOKUP(A72,BUFFS!$H$5:$AF$195,16,),"")</f>
        <v/>
      </c>
      <c r="Q72" s="66" t="str">
        <f>IFERROR(VLOOKUP(A72,BUFFS!$H$5:$AF$195,17,),"")</f>
        <v/>
      </c>
      <c r="R72" s="66" t="str">
        <f>IFERROR(VLOOKUP(A72,BUFFS!$H$5:$AF$195,19,),"")</f>
        <v/>
      </c>
      <c r="S72" s="69" t="str">
        <f t="shared" si="7"/>
        <v/>
      </c>
      <c r="T72" s="70" t="str">
        <f>IFERROR(VLOOKUP(A72,BUFFS!$H$5:$AF$195,20,),"")</f>
        <v/>
      </c>
    </row>
    <row r="73" spans="1:20" x14ac:dyDescent="0.35">
      <c r="A73" s="17"/>
      <c r="B73" s="80"/>
      <c r="C73" s="81"/>
      <c r="D73" s="31" t="str">
        <f>IFERROR(VLOOKUP(A73,BUFFS!$H$5:$AF$195,8,),"")</f>
        <v/>
      </c>
      <c r="E73" s="24" t="str">
        <f t="shared" si="5"/>
        <v/>
      </c>
      <c r="F73" s="65" t="str">
        <f>IFERROR(VLOOKUP(A73,BUFFS!$H$5:$AF$195,5,),"")</f>
        <v/>
      </c>
      <c r="G73" s="66" t="str">
        <f>IFERROR(VLOOKUP(A73,BUFFS!$H$5:$AF$195,6,),"")</f>
        <v/>
      </c>
      <c r="H73" s="67" t="str">
        <f>IFERROR(VLOOKUP(A73,BUFFS!$H$5:$AF$195,7,),"")</f>
        <v/>
      </c>
      <c r="I73" s="66" t="str">
        <f>IFERROR(VLOOKUP(A73,BUFFS!$H$5:$AF$195,9,),"")</f>
        <v/>
      </c>
      <c r="J73" s="65" t="str">
        <f>IFERROR(VLOOKUP(A73,BUFFS!$H$5:$AF$195,10,),"")</f>
        <v/>
      </c>
      <c r="K73" s="66" t="str">
        <f>IFERROR(VLOOKUP(A73,BUFFS!$H$5:$AF$195,11,),"")</f>
        <v/>
      </c>
      <c r="L73" s="66" t="str">
        <f>IFERROR(VLOOKUP(A73,BUFFS!$H$5:$AF$195,12,),"")</f>
        <v/>
      </c>
      <c r="M73" s="66" t="str">
        <f>IFERROR(VLOOKUP(A73,BUFFS!$H$5:$AF$195,14,),"")</f>
        <v/>
      </c>
      <c r="N73" s="68" t="str">
        <f t="shared" si="6"/>
        <v/>
      </c>
      <c r="O73" s="65" t="str">
        <f>IFERROR(VLOOKUP(A73,BUFFS!$H$5:$AF$195,15,),"")</f>
        <v/>
      </c>
      <c r="P73" s="66" t="str">
        <f>IFERROR(VLOOKUP(A73,BUFFS!$H$5:$AF$195,16,),"")</f>
        <v/>
      </c>
      <c r="Q73" s="66" t="str">
        <f>IFERROR(VLOOKUP(A73,BUFFS!$H$5:$AF$195,17,),"")</f>
        <v/>
      </c>
      <c r="R73" s="66" t="str">
        <f>IFERROR(VLOOKUP(A73,BUFFS!$H$5:$AF$195,19,),"")</f>
        <v/>
      </c>
      <c r="S73" s="69" t="str">
        <f t="shared" si="7"/>
        <v/>
      </c>
      <c r="T73" s="70" t="str">
        <f>IFERROR(VLOOKUP(A73,BUFFS!$H$5:$AF$195,20,),"")</f>
        <v/>
      </c>
    </row>
    <row r="74" spans="1:20" x14ac:dyDescent="0.35">
      <c r="A74" s="17"/>
      <c r="B74" s="80"/>
      <c r="C74" s="81"/>
      <c r="D74" s="31" t="str">
        <f>IFERROR(VLOOKUP(A74,BUFFS!$H$5:$AF$195,8,),"")</f>
        <v/>
      </c>
      <c r="E74" s="24" t="str">
        <f t="shared" si="5"/>
        <v/>
      </c>
      <c r="F74" s="65" t="str">
        <f>IFERROR(VLOOKUP(A74,BUFFS!$H$5:$AF$195,5,),"")</f>
        <v/>
      </c>
      <c r="G74" s="66" t="str">
        <f>IFERROR(VLOOKUP(A74,BUFFS!$H$5:$AF$195,6,),"")</f>
        <v/>
      </c>
      <c r="H74" s="67" t="str">
        <f>IFERROR(VLOOKUP(A74,BUFFS!$H$5:$AF$195,7,),"")</f>
        <v/>
      </c>
      <c r="I74" s="66" t="str">
        <f>IFERROR(VLOOKUP(A74,BUFFS!$H$5:$AF$195,9,),"")</f>
        <v/>
      </c>
      <c r="J74" s="65" t="str">
        <f>IFERROR(VLOOKUP(A74,BUFFS!$H$5:$AF$195,10,),"")</f>
        <v/>
      </c>
      <c r="K74" s="66" t="str">
        <f>IFERROR(VLOOKUP(A74,BUFFS!$H$5:$AF$195,11,),"")</f>
        <v/>
      </c>
      <c r="L74" s="66" t="str">
        <f>IFERROR(VLOOKUP(A74,BUFFS!$H$5:$AF$195,12,),"")</f>
        <v/>
      </c>
      <c r="M74" s="66" t="str">
        <f>IFERROR(VLOOKUP(A74,BUFFS!$H$5:$AF$195,14,),"")</f>
        <v/>
      </c>
      <c r="N74" s="68" t="str">
        <f t="shared" si="6"/>
        <v/>
      </c>
      <c r="O74" s="65" t="str">
        <f>IFERROR(VLOOKUP(A74,BUFFS!$H$5:$AF$195,15,),"")</f>
        <v/>
      </c>
      <c r="P74" s="66" t="str">
        <f>IFERROR(VLOOKUP(A74,BUFFS!$H$5:$AF$195,16,),"")</f>
        <v/>
      </c>
      <c r="Q74" s="66" t="str">
        <f>IFERROR(VLOOKUP(A74,BUFFS!$H$5:$AF$195,17,),"")</f>
        <v/>
      </c>
      <c r="R74" s="66" t="str">
        <f>IFERROR(VLOOKUP(A74,BUFFS!$H$5:$AF$195,19,),"")</f>
        <v/>
      </c>
      <c r="S74" s="69" t="str">
        <f t="shared" si="7"/>
        <v/>
      </c>
      <c r="T74" s="70" t="str">
        <f>IFERROR(VLOOKUP(A74,BUFFS!$H$5:$AF$195,20,),"")</f>
        <v/>
      </c>
    </row>
    <row r="75" spans="1:20" x14ac:dyDescent="0.35">
      <c r="A75" s="17"/>
      <c r="B75" s="80"/>
      <c r="C75" s="81"/>
      <c r="D75" s="31" t="str">
        <f>IFERROR(VLOOKUP(A75,BUFFS!$H$5:$AF$195,8,),"")</f>
        <v/>
      </c>
      <c r="E75" s="24" t="str">
        <f t="shared" si="5"/>
        <v/>
      </c>
      <c r="F75" s="65" t="str">
        <f>IFERROR(VLOOKUP(A75,BUFFS!$H$5:$AF$195,5,),"")</f>
        <v/>
      </c>
      <c r="G75" s="66" t="str">
        <f>IFERROR(VLOOKUP(A75,BUFFS!$H$5:$AF$195,6,),"")</f>
        <v/>
      </c>
      <c r="H75" s="67" t="str">
        <f>IFERROR(VLOOKUP(A75,BUFFS!$H$5:$AF$195,7,),"")</f>
        <v/>
      </c>
      <c r="I75" s="66" t="str">
        <f>IFERROR(VLOOKUP(A75,BUFFS!$H$5:$AF$195,9,),"")</f>
        <v/>
      </c>
      <c r="J75" s="65" t="str">
        <f>IFERROR(VLOOKUP(A75,BUFFS!$H$5:$AF$195,10,),"")</f>
        <v/>
      </c>
      <c r="K75" s="66" t="str">
        <f>IFERROR(VLOOKUP(A75,BUFFS!$H$5:$AF$195,11,),"")</f>
        <v/>
      </c>
      <c r="L75" s="66" t="str">
        <f>IFERROR(VLOOKUP(A75,BUFFS!$H$5:$AF$195,12,),"")</f>
        <v/>
      </c>
      <c r="M75" s="66" t="str">
        <f>IFERROR(VLOOKUP(A75,BUFFS!$H$5:$AF$195,14,),"")</f>
        <v/>
      </c>
      <c r="N75" s="68" t="str">
        <f t="shared" si="6"/>
        <v/>
      </c>
      <c r="O75" s="65" t="str">
        <f>IFERROR(VLOOKUP(A75,BUFFS!$H$5:$AF$195,15,),"")</f>
        <v/>
      </c>
      <c r="P75" s="66" t="str">
        <f>IFERROR(VLOOKUP(A75,BUFFS!$H$5:$AF$195,16,),"")</f>
        <v/>
      </c>
      <c r="Q75" s="66" t="str">
        <f>IFERROR(VLOOKUP(A75,BUFFS!$H$5:$AF$195,17,),"")</f>
        <v/>
      </c>
      <c r="R75" s="66" t="str">
        <f>IFERROR(VLOOKUP(A75,BUFFS!$H$5:$AF$195,19,),"")</f>
        <v/>
      </c>
      <c r="S75" s="69" t="str">
        <f t="shared" si="7"/>
        <v/>
      </c>
      <c r="T75" s="70" t="str">
        <f>IFERROR(VLOOKUP(A75,BUFFS!$H$5:$AF$195,20,),"")</f>
        <v/>
      </c>
    </row>
    <row r="76" spans="1:20" x14ac:dyDescent="0.35">
      <c r="A76" s="17"/>
      <c r="B76" s="80"/>
      <c r="C76" s="81"/>
      <c r="D76" s="31" t="str">
        <f>IFERROR(VLOOKUP(A76,BUFFS!$H$5:$AF$195,8,),"")</f>
        <v/>
      </c>
      <c r="E76" s="24" t="str">
        <f t="shared" si="5"/>
        <v/>
      </c>
      <c r="F76" s="65" t="str">
        <f>IFERROR(VLOOKUP(A76,BUFFS!$H$5:$AF$195,5,),"")</f>
        <v/>
      </c>
      <c r="G76" s="66" t="str">
        <f>IFERROR(VLOOKUP(A76,BUFFS!$H$5:$AF$195,6,),"")</f>
        <v/>
      </c>
      <c r="H76" s="67" t="str">
        <f>IFERROR(VLOOKUP(A76,BUFFS!$H$5:$AF$195,7,),"")</f>
        <v/>
      </c>
      <c r="I76" s="66" t="str">
        <f>IFERROR(VLOOKUP(A76,BUFFS!$H$5:$AF$195,9,),"")</f>
        <v/>
      </c>
      <c r="J76" s="65" t="str">
        <f>IFERROR(VLOOKUP(A76,BUFFS!$H$5:$AF$195,10,),"")</f>
        <v/>
      </c>
      <c r="K76" s="66" t="str">
        <f>IFERROR(VLOOKUP(A76,BUFFS!$H$5:$AF$195,11,),"")</f>
        <v/>
      </c>
      <c r="L76" s="66" t="str">
        <f>IFERROR(VLOOKUP(A76,BUFFS!$H$5:$AF$195,12,),"")</f>
        <v/>
      </c>
      <c r="M76" s="66" t="str">
        <f>IFERROR(VLOOKUP(A76,BUFFS!$H$5:$AF$195,14,),"")</f>
        <v/>
      </c>
      <c r="N76" s="68" t="str">
        <f t="shared" si="6"/>
        <v/>
      </c>
      <c r="O76" s="65" t="str">
        <f>IFERROR(VLOOKUP(A76,BUFFS!$H$5:$AF$195,15,),"")</f>
        <v/>
      </c>
      <c r="P76" s="66" t="str">
        <f>IFERROR(VLOOKUP(A76,BUFFS!$H$5:$AF$195,16,),"")</f>
        <v/>
      </c>
      <c r="Q76" s="66" t="str">
        <f>IFERROR(VLOOKUP(A76,BUFFS!$H$5:$AF$195,17,),"")</f>
        <v/>
      </c>
      <c r="R76" s="66" t="str">
        <f>IFERROR(VLOOKUP(A76,BUFFS!$H$5:$AF$195,19,),"")</f>
        <v/>
      </c>
      <c r="S76" s="69" t="str">
        <f t="shared" si="7"/>
        <v/>
      </c>
      <c r="T76" s="70" t="str">
        <f>IFERROR(VLOOKUP(A76,BUFFS!$H$5:$AF$195,20,),"")</f>
        <v/>
      </c>
    </row>
    <row r="77" spans="1:20" x14ac:dyDescent="0.35">
      <c r="A77" s="17"/>
      <c r="B77" s="80"/>
      <c r="C77" s="81"/>
      <c r="D77" s="31" t="str">
        <f>IFERROR(VLOOKUP(A77,BUFFS!$H$5:$AF$195,8,),"")</f>
        <v/>
      </c>
      <c r="E77" s="24" t="str">
        <f t="shared" si="5"/>
        <v/>
      </c>
      <c r="F77" s="65" t="str">
        <f>IFERROR(VLOOKUP(A77,BUFFS!$H$5:$AF$195,5,),"")</f>
        <v/>
      </c>
      <c r="G77" s="66" t="str">
        <f>IFERROR(VLOOKUP(A77,BUFFS!$H$5:$AF$195,6,),"")</f>
        <v/>
      </c>
      <c r="H77" s="67" t="str">
        <f>IFERROR(VLOOKUP(A77,BUFFS!$H$5:$AF$195,7,),"")</f>
        <v/>
      </c>
      <c r="I77" s="66" t="str">
        <f>IFERROR(VLOOKUP(A77,BUFFS!$H$5:$AF$195,9,),"")</f>
        <v/>
      </c>
      <c r="J77" s="65" t="str">
        <f>IFERROR(VLOOKUP(A77,BUFFS!$H$5:$AF$195,10,),"")</f>
        <v/>
      </c>
      <c r="K77" s="66" t="str">
        <f>IFERROR(VLOOKUP(A77,BUFFS!$H$5:$AF$195,11,),"")</f>
        <v/>
      </c>
      <c r="L77" s="66" t="str">
        <f>IFERROR(VLOOKUP(A77,BUFFS!$H$5:$AF$195,12,),"")</f>
        <v/>
      </c>
      <c r="M77" s="66" t="str">
        <f>IFERROR(VLOOKUP(A77,BUFFS!$H$5:$AF$195,14,),"")</f>
        <v/>
      </c>
      <c r="N77" s="68" t="str">
        <f t="shared" si="6"/>
        <v/>
      </c>
      <c r="O77" s="65" t="str">
        <f>IFERROR(VLOOKUP(A77,BUFFS!$H$5:$AF$195,15,),"")</f>
        <v/>
      </c>
      <c r="P77" s="66" t="str">
        <f>IFERROR(VLOOKUP(A77,BUFFS!$H$5:$AF$195,16,),"")</f>
        <v/>
      </c>
      <c r="Q77" s="66" t="str">
        <f>IFERROR(VLOOKUP(A77,BUFFS!$H$5:$AF$195,17,),"")</f>
        <v/>
      </c>
      <c r="R77" s="66" t="str">
        <f>IFERROR(VLOOKUP(A77,BUFFS!$H$5:$AF$195,19,),"")</f>
        <v/>
      </c>
      <c r="S77" s="69" t="str">
        <f t="shared" si="7"/>
        <v/>
      </c>
      <c r="T77" s="70" t="str">
        <f>IFERROR(VLOOKUP(A77,BUFFS!$H$5:$AF$195,20,),"")</f>
        <v/>
      </c>
    </row>
    <row r="78" spans="1:20" x14ac:dyDescent="0.35">
      <c r="A78" s="17"/>
      <c r="B78" s="80"/>
      <c r="C78" s="81"/>
      <c r="D78" s="31" t="str">
        <f>IFERROR(VLOOKUP(A78,BUFFS!$H$5:$AF$195,8,),"")</f>
        <v/>
      </c>
      <c r="E78" s="24" t="str">
        <f t="shared" si="5"/>
        <v/>
      </c>
      <c r="F78" s="65" t="str">
        <f>IFERROR(VLOOKUP(A78,BUFFS!$H$5:$AF$195,5,),"")</f>
        <v/>
      </c>
      <c r="G78" s="66" t="str">
        <f>IFERROR(VLOOKUP(A78,BUFFS!$H$5:$AF$195,6,),"")</f>
        <v/>
      </c>
      <c r="H78" s="67" t="str">
        <f>IFERROR(VLOOKUP(A78,BUFFS!$H$5:$AF$195,7,),"")</f>
        <v/>
      </c>
      <c r="I78" s="66" t="str">
        <f>IFERROR(VLOOKUP(A78,BUFFS!$H$5:$AF$195,9,),"")</f>
        <v/>
      </c>
      <c r="J78" s="65" t="str">
        <f>IFERROR(VLOOKUP(A78,BUFFS!$H$5:$AF$195,10,),"")</f>
        <v/>
      </c>
      <c r="K78" s="66" t="str">
        <f>IFERROR(VLOOKUP(A78,BUFFS!$H$5:$AF$195,11,),"")</f>
        <v/>
      </c>
      <c r="L78" s="66" t="str">
        <f>IFERROR(VLOOKUP(A78,BUFFS!$H$5:$AF$195,12,),"")</f>
        <v/>
      </c>
      <c r="M78" s="66" t="str">
        <f>IFERROR(VLOOKUP(A78,BUFFS!$H$5:$AF$195,14,),"")</f>
        <v/>
      </c>
      <c r="N78" s="68" t="str">
        <f t="shared" si="6"/>
        <v/>
      </c>
      <c r="O78" s="65" t="str">
        <f>IFERROR(VLOOKUP(A78,BUFFS!$H$5:$AF$195,15,),"")</f>
        <v/>
      </c>
      <c r="P78" s="66" t="str">
        <f>IFERROR(VLOOKUP(A78,BUFFS!$H$5:$AF$195,16,),"")</f>
        <v/>
      </c>
      <c r="Q78" s="66" t="str">
        <f>IFERROR(VLOOKUP(A78,BUFFS!$H$5:$AF$195,17,),"")</f>
        <v/>
      </c>
      <c r="R78" s="66" t="str">
        <f>IFERROR(VLOOKUP(A78,BUFFS!$H$5:$AF$195,19,),"")</f>
        <v/>
      </c>
      <c r="S78" s="69" t="str">
        <f t="shared" si="7"/>
        <v/>
      </c>
      <c r="T78" s="70" t="str">
        <f>IFERROR(VLOOKUP(A78,BUFFS!$H$5:$AF$195,20,),"")</f>
        <v/>
      </c>
    </row>
    <row r="79" spans="1:20" x14ac:dyDescent="0.35">
      <c r="A79" s="17"/>
      <c r="B79" s="80"/>
      <c r="C79" s="81"/>
      <c r="D79" s="31" t="str">
        <f>IFERROR(VLOOKUP(A79,BUFFS!$H$5:$AF$195,8,),"")</f>
        <v/>
      </c>
      <c r="E79" s="24" t="str">
        <f t="shared" si="5"/>
        <v/>
      </c>
      <c r="F79" s="65" t="str">
        <f>IFERROR(VLOOKUP(A79,BUFFS!$H$5:$AF$195,5,),"")</f>
        <v/>
      </c>
      <c r="G79" s="66" t="str">
        <f>IFERROR(VLOOKUP(A79,BUFFS!$H$5:$AF$195,6,),"")</f>
        <v/>
      </c>
      <c r="H79" s="67" t="str">
        <f>IFERROR(VLOOKUP(A79,BUFFS!$H$5:$AF$195,7,),"")</f>
        <v/>
      </c>
      <c r="I79" s="66" t="str">
        <f>IFERROR(VLOOKUP(A79,BUFFS!$H$5:$AF$195,9,),"")</f>
        <v/>
      </c>
      <c r="J79" s="65" t="str">
        <f>IFERROR(VLOOKUP(A79,BUFFS!$H$5:$AF$195,10,),"")</f>
        <v/>
      </c>
      <c r="K79" s="66" t="str">
        <f>IFERROR(VLOOKUP(A79,BUFFS!$H$5:$AF$195,11,),"")</f>
        <v/>
      </c>
      <c r="L79" s="66" t="str">
        <f>IFERROR(VLOOKUP(A79,BUFFS!$H$5:$AF$195,12,),"")</f>
        <v/>
      </c>
      <c r="M79" s="66" t="str">
        <f>IFERROR(VLOOKUP(A79,BUFFS!$H$5:$AF$195,14,),"")</f>
        <v/>
      </c>
      <c r="N79" s="68" t="str">
        <f t="shared" si="6"/>
        <v/>
      </c>
      <c r="O79" s="65" t="str">
        <f>IFERROR(VLOOKUP(A79,BUFFS!$H$5:$AF$195,15,),"")</f>
        <v/>
      </c>
      <c r="P79" s="66" t="str">
        <f>IFERROR(VLOOKUP(A79,BUFFS!$H$5:$AF$195,16,),"")</f>
        <v/>
      </c>
      <c r="Q79" s="66" t="str">
        <f>IFERROR(VLOOKUP(A79,BUFFS!$H$5:$AF$195,17,),"")</f>
        <v/>
      </c>
      <c r="R79" s="66" t="str">
        <f>IFERROR(VLOOKUP(A79,BUFFS!$H$5:$AF$195,19,),"")</f>
        <v/>
      </c>
      <c r="S79" s="69" t="str">
        <f t="shared" si="7"/>
        <v/>
      </c>
      <c r="T79" s="70" t="str">
        <f>IFERROR(VLOOKUP(A79,BUFFS!$H$5:$AF$195,20,),"")</f>
        <v/>
      </c>
    </row>
    <row r="80" spans="1:20" x14ac:dyDescent="0.35">
      <c r="A80" s="17"/>
      <c r="B80" s="80"/>
      <c r="C80" s="81"/>
      <c r="D80" s="31" t="str">
        <f>IFERROR(VLOOKUP(A80,BUFFS!$H$5:$AF$195,8,),"")</f>
        <v/>
      </c>
      <c r="E80" s="24" t="str">
        <f t="shared" si="5"/>
        <v/>
      </c>
      <c r="F80" s="65" t="str">
        <f>IFERROR(VLOOKUP(A80,BUFFS!$H$5:$AF$195,5,),"")</f>
        <v/>
      </c>
      <c r="G80" s="66" t="str">
        <f>IFERROR(VLOOKUP(A80,BUFFS!$H$5:$AF$195,6,),"")</f>
        <v/>
      </c>
      <c r="H80" s="67" t="str">
        <f>IFERROR(VLOOKUP(A80,BUFFS!$H$5:$AF$195,7,),"")</f>
        <v/>
      </c>
      <c r="I80" s="66" t="str">
        <f>IFERROR(VLOOKUP(A80,BUFFS!$H$5:$AF$195,9,),"")</f>
        <v/>
      </c>
      <c r="J80" s="65" t="str">
        <f>IFERROR(VLOOKUP(A80,BUFFS!$H$5:$AF$195,10,),"")</f>
        <v/>
      </c>
      <c r="K80" s="66" t="str">
        <f>IFERROR(VLOOKUP(A80,BUFFS!$H$5:$AF$195,11,),"")</f>
        <v/>
      </c>
      <c r="L80" s="66" t="str">
        <f>IFERROR(VLOOKUP(A80,BUFFS!$H$5:$AF$195,12,),"")</f>
        <v/>
      </c>
      <c r="M80" s="66" t="str">
        <f>IFERROR(VLOOKUP(A80,BUFFS!$H$5:$AF$195,14,),"")</f>
        <v/>
      </c>
      <c r="N80" s="68" t="str">
        <f t="shared" si="6"/>
        <v/>
      </c>
      <c r="O80" s="65" t="str">
        <f>IFERROR(VLOOKUP(A80,BUFFS!$H$5:$AF$195,15,),"")</f>
        <v/>
      </c>
      <c r="P80" s="66" t="str">
        <f>IFERROR(VLOOKUP(A80,BUFFS!$H$5:$AF$195,16,),"")</f>
        <v/>
      </c>
      <c r="Q80" s="66" t="str">
        <f>IFERROR(VLOOKUP(A80,BUFFS!$H$5:$AF$195,17,),"")</f>
        <v/>
      </c>
      <c r="R80" s="66" t="str">
        <f>IFERROR(VLOOKUP(A80,BUFFS!$H$5:$AF$195,19,),"")</f>
        <v/>
      </c>
      <c r="S80" s="69" t="str">
        <f t="shared" si="7"/>
        <v/>
      </c>
      <c r="T80" s="70" t="str">
        <f>IFERROR(VLOOKUP(A80,BUFFS!$H$5:$AF$195,20,),"")</f>
        <v/>
      </c>
    </row>
    <row r="81" spans="1:20" x14ac:dyDescent="0.35">
      <c r="A81" s="17"/>
      <c r="B81" s="80"/>
      <c r="C81" s="81"/>
      <c r="D81" s="31" t="str">
        <f>IFERROR(VLOOKUP(A81,BUFFS!$H$5:$AF$195,8,),"")</f>
        <v/>
      </c>
      <c r="E81" s="24" t="str">
        <f t="shared" si="5"/>
        <v/>
      </c>
      <c r="F81" s="65" t="str">
        <f>IFERROR(VLOOKUP(A81,BUFFS!$H$5:$AF$195,5,),"")</f>
        <v/>
      </c>
      <c r="G81" s="66" t="str">
        <f>IFERROR(VLOOKUP(A81,BUFFS!$H$5:$AF$195,6,),"")</f>
        <v/>
      </c>
      <c r="H81" s="67" t="str">
        <f>IFERROR(VLOOKUP(A81,BUFFS!$H$5:$AF$195,7,),"")</f>
        <v/>
      </c>
      <c r="I81" s="66" t="str">
        <f>IFERROR(VLOOKUP(A81,BUFFS!$H$5:$AF$195,9,),"")</f>
        <v/>
      </c>
      <c r="J81" s="65" t="str">
        <f>IFERROR(VLOOKUP(A81,BUFFS!$H$5:$AF$195,10,),"")</f>
        <v/>
      </c>
      <c r="K81" s="66" t="str">
        <f>IFERROR(VLOOKUP(A81,BUFFS!$H$5:$AF$195,11,),"")</f>
        <v/>
      </c>
      <c r="L81" s="66" t="str">
        <f>IFERROR(VLOOKUP(A81,BUFFS!$H$5:$AF$195,12,),"")</f>
        <v/>
      </c>
      <c r="M81" s="66" t="str">
        <f>IFERROR(VLOOKUP(A81,BUFFS!$H$5:$AF$195,14,),"")</f>
        <v/>
      </c>
      <c r="N81" s="68" t="str">
        <f t="shared" si="6"/>
        <v/>
      </c>
      <c r="O81" s="65" t="str">
        <f>IFERROR(VLOOKUP(A81,BUFFS!$H$5:$AF$195,15,),"")</f>
        <v/>
      </c>
      <c r="P81" s="66" t="str">
        <f>IFERROR(VLOOKUP(A81,BUFFS!$H$5:$AF$195,16,),"")</f>
        <v/>
      </c>
      <c r="Q81" s="66" t="str">
        <f>IFERROR(VLOOKUP(A81,BUFFS!$H$5:$AF$195,17,),"")</f>
        <v/>
      </c>
      <c r="R81" s="66" t="str">
        <f>IFERROR(VLOOKUP(A81,BUFFS!$H$5:$AF$195,19,),"")</f>
        <v/>
      </c>
      <c r="S81" s="69" t="str">
        <f t="shared" si="7"/>
        <v/>
      </c>
      <c r="T81" s="70" t="str">
        <f>IFERROR(VLOOKUP(A81,BUFFS!$H$5:$AF$195,20,),"")</f>
        <v/>
      </c>
    </row>
    <row r="82" spans="1:20" x14ac:dyDescent="0.35">
      <c r="A82" s="17"/>
      <c r="B82" s="18"/>
      <c r="C82" s="13"/>
      <c r="D82" s="31" t="str">
        <f>IFERROR(VLOOKUP(A82,BUFFS!$H$5:$AF$195,8,),"")</f>
        <v/>
      </c>
      <c r="E82" s="24" t="str">
        <f t="shared" si="5"/>
        <v/>
      </c>
      <c r="F82" s="65" t="str">
        <f>IFERROR(VLOOKUP(A82,BUFFS!$H$5:$AF$195,5,),"")</f>
        <v/>
      </c>
      <c r="G82" s="66" t="str">
        <f>IFERROR(VLOOKUP(A82,BUFFS!$H$5:$AF$195,6,),"")</f>
        <v/>
      </c>
      <c r="H82" s="67" t="str">
        <f>IFERROR(VLOOKUP(A82,BUFFS!$H$5:$AF$195,7,),"")</f>
        <v/>
      </c>
      <c r="I82" s="66" t="str">
        <f>IFERROR(VLOOKUP(A82,BUFFS!$H$5:$AF$195,9,),"")</f>
        <v/>
      </c>
      <c r="J82" s="65" t="str">
        <f>IFERROR(VLOOKUP(A82,BUFFS!$H$5:$AF$195,10,),"")</f>
        <v/>
      </c>
      <c r="K82" s="66" t="str">
        <f>IFERROR(VLOOKUP(A82,BUFFS!$H$5:$AF$195,11,),"")</f>
        <v/>
      </c>
      <c r="L82" s="66" t="str">
        <f>IFERROR(VLOOKUP(A82,BUFFS!$H$5:$AF$195,12,),"")</f>
        <v/>
      </c>
      <c r="M82" s="66" t="str">
        <f>IFERROR(VLOOKUP(A82,BUFFS!$H$5:$AF$195,14,),"")</f>
        <v/>
      </c>
      <c r="N82" s="68" t="str">
        <f t="shared" si="6"/>
        <v/>
      </c>
      <c r="O82" s="65" t="str">
        <f>IFERROR(VLOOKUP(A82,BUFFS!$H$5:$AF$195,15,),"")</f>
        <v/>
      </c>
      <c r="P82" s="66" t="str">
        <f>IFERROR(VLOOKUP(A82,BUFFS!$H$5:$AF$195,16,),"")</f>
        <v/>
      </c>
      <c r="Q82" s="66" t="str">
        <f>IFERROR(VLOOKUP(A82,BUFFS!$H$5:$AF$195,17,),"")</f>
        <v/>
      </c>
      <c r="R82" s="66" t="str">
        <f>IFERROR(VLOOKUP(A82,BUFFS!$H$5:$AF$195,19,),"")</f>
        <v/>
      </c>
      <c r="S82" s="69" t="str">
        <f t="shared" si="7"/>
        <v/>
      </c>
      <c r="T82" s="70" t="str">
        <f>IFERROR(VLOOKUP(A82,BUFFS!$H$5:$AF$195,20,),"")</f>
        <v/>
      </c>
    </row>
    <row r="83" spans="1:20" x14ac:dyDescent="0.35">
      <c r="A83" s="17"/>
      <c r="B83" s="18"/>
      <c r="C83" s="13"/>
      <c r="D83" s="31" t="str">
        <f>IFERROR(VLOOKUP(A83,BUFFS!$H$5:$AF$195,8,),"")</f>
        <v/>
      </c>
      <c r="E83" s="24" t="str">
        <f t="shared" si="5"/>
        <v/>
      </c>
      <c r="F83" s="65" t="str">
        <f>IFERROR(VLOOKUP(A83,BUFFS!$H$5:$AF$195,5,),"")</f>
        <v/>
      </c>
      <c r="G83" s="66" t="str">
        <f>IFERROR(VLOOKUP(A83,BUFFS!$H$5:$AF$195,6,),"")</f>
        <v/>
      </c>
      <c r="H83" s="67" t="str">
        <f>IFERROR(VLOOKUP(A83,BUFFS!$H$5:$AF$195,7,),"")</f>
        <v/>
      </c>
      <c r="I83" s="66" t="str">
        <f>IFERROR(VLOOKUP(A83,BUFFS!$H$5:$AF$195,9,),"")</f>
        <v/>
      </c>
      <c r="J83" s="65" t="str">
        <f>IFERROR(VLOOKUP(A83,BUFFS!$H$5:$AF$195,10,),"")</f>
        <v/>
      </c>
      <c r="K83" s="66" t="str">
        <f>IFERROR(VLOOKUP(A83,BUFFS!$H$5:$AF$195,11,),"")</f>
        <v/>
      </c>
      <c r="L83" s="66" t="str">
        <f>IFERROR(VLOOKUP(A83,BUFFS!$H$5:$AF$195,12,),"")</f>
        <v/>
      </c>
      <c r="M83" s="66" t="str">
        <f>IFERROR(VLOOKUP(A83,BUFFS!$H$5:$AF$195,14,),"")</f>
        <v/>
      </c>
      <c r="N83" s="68" t="str">
        <f t="shared" si="6"/>
        <v/>
      </c>
      <c r="O83" s="65" t="str">
        <f>IFERROR(VLOOKUP(A83,BUFFS!$H$5:$AF$195,15,),"")</f>
        <v/>
      </c>
      <c r="P83" s="66" t="str">
        <f>IFERROR(VLOOKUP(A83,BUFFS!$H$5:$AF$195,16,),"")</f>
        <v/>
      </c>
      <c r="Q83" s="66" t="str">
        <f>IFERROR(VLOOKUP(A83,BUFFS!$H$5:$AF$195,17,),"")</f>
        <v/>
      </c>
      <c r="R83" s="66" t="str">
        <f>IFERROR(VLOOKUP(A83,BUFFS!$H$5:$AF$195,19,),"")</f>
        <v/>
      </c>
      <c r="S83" s="69" t="str">
        <f t="shared" si="7"/>
        <v/>
      </c>
      <c r="T83" s="70" t="str">
        <f>IFERROR(VLOOKUP(A83,BUFFS!$H$5:$AF$195,20,),"")</f>
        <v/>
      </c>
    </row>
    <row r="84" spans="1:20" x14ac:dyDescent="0.35">
      <c r="A84" s="17"/>
      <c r="B84" s="18"/>
      <c r="C84" s="13"/>
      <c r="D84" s="31" t="str">
        <f>IFERROR(VLOOKUP(A84,BUFFS!$H$5:$AF$195,8,),"")</f>
        <v/>
      </c>
      <c r="E84" s="24" t="str">
        <f t="shared" si="5"/>
        <v/>
      </c>
      <c r="F84" s="65" t="str">
        <f>IFERROR(VLOOKUP(A84,BUFFS!$H$5:$AF$195,5,),"")</f>
        <v/>
      </c>
      <c r="G84" s="66" t="str">
        <f>IFERROR(VLOOKUP(A84,BUFFS!$H$5:$AF$195,6,),"")</f>
        <v/>
      </c>
      <c r="H84" s="67" t="str">
        <f>IFERROR(VLOOKUP(A84,BUFFS!$H$5:$AF$195,7,),"")</f>
        <v/>
      </c>
      <c r="I84" s="66" t="str">
        <f>IFERROR(VLOOKUP(A84,BUFFS!$H$5:$AF$195,9,),"")</f>
        <v/>
      </c>
      <c r="J84" s="65" t="str">
        <f>IFERROR(VLOOKUP(A84,BUFFS!$H$5:$AF$195,10,),"")</f>
        <v/>
      </c>
      <c r="K84" s="66" t="str">
        <f>IFERROR(VLOOKUP(A84,BUFFS!$H$5:$AF$195,11,),"")</f>
        <v/>
      </c>
      <c r="L84" s="66" t="str">
        <f>IFERROR(VLOOKUP(A84,BUFFS!$H$5:$AF$195,12,),"")</f>
        <v/>
      </c>
      <c r="M84" s="66" t="str">
        <f>IFERROR(VLOOKUP(A84,BUFFS!$H$5:$AF$195,14,),"")</f>
        <v/>
      </c>
      <c r="N84" s="68" t="str">
        <f t="shared" si="6"/>
        <v/>
      </c>
      <c r="O84" s="65" t="str">
        <f>IFERROR(VLOOKUP(A84,BUFFS!$H$5:$AF$195,15,),"")</f>
        <v/>
      </c>
      <c r="P84" s="66" t="str">
        <f>IFERROR(VLOOKUP(A84,BUFFS!$H$5:$AF$195,16,),"")</f>
        <v/>
      </c>
      <c r="Q84" s="66" t="str">
        <f>IFERROR(VLOOKUP(A84,BUFFS!$H$5:$AF$195,17,),"")</f>
        <v/>
      </c>
      <c r="R84" s="66" t="str">
        <f>IFERROR(VLOOKUP(A84,BUFFS!$H$5:$AF$195,19,),"")</f>
        <v/>
      </c>
      <c r="S84" s="69" t="str">
        <f t="shared" si="7"/>
        <v/>
      </c>
      <c r="T84" s="70" t="str">
        <f>IFERROR(VLOOKUP(A84,BUFFS!$H$5:$AF$195,20,),"")</f>
        <v/>
      </c>
    </row>
    <row r="85" spans="1:20" x14ac:dyDescent="0.35">
      <c r="A85" s="17"/>
      <c r="B85" s="18"/>
      <c r="C85" s="13"/>
      <c r="D85" s="31" t="str">
        <f>IFERROR(VLOOKUP(A85,BUFFS!$H$5:$AF$195,8,),"")</f>
        <v/>
      </c>
      <c r="E85" s="24" t="str">
        <f t="shared" si="5"/>
        <v/>
      </c>
      <c r="F85" s="65" t="str">
        <f>IFERROR(VLOOKUP(A85,BUFFS!$H$5:$AF$195,5,),"")</f>
        <v/>
      </c>
      <c r="G85" s="66" t="str">
        <f>IFERROR(VLOOKUP(A85,BUFFS!$H$5:$AF$195,6,),"")</f>
        <v/>
      </c>
      <c r="H85" s="67" t="str">
        <f>IFERROR(VLOOKUP(A85,BUFFS!$H$5:$AF$195,7,),"")</f>
        <v/>
      </c>
      <c r="I85" s="66" t="str">
        <f>IFERROR(VLOOKUP(A85,BUFFS!$H$5:$AF$195,9,),"")</f>
        <v/>
      </c>
      <c r="J85" s="65" t="str">
        <f>IFERROR(VLOOKUP(A85,BUFFS!$H$5:$AF$195,10,),"")</f>
        <v/>
      </c>
      <c r="K85" s="66" t="str">
        <f>IFERROR(VLOOKUP(A85,BUFFS!$H$5:$AF$195,11,),"")</f>
        <v/>
      </c>
      <c r="L85" s="66" t="str">
        <f>IFERROR(VLOOKUP(A85,BUFFS!$H$5:$AF$195,12,),"")</f>
        <v/>
      </c>
      <c r="M85" s="66" t="str">
        <f>IFERROR(VLOOKUP(A85,BUFFS!$H$5:$AF$195,14,),"")</f>
        <v/>
      </c>
      <c r="N85" s="68" t="str">
        <f t="shared" si="6"/>
        <v/>
      </c>
      <c r="O85" s="65" t="str">
        <f>IFERROR(VLOOKUP(A85,BUFFS!$H$5:$AF$195,15,),"")</f>
        <v/>
      </c>
      <c r="P85" s="66" t="str">
        <f>IFERROR(VLOOKUP(A85,BUFFS!$H$5:$AF$195,16,),"")</f>
        <v/>
      </c>
      <c r="Q85" s="66" t="str">
        <f>IFERROR(VLOOKUP(A85,BUFFS!$H$5:$AF$195,17,),"")</f>
        <v/>
      </c>
      <c r="R85" s="66" t="str">
        <f>IFERROR(VLOOKUP(A85,BUFFS!$H$5:$AF$195,19,),"")</f>
        <v/>
      </c>
      <c r="S85" s="69" t="str">
        <f t="shared" si="7"/>
        <v/>
      </c>
      <c r="T85" s="70" t="str">
        <f>IFERROR(VLOOKUP(A85,BUFFS!$H$5:$AF$195,20,),"")</f>
        <v/>
      </c>
    </row>
    <row r="86" spans="1:20" x14ac:dyDescent="0.35">
      <c r="A86" s="17"/>
      <c r="B86" s="18"/>
      <c r="C86" s="13"/>
      <c r="D86" s="31" t="str">
        <f>IFERROR(VLOOKUP(A86,BUFFS!$H$5:$AF$195,8,),"")</f>
        <v/>
      </c>
      <c r="E86" s="24" t="str">
        <f t="shared" si="5"/>
        <v/>
      </c>
      <c r="F86" s="65" t="str">
        <f>IFERROR(VLOOKUP(A86,BUFFS!$H$5:$AF$195,5,),"")</f>
        <v/>
      </c>
      <c r="G86" s="66" t="str">
        <f>IFERROR(VLOOKUP(A86,BUFFS!$H$5:$AF$195,6,),"")</f>
        <v/>
      </c>
      <c r="H86" s="67" t="str">
        <f>IFERROR(VLOOKUP(A86,BUFFS!$H$5:$AF$195,7,),"")</f>
        <v/>
      </c>
      <c r="I86" s="66" t="str">
        <f>IFERROR(VLOOKUP(A86,BUFFS!$H$5:$AF$195,9,),"")</f>
        <v/>
      </c>
      <c r="J86" s="65" t="str">
        <f>IFERROR(VLOOKUP(A86,BUFFS!$H$5:$AF$195,10,),"")</f>
        <v/>
      </c>
      <c r="K86" s="66" t="str">
        <f>IFERROR(VLOOKUP(A86,BUFFS!$H$5:$AF$195,11,),"")</f>
        <v/>
      </c>
      <c r="L86" s="66" t="str">
        <f>IFERROR(VLOOKUP(A86,BUFFS!$H$5:$AF$195,12,),"")</f>
        <v/>
      </c>
      <c r="M86" s="66" t="str">
        <f>IFERROR(VLOOKUP(A86,BUFFS!$H$5:$AF$195,14,),"")</f>
        <v/>
      </c>
      <c r="N86" s="68" t="str">
        <f t="shared" si="6"/>
        <v/>
      </c>
      <c r="O86" s="65" t="str">
        <f>IFERROR(VLOOKUP(A86,BUFFS!$H$5:$AF$195,15,),"")</f>
        <v/>
      </c>
      <c r="P86" s="66" t="str">
        <f>IFERROR(VLOOKUP(A86,BUFFS!$H$5:$AF$195,16,),"")</f>
        <v/>
      </c>
      <c r="Q86" s="66" t="str">
        <f>IFERROR(VLOOKUP(A86,BUFFS!$H$5:$AF$195,17,),"")</f>
        <v/>
      </c>
      <c r="R86" s="66" t="str">
        <f>IFERROR(VLOOKUP(A86,BUFFS!$H$5:$AF$195,19,),"")</f>
        <v/>
      </c>
      <c r="S86" s="69" t="str">
        <f t="shared" si="7"/>
        <v/>
      </c>
      <c r="T86" s="70" t="str">
        <f>IFERROR(VLOOKUP(A86,BUFFS!$H$5:$AF$195,20,),"")</f>
        <v/>
      </c>
    </row>
    <row r="87" spans="1:20" x14ac:dyDescent="0.35">
      <c r="A87" s="17"/>
      <c r="B87" s="18"/>
      <c r="C87" s="13"/>
      <c r="D87" s="31" t="str">
        <f>IFERROR(VLOOKUP(A87,BUFFS!$H$5:$AF$195,8,),"")</f>
        <v/>
      </c>
      <c r="E87" s="24" t="str">
        <f t="shared" si="5"/>
        <v/>
      </c>
      <c r="F87" s="65" t="str">
        <f>IFERROR(VLOOKUP(A87,BUFFS!$H$5:$AF$195,5,),"")</f>
        <v/>
      </c>
      <c r="G87" s="66" t="str">
        <f>IFERROR(VLOOKUP(A87,BUFFS!$H$5:$AF$195,6,),"")</f>
        <v/>
      </c>
      <c r="H87" s="67" t="str">
        <f>IFERROR(VLOOKUP(A87,BUFFS!$H$5:$AF$195,7,),"")</f>
        <v/>
      </c>
      <c r="I87" s="66" t="str">
        <f>IFERROR(VLOOKUP(A87,BUFFS!$H$5:$AF$195,9,),"")</f>
        <v/>
      </c>
      <c r="J87" s="65" t="str">
        <f>IFERROR(VLOOKUP(A87,BUFFS!$H$5:$AF$195,10,),"")</f>
        <v/>
      </c>
      <c r="K87" s="66" t="str">
        <f>IFERROR(VLOOKUP(A87,BUFFS!$H$5:$AF$195,11,),"")</f>
        <v/>
      </c>
      <c r="L87" s="66" t="str">
        <f>IFERROR(VLOOKUP(A87,BUFFS!$H$5:$AF$195,12,),"")</f>
        <v/>
      </c>
      <c r="M87" s="66" t="str">
        <f>IFERROR(VLOOKUP(A87,BUFFS!$H$5:$AF$195,14,),"")</f>
        <v/>
      </c>
      <c r="N87" s="68" t="str">
        <f t="shared" si="6"/>
        <v/>
      </c>
      <c r="O87" s="65" t="str">
        <f>IFERROR(VLOOKUP(A87,BUFFS!$H$5:$AF$195,15,),"")</f>
        <v/>
      </c>
      <c r="P87" s="66" t="str">
        <f>IFERROR(VLOOKUP(A87,BUFFS!$H$5:$AF$195,16,),"")</f>
        <v/>
      </c>
      <c r="Q87" s="66" t="str">
        <f>IFERROR(VLOOKUP(A87,BUFFS!$H$5:$AF$195,17,),"")</f>
        <v/>
      </c>
      <c r="R87" s="66" t="str">
        <f>IFERROR(VLOOKUP(A87,BUFFS!$H$5:$AF$195,19,),"")</f>
        <v/>
      </c>
      <c r="S87" s="69" t="str">
        <f t="shared" si="7"/>
        <v/>
      </c>
      <c r="T87" s="70" t="str">
        <f>IFERROR(VLOOKUP(A87,BUFFS!$H$5:$AF$195,20,),"")</f>
        <v/>
      </c>
    </row>
    <row r="88" spans="1:20" x14ac:dyDescent="0.35">
      <c r="A88" s="17"/>
      <c r="B88" s="18"/>
      <c r="C88" s="13"/>
      <c r="D88" s="31" t="str">
        <f>IFERROR(VLOOKUP(A88,BUFFS!$H$5:$AF$195,8,),"")</f>
        <v/>
      </c>
      <c r="E88" s="24" t="str">
        <f t="shared" si="5"/>
        <v/>
      </c>
      <c r="F88" s="65" t="str">
        <f>IFERROR(VLOOKUP(A88,BUFFS!$H$5:$AF$195,5,),"")</f>
        <v/>
      </c>
      <c r="G88" s="66" t="str">
        <f>IFERROR(VLOOKUP(A88,BUFFS!$H$5:$AF$195,6,),"")</f>
        <v/>
      </c>
      <c r="H88" s="67" t="str">
        <f>IFERROR(VLOOKUP(A88,BUFFS!$H$5:$AF$195,7,),"")</f>
        <v/>
      </c>
      <c r="I88" s="66" t="str">
        <f>IFERROR(VLOOKUP(A88,BUFFS!$H$5:$AF$195,9,),"")</f>
        <v/>
      </c>
      <c r="J88" s="65" t="str">
        <f>IFERROR(VLOOKUP(A88,BUFFS!$H$5:$AF$195,10,),"")</f>
        <v/>
      </c>
      <c r="K88" s="66" t="str">
        <f>IFERROR(VLOOKUP(A88,BUFFS!$H$5:$AF$195,11,),"")</f>
        <v/>
      </c>
      <c r="L88" s="66" t="str">
        <f>IFERROR(VLOOKUP(A88,BUFFS!$H$5:$AF$195,12,),"")</f>
        <v/>
      </c>
      <c r="M88" s="66" t="str">
        <f>IFERROR(VLOOKUP(A88,BUFFS!$H$5:$AF$195,14,),"")</f>
        <v/>
      </c>
      <c r="N88" s="68" t="str">
        <f t="shared" si="6"/>
        <v/>
      </c>
      <c r="O88" s="65" t="str">
        <f>IFERROR(VLOOKUP(A88,BUFFS!$H$5:$AF$195,15,),"")</f>
        <v/>
      </c>
      <c r="P88" s="66" t="str">
        <f>IFERROR(VLOOKUP(A88,BUFFS!$H$5:$AF$195,16,),"")</f>
        <v/>
      </c>
      <c r="Q88" s="66" t="str">
        <f>IFERROR(VLOOKUP(A88,BUFFS!$H$5:$AF$195,17,),"")</f>
        <v/>
      </c>
      <c r="R88" s="66" t="str">
        <f>IFERROR(VLOOKUP(A88,BUFFS!$H$5:$AF$195,19,),"")</f>
        <v/>
      </c>
      <c r="S88" s="69" t="str">
        <f t="shared" si="7"/>
        <v/>
      </c>
      <c r="T88" s="70" t="str">
        <f>IFERROR(VLOOKUP(A88,BUFFS!$H$5:$AF$195,20,),"")</f>
        <v/>
      </c>
    </row>
    <row r="89" spans="1:20" x14ac:dyDescent="0.35">
      <c r="A89" s="17"/>
      <c r="B89" s="18"/>
      <c r="C89" s="13"/>
      <c r="D89" s="31" t="str">
        <f>IFERROR(VLOOKUP(A89,BUFFS!$H$5:$AF$195,8,),"")</f>
        <v/>
      </c>
      <c r="E89" s="24" t="str">
        <f t="shared" si="5"/>
        <v/>
      </c>
      <c r="F89" s="65" t="str">
        <f>IFERROR(VLOOKUP(A89,BUFFS!$H$5:$AF$195,5,),"")</f>
        <v/>
      </c>
      <c r="G89" s="66" t="str">
        <f>IFERROR(VLOOKUP(A89,BUFFS!$H$5:$AF$195,6,),"")</f>
        <v/>
      </c>
      <c r="H89" s="67" t="str">
        <f>IFERROR(VLOOKUP(A89,BUFFS!$H$5:$AF$195,7,),"")</f>
        <v/>
      </c>
      <c r="I89" s="66" t="str">
        <f>IFERROR(VLOOKUP(A89,BUFFS!$H$5:$AF$195,9,),"")</f>
        <v/>
      </c>
      <c r="J89" s="65" t="str">
        <f>IFERROR(VLOOKUP(A89,BUFFS!$H$5:$AF$195,10,),"")</f>
        <v/>
      </c>
      <c r="K89" s="66" t="str">
        <f>IFERROR(VLOOKUP(A89,BUFFS!$H$5:$AF$195,11,),"")</f>
        <v/>
      </c>
      <c r="L89" s="66" t="str">
        <f>IFERROR(VLOOKUP(A89,BUFFS!$H$5:$AF$195,12,),"")</f>
        <v/>
      </c>
      <c r="M89" s="66" t="str">
        <f>IFERROR(VLOOKUP(A89,BUFFS!$H$5:$AF$195,14,),"")</f>
        <v/>
      </c>
      <c r="N89" s="68" t="str">
        <f t="shared" si="6"/>
        <v/>
      </c>
      <c r="O89" s="65" t="str">
        <f>IFERROR(VLOOKUP(A89,BUFFS!$H$5:$AF$195,15,),"")</f>
        <v/>
      </c>
      <c r="P89" s="66" t="str">
        <f>IFERROR(VLOOKUP(A89,BUFFS!$H$5:$AF$195,16,),"")</f>
        <v/>
      </c>
      <c r="Q89" s="66" t="str">
        <f>IFERROR(VLOOKUP(A89,BUFFS!$H$5:$AF$195,17,),"")</f>
        <v/>
      </c>
      <c r="R89" s="66" t="str">
        <f>IFERROR(VLOOKUP(A89,BUFFS!$H$5:$AF$195,19,),"")</f>
        <v/>
      </c>
      <c r="S89" s="69" t="str">
        <f t="shared" si="7"/>
        <v/>
      </c>
      <c r="T89" s="70" t="str">
        <f>IFERROR(VLOOKUP(A89,BUFFS!$H$5:$AF$195,20,),"")</f>
        <v/>
      </c>
    </row>
    <row r="90" spans="1:20" x14ac:dyDescent="0.35">
      <c r="A90" s="17"/>
      <c r="B90" s="18"/>
      <c r="C90" s="13"/>
      <c r="D90" s="31" t="str">
        <f>IFERROR(VLOOKUP(A90,BUFFS!$H$5:$AF$195,8,),"")</f>
        <v/>
      </c>
      <c r="E90" s="24" t="str">
        <f t="shared" si="5"/>
        <v/>
      </c>
      <c r="F90" s="65" t="str">
        <f>IFERROR(VLOOKUP(A90,BUFFS!$H$5:$AF$195,5,),"")</f>
        <v/>
      </c>
      <c r="G90" s="66" t="str">
        <f>IFERROR(VLOOKUP(A90,BUFFS!$H$5:$AF$195,6,),"")</f>
        <v/>
      </c>
      <c r="H90" s="67" t="str">
        <f>IFERROR(VLOOKUP(A90,BUFFS!$H$5:$AF$195,7,),"")</f>
        <v/>
      </c>
      <c r="I90" s="66" t="str">
        <f>IFERROR(VLOOKUP(A90,BUFFS!$H$5:$AF$195,9,),"")</f>
        <v/>
      </c>
      <c r="J90" s="65" t="str">
        <f>IFERROR(VLOOKUP(A90,BUFFS!$H$5:$AF$195,10,),"")</f>
        <v/>
      </c>
      <c r="K90" s="66" t="str">
        <f>IFERROR(VLOOKUP(A90,BUFFS!$H$5:$AF$195,11,),"")</f>
        <v/>
      </c>
      <c r="L90" s="66" t="str">
        <f>IFERROR(VLOOKUP(A90,BUFFS!$H$5:$AF$195,12,),"")</f>
        <v/>
      </c>
      <c r="M90" s="66" t="str">
        <f>IFERROR(VLOOKUP(A90,BUFFS!$H$5:$AF$195,14,),"")</f>
        <v/>
      </c>
      <c r="N90" s="68" t="str">
        <f t="shared" si="6"/>
        <v/>
      </c>
      <c r="O90" s="65" t="str">
        <f>IFERROR(VLOOKUP(A90,BUFFS!$H$5:$AF$195,15,),"")</f>
        <v/>
      </c>
      <c r="P90" s="66" t="str">
        <f>IFERROR(VLOOKUP(A90,BUFFS!$H$5:$AF$195,16,),"")</f>
        <v/>
      </c>
      <c r="Q90" s="66" t="str">
        <f>IFERROR(VLOOKUP(A90,BUFFS!$H$5:$AF$195,17,),"")</f>
        <v/>
      </c>
      <c r="R90" s="66" t="str">
        <f>IFERROR(VLOOKUP(A90,BUFFS!$H$5:$AF$195,19,),"")</f>
        <v/>
      </c>
      <c r="S90" s="69" t="str">
        <f t="shared" si="7"/>
        <v/>
      </c>
      <c r="T90" s="70" t="str">
        <f>IFERROR(VLOOKUP(A90,BUFFS!$H$5:$AF$195,20,),"")</f>
        <v/>
      </c>
    </row>
    <row r="91" spans="1:20" x14ac:dyDescent="0.35">
      <c r="A91" s="17"/>
      <c r="B91" s="18"/>
      <c r="C91" s="13"/>
      <c r="D91" s="31" t="str">
        <f>IFERROR(VLOOKUP(A91,BUFFS!$H$5:$AF$195,8,),"")</f>
        <v/>
      </c>
      <c r="E91" s="24" t="str">
        <f t="shared" si="5"/>
        <v/>
      </c>
      <c r="F91" s="65" t="str">
        <f>IFERROR(VLOOKUP(A91,BUFFS!$H$5:$AF$195,5,),"")</f>
        <v/>
      </c>
      <c r="G91" s="66" t="str">
        <f>IFERROR(VLOOKUP(A91,BUFFS!$H$5:$AF$195,6,),"")</f>
        <v/>
      </c>
      <c r="H91" s="67" t="str">
        <f>IFERROR(VLOOKUP(A91,BUFFS!$H$5:$AF$195,7,),"")</f>
        <v/>
      </c>
      <c r="I91" s="66" t="str">
        <f>IFERROR(VLOOKUP(A91,BUFFS!$H$5:$AF$195,9,),"")</f>
        <v/>
      </c>
      <c r="J91" s="65" t="str">
        <f>IFERROR(VLOOKUP(A91,BUFFS!$H$5:$AF$195,10,),"")</f>
        <v/>
      </c>
      <c r="K91" s="66" t="str">
        <f>IFERROR(VLOOKUP(A91,BUFFS!$H$5:$AF$195,11,),"")</f>
        <v/>
      </c>
      <c r="L91" s="66" t="str">
        <f>IFERROR(VLOOKUP(A91,BUFFS!$H$5:$AF$195,12,),"")</f>
        <v/>
      </c>
      <c r="M91" s="66" t="str">
        <f>IFERROR(VLOOKUP(A91,BUFFS!$H$5:$AF$195,14,),"")</f>
        <v/>
      </c>
      <c r="N91" s="68" t="str">
        <f t="shared" si="6"/>
        <v/>
      </c>
      <c r="O91" s="65" t="str">
        <f>IFERROR(VLOOKUP(A91,BUFFS!$H$5:$AF$195,15,),"")</f>
        <v/>
      </c>
      <c r="P91" s="66" t="str">
        <f>IFERROR(VLOOKUP(A91,BUFFS!$H$5:$AF$195,16,),"")</f>
        <v/>
      </c>
      <c r="Q91" s="66" t="str">
        <f>IFERROR(VLOOKUP(A91,BUFFS!$H$5:$AF$195,17,),"")</f>
        <v/>
      </c>
      <c r="R91" s="66" t="str">
        <f>IFERROR(VLOOKUP(A91,BUFFS!$H$5:$AF$195,19,),"")</f>
        <v/>
      </c>
      <c r="S91" s="69" t="str">
        <f t="shared" si="7"/>
        <v/>
      </c>
      <c r="T91" s="70" t="str">
        <f>IFERROR(VLOOKUP(A91,BUFFS!$H$5:$AF$195,20,),"")</f>
        <v/>
      </c>
    </row>
    <row r="92" spans="1:20" x14ac:dyDescent="0.35">
      <c r="A92" s="17"/>
      <c r="B92" s="18"/>
      <c r="C92" s="13"/>
      <c r="D92" s="31" t="str">
        <f>IFERROR(VLOOKUP(A92,BUFFS!$H$5:$AF$195,8,),"")</f>
        <v/>
      </c>
      <c r="E92" s="24" t="str">
        <f t="shared" si="5"/>
        <v/>
      </c>
      <c r="F92" s="65" t="str">
        <f>IFERROR(VLOOKUP(A92,BUFFS!$H$5:$AF$195,5,),"")</f>
        <v/>
      </c>
      <c r="G92" s="66" t="str">
        <f>IFERROR(VLOOKUP(A92,BUFFS!$H$5:$AF$195,6,),"")</f>
        <v/>
      </c>
      <c r="H92" s="67" t="str">
        <f>IFERROR(VLOOKUP(A92,BUFFS!$H$5:$AF$195,7,),"")</f>
        <v/>
      </c>
      <c r="I92" s="66" t="str">
        <f>IFERROR(VLOOKUP(A92,BUFFS!$H$5:$AF$195,9,),"")</f>
        <v/>
      </c>
      <c r="J92" s="65" t="str">
        <f>IFERROR(VLOOKUP(A92,BUFFS!$H$5:$AF$195,10,),"")</f>
        <v/>
      </c>
      <c r="K92" s="66" t="str">
        <f>IFERROR(VLOOKUP(A92,BUFFS!$H$5:$AF$195,11,),"")</f>
        <v/>
      </c>
      <c r="L92" s="66" t="str">
        <f>IFERROR(VLOOKUP(A92,BUFFS!$H$5:$AF$195,12,),"")</f>
        <v/>
      </c>
      <c r="M92" s="66" t="str">
        <f>IFERROR(VLOOKUP(A92,BUFFS!$H$5:$AF$195,14,),"")</f>
        <v/>
      </c>
      <c r="N92" s="68" t="str">
        <f t="shared" si="6"/>
        <v/>
      </c>
      <c r="O92" s="65" t="str">
        <f>IFERROR(VLOOKUP(A92,BUFFS!$H$5:$AF$195,15,),"")</f>
        <v/>
      </c>
      <c r="P92" s="66" t="str">
        <f>IFERROR(VLOOKUP(A92,BUFFS!$H$5:$AF$195,16,),"")</f>
        <v/>
      </c>
      <c r="Q92" s="66" t="str">
        <f>IFERROR(VLOOKUP(A92,BUFFS!$H$5:$AF$195,17,),"")</f>
        <v/>
      </c>
      <c r="R92" s="66" t="str">
        <f>IFERROR(VLOOKUP(A92,BUFFS!$H$5:$AF$195,19,),"")</f>
        <v/>
      </c>
      <c r="S92" s="69" t="str">
        <f t="shared" si="7"/>
        <v/>
      </c>
      <c r="T92" s="70" t="str">
        <f>IFERROR(VLOOKUP(A92,BUFFS!$H$5:$AF$195,20,),"")</f>
        <v/>
      </c>
    </row>
    <row r="93" spans="1:20" x14ac:dyDescent="0.35">
      <c r="A93" s="17"/>
      <c r="B93" s="18"/>
      <c r="C93" s="13"/>
      <c r="D93" s="31" t="str">
        <f>IFERROR(VLOOKUP(A93,BUFFS!$H$5:$AF$195,8,),"")</f>
        <v/>
      </c>
      <c r="E93" s="24" t="str">
        <f t="shared" si="5"/>
        <v/>
      </c>
      <c r="F93" s="65" t="str">
        <f>IFERROR(VLOOKUP(A93,BUFFS!$H$5:$AF$195,5,),"")</f>
        <v/>
      </c>
      <c r="G93" s="66" t="str">
        <f>IFERROR(VLOOKUP(A93,BUFFS!$H$5:$AF$195,6,),"")</f>
        <v/>
      </c>
      <c r="H93" s="67" t="str">
        <f>IFERROR(VLOOKUP(A93,BUFFS!$H$5:$AF$195,7,),"")</f>
        <v/>
      </c>
      <c r="I93" s="66" t="str">
        <f>IFERROR(VLOOKUP(A93,BUFFS!$H$5:$AF$195,9,),"")</f>
        <v/>
      </c>
      <c r="J93" s="65" t="str">
        <f>IFERROR(VLOOKUP(A93,BUFFS!$H$5:$AF$195,10,),"")</f>
        <v/>
      </c>
      <c r="K93" s="66" t="str">
        <f>IFERROR(VLOOKUP(A93,BUFFS!$H$5:$AF$195,11,),"")</f>
        <v/>
      </c>
      <c r="L93" s="66" t="str">
        <f>IFERROR(VLOOKUP(A93,BUFFS!$H$5:$AF$195,12,),"")</f>
        <v/>
      </c>
      <c r="M93" s="66" t="str">
        <f>IFERROR(VLOOKUP(A93,BUFFS!$H$5:$AF$195,14,),"")</f>
        <v/>
      </c>
      <c r="N93" s="68" t="str">
        <f t="shared" si="6"/>
        <v/>
      </c>
      <c r="O93" s="65" t="str">
        <f>IFERROR(VLOOKUP(A93,BUFFS!$H$5:$AF$195,15,),"")</f>
        <v/>
      </c>
      <c r="P93" s="66" t="str">
        <f>IFERROR(VLOOKUP(A93,BUFFS!$H$5:$AF$195,16,),"")</f>
        <v/>
      </c>
      <c r="Q93" s="66" t="str">
        <f>IFERROR(VLOOKUP(A93,BUFFS!$H$5:$AF$195,17,),"")</f>
        <v/>
      </c>
      <c r="R93" s="66" t="str">
        <f>IFERROR(VLOOKUP(A93,BUFFS!$H$5:$AF$195,19,),"")</f>
        <v/>
      </c>
      <c r="S93" s="69" t="str">
        <f t="shared" si="7"/>
        <v/>
      </c>
      <c r="T93" s="70" t="str">
        <f>IFERROR(VLOOKUP(A93,BUFFS!$H$5:$AF$195,20,),"")</f>
        <v/>
      </c>
    </row>
    <row r="94" spans="1:20" x14ac:dyDescent="0.35">
      <c r="A94" s="17"/>
      <c r="B94" s="18"/>
      <c r="C94" s="13"/>
      <c r="D94" s="31" t="str">
        <f>IFERROR(VLOOKUP(A94,BUFFS!$H$5:$AF$195,8,),"")</f>
        <v/>
      </c>
      <c r="E94" s="24" t="str">
        <f t="shared" si="5"/>
        <v/>
      </c>
      <c r="F94" s="65" t="str">
        <f>IFERROR(VLOOKUP(A94,BUFFS!$H$5:$AF$195,5,),"")</f>
        <v/>
      </c>
      <c r="G94" s="66" t="str">
        <f>IFERROR(VLOOKUP(A94,BUFFS!$H$5:$AF$195,6,),"")</f>
        <v/>
      </c>
      <c r="H94" s="67" t="str">
        <f>IFERROR(VLOOKUP(A94,BUFFS!$H$5:$AF$195,7,),"")</f>
        <v/>
      </c>
      <c r="I94" s="66" t="str">
        <f>IFERROR(VLOOKUP(A94,BUFFS!$H$5:$AF$195,9,),"")</f>
        <v/>
      </c>
      <c r="J94" s="65" t="str">
        <f>IFERROR(VLOOKUP(A94,BUFFS!$H$5:$AF$195,10,),"")</f>
        <v/>
      </c>
      <c r="K94" s="66" t="str">
        <f>IFERROR(VLOOKUP(A94,BUFFS!$H$5:$AF$195,11,),"")</f>
        <v/>
      </c>
      <c r="L94" s="66" t="str">
        <f>IFERROR(VLOOKUP(A94,BUFFS!$H$5:$AF$195,12,),"")</f>
        <v/>
      </c>
      <c r="M94" s="66" t="str">
        <f>IFERROR(VLOOKUP(A94,BUFFS!$H$5:$AF$195,14,),"")</f>
        <v/>
      </c>
      <c r="N94" s="68" t="str">
        <f t="shared" si="6"/>
        <v/>
      </c>
      <c r="O94" s="65" t="str">
        <f>IFERROR(VLOOKUP(A94,BUFFS!$H$5:$AF$195,15,),"")</f>
        <v/>
      </c>
      <c r="P94" s="66" t="str">
        <f>IFERROR(VLOOKUP(A94,BUFFS!$H$5:$AF$195,16,),"")</f>
        <v/>
      </c>
      <c r="Q94" s="66" t="str">
        <f>IFERROR(VLOOKUP(A94,BUFFS!$H$5:$AF$195,17,),"")</f>
        <v/>
      </c>
      <c r="R94" s="66" t="str">
        <f>IFERROR(VLOOKUP(A94,BUFFS!$H$5:$AF$195,19,),"")</f>
        <v/>
      </c>
      <c r="S94" s="69" t="str">
        <f t="shared" si="7"/>
        <v/>
      </c>
      <c r="T94" s="70" t="str">
        <f>IFERROR(VLOOKUP(A94,BUFFS!$H$5:$AF$195,20,),"")</f>
        <v/>
      </c>
    </row>
    <row r="95" spans="1:20" x14ac:dyDescent="0.35">
      <c r="A95" s="17"/>
      <c r="B95" s="18"/>
      <c r="C95" s="13"/>
      <c r="D95" s="31" t="str">
        <f>IFERROR(VLOOKUP(A95,BUFFS!$H$5:$AF$195,8,),"")</f>
        <v/>
      </c>
      <c r="E95" s="24" t="str">
        <f t="shared" si="5"/>
        <v/>
      </c>
      <c r="F95" s="65" t="str">
        <f>IFERROR(VLOOKUP(A95,BUFFS!$H$5:$AF$195,5,),"")</f>
        <v/>
      </c>
      <c r="G95" s="66" t="str">
        <f>IFERROR(VLOOKUP(A95,BUFFS!$H$5:$AF$195,6,),"")</f>
        <v/>
      </c>
      <c r="H95" s="67" t="str">
        <f>IFERROR(VLOOKUP(A95,BUFFS!$H$5:$AF$195,7,),"")</f>
        <v/>
      </c>
      <c r="I95" s="66" t="str">
        <f>IFERROR(VLOOKUP(A95,BUFFS!$H$5:$AF$195,9,),"")</f>
        <v/>
      </c>
      <c r="J95" s="65" t="str">
        <f>IFERROR(VLOOKUP(A95,BUFFS!$H$5:$AF$195,10,),"")</f>
        <v/>
      </c>
      <c r="K95" s="66" t="str">
        <f>IFERROR(VLOOKUP(A95,BUFFS!$H$5:$AF$195,11,),"")</f>
        <v/>
      </c>
      <c r="L95" s="66" t="str">
        <f>IFERROR(VLOOKUP(A95,BUFFS!$H$5:$AF$195,12,),"")</f>
        <v/>
      </c>
      <c r="M95" s="66" t="str">
        <f>IFERROR(VLOOKUP(A95,BUFFS!$H$5:$AF$195,14,),"")</f>
        <v/>
      </c>
      <c r="N95" s="68" t="str">
        <f t="shared" si="6"/>
        <v/>
      </c>
      <c r="O95" s="65" t="str">
        <f>IFERROR(VLOOKUP(A95,BUFFS!$H$5:$AF$195,15,),"")</f>
        <v/>
      </c>
      <c r="P95" s="66" t="str">
        <f>IFERROR(VLOOKUP(A95,BUFFS!$H$5:$AF$195,16,),"")</f>
        <v/>
      </c>
      <c r="Q95" s="66" t="str">
        <f>IFERROR(VLOOKUP(A95,BUFFS!$H$5:$AF$195,17,),"")</f>
        <v/>
      </c>
      <c r="R95" s="66" t="str">
        <f>IFERROR(VLOOKUP(A95,BUFFS!$H$5:$AF$195,19,),"")</f>
        <v/>
      </c>
      <c r="S95" s="69" t="str">
        <f t="shared" si="7"/>
        <v/>
      </c>
      <c r="T95" s="70" t="str">
        <f>IFERROR(VLOOKUP(A95,BUFFS!$H$5:$AF$195,20,),"")</f>
        <v/>
      </c>
    </row>
    <row r="96" spans="1:20" x14ac:dyDescent="0.35">
      <c r="A96" s="17"/>
      <c r="B96" s="18"/>
      <c r="C96" s="13"/>
      <c r="D96" s="31" t="str">
        <f>IFERROR(VLOOKUP(A96,BUFFS!$H$5:$AF$195,8,),"")</f>
        <v/>
      </c>
      <c r="E96" s="24" t="str">
        <f t="shared" si="5"/>
        <v/>
      </c>
      <c r="F96" s="65" t="str">
        <f>IFERROR(VLOOKUP(A96,BUFFS!$H$5:$AF$195,5,),"")</f>
        <v/>
      </c>
      <c r="G96" s="66" t="str">
        <f>IFERROR(VLOOKUP(A96,BUFFS!$H$5:$AF$195,6,),"")</f>
        <v/>
      </c>
      <c r="H96" s="67" t="str">
        <f>IFERROR(VLOOKUP(A96,BUFFS!$H$5:$AF$195,7,),"")</f>
        <v/>
      </c>
      <c r="I96" s="66" t="str">
        <f>IFERROR(VLOOKUP(A96,BUFFS!$H$5:$AF$195,9,),"")</f>
        <v/>
      </c>
      <c r="J96" s="65" t="str">
        <f>IFERROR(VLOOKUP(A96,BUFFS!$H$5:$AF$195,10,),"")</f>
        <v/>
      </c>
      <c r="K96" s="66" t="str">
        <f>IFERROR(VLOOKUP(A96,BUFFS!$H$5:$AF$195,11,),"")</f>
        <v/>
      </c>
      <c r="L96" s="66" t="str">
        <f>IFERROR(VLOOKUP(A96,BUFFS!$H$5:$AF$195,12,),"")</f>
        <v/>
      </c>
      <c r="M96" s="66" t="str">
        <f>IFERROR(VLOOKUP(A96,BUFFS!$H$5:$AF$195,14,),"")</f>
        <v/>
      </c>
      <c r="N96" s="68" t="str">
        <f t="shared" si="6"/>
        <v/>
      </c>
      <c r="O96" s="65" t="str">
        <f>IFERROR(VLOOKUP(A96,BUFFS!$H$5:$AF$195,15,),"")</f>
        <v/>
      </c>
      <c r="P96" s="66" t="str">
        <f>IFERROR(VLOOKUP(A96,BUFFS!$H$5:$AF$195,16,),"")</f>
        <v/>
      </c>
      <c r="Q96" s="66" t="str">
        <f>IFERROR(VLOOKUP(A96,BUFFS!$H$5:$AF$195,17,),"")</f>
        <v/>
      </c>
      <c r="R96" s="66" t="str">
        <f>IFERROR(VLOOKUP(A96,BUFFS!$H$5:$AF$195,19,),"")</f>
        <v/>
      </c>
      <c r="S96" s="69" t="str">
        <f t="shared" si="7"/>
        <v/>
      </c>
      <c r="T96" s="70" t="str">
        <f>IFERROR(VLOOKUP(A96,BUFFS!$H$5:$AF$195,20,),"")</f>
        <v/>
      </c>
    </row>
    <row r="97" spans="1:20" x14ac:dyDescent="0.35">
      <c r="A97" s="17"/>
      <c r="B97" s="18"/>
      <c r="C97" s="13"/>
      <c r="D97" s="31" t="str">
        <f>IFERROR(VLOOKUP(A97,BUFFS!$H$5:$AF$195,8,),"")</f>
        <v/>
      </c>
      <c r="E97" s="24" t="str">
        <f t="shared" si="5"/>
        <v/>
      </c>
      <c r="F97" s="65" t="str">
        <f>IFERROR(VLOOKUP(A97,BUFFS!$H$5:$AF$195,5,),"")</f>
        <v/>
      </c>
      <c r="G97" s="66" t="str">
        <f>IFERROR(VLOOKUP(A97,BUFFS!$H$5:$AF$195,6,),"")</f>
        <v/>
      </c>
      <c r="H97" s="67" t="str">
        <f>IFERROR(VLOOKUP(A97,BUFFS!$H$5:$AF$195,7,),"")</f>
        <v/>
      </c>
      <c r="I97" s="66" t="str">
        <f>IFERROR(VLOOKUP(A97,BUFFS!$H$5:$AF$195,9,),"")</f>
        <v/>
      </c>
      <c r="J97" s="65" t="str">
        <f>IFERROR(VLOOKUP(A97,BUFFS!$H$5:$AF$195,10,),"")</f>
        <v/>
      </c>
      <c r="K97" s="66" t="str">
        <f>IFERROR(VLOOKUP(A97,BUFFS!$H$5:$AF$195,11,),"")</f>
        <v/>
      </c>
      <c r="L97" s="66" t="str">
        <f>IFERROR(VLOOKUP(A97,BUFFS!$H$5:$AF$195,12,),"")</f>
        <v/>
      </c>
      <c r="M97" s="66" t="str">
        <f>IFERROR(VLOOKUP(A97,BUFFS!$H$5:$AF$195,14,),"")</f>
        <v/>
      </c>
      <c r="N97" s="68" t="str">
        <f t="shared" si="6"/>
        <v/>
      </c>
      <c r="O97" s="65" t="str">
        <f>IFERROR(VLOOKUP(A97,BUFFS!$H$5:$AF$195,15,),"")</f>
        <v/>
      </c>
      <c r="P97" s="66" t="str">
        <f>IFERROR(VLOOKUP(A97,BUFFS!$H$5:$AF$195,16,),"")</f>
        <v/>
      </c>
      <c r="Q97" s="66" t="str">
        <f>IFERROR(VLOOKUP(A97,BUFFS!$H$5:$AF$195,17,),"")</f>
        <v/>
      </c>
      <c r="R97" s="66" t="str">
        <f>IFERROR(VLOOKUP(A97,BUFFS!$H$5:$AF$195,19,),"")</f>
        <v/>
      </c>
      <c r="S97" s="69" t="str">
        <f t="shared" si="7"/>
        <v/>
      </c>
      <c r="T97" s="70" t="str">
        <f>IFERROR(VLOOKUP(A97,BUFFS!$H$5:$AF$195,20,),"")</f>
        <v/>
      </c>
    </row>
    <row r="98" spans="1:20" x14ac:dyDescent="0.35">
      <c r="A98" s="17"/>
      <c r="B98" s="18"/>
      <c r="C98" s="13"/>
      <c r="D98" s="31" t="str">
        <f>IFERROR(VLOOKUP(A98,BUFFS!$H$5:$AF$195,8,),"")</f>
        <v/>
      </c>
      <c r="E98" s="24" t="str">
        <f t="shared" si="5"/>
        <v/>
      </c>
      <c r="F98" s="65" t="str">
        <f>IFERROR(VLOOKUP(A98,BUFFS!$H$5:$AF$195,5,),"")</f>
        <v/>
      </c>
      <c r="G98" s="66" t="str">
        <f>IFERROR(VLOOKUP(A98,BUFFS!$H$5:$AF$195,6,),"")</f>
        <v/>
      </c>
      <c r="H98" s="67" t="str">
        <f>IFERROR(VLOOKUP(A98,BUFFS!$H$5:$AF$195,7,),"")</f>
        <v/>
      </c>
      <c r="I98" s="66" t="str">
        <f>IFERROR(VLOOKUP(A98,BUFFS!$H$5:$AF$195,9,),"")</f>
        <v/>
      </c>
      <c r="J98" s="65" t="str">
        <f>IFERROR(VLOOKUP(A98,BUFFS!$H$5:$AF$195,10,),"")</f>
        <v/>
      </c>
      <c r="K98" s="66" t="str">
        <f>IFERROR(VLOOKUP(A98,BUFFS!$H$5:$AF$195,11,),"")</f>
        <v/>
      </c>
      <c r="L98" s="66" t="str">
        <f>IFERROR(VLOOKUP(A98,BUFFS!$H$5:$AF$195,12,),"")</f>
        <v/>
      </c>
      <c r="M98" s="66" t="str">
        <f>IFERROR(VLOOKUP(A98,BUFFS!$H$5:$AF$195,14,),"")</f>
        <v/>
      </c>
      <c r="N98" s="68" t="str">
        <f t="shared" si="6"/>
        <v/>
      </c>
      <c r="O98" s="65" t="str">
        <f>IFERROR(VLOOKUP(A98,BUFFS!$H$5:$AF$195,15,),"")</f>
        <v/>
      </c>
      <c r="P98" s="66" t="str">
        <f>IFERROR(VLOOKUP(A98,BUFFS!$H$5:$AF$195,16,),"")</f>
        <v/>
      </c>
      <c r="Q98" s="66" t="str">
        <f>IFERROR(VLOOKUP(A98,BUFFS!$H$5:$AF$195,17,),"")</f>
        <v/>
      </c>
      <c r="R98" s="66" t="str">
        <f>IFERROR(VLOOKUP(A98,BUFFS!$H$5:$AF$195,19,),"")</f>
        <v/>
      </c>
      <c r="S98" s="69" t="str">
        <f t="shared" si="7"/>
        <v/>
      </c>
      <c r="T98" s="70" t="str">
        <f>IFERROR(VLOOKUP(A98,BUFFS!$H$5:$AF$195,20,),"")</f>
        <v/>
      </c>
    </row>
    <row r="99" spans="1:20" x14ac:dyDescent="0.35">
      <c r="A99" s="17"/>
      <c r="B99" s="18"/>
      <c r="C99" s="13"/>
      <c r="D99" s="31" t="str">
        <f>IFERROR(VLOOKUP(A99,BUFFS!$H$5:$AF$195,8,),"")</f>
        <v/>
      </c>
      <c r="E99" s="24" t="str">
        <f t="shared" si="5"/>
        <v/>
      </c>
      <c r="F99" s="65" t="str">
        <f>IFERROR(VLOOKUP(A99,BUFFS!$H$5:$AF$195,5,),"")</f>
        <v/>
      </c>
      <c r="G99" s="66" t="str">
        <f>IFERROR(VLOOKUP(A99,BUFFS!$H$5:$AF$195,6,),"")</f>
        <v/>
      </c>
      <c r="H99" s="67" t="str">
        <f>IFERROR(VLOOKUP(A99,BUFFS!$H$5:$AF$195,7,),"")</f>
        <v/>
      </c>
      <c r="I99" s="66" t="str">
        <f>IFERROR(VLOOKUP(A99,BUFFS!$H$5:$AF$195,9,),"")</f>
        <v/>
      </c>
      <c r="J99" s="65" t="str">
        <f>IFERROR(VLOOKUP(A99,BUFFS!$H$5:$AF$195,10,),"")</f>
        <v/>
      </c>
      <c r="K99" s="66" t="str">
        <f>IFERROR(VLOOKUP(A99,BUFFS!$H$5:$AF$195,11,),"")</f>
        <v/>
      </c>
      <c r="L99" s="66" t="str">
        <f>IFERROR(VLOOKUP(A99,BUFFS!$H$5:$AF$195,12,),"")</f>
        <v/>
      </c>
      <c r="M99" s="66" t="str">
        <f>IFERROR(VLOOKUP(A99,BUFFS!$H$5:$AF$195,14,),"")</f>
        <v/>
      </c>
      <c r="N99" s="68" t="str">
        <f t="shared" si="6"/>
        <v/>
      </c>
      <c r="O99" s="65" t="str">
        <f>IFERROR(VLOOKUP(A99,BUFFS!$H$5:$AF$195,15,),"")</f>
        <v/>
      </c>
      <c r="P99" s="66" t="str">
        <f>IFERROR(VLOOKUP(A99,BUFFS!$H$5:$AF$195,16,),"")</f>
        <v/>
      </c>
      <c r="Q99" s="66" t="str">
        <f>IFERROR(VLOOKUP(A99,BUFFS!$H$5:$AF$195,17,),"")</f>
        <v/>
      </c>
      <c r="R99" s="66" t="str">
        <f>IFERROR(VLOOKUP(A99,BUFFS!$H$5:$AF$195,19,),"")</f>
        <v/>
      </c>
      <c r="S99" s="69" t="str">
        <f t="shared" si="7"/>
        <v/>
      </c>
      <c r="T99" s="70" t="str">
        <f>IFERROR(VLOOKUP(A99,BUFFS!$H$5:$AF$195,20,),"")</f>
        <v/>
      </c>
    </row>
    <row r="100" spans="1:20" x14ac:dyDescent="0.35">
      <c r="A100" s="17"/>
      <c r="B100" s="18"/>
      <c r="C100" s="13"/>
      <c r="D100" s="31" t="str">
        <f>IFERROR(VLOOKUP(A100,BUFFS!$H$5:$AF$195,8,),"")</f>
        <v/>
      </c>
      <c r="E100" s="24" t="str">
        <f t="shared" si="5"/>
        <v/>
      </c>
      <c r="F100" s="65" t="str">
        <f>IFERROR(VLOOKUP(A100,BUFFS!$H$5:$AF$195,5,),"")</f>
        <v/>
      </c>
      <c r="G100" s="66" t="str">
        <f>IFERROR(VLOOKUP(A100,BUFFS!$H$5:$AF$195,6,),"")</f>
        <v/>
      </c>
      <c r="H100" s="67" t="str">
        <f>IFERROR(VLOOKUP(A100,BUFFS!$H$5:$AF$195,7,),"")</f>
        <v/>
      </c>
      <c r="I100" s="66" t="str">
        <f>IFERROR(VLOOKUP(A100,BUFFS!$H$5:$AF$195,9,),"")</f>
        <v/>
      </c>
      <c r="J100" s="65" t="str">
        <f>IFERROR(VLOOKUP(A100,BUFFS!$H$5:$AF$195,10,),"")</f>
        <v/>
      </c>
      <c r="K100" s="66" t="str">
        <f>IFERROR(VLOOKUP(A100,BUFFS!$H$5:$AF$195,11,),"")</f>
        <v/>
      </c>
      <c r="L100" s="66" t="str">
        <f>IFERROR(VLOOKUP(A100,BUFFS!$H$5:$AF$195,12,),"")</f>
        <v/>
      </c>
      <c r="M100" s="66" t="str">
        <f>IFERROR(VLOOKUP(A100,BUFFS!$H$5:$AF$195,14,),"")</f>
        <v/>
      </c>
      <c r="N100" s="68" t="str">
        <f t="shared" si="6"/>
        <v/>
      </c>
      <c r="O100" s="65" t="str">
        <f>IFERROR(VLOOKUP(A100,BUFFS!$H$5:$AF$195,15,),"")</f>
        <v/>
      </c>
      <c r="P100" s="66" t="str">
        <f>IFERROR(VLOOKUP(A100,BUFFS!$H$5:$AF$195,16,),"")</f>
        <v/>
      </c>
      <c r="Q100" s="66" t="str">
        <f>IFERROR(VLOOKUP(A100,BUFFS!$H$5:$AF$195,17,),"")</f>
        <v/>
      </c>
      <c r="R100" s="66" t="str">
        <f>IFERROR(VLOOKUP(A100,BUFFS!$H$5:$AF$195,19,),"")</f>
        <v/>
      </c>
      <c r="S100" s="69" t="str">
        <f t="shared" si="7"/>
        <v/>
      </c>
      <c r="T100" s="70" t="str">
        <f>IFERROR(VLOOKUP(A100,BUFFS!$H$5:$AF$195,20,),"")</f>
        <v/>
      </c>
    </row>
    <row r="101" spans="1:20" x14ac:dyDescent="0.35">
      <c r="A101" s="17"/>
      <c r="B101" s="18"/>
      <c r="C101" s="13"/>
      <c r="D101" s="31" t="str">
        <f>IFERROR(VLOOKUP(A101,BUFFS!$H$5:$AF$195,8,),"")</f>
        <v/>
      </c>
      <c r="E101" s="24" t="str">
        <f t="shared" si="5"/>
        <v/>
      </c>
      <c r="F101" s="65" t="str">
        <f>IFERROR(VLOOKUP(A101,BUFFS!$H$5:$AF$195,5,),"")</f>
        <v/>
      </c>
      <c r="G101" s="66" t="str">
        <f>IFERROR(VLOOKUP(A101,BUFFS!$H$5:$AF$195,6,),"")</f>
        <v/>
      </c>
      <c r="H101" s="67" t="str">
        <f>IFERROR(VLOOKUP(A101,BUFFS!$H$5:$AF$195,7,),"")</f>
        <v/>
      </c>
      <c r="I101" s="66" t="str">
        <f>IFERROR(VLOOKUP(A101,BUFFS!$H$5:$AF$195,9,),"")</f>
        <v/>
      </c>
      <c r="J101" s="65" t="str">
        <f>IFERROR(VLOOKUP(A101,BUFFS!$H$5:$AF$195,10,),"")</f>
        <v/>
      </c>
      <c r="K101" s="66" t="str">
        <f>IFERROR(VLOOKUP(A101,BUFFS!$H$5:$AF$195,11,),"")</f>
        <v/>
      </c>
      <c r="L101" s="66" t="str">
        <f>IFERROR(VLOOKUP(A101,BUFFS!$H$5:$AF$195,12,),"")</f>
        <v/>
      </c>
      <c r="M101" s="66" t="str">
        <f>IFERROR(VLOOKUP(A101,BUFFS!$H$5:$AF$195,14,),"")</f>
        <v/>
      </c>
      <c r="N101" s="68" t="str">
        <f t="shared" si="6"/>
        <v/>
      </c>
      <c r="O101" s="65" t="str">
        <f>IFERROR(VLOOKUP(A101,BUFFS!$H$5:$AF$195,15,),"")</f>
        <v/>
      </c>
      <c r="P101" s="66" t="str">
        <f>IFERROR(VLOOKUP(A101,BUFFS!$H$5:$AF$195,16,),"")</f>
        <v/>
      </c>
      <c r="Q101" s="66" t="str">
        <f>IFERROR(VLOOKUP(A101,BUFFS!$H$5:$AF$195,17,),"")</f>
        <v/>
      </c>
      <c r="R101" s="66" t="str">
        <f>IFERROR(VLOOKUP(A101,BUFFS!$H$5:$AF$195,19,),"")</f>
        <v/>
      </c>
      <c r="S101" s="69" t="str">
        <f t="shared" si="7"/>
        <v/>
      </c>
      <c r="T101" s="70" t="str">
        <f>IFERROR(VLOOKUP(A101,BUFFS!$H$5:$AF$195,20,),"")</f>
        <v/>
      </c>
    </row>
    <row r="102" spans="1:20" x14ac:dyDescent="0.35">
      <c r="A102" s="17"/>
      <c r="B102" s="18"/>
      <c r="C102" s="13"/>
      <c r="D102" s="31" t="str">
        <f>IFERROR(VLOOKUP(A102,BUFFS!$H$5:$AF$195,8,),"")</f>
        <v/>
      </c>
      <c r="E102" s="24" t="str">
        <f t="shared" si="5"/>
        <v/>
      </c>
      <c r="F102" s="65" t="str">
        <f>IFERROR(VLOOKUP(A102,BUFFS!$H$5:$AF$195,5,),"")</f>
        <v/>
      </c>
      <c r="G102" s="66" t="str">
        <f>IFERROR(VLOOKUP(A102,BUFFS!$H$5:$AF$195,6,),"")</f>
        <v/>
      </c>
      <c r="H102" s="67" t="str">
        <f>IFERROR(VLOOKUP(A102,BUFFS!$H$5:$AF$195,7,),"")</f>
        <v/>
      </c>
      <c r="I102" s="66" t="str">
        <f>IFERROR(VLOOKUP(A102,BUFFS!$H$5:$AF$195,9,),"")</f>
        <v/>
      </c>
      <c r="J102" s="65" t="str">
        <f>IFERROR(VLOOKUP(A102,BUFFS!$H$5:$AF$195,10,),"")</f>
        <v/>
      </c>
      <c r="K102" s="66" t="str">
        <f>IFERROR(VLOOKUP(A102,BUFFS!$H$5:$AF$195,11,),"")</f>
        <v/>
      </c>
      <c r="L102" s="66" t="str">
        <f>IFERROR(VLOOKUP(A102,BUFFS!$H$5:$AF$195,12,),"")</f>
        <v/>
      </c>
      <c r="M102" s="66" t="str">
        <f>IFERROR(VLOOKUP(A102,BUFFS!$H$5:$AF$195,14,),"")</f>
        <v/>
      </c>
      <c r="N102" s="68" t="str">
        <f t="shared" si="6"/>
        <v/>
      </c>
      <c r="O102" s="65" t="str">
        <f>IFERROR(VLOOKUP(A102,BUFFS!$H$5:$AF$195,15,),"")</f>
        <v/>
      </c>
      <c r="P102" s="66" t="str">
        <f>IFERROR(VLOOKUP(A102,BUFFS!$H$5:$AF$195,16,),"")</f>
        <v/>
      </c>
      <c r="Q102" s="66" t="str">
        <f>IFERROR(VLOOKUP(A102,BUFFS!$H$5:$AF$195,17,),"")</f>
        <v/>
      </c>
      <c r="R102" s="66" t="str">
        <f>IFERROR(VLOOKUP(A102,BUFFS!$H$5:$AF$195,19,),"")</f>
        <v/>
      </c>
      <c r="S102" s="69" t="str">
        <f t="shared" si="7"/>
        <v/>
      </c>
      <c r="T102" s="70" t="str">
        <f>IFERROR(VLOOKUP(A102,BUFFS!$H$5:$AF$195,20,),"")</f>
        <v/>
      </c>
    </row>
    <row r="103" spans="1:20" x14ac:dyDescent="0.35">
      <c r="A103" s="17"/>
      <c r="B103" s="18"/>
      <c r="C103" s="13"/>
      <c r="D103" s="31" t="str">
        <f>IFERROR(VLOOKUP(A103,BUFFS!$H$5:$AF$195,8,),"")</f>
        <v/>
      </c>
      <c r="E103" s="24" t="str">
        <f t="shared" si="5"/>
        <v/>
      </c>
      <c r="F103" s="65" t="str">
        <f>IFERROR(VLOOKUP(A103,BUFFS!$H$5:$AF$195,5,),"")</f>
        <v/>
      </c>
      <c r="G103" s="66" t="str">
        <f>IFERROR(VLOOKUP(A103,BUFFS!$H$5:$AF$195,6,),"")</f>
        <v/>
      </c>
      <c r="H103" s="67" t="str">
        <f>IFERROR(VLOOKUP(A103,BUFFS!$H$5:$AF$195,7,),"")</f>
        <v/>
      </c>
      <c r="I103" s="66" t="str">
        <f>IFERROR(VLOOKUP(A103,BUFFS!$H$5:$AF$195,9,),"")</f>
        <v/>
      </c>
      <c r="J103" s="65" t="str">
        <f>IFERROR(VLOOKUP(A103,BUFFS!$H$5:$AF$195,10,),"")</f>
        <v/>
      </c>
      <c r="K103" s="66" t="str">
        <f>IFERROR(VLOOKUP(A103,BUFFS!$H$5:$AF$195,11,),"")</f>
        <v/>
      </c>
      <c r="L103" s="66" t="str">
        <f>IFERROR(VLOOKUP(A103,BUFFS!$H$5:$AF$195,12,),"")</f>
        <v/>
      </c>
      <c r="M103" s="66" t="str">
        <f>IFERROR(VLOOKUP(A103,BUFFS!$H$5:$AF$195,14,),"")</f>
        <v/>
      </c>
      <c r="N103" s="68" t="str">
        <f t="shared" si="6"/>
        <v/>
      </c>
      <c r="O103" s="65" t="str">
        <f>IFERROR(VLOOKUP(A103,BUFFS!$H$5:$AF$195,15,),"")</f>
        <v/>
      </c>
      <c r="P103" s="66" t="str">
        <f>IFERROR(VLOOKUP(A103,BUFFS!$H$5:$AF$195,16,),"")</f>
        <v/>
      </c>
      <c r="Q103" s="66" t="str">
        <f>IFERROR(VLOOKUP(A103,BUFFS!$H$5:$AF$195,17,),"")</f>
        <v/>
      </c>
      <c r="R103" s="66" t="str">
        <f>IFERROR(VLOOKUP(A103,BUFFS!$H$5:$AF$195,19,),"")</f>
        <v/>
      </c>
      <c r="S103" s="69" t="str">
        <f t="shared" si="7"/>
        <v/>
      </c>
      <c r="T103" s="70" t="str">
        <f>IFERROR(VLOOKUP(A103,BUFFS!$H$5:$AF$195,20,),"")</f>
        <v/>
      </c>
    </row>
    <row r="104" spans="1:20" x14ac:dyDescent="0.35">
      <c r="A104" s="17"/>
      <c r="B104" s="18"/>
      <c r="C104" s="13"/>
      <c r="D104" s="31" t="str">
        <f>IFERROR(VLOOKUP(A104,BUFFS!$H$5:$AF$195,8,),"")</f>
        <v/>
      </c>
      <c r="E104" s="24" t="str">
        <f t="shared" si="5"/>
        <v/>
      </c>
      <c r="F104" s="65" t="str">
        <f>IFERROR(VLOOKUP(A104,BUFFS!$H$5:$AF$195,5,),"")</f>
        <v/>
      </c>
      <c r="G104" s="66" t="str">
        <f>IFERROR(VLOOKUP(A104,BUFFS!$H$5:$AF$195,6,),"")</f>
        <v/>
      </c>
      <c r="H104" s="67" t="str">
        <f>IFERROR(VLOOKUP(A104,BUFFS!$H$5:$AF$195,7,),"")</f>
        <v/>
      </c>
      <c r="I104" s="66" t="str">
        <f>IFERROR(VLOOKUP(A104,BUFFS!$H$5:$AF$195,9,),"")</f>
        <v/>
      </c>
      <c r="J104" s="65" t="str">
        <f>IFERROR(VLOOKUP(A104,BUFFS!$H$5:$AF$195,10,),"")</f>
        <v/>
      </c>
      <c r="K104" s="66" t="str">
        <f>IFERROR(VLOOKUP(A104,BUFFS!$H$5:$AF$195,11,),"")</f>
        <v/>
      </c>
      <c r="L104" s="66" t="str">
        <f>IFERROR(VLOOKUP(A104,BUFFS!$H$5:$AF$195,12,),"")</f>
        <v/>
      </c>
      <c r="M104" s="66" t="str">
        <f>IFERROR(VLOOKUP(A104,BUFFS!$H$5:$AF$195,14,),"")</f>
        <v/>
      </c>
      <c r="N104" s="68" t="str">
        <f t="shared" si="6"/>
        <v/>
      </c>
      <c r="O104" s="65" t="str">
        <f>IFERROR(VLOOKUP(A104,BUFFS!$H$5:$AF$195,15,),"")</f>
        <v/>
      </c>
      <c r="P104" s="66" t="str">
        <f>IFERROR(VLOOKUP(A104,BUFFS!$H$5:$AF$195,16,),"")</f>
        <v/>
      </c>
      <c r="Q104" s="66" t="str">
        <f>IFERROR(VLOOKUP(A104,BUFFS!$H$5:$AF$195,17,),"")</f>
        <v/>
      </c>
      <c r="R104" s="66" t="str">
        <f>IFERROR(VLOOKUP(A104,BUFFS!$H$5:$AF$195,19,),"")</f>
        <v/>
      </c>
      <c r="S104" s="69" t="str">
        <f t="shared" si="7"/>
        <v/>
      </c>
      <c r="T104" s="70" t="str">
        <f>IFERROR(VLOOKUP(A104,BUFFS!$H$5:$AF$195,20,),"")</f>
        <v/>
      </c>
    </row>
    <row r="105" spans="1:20" x14ac:dyDescent="0.35">
      <c r="A105" s="17"/>
      <c r="B105" s="18"/>
      <c r="C105" s="13"/>
      <c r="D105" s="31" t="str">
        <f>IFERROR(VLOOKUP(A105,BUFFS!$H$5:$AF$195,8,),"")</f>
        <v/>
      </c>
      <c r="E105" s="24" t="str">
        <f t="shared" si="5"/>
        <v/>
      </c>
      <c r="F105" s="65" t="str">
        <f>IFERROR(VLOOKUP(A105,BUFFS!$H$5:$AF$195,5,),"")</f>
        <v/>
      </c>
      <c r="G105" s="66" t="str">
        <f>IFERROR(VLOOKUP(A105,BUFFS!$H$5:$AF$195,6,),"")</f>
        <v/>
      </c>
      <c r="H105" s="67" t="str">
        <f>IFERROR(VLOOKUP(A105,BUFFS!$H$5:$AF$195,7,),"")</f>
        <v/>
      </c>
      <c r="I105" s="66" t="str">
        <f>IFERROR(VLOOKUP(A105,BUFFS!$H$5:$AF$195,9,),"")</f>
        <v/>
      </c>
      <c r="J105" s="65" t="str">
        <f>IFERROR(VLOOKUP(A105,BUFFS!$H$5:$AF$195,10,),"")</f>
        <v/>
      </c>
      <c r="K105" s="66" t="str">
        <f>IFERROR(VLOOKUP(A105,BUFFS!$H$5:$AF$195,11,),"")</f>
        <v/>
      </c>
      <c r="L105" s="66" t="str">
        <f>IFERROR(VLOOKUP(A105,BUFFS!$H$5:$AF$195,12,),"")</f>
        <v/>
      </c>
      <c r="M105" s="66" t="str">
        <f>IFERROR(VLOOKUP(A105,BUFFS!$H$5:$AF$195,14,),"")</f>
        <v/>
      </c>
      <c r="N105" s="68" t="str">
        <f t="shared" si="6"/>
        <v/>
      </c>
      <c r="O105" s="65" t="str">
        <f>IFERROR(VLOOKUP(A105,BUFFS!$H$5:$AF$195,15,),"")</f>
        <v/>
      </c>
      <c r="P105" s="66" t="str">
        <f>IFERROR(VLOOKUP(A105,BUFFS!$H$5:$AF$195,16,),"")</f>
        <v/>
      </c>
      <c r="Q105" s="66" t="str">
        <f>IFERROR(VLOOKUP(A105,BUFFS!$H$5:$AF$195,17,),"")</f>
        <v/>
      </c>
      <c r="R105" s="66" t="str">
        <f>IFERROR(VLOOKUP(A105,BUFFS!$H$5:$AF$195,19,),"")</f>
        <v/>
      </c>
      <c r="S105" s="69" t="str">
        <f t="shared" si="7"/>
        <v/>
      </c>
      <c r="T105" s="70" t="str">
        <f>IFERROR(VLOOKUP(A105,BUFFS!$H$5:$AF$195,20,),"")</f>
        <v/>
      </c>
    </row>
    <row r="106" spans="1:20" x14ac:dyDescent="0.35">
      <c r="A106" s="17"/>
      <c r="B106" s="18"/>
      <c r="C106" s="13"/>
      <c r="D106" s="31" t="str">
        <f>IFERROR(VLOOKUP(A106,BUFFS!$H$5:$AF$195,8,),"")</f>
        <v/>
      </c>
      <c r="E106" s="24" t="str">
        <f t="shared" si="5"/>
        <v/>
      </c>
      <c r="F106" s="65" t="str">
        <f>IFERROR(VLOOKUP(A106,BUFFS!$H$5:$AF$195,5,),"")</f>
        <v/>
      </c>
      <c r="G106" s="66" t="str">
        <f>IFERROR(VLOOKUP(A106,BUFFS!$H$5:$AF$195,6,),"")</f>
        <v/>
      </c>
      <c r="H106" s="67" t="str">
        <f>IFERROR(VLOOKUP(A106,BUFFS!$H$5:$AF$195,7,),"")</f>
        <v/>
      </c>
      <c r="I106" s="66" t="str">
        <f>IFERROR(VLOOKUP(A106,BUFFS!$H$5:$AF$195,9,),"")</f>
        <v/>
      </c>
      <c r="J106" s="65" t="str">
        <f>IFERROR(VLOOKUP(A106,BUFFS!$H$5:$AF$195,10,),"")</f>
        <v/>
      </c>
      <c r="K106" s="66" t="str">
        <f>IFERROR(VLOOKUP(A106,BUFFS!$H$5:$AF$195,11,),"")</f>
        <v/>
      </c>
      <c r="L106" s="66" t="str">
        <f>IFERROR(VLOOKUP(A106,BUFFS!$H$5:$AF$195,12,),"")</f>
        <v/>
      </c>
      <c r="M106" s="66" t="str">
        <f>IFERROR(VLOOKUP(A106,BUFFS!$H$5:$AF$195,14,),"")</f>
        <v/>
      </c>
      <c r="N106" s="68" t="str">
        <f t="shared" si="6"/>
        <v/>
      </c>
      <c r="O106" s="65" t="str">
        <f>IFERROR(VLOOKUP(A106,BUFFS!$H$5:$AF$195,15,),"")</f>
        <v/>
      </c>
      <c r="P106" s="66" t="str">
        <f>IFERROR(VLOOKUP(A106,BUFFS!$H$5:$AF$195,16,),"")</f>
        <v/>
      </c>
      <c r="Q106" s="66" t="str">
        <f>IFERROR(VLOOKUP(A106,BUFFS!$H$5:$AF$195,17,),"")</f>
        <v/>
      </c>
      <c r="R106" s="66" t="str">
        <f>IFERROR(VLOOKUP(A106,BUFFS!$H$5:$AF$195,19,),"")</f>
        <v/>
      </c>
      <c r="S106" s="69" t="str">
        <f t="shared" si="7"/>
        <v/>
      </c>
      <c r="T106" s="70" t="str">
        <f>IFERROR(VLOOKUP(A106,BUFFS!$H$5:$AF$195,20,),"")</f>
        <v/>
      </c>
    </row>
    <row r="107" spans="1:20" x14ac:dyDescent="0.35">
      <c r="A107" s="17"/>
      <c r="B107" s="18"/>
      <c r="C107" s="13"/>
      <c r="D107" s="31" t="str">
        <f>IFERROR(VLOOKUP(A107,BUFFS!$H$5:$AF$195,8,),"")</f>
        <v/>
      </c>
      <c r="E107" s="24" t="str">
        <f t="shared" si="5"/>
        <v/>
      </c>
      <c r="F107" s="65" t="str">
        <f>IFERROR(VLOOKUP(A107,BUFFS!$H$5:$AF$195,5,),"")</f>
        <v/>
      </c>
      <c r="G107" s="66" t="str">
        <f>IFERROR(VLOOKUP(A107,BUFFS!$H$5:$AF$195,6,),"")</f>
        <v/>
      </c>
      <c r="H107" s="67" t="str">
        <f>IFERROR(VLOOKUP(A107,BUFFS!$H$5:$AF$195,7,),"")</f>
        <v/>
      </c>
      <c r="I107" s="66" t="str">
        <f>IFERROR(VLOOKUP(A107,BUFFS!$H$5:$AF$195,9,),"")</f>
        <v/>
      </c>
      <c r="J107" s="65" t="str">
        <f>IFERROR(VLOOKUP(A107,BUFFS!$H$5:$AF$195,10,),"")</f>
        <v/>
      </c>
      <c r="K107" s="66" t="str">
        <f>IFERROR(VLOOKUP(A107,BUFFS!$H$5:$AF$195,11,),"")</f>
        <v/>
      </c>
      <c r="L107" s="66" t="str">
        <f>IFERROR(VLOOKUP(A107,BUFFS!$H$5:$AF$195,12,),"")</f>
        <v/>
      </c>
      <c r="M107" s="66" t="str">
        <f>IFERROR(VLOOKUP(A107,BUFFS!$H$5:$AF$195,14,),"")</f>
        <v/>
      </c>
      <c r="N107" s="68" t="str">
        <f t="shared" si="6"/>
        <v/>
      </c>
      <c r="O107" s="65" t="str">
        <f>IFERROR(VLOOKUP(A107,BUFFS!$H$5:$AF$195,15,),"")</f>
        <v/>
      </c>
      <c r="P107" s="66" t="str">
        <f>IFERROR(VLOOKUP(A107,BUFFS!$H$5:$AF$195,16,),"")</f>
        <v/>
      </c>
      <c r="Q107" s="66" t="str">
        <f>IFERROR(VLOOKUP(A107,BUFFS!$H$5:$AF$195,17,),"")</f>
        <v/>
      </c>
      <c r="R107" s="66" t="str">
        <f>IFERROR(VLOOKUP(A107,BUFFS!$H$5:$AF$195,19,),"")</f>
        <v/>
      </c>
      <c r="S107" s="69" t="str">
        <f t="shared" si="7"/>
        <v/>
      </c>
      <c r="T107" s="70" t="str">
        <f>IFERROR(VLOOKUP(A107,BUFFS!$H$5:$AF$195,20,),"")</f>
        <v/>
      </c>
    </row>
    <row r="108" spans="1:20" x14ac:dyDescent="0.35">
      <c r="A108" s="17"/>
      <c r="B108" s="18"/>
      <c r="C108" s="13"/>
      <c r="D108" s="31" t="str">
        <f>IFERROR(VLOOKUP(A108,BUFFS!$H$5:$AF$195,8,),"")</f>
        <v/>
      </c>
      <c r="E108" s="24" t="str">
        <f t="shared" ref="E108:E163" si="8">IFERROR(SUM(H108,ROUNDDOWN(MIN(B108,T$35)*I108,0)),"")</f>
        <v/>
      </c>
      <c r="F108" s="65" t="str">
        <f>IFERROR(VLOOKUP(A108,BUFFS!$H$5:$AF$195,5,),"")</f>
        <v/>
      </c>
      <c r="G108" s="66" t="str">
        <f>IFERROR(VLOOKUP(A108,BUFFS!$H$5:$AF$195,6,),"")</f>
        <v/>
      </c>
      <c r="H108" s="67" t="str">
        <f>IFERROR(VLOOKUP(A108,BUFFS!$H$5:$AF$195,7,),"")</f>
        <v/>
      </c>
      <c r="I108" s="66" t="str">
        <f>IFERROR(VLOOKUP(A108,BUFFS!$H$5:$AF$195,9,),"")</f>
        <v/>
      </c>
      <c r="J108" s="65" t="str">
        <f>IFERROR(VLOOKUP(A108,BUFFS!$H$5:$AF$195,10,),"")</f>
        <v/>
      </c>
      <c r="K108" s="66" t="str">
        <f>IFERROR(VLOOKUP(A108,BUFFS!$H$5:$AF$195,11,),"")</f>
        <v/>
      </c>
      <c r="L108" s="66" t="str">
        <f>IFERROR(VLOOKUP(A108,BUFFS!$H$5:$AF$195,12,),"")</f>
        <v/>
      </c>
      <c r="M108" s="66" t="str">
        <f>IFERROR(VLOOKUP(A108,BUFFS!$H$5:$AF$195,14,),"")</f>
        <v/>
      </c>
      <c r="N108" s="68" t="str">
        <f t="shared" ref="N108:N163" si="9">IFERROR(SUM(L108,ROUNDDOWN(MIN(B108,T$35)*M108,0)),"")</f>
        <v/>
      </c>
      <c r="O108" s="65" t="str">
        <f>IFERROR(VLOOKUP(A108,BUFFS!$H$5:$AF$195,15,),"")</f>
        <v/>
      </c>
      <c r="P108" s="66" t="str">
        <f>IFERROR(VLOOKUP(A108,BUFFS!$H$5:$AF$195,16,),"")</f>
        <v/>
      </c>
      <c r="Q108" s="66" t="str">
        <f>IFERROR(VLOOKUP(A108,BUFFS!$H$5:$AF$195,17,),"")</f>
        <v/>
      </c>
      <c r="R108" s="66" t="str">
        <f>IFERROR(VLOOKUP(A108,BUFFS!$H$5:$AF$195,19,),"")</f>
        <v/>
      </c>
      <c r="S108" s="69" t="str">
        <f t="shared" ref="S108:S163" si="10">IFERROR(SUM(Q108,ROUNDDOWN(MIN(B108,T$35)*R108,0)),"")</f>
        <v/>
      </c>
      <c r="T108" s="70" t="str">
        <f>IFERROR(VLOOKUP(A108,BUFFS!$H$5:$AF$195,20,),"")</f>
        <v/>
      </c>
    </row>
    <row r="109" spans="1:20" x14ac:dyDescent="0.35">
      <c r="A109" s="17"/>
      <c r="B109" s="18"/>
      <c r="C109" s="13"/>
      <c r="D109" s="31" t="str">
        <f>IFERROR(VLOOKUP(A109,BUFFS!$H$5:$AF$195,8,),"")</f>
        <v/>
      </c>
      <c r="E109" s="24" t="str">
        <f t="shared" si="8"/>
        <v/>
      </c>
      <c r="F109" s="65" t="str">
        <f>IFERROR(VLOOKUP(A109,BUFFS!$H$5:$AF$195,5,),"")</f>
        <v/>
      </c>
      <c r="G109" s="66" t="str">
        <f>IFERROR(VLOOKUP(A109,BUFFS!$H$5:$AF$195,6,),"")</f>
        <v/>
      </c>
      <c r="H109" s="67" t="str">
        <f>IFERROR(VLOOKUP(A109,BUFFS!$H$5:$AF$195,7,),"")</f>
        <v/>
      </c>
      <c r="I109" s="66" t="str">
        <f>IFERROR(VLOOKUP(A109,BUFFS!$H$5:$AF$195,9,),"")</f>
        <v/>
      </c>
      <c r="J109" s="65" t="str">
        <f>IFERROR(VLOOKUP(A109,BUFFS!$H$5:$AF$195,10,),"")</f>
        <v/>
      </c>
      <c r="K109" s="66" t="str">
        <f>IFERROR(VLOOKUP(A109,BUFFS!$H$5:$AF$195,11,),"")</f>
        <v/>
      </c>
      <c r="L109" s="66" t="str">
        <f>IFERROR(VLOOKUP(A109,BUFFS!$H$5:$AF$195,12,),"")</f>
        <v/>
      </c>
      <c r="M109" s="66" t="str">
        <f>IFERROR(VLOOKUP(A109,BUFFS!$H$5:$AF$195,14,),"")</f>
        <v/>
      </c>
      <c r="N109" s="68" t="str">
        <f t="shared" si="9"/>
        <v/>
      </c>
      <c r="O109" s="65" t="str">
        <f>IFERROR(VLOOKUP(A109,BUFFS!$H$5:$AF$195,15,),"")</f>
        <v/>
      </c>
      <c r="P109" s="66" t="str">
        <f>IFERROR(VLOOKUP(A109,BUFFS!$H$5:$AF$195,16,),"")</f>
        <v/>
      </c>
      <c r="Q109" s="66" t="str">
        <f>IFERROR(VLOOKUP(A109,BUFFS!$H$5:$AF$195,17,),"")</f>
        <v/>
      </c>
      <c r="R109" s="66" t="str">
        <f>IFERROR(VLOOKUP(A109,BUFFS!$H$5:$AF$195,19,),"")</f>
        <v/>
      </c>
      <c r="S109" s="69" t="str">
        <f t="shared" si="10"/>
        <v/>
      </c>
      <c r="T109" s="70" t="str">
        <f>IFERROR(VLOOKUP(A109,BUFFS!$H$5:$AF$195,20,),"")</f>
        <v/>
      </c>
    </row>
    <row r="110" spans="1:20" x14ac:dyDescent="0.35">
      <c r="A110" s="17"/>
      <c r="B110" s="18"/>
      <c r="C110" s="13"/>
      <c r="D110" s="31" t="str">
        <f>IFERROR(VLOOKUP(A110,BUFFS!$H$5:$AF$195,8,),"")</f>
        <v/>
      </c>
      <c r="E110" s="24" t="str">
        <f t="shared" si="8"/>
        <v/>
      </c>
      <c r="F110" s="65" t="str">
        <f>IFERROR(VLOOKUP(A110,BUFFS!$H$5:$AF$195,5,),"")</f>
        <v/>
      </c>
      <c r="G110" s="66" t="str">
        <f>IFERROR(VLOOKUP(A110,BUFFS!$H$5:$AF$195,6,),"")</f>
        <v/>
      </c>
      <c r="H110" s="67" t="str">
        <f>IFERROR(VLOOKUP(A110,BUFFS!$H$5:$AF$195,7,),"")</f>
        <v/>
      </c>
      <c r="I110" s="66" t="str">
        <f>IFERROR(VLOOKUP(A110,BUFFS!$H$5:$AF$195,9,),"")</f>
        <v/>
      </c>
      <c r="J110" s="65" t="str">
        <f>IFERROR(VLOOKUP(A110,BUFFS!$H$5:$AF$195,10,),"")</f>
        <v/>
      </c>
      <c r="K110" s="66" t="str">
        <f>IFERROR(VLOOKUP(A110,BUFFS!$H$5:$AF$195,11,),"")</f>
        <v/>
      </c>
      <c r="L110" s="66" t="str">
        <f>IFERROR(VLOOKUP(A110,BUFFS!$H$5:$AF$195,12,),"")</f>
        <v/>
      </c>
      <c r="M110" s="66" t="str">
        <f>IFERROR(VLOOKUP(A110,BUFFS!$H$5:$AF$195,14,),"")</f>
        <v/>
      </c>
      <c r="N110" s="68" t="str">
        <f t="shared" si="9"/>
        <v/>
      </c>
      <c r="O110" s="65" t="str">
        <f>IFERROR(VLOOKUP(A110,BUFFS!$H$5:$AF$195,15,),"")</f>
        <v/>
      </c>
      <c r="P110" s="66" t="str">
        <f>IFERROR(VLOOKUP(A110,BUFFS!$H$5:$AF$195,16,),"")</f>
        <v/>
      </c>
      <c r="Q110" s="66" t="str">
        <f>IFERROR(VLOOKUP(A110,BUFFS!$H$5:$AF$195,17,),"")</f>
        <v/>
      </c>
      <c r="R110" s="66" t="str">
        <f>IFERROR(VLOOKUP(A110,BUFFS!$H$5:$AF$195,19,),"")</f>
        <v/>
      </c>
      <c r="S110" s="69" t="str">
        <f t="shared" si="10"/>
        <v/>
      </c>
      <c r="T110" s="70" t="str">
        <f>IFERROR(VLOOKUP(A110,BUFFS!$H$5:$AF$195,20,),"")</f>
        <v/>
      </c>
    </row>
    <row r="111" spans="1:20" x14ac:dyDescent="0.35">
      <c r="A111" s="17"/>
      <c r="B111" s="18"/>
      <c r="C111" s="13"/>
      <c r="D111" s="31" t="str">
        <f>IFERROR(VLOOKUP(A111,BUFFS!$H$5:$AF$195,8,),"")</f>
        <v/>
      </c>
      <c r="E111" s="24" t="str">
        <f t="shared" si="8"/>
        <v/>
      </c>
      <c r="F111" s="65" t="str">
        <f>IFERROR(VLOOKUP(A111,BUFFS!$H$5:$AF$195,5,),"")</f>
        <v/>
      </c>
      <c r="G111" s="66" t="str">
        <f>IFERROR(VLOOKUP(A111,BUFFS!$H$5:$AF$195,6,),"")</f>
        <v/>
      </c>
      <c r="H111" s="67" t="str">
        <f>IFERROR(VLOOKUP(A111,BUFFS!$H$5:$AF$195,7,),"")</f>
        <v/>
      </c>
      <c r="I111" s="66" t="str">
        <f>IFERROR(VLOOKUP(A111,BUFFS!$H$5:$AF$195,9,),"")</f>
        <v/>
      </c>
      <c r="J111" s="65" t="str">
        <f>IFERROR(VLOOKUP(A111,BUFFS!$H$5:$AF$195,10,),"")</f>
        <v/>
      </c>
      <c r="K111" s="66" t="str">
        <f>IFERROR(VLOOKUP(A111,BUFFS!$H$5:$AF$195,11,),"")</f>
        <v/>
      </c>
      <c r="L111" s="66" t="str">
        <f>IFERROR(VLOOKUP(A111,BUFFS!$H$5:$AF$195,12,),"")</f>
        <v/>
      </c>
      <c r="M111" s="66" t="str">
        <f>IFERROR(VLOOKUP(A111,BUFFS!$H$5:$AF$195,14,),"")</f>
        <v/>
      </c>
      <c r="N111" s="68" t="str">
        <f t="shared" si="9"/>
        <v/>
      </c>
      <c r="O111" s="65" t="str">
        <f>IFERROR(VLOOKUP(A111,BUFFS!$H$5:$AF$195,15,),"")</f>
        <v/>
      </c>
      <c r="P111" s="66" t="str">
        <f>IFERROR(VLOOKUP(A111,BUFFS!$H$5:$AF$195,16,),"")</f>
        <v/>
      </c>
      <c r="Q111" s="66" t="str">
        <f>IFERROR(VLOOKUP(A111,BUFFS!$H$5:$AF$195,17,),"")</f>
        <v/>
      </c>
      <c r="R111" s="66" t="str">
        <f>IFERROR(VLOOKUP(A111,BUFFS!$H$5:$AF$195,19,),"")</f>
        <v/>
      </c>
      <c r="S111" s="69" t="str">
        <f t="shared" si="10"/>
        <v/>
      </c>
      <c r="T111" s="70" t="str">
        <f>IFERROR(VLOOKUP(A111,BUFFS!$H$5:$AF$195,20,),"")</f>
        <v/>
      </c>
    </row>
    <row r="112" spans="1:20" x14ac:dyDescent="0.35">
      <c r="A112" s="17"/>
      <c r="B112" s="18"/>
      <c r="C112" s="13"/>
      <c r="D112" s="31" t="str">
        <f>IFERROR(VLOOKUP(A112,BUFFS!$H$5:$AF$195,8,),"")</f>
        <v/>
      </c>
      <c r="E112" s="24" t="str">
        <f t="shared" si="8"/>
        <v/>
      </c>
      <c r="F112" s="65" t="str">
        <f>IFERROR(VLOOKUP(A112,BUFFS!$H$5:$AF$195,5,),"")</f>
        <v/>
      </c>
      <c r="G112" s="66" t="str">
        <f>IFERROR(VLOOKUP(A112,BUFFS!$H$5:$AF$195,6,),"")</f>
        <v/>
      </c>
      <c r="H112" s="67" t="str">
        <f>IFERROR(VLOOKUP(A112,BUFFS!$H$5:$AF$195,7,),"")</f>
        <v/>
      </c>
      <c r="I112" s="66" t="str">
        <f>IFERROR(VLOOKUP(A112,BUFFS!$H$5:$AF$195,9,),"")</f>
        <v/>
      </c>
      <c r="J112" s="65" t="str">
        <f>IFERROR(VLOOKUP(A112,BUFFS!$H$5:$AF$195,10,),"")</f>
        <v/>
      </c>
      <c r="K112" s="66" t="str">
        <f>IFERROR(VLOOKUP(A112,BUFFS!$H$5:$AF$195,11,),"")</f>
        <v/>
      </c>
      <c r="L112" s="66" t="str">
        <f>IFERROR(VLOOKUP(A112,BUFFS!$H$5:$AF$195,12,),"")</f>
        <v/>
      </c>
      <c r="M112" s="66" t="str">
        <f>IFERROR(VLOOKUP(A112,BUFFS!$H$5:$AF$195,14,),"")</f>
        <v/>
      </c>
      <c r="N112" s="68" t="str">
        <f t="shared" si="9"/>
        <v/>
      </c>
      <c r="O112" s="65" t="str">
        <f>IFERROR(VLOOKUP(A112,BUFFS!$H$5:$AF$195,15,),"")</f>
        <v/>
      </c>
      <c r="P112" s="66" t="str">
        <f>IFERROR(VLOOKUP(A112,BUFFS!$H$5:$AF$195,16,),"")</f>
        <v/>
      </c>
      <c r="Q112" s="66" t="str">
        <f>IFERROR(VLOOKUP(A112,BUFFS!$H$5:$AF$195,17,),"")</f>
        <v/>
      </c>
      <c r="R112" s="66" t="str">
        <f>IFERROR(VLOOKUP(A112,BUFFS!$H$5:$AF$195,19,),"")</f>
        <v/>
      </c>
      <c r="S112" s="69" t="str">
        <f t="shared" si="10"/>
        <v/>
      </c>
      <c r="T112" s="70" t="str">
        <f>IFERROR(VLOOKUP(A112,BUFFS!$H$5:$AF$195,20,),"")</f>
        <v/>
      </c>
    </row>
    <row r="113" spans="1:20" x14ac:dyDescent="0.35">
      <c r="A113" s="17"/>
      <c r="B113" s="18"/>
      <c r="C113" s="13"/>
      <c r="D113" s="31" t="str">
        <f>IFERROR(VLOOKUP(A113,BUFFS!$H$5:$AF$195,8,),"")</f>
        <v/>
      </c>
      <c r="E113" s="24" t="str">
        <f t="shared" si="8"/>
        <v/>
      </c>
      <c r="F113" s="65" t="str">
        <f>IFERROR(VLOOKUP(A113,BUFFS!$H$5:$AF$195,5,),"")</f>
        <v/>
      </c>
      <c r="G113" s="66" t="str">
        <f>IFERROR(VLOOKUP(A113,BUFFS!$H$5:$AF$195,6,),"")</f>
        <v/>
      </c>
      <c r="H113" s="67" t="str">
        <f>IFERROR(VLOOKUP(A113,BUFFS!$H$5:$AF$195,7,),"")</f>
        <v/>
      </c>
      <c r="I113" s="66" t="str">
        <f>IFERROR(VLOOKUP(A113,BUFFS!$H$5:$AF$195,9,),"")</f>
        <v/>
      </c>
      <c r="J113" s="65" t="str">
        <f>IFERROR(VLOOKUP(A113,BUFFS!$H$5:$AF$195,10,),"")</f>
        <v/>
      </c>
      <c r="K113" s="66" t="str">
        <f>IFERROR(VLOOKUP(A113,BUFFS!$H$5:$AF$195,11,),"")</f>
        <v/>
      </c>
      <c r="L113" s="66" t="str">
        <f>IFERROR(VLOOKUP(A113,BUFFS!$H$5:$AF$195,12,),"")</f>
        <v/>
      </c>
      <c r="M113" s="66" t="str">
        <f>IFERROR(VLOOKUP(A113,BUFFS!$H$5:$AF$195,14,),"")</f>
        <v/>
      </c>
      <c r="N113" s="68" t="str">
        <f t="shared" si="9"/>
        <v/>
      </c>
      <c r="O113" s="65" t="str">
        <f>IFERROR(VLOOKUP(A113,BUFFS!$H$5:$AF$195,15,),"")</f>
        <v/>
      </c>
      <c r="P113" s="66" t="str">
        <f>IFERROR(VLOOKUP(A113,BUFFS!$H$5:$AF$195,16,),"")</f>
        <v/>
      </c>
      <c r="Q113" s="66" t="str">
        <f>IFERROR(VLOOKUP(A113,BUFFS!$H$5:$AF$195,17,),"")</f>
        <v/>
      </c>
      <c r="R113" s="66" t="str">
        <f>IFERROR(VLOOKUP(A113,BUFFS!$H$5:$AF$195,19,),"")</f>
        <v/>
      </c>
      <c r="S113" s="69" t="str">
        <f t="shared" si="10"/>
        <v/>
      </c>
      <c r="T113" s="70" t="str">
        <f>IFERROR(VLOOKUP(A113,BUFFS!$H$5:$AF$195,20,),"")</f>
        <v/>
      </c>
    </row>
    <row r="114" spans="1:20" x14ac:dyDescent="0.35">
      <c r="A114" s="17"/>
      <c r="B114" s="18"/>
      <c r="C114" s="13"/>
      <c r="D114" s="31" t="str">
        <f>IFERROR(VLOOKUP(A114,BUFFS!$H$5:$AF$195,8,),"")</f>
        <v/>
      </c>
      <c r="E114" s="24" t="str">
        <f t="shared" si="8"/>
        <v/>
      </c>
      <c r="F114" s="65" t="str">
        <f>IFERROR(VLOOKUP(A114,BUFFS!$H$5:$AF$195,5,),"")</f>
        <v/>
      </c>
      <c r="G114" s="66" t="str">
        <f>IFERROR(VLOOKUP(A114,BUFFS!$H$5:$AF$195,6,),"")</f>
        <v/>
      </c>
      <c r="H114" s="67" t="str">
        <f>IFERROR(VLOOKUP(A114,BUFFS!$H$5:$AF$195,7,),"")</f>
        <v/>
      </c>
      <c r="I114" s="66" t="str">
        <f>IFERROR(VLOOKUP(A114,BUFFS!$H$5:$AF$195,9,),"")</f>
        <v/>
      </c>
      <c r="J114" s="65" t="str">
        <f>IFERROR(VLOOKUP(A114,BUFFS!$H$5:$AF$195,10,),"")</f>
        <v/>
      </c>
      <c r="K114" s="66" t="str">
        <f>IFERROR(VLOOKUP(A114,BUFFS!$H$5:$AF$195,11,),"")</f>
        <v/>
      </c>
      <c r="L114" s="66" t="str">
        <f>IFERROR(VLOOKUP(A114,BUFFS!$H$5:$AF$195,12,),"")</f>
        <v/>
      </c>
      <c r="M114" s="66" t="str">
        <f>IFERROR(VLOOKUP(A114,BUFFS!$H$5:$AF$195,14,),"")</f>
        <v/>
      </c>
      <c r="N114" s="68" t="str">
        <f t="shared" si="9"/>
        <v/>
      </c>
      <c r="O114" s="65" t="str">
        <f>IFERROR(VLOOKUP(A114,BUFFS!$H$5:$AF$195,15,),"")</f>
        <v/>
      </c>
      <c r="P114" s="66" t="str">
        <f>IFERROR(VLOOKUP(A114,BUFFS!$H$5:$AF$195,16,),"")</f>
        <v/>
      </c>
      <c r="Q114" s="66" t="str">
        <f>IFERROR(VLOOKUP(A114,BUFFS!$H$5:$AF$195,17,),"")</f>
        <v/>
      </c>
      <c r="R114" s="66" t="str">
        <f>IFERROR(VLOOKUP(A114,BUFFS!$H$5:$AF$195,19,),"")</f>
        <v/>
      </c>
      <c r="S114" s="69" t="str">
        <f t="shared" si="10"/>
        <v/>
      </c>
      <c r="T114" s="70" t="str">
        <f>IFERROR(VLOOKUP(A114,BUFFS!$H$5:$AF$195,20,),"")</f>
        <v/>
      </c>
    </row>
    <row r="115" spans="1:20" x14ac:dyDescent="0.35">
      <c r="A115" s="17"/>
      <c r="B115" s="18"/>
      <c r="C115" s="13"/>
      <c r="D115" s="31" t="str">
        <f>IFERROR(VLOOKUP(A115,BUFFS!$H$5:$AF$195,8,),"")</f>
        <v/>
      </c>
      <c r="E115" s="24" t="str">
        <f t="shared" si="8"/>
        <v/>
      </c>
      <c r="F115" s="65" t="str">
        <f>IFERROR(VLOOKUP(A115,BUFFS!$H$5:$AF$195,5,),"")</f>
        <v/>
      </c>
      <c r="G115" s="66" t="str">
        <f>IFERROR(VLOOKUP(A115,BUFFS!$H$5:$AF$195,6,),"")</f>
        <v/>
      </c>
      <c r="H115" s="67" t="str">
        <f>IFERROR(VLOOKUP(A115,BUFFS!$H$5:$AF$195,7,),"")</f>
        <v/>
      </c>
      <c r="I115" s="66" t="str">
        <f>IFERROR(VLOOKUP(A115,BUFFS!$H$5:$AF$195,9,),"")</f>
        <v/>
      </c>
      <c r="J115" s="65" t="str">
        <f>IFERROR(VLOOKUP(A115,BUFFS!$H$5:$AF$195,10,),"")</f>
        <v/>
      </c>
      <c r="K115" s="66" t="str">
        <f>IFERROR(VLOOKUP(A115,BUFFS!$H$5:$AF$195,11,),"")</f>
        <v/>
      </c>
      <c r="L115" s="66" t="str">
        <f>IFERROR(VLOOKUP(A115,BUFFS!$H$5:$AF$195,12,),"")</f>
        <v/>
      </c>
      <c r="M115" s="66" t="str">
        <f>IFERROR(VLOOKUP(A115,BUFFS!$H$5:$AF$195,14,),"")</f>
        <v/>
      </c>
      <c r="N115" s="68" t="str">
        <f t="shared" si="9"/>
        <v/>
      </c>
      <c r="O115" s="65" t="str">
        <f>IFERROR(VLOOKUP(A115,BUFFS!$H$5:$AF$195,15,),"")</f>
        <v/>
      </c>
      <c r="P115" s="66" t="str">
        <f>IFERROR(VLOOKUP(A115,BUFFS!$H$5:$AF$195,16,),"")</f>
        <v/>
      </c>
      <c r="Q115" s="66" t="str">
        <f>IFERROR(VLOOKUP(A115,BUFFS!$H$5:$AF$195,17,),"")</f>
        <v/>
      </c>
      <c r="R115" s="66" t="str">
        <f>IFERROR(VLOOKUP(A115,BUFFS!$H$5:$AF$195,19,),"")</f>
        <v/>
      </c>
      <c r="S115" s="69" t="str">
        <f t="shared" si="10"/>
        <v/>
      </c>
      <c r="T115" s="70" t="str">
        <f>IFERROR(VLOOKUP(A115,BUFFS!$H$5:$AF$195,20,),"")</f>
        <v/>
      </c>
    </row>
    <row r="116" spans="1:20" x14ac:dyDescent="0.35">
      <c r="A116" s="17"/>
      <c r="B116" s="18"/>
      <c r="C116" s="13"/>
      <c r="D116" s="31" t="str">
        <f>IFERROR(VLOOKUP(A116,BUFFS!$H$5:$AF$195,8,),"")</f>
        <v/>
      </c>
      <c r="E116" s="24" t="str">
        <f t="shared" si="8"/>
        <v/>
      </c>
      <c r="F116" s="65" t="str">
        <f>IFERROR(VLOOKUP(A116,BUFFS!$H$5:$AF$195,5,),"")</f>
        <v/>
      </c>
      <c r="G116" s="66" t="str">
        <f>IFERROR(VLOOKUP(A116,BUFFS!$H$5:$AF$195,6,),"")</f>
        <v/>
      </c>
      <c r="H116" s="67" t="str">
        <f>IFERROR(VLOOKUP(A116,BUFFS!$H$5:$AF$195,7,),"")</f>
        <v/>
      </c>
      <c r="I116" s="66" t="str">
        <f>IFERROR(VLOOKUP(A116,BUFFS!$H$5:$AF$195,9,),"")</f>
        <v/>
      </c>
      <c r="J116" s="65" t="str">
        <f>IFERROR(VLOOKUP(A116,BUFFS!$H$5:$AF$195,10,),"")</f>
        <v/>
      </c>
      <c r="K116" s="66" t="str">
        <f>IFERROR(VLOOKUP(A116,BUFFS!$H$5:$AF$195,11,),"")</f>
        <v/>
      </c>
      <c r="L116" s="66" t="str">
        <f>IFERROR(VLOOKUP(A116,BUFFS!$H$5:$AF$195,12,),"")</f>
        <v/>
      </c>
      <c r="M116" s="66" t="str">
        <f>IFERROR(VLOOKUP(A116,BUFFS!$H$5:$AF$195,14,),"")</f>
        <v/>
      </c>
      <c r="N116" s="68" t="str">
        <f t="shared" si="9"/>
        <v/>
      </c>
      <c r="O116" s="65" t="str">
        <f>IFERROR(VLOOKUP(A116,BUFFS!$H$5:$AF$195,15,),"")</f>
        <v/>
      </c>
      <c r="P116" s="66" t="str">
        <f>IFERROR(VLOOKUP(A116,BUFFS!$H$5:$AF$195,16,),"")</f>
        <v/>
      </c>
      <c r="Q116" s="66" t="str">
        <f>IFERROR(VLOOKUP(A116,BUFFS!$H$5:$AF$195,17,),"")</f>
        <v/>
      </c>
      <c r="R116" s="66" t="str">
        <f>IFERROR(VLOOKUP(A116,BUFFS!$H$5:$AF$195,19,),"")</f>
        <v/>
      </c>
      <c r="S116" s="69" t="str">
        <f t="shared" si="10"/>
        <v/>
      </c>
      <c r="T116" s="70" t="str">
        <f>IFERROR(VLOOKUP(A116,BUFFS!$H$5:$AF$195,20,),"")</f>
        <v/>
      </c>
    </row>
    <row r="117" spans="1:20" x14ac:dyDescent="0.35">
      <c r="A117" s="17"/>
      <c r="B117" s="18"/>
      <c r="C117" s="13"/>
      <c r="D117" s="31" t="str">
        <f>IFERROR(VLOOKUP(A117,BUFFS!$H$5:$AF$195,8,),"")</f>
        <v/>
      </c>
      <c r="E117" s="24" t="str">
        <f t="shared" si="8"/>
        <v/>
      </c>
      <c r="F117" s="65" t="str">
        <f>IFERROR(VLOOKUP(A117,BUFFS!$H$5:$AF$195,5,),"")</f>
        <v/>
      </c>
      <c r="G117" s="66" t="str">
        <f>IFERROR(VLOOKUP(A117,BUFFS!$H$5:$AF$195,6,),"")</f>
        <v/>
      </c>
      <c r="H117" s="67" t="str">
        <f>IFERROR(VLOOKUP(A117,BUFFS!$H$5:$AF$195,7,),"")</f>
        <v/>
      </c>
      <c r="I117" s="66" t="str">
        <f>IFERROR(VLOOKUP(A117,BUFFS!$H$5:$AF$195,9,),"")</f>
        <v/>
      </c>
      <c r="J117" s="65" t="str">
        <f>IFERROR(VLOOKUP(A117,BUFFS!$H$5:$AF$195,10,),"")</f>
        <v/>
      </c>
      <c r="K117" s="66" t="str">
        <f>IFERROR(VLOOKUP(A117,BUFFS!$H$5:$AF$195,11,),"")</f>
        <v/>
      </c>
      <c r="L117" s="66" t="str">
        <f>IFERROR(VLOOKUP(A117,BUFFS!$H$5:$AF$195,12,),"")</f>
        <v/>
      </c>
      <c r="M117" s="66" t="str">
        <f>IFERROR(VLOOKUP(A117,BUFFS!$H$5:$AF$195,14,),"")</f>
        <v/>
      </c>
      <c r="N117" s="68" t="str">
        <f t="shared" si="9"/>
        <v/>
      </c>
      <c r="O117" s="65" t="str">
        <f>IFERROR(VLOOKUP(A117,BUFFS!$H$5:$AF$195,15,),"")</f>
        <v/>
      </c>
      <c r="P117" s="66" t="str">
        <f>IFERROR(VLOOKUP(A117,BUFFS!$H$5:$AF$195,16,),"")</f>
        <v/>
      </c>
      <c r="Q117" s="66" t="str">
        <f>IFERROR(VLOOKUP(A117,BUFFS!$H$5:$AF$195,17,),"")</f>
        <v/>
      </c>
      <c r="R117" s="66" t="str">
        <f>IFERROR(VLOOKUP(A117,BUFFS!$H$5:$AF$195,19,),"")</f>
        <v/>
      </c>
      <c r="S117" s="69" t="str">
        <f t="shared" si="10"/>
        <v/>
      </c>
      <c r="T117" s="70" t="str">
        <f>IFERROR(VLOOKUP(A117,BUFFS!$H$5:$AF$195,20,),"")</f>
        <v/>
      </c>
    </row>
    <row r="118" spans="1:20" x14ac:dyDescent="0.35">
      <c r="A118" s="17"/>
      <c r="B118" s="18"/>
      <c r="C118" s="13"/>
      <c r="D118" s="31" t="str">
        <f>IFERROR(VLOOKUP(A118,BUFFS!$H$5:$AF$195,8,),"")</f>
        <v/>
      </c>
      <c r="E118" s="24" t="str">
        <f t="shared" si="8"/>
        <v/>
      </c>
      <c r="F118" s="65" t="str">
        <f>IFERROR(VLOOKUP(A118,BUFFS!$H$5:$AF$195,5,),"")</f>
        <v/>
      </c>
      <c r="G118" s="66" t="str">
        <f>IFERROR(VLOOKUP(A118,BUFFS!$H$5:$AF$195,6,),"")</f>
        <v/>
      </c>
      <c r="H118" s="67" t="str">
        <f>IFERROR(VLOOKUP(A118,BUFFS!$H$5:$AF$195,7,),"")</f>
        <v/>
      </c>
      <c r="I118" s="66" t="str">
        <f>IFERROR(VLOOKUP(A118,BUFFS!$H$5:$AF$195,9,),"")</f>
        <v/>
      </c>
      <c r="J118" s="65" t="str">
        <f>IFERROR(VLOOKUP(A118,BUFFS!$H$5:$AF$195,10,),"")</f>
        <v/>
      </c>
      <c r="K118" s="66" t="str">
        <f>IFERROR(VLOOKUP(A118,BUFFS!$H$5:$AF$195,11,),"")</f>
        <v/>
      </c>
      <c r="L118" s="66" t="str">
        <f>IFERROR(VLOOKUP(A118,BUFFS!$H$5:$AF$195,12,),"")</f>
        <v/>
      </c>
      <c r="M118" s="66" t="str">
        <f>IFERROR(VLOOKUP(A118,BUFFS!$H$5:$AF$195,14,),"")</f>
        <v/>
      </c>
      <c r="N118" s="68" t="str">
        <f t="shared" si="9"/>
        <v/>
      </c>
      <c r="O118" s="65" t="str">
        <f>IFERROR(VLOOKUP(A118,BUFFS!$H$5:$AF$195,15,),"")</f>
        <v/>
      </c>
      <c r="P118" s="66" t="str">
        <f>IFERROR(VLOOKUP(A118,BUFFS!$H$5:$AF$195,16,),"")</f>
        <v/>
      </c>
      <c r="Q118" s="66" t="str">
        <f>IFERROR(VLOOKUP(A118,BUFFS!$H$5:$AF$195,17,),"")</f>
        <v/>
      </c>
      <c r="R118" s="66" t="str">
        <f>IFERROR(VLOOKUP(A118,BUFFS!$H$5:$AF$195,19,),"")</f>
        <v/>
      </c>
      <c r="S118" s="69" t="str">
        <f t="shared" si="10"/>
        <v/>
      </c>
      <c r="T118" s="70" t="str">
        <f>IFERROR(VLOOKUP(A118,BUFFS!$H$5:$AF$195,20,),"")</f>
        <v/>
      </c>
    </row>
    <row r="119" spans="1:20" x14ac:dyDescent="0.35">
      <c r="A119" s="17"/>
      <c r="B119" s="18"/>
      <c r="C119" s="13"/>
      <c r="D119" s="31" t="str">
        <f>IFERROR(VLOOKUP(A119,BUFFS!$H$5:$AF$195,8,),"")</f>
        <v/>
      </c>
      <c r="E119" s="24" t="str">
        <f t="shared" si="8"/>
        <v/>
      </c>
      <c r="F119" s="65" t="str">
        <f>IFERROR(VLOOKUP(A119,BUFFS!$H$5:$AF$195,5,),"")</f>
        <v/>
      </c>
      <c r="G119" s="66" t="str">
        <f>IFERROR(VLOOKUP(A119,BUFFS!$H$5:$AF$195,6,),"")</f>
        <v/>
      </c>
      <c r="H119" s="67" t="str">
        <f>IFERROR(VLOOKUP(A119,BUFFS!$H$5:$AF$195,7,),"")</f>
        <v/>
      </c>
      <c r="I119" s="66" t="str">
        <f>IFERROR(VLOOKUP(A119,BUFFS!$H$5:$AF$195,9,),"")</f>
        <v/>
      </c>
      <c r="J119" s="65" t="str">
        <f>IFERROR(VLOOKUP(A119,BUFFS!$H$5:$AF$195,10,),"")</f>
        <v/>
      </c>
      <c r="K119" s="66" t="str">
        <f>IFERROR(VLOOKUP(A119,BUFFS!$H$5:$AF$195,11,),"")</f>
        <v/>
      </c>
      <c r="L119" s="66" t="str">
        <f>IFERROR(VLOOKUP(A119,BUFFS!$H$5:$AF$195,12,),"")</f>
        <v/>
      </c>
      <c r="M119" s="66" t="str">
        <f>IFERROR(VLOOKUP(A119,BUFFS!$H$5:$AF$195,14,),"")</f>
        <v/>
      </c>
      <c r="N119" s="68" t="str">
        <f t="shared" si="9"/>
        <v/>
      </c>
      <c r="O119" s="65" t="str">
        <f>IFERROR(VLOOKUP(A119,BUFFS!$H$5:$AF$195,15,),"")</f>
        <v/>
      </c>
      <c r="P119" s="66" t="str">
        <f>IFERROR(VLOOKUP(A119,BUFFS!$H$5:$AF$195,16,),"")</f>
        <v/>
      </c>
      <c r="Q119" s="66" t="str">
        <f>IFERROR(VLOOKUP(A119,BUFFS!$H$5:$AF$195,17,),"")</f>
        <v/>
      </c>
      <c r="R119" s="66" t="str">
        <f>IFERROR(VLOOKUP(A119,BUFFS!$H$5:$AF$195,19,),"")</f>
        <v/>
      </c>
      <c r="S119" s="69" t="str">
        <f t="shared" si="10"/>
        <v/>
      </c>
      <c r="T119" s="70" t="str">
        <f>IFERROR(VLOOKUP(A119,BUFFS!$H$5:$AF$195,20,),"")</f>
        <v/>
      </c>
    </row>
    <row r="120" spans="1:20" x14ac:dyDescent="0.35">
      <c r="A120" s="17"/>
      <c r="B120" s="18"/>
      <c r="C120" s="13"/>
      <c r="D120" s="31" t="str">
        <f>IFERROR(VLOOKUP(A120,BUFFS!$H$5:$AF$195,8,),"")</f>
        <v/>
      </c>
      <c r="E120" s="24" t="str">
        <f t="shared" si="8"/>
        <v/>
      </c>
      <c r="F120" s="65" t="str">
        <f>IFERROR(VLOOKUP(A120,BUFFS!$H$5:$AF$195,5,),"")</f>
        <v/>
      </c>
      <c r="G120" s="66" t="str">
        <f>IFERROR(VLOOKUP(A120,BUFFS!$H$5:$AF$195,6,),"")</f>
        <v/>
      </c>
      <c r="H120" s="67" t="str">
        <f>IFERROR(VLOOKUP(A120,BUFFS!$H$5:$AF$195,7,),"")</f>
        <v/>
      </c>
      <c r="I120" s="66" t="str">
        <f>IFERROR(VLOOKUP(A120,BUFFS!$H$5:$AF$195,9,),"")</f>
        <v/>
      </c>
      <c r="J120" s="65" t="str">
        <f>IFERROR(VLOOKUP(A120,BUFFS!$H$5:$AF$195,10,),"")</f>
        <v/>
      </c>
      <c r="K120" s="66" t="str">
        <f>IFERROR(VLOOKUP(A120,BUFFS!$H$5:$AF$195,11,),"")</f>
        <v/>
      </c>
      <c r="L120" s="66" t="str">
        <f>IFERROR(VLOOKUP(A120,BUFFS!$H$5:$AF$195,12,),"")</f>
        <v/>
      </c>
      <c r="M120" s="66" t="str">
        <f>IFERROR(VLOOKUP(A120,BUFFS!$H$5:$AF$195,14,),"")</f>
        <v/>
      </c>
      <c r="N120" s="68" t="str">
        <f t="shared" si="9"/>
        <v/>
      </c>
      <c r="O120" s="65" t="str">
        <f>IFERROR(VLOOKUP(A120,BUFFS!$H$5:$AF$195,15,),"")</f>
        <v/>
      </c>
      <c r="P120" s="66" t="str">
        <f>IFERROR(VLOOKUP(A120,BUFFS!$H$5:$AF$195,16,),"")</f>
        <v/>
      </c>
      <c r="Q120" s="66" t="str">
        <f>IFERROR(VLOOKUP(A120,BUFFS!$H$5:$AF$195,17,),"")</f>
        <v/>
      </c>
      <c r="R120" s="66" t="str">
        <f>IFERROR(VLOOKUP(A120,BUFFS!$H$5:$AF$195,19,),"")</f>
        <v/>
      </c>
      <c r="S120" s="69" t="str">
        <f t="shared" si="10"/>
        <v/>
      </c>
      <c r="T120" s="70" t="str">
        <f>IFERROR(VLOOKUP(A120,BUFFS!$H$5:$AF$195,20,),"")</f>
        <v/>
      </c>
    </row>
    <row r="121" spans="1:20" x14ac:dyDescent="0.35">
      <c r="A121" s="17"/>
      <c r="B121" s="18"/>
      <c r="C121" s="13"/>
      <c r="D121" s="31" t="str">
        <f>IFERROR(VLOOKUP(A121,BUFFS!$H$5:$AF$195,8,),"")</f>
        <v/>
      </c>
      <c r="E121" s="24" t="str">
        <f t="shared" si="8"/>
        <v/>
      </c>
      <c r="F121" s="65" t="str">
        <f>IFERROR(VLOOKUP(A121,BUFFS!$H$5:$AF$195,5,),"")</f>
        <v/>
      </c>
      <c r="G121" s="66" t="str">
        <f>IFERROR(VLOOKUP(A121,BUFFS!$H$5:$AF$195,6,),"")</f>
        <v/>
      </c>
      <c r="H121" s="67" t="str">
        <f>IFERROR(VLOOKUP(A121,BUFFS!$H$5:$AF$195,7,),"")</f>
        <v/>
      </c>
      <c r="I121" s="66" t="str">
        <f>IFERROR(VLOOKUP(A121,BUFFS!$H$5:$AF$195,9,),"")</f>
        <v/>
      </c>
      <c r="J121" s="65" t="str">
        <f>IFERROR(VLOOKUP(A121,BUFFS!$H$5:$AF$195,10,),"")</f>
        <v/>
      </c>
      <c r="K121" s="66" t="str">
        <f>IFERROR(VLOOKUP(A121,BUFFS!$H$5:$AF$195,11,),"")</f>
        <v/>
      </c>
      <c r="L121" s="66" t="str">
        <f>IFERROR(VLOOKUP(A121,BUFFS!$H$5:$AF$195,12,),"")</f>
        <v/>
      </c>
      <c r="M121" s="66" t="str">
        <f>IFERROR(VLOOKUP(A121,BUFFS!$H$5:$AF$195,14,),"")</f>
        <v/>
      </c>
      <c r="N121" s="68" t="str">
        <f t="shared" si="9"/>
        <v/>
      </c>
      <c r="O121" s="65" t="str">
        <f>IFERROR(VLOOKUP(A121,BUFFS!$H$5:$AF$195,15,),"")</f>
        <v/>
      </c>
      <c r="P121" s="66" t="str">
        <f>IFERROR(VLOOKUP(A121,BUFFS!$H$5:$AF$195,16,),"")</f>
        <v/>
      </c>
      <c r="Q121" s="66" t="str">
        <f>IFERROR(VLOOKUP(A121,BUFFS!$H$5:$AF$195,17,),"")</f>
        <v/>
      </c>
      <c r="R121" s="66" t="str">
        <f>IFERROR(VLOOKUP(A121,BUFFS!$H$5:$AF$195,19,),"")</f>
        <v/>
      </c>
      <c r="S121" s="69" t="str">
        <f t="shared" si="10"/>
        <v/>
      </c>
      <c r="T121" s="70" t="str">
        <f>IFERROR(VLOOKUP(A121,BUFFS!$H$5:$AF$195,20,),"")</f>
        <v/>
      </c>
    </row>
    <row r="122" spans="1:20" x14ac:dyDescent="0.35">
      <c r="A122" s="17"/>
      <c r="B122" s="18"/>
      <c r="C122" s="13"/>
      <c r="D122" s="31" t="str">
        <f>IFERROR(VLOOKUP(A122,BUFFS!$H$5:$AF$195,8,),"")</f>
        <v/>
      </c>
      <c r="E122" s="24" t="str">
        <f t="shared" si="8"/>
        <v/>
      </c>
      <c r="F122" s="65" t="str">
        <f>IFERROR(VLOOKUP(A122,BUFFS!$H$5:$AF$195,5,),"")</f>
        <v/>
      </c>
      <c r="G122" s="66" t="str">
        <f>IFERROR(VLOOKUP(A122,BUFFS!$H$5:$AF$195,6,),"")</f>
        <v/>
      </c>
      <c r="H122" s="67" t="str">
        <f>IFERROR(VLOOKUP(A122,BUFFS!$H$5:$AF$195,7,),"")</f>
        <v/>
      </c>
      <c r="I122" s="66" t="str">
        <f>IFERROR(VLOOKUP(A122,BUFFS!$H$5:$AF$195,9,),"")</f>
        <v/>
      </c>
      <c r="J122" s="65" t="str">
        <f>IFERROR(VLOOKUP(A122,BUFFS!$H$5:$AF$195,10,),"")</f>
        <v/>
      </c>
      <c r="K122" s="66" t="str">
        <f>IFERROR(VLOOKUP(A122,BUFFS!$H$5:$AF$195,11,),"")</f>
        <v/>
      </c>
      <c r="L122" s="66" t="str">
        <f>IFERROR(VLOOKUP(A122,BUFFS!$H$5:$AF$195,12,),"")</f>
        <v/>
      </c>
      <c r="M122" s="66" t="str">
        <f>IFERROR(VLOOKUP(A122,BUFFS!$H$5:$AF$195,14,),"")</f>
        <v/>
      </c>
      <c r="N122" s="68" t="str">
        <f t="shared" si="9"/>
        <v/>
      </c>
      <c r="O122" s="65" t="str">
        <f>IFERROR(VLOOKUP(A122,BUFFS!$H$5:$AF$195,15,),"")</f>
        <v/>
      </c>
      <c r="P122" s="66" t="str">
        <f>IFERROR(VLOOKUP(A122,BUFFS!$H$5:$AF$195,16,),"")</f>
        <v/>
      </c>
      <c r="Q122" s="66" t="str">
        <f>IFERROR(VLOOKUP(A122,BUFFS!$H$5:$AF$195,17,),"")</f>
        <v/>
      </c>
      <c r="R122" s="66" t="str">
        <f>IFERROR(VLOOKUP(A122,BUFFS!$H$5:$AF$195,19,),"")</f>
        <v/>
      </c>
      <c r="S122" s="69" t="str">
        <f t="shared" si="10"/>
        <v/>
      </c>
      <c r="T122" s="70" t="str">
        <f>IFERROR(VLOOKUP(A122,BUFFS!$H$5:$AF$195,20,),"")</f>
        <v/>
      </c>
    </row>
    <row r="123" spans="1:20" x14ac:dyDescent="0.35">
      <c r="A123" s="17"/>
      <c r="B123" s="18"/>
      <c r="C123" s="13"/>
      <c r="D123" s="31" t="str">
        <f>IFERROR(VLOOKUP(A123,BUFFS!$H$5:$AF$195,8,),"")</f>
        <v/>
      </c>
      <c r="E123" s="24" t="str">
        <f t="shared" si="8"/>
        <v/>
      </c>
      <c r="F123" s="65" t="str">
        <f>IFERROR(VLOOKUP(A123,BUFFS!$H$5:$AF$195,5,),"")</f>
        <v/>
      </c>
      <c r="G123" s="66" t="str">
        <f>IFERROR(VLOOKUP(A123,BUFFS!$H$5:$AF$195,6,),"")</f>
        <v/>
      </c>
      <c r="H123" s="67" t="str">
        <f>IFERROR(VLOOKUP(A123,BUFFS!$H$5:$AF$195,7,),"")</f>
        <v/>
      </c>
      <c r="I123" s="66" t="str">
        <f>IFERROR(VLOOKUP(A123,BUFFS!$H$5:$AF$195,9,),"")</f>
        <v/>
      </c>
      <c r="J123" s="65" t="str">
        <f>IFERROR(VLOOKUP(A123,BUFFS!$H$5:$AF$195,10,),"")</f>
        <v/>
      </c>
      <c r="K123" s="66" t="str">
        <f>IFERROR(VLOOKUP(A123,BUFFS!$H$5:$AF$195,11,),"")</f>
        <v/>
      </c>
      <c r="L123" s="66" t="str">
        <f>IFERROR(VLOOKUP(A123,BUFFS!$H$5:$AF$195,12,),"")</f>
        <v/>
      </c>
      <c r="M123" s="66" t="str">
        <f>IFERROR(VLOOKUP(A123,BUFFS!$H$5:$AF$195,14,),"")</f>
        <v/>
      </c>
      <c r="N123" s="68" t="str">
        <f t="shared" si="9"/>
        <v/>
      </c>
      <c r="O123" s="65" t="str">
        <f>IFERROR(VLOOKUP(A123,BUFFS!$H$5:$AF$195,15,),"")</f>
        <v/>
      </c>
      <c r="P123" s="66" t="str">
        <f>IFERROR(VLOOKUP(A123,BUFFS!$H$5:$AF$195,16,),"")</f>
        <v/>
      </c>
      <c r="Q123" s="66" t="str">
        <f>IFERROR(VLOOKUP(A123,BUFFS!$H$5:$AF$195,17,),"")</f>
        <v/>
      </c>
      <c r="R123" s="66" t="str">
        <f>IFERROR(VLOOKUP(A123,BUFFS!$H$5:$AF$195,19,),"")</f>
        <v/>
      </c>
      <c r="S123" s="69" t="str">
        <f t="shared" si="10"/>
        <v/>
      </c>
      <c r="T123" s="70" t="str">
        <f>IFERROR(VLOOKUP(A123,BUFFS!$H$5:$AF$195,20,),"")</f>
        <v/>
      </c>
    </row>
    <row r="124" spans="1:20" x14ac:dyDescent="0.35">
      <c r="A124" s="17"/>
      <c r="B124" s="18"/>
      <c r="C124" s="13"/>
      <c r="D124" s="31" t="str">
        <f>IFERROR(VLOOKUP(A124,BUFFS!$H$5:$AF$195,8,),"")</f>
        <v/>
      </c>
      <c r="E124" s="24" t="str">
        <f t="shared" si="8"/>
        <v/>
      </c>
      <c r="F124" s="65" t="str">
        <f>IFERROR(VLOOKUP(A124,BUFFS!$H$5:$AF$195,5,),"")</f>
        <v/>
      </c>
      <c r="G124" s="66" t="str">
        <f>IFERROR(VLOOKUP(A124,BUFFS!$H$5:$AF$195,6,),"")</f>
        <v/>
      </c>
      <c r="H124" s="67" t="str">
        <f>IFERROR(VLOOKUP(A124,BUFFS!$H$5:$AF$195,7,),"")</f>
        <v/>
      </c>
      <c r="I124" s="66" t="str">
        <f>IFERROR(VLOOKUP(A124,BUFFS!$H$5:$AF$195,9,),"")</f>
        <v/>
      </c>
      <c r="J124" s="65" t="str">
        <f>IFERROR(VLOOKUP(A124,BUFFS!$H$5:$AF$195,10,),"")</f>
        <v/>
      </c>
      <c r="K124" s="66" t="str">
        <f>IFERROR(VLOOKUP(A124,BUFFS!$H$5:$AF$195,11,),"")</f>
        <v/>
      </c>
      <c r="L124" s="66" t="str">
        <f>IFERROR(VLOOKUP(A124,BUFFS!$H$5:$AF$195,12,),"")</f>
        <v/>
      </c>
      <c r="M124" s="66" t="str">
        <f>IFERROR(VLOOKUP(A124,BUFFS!$H$5:$AF$195,14,),"")</f>
        <v/>
      </c>
      <c r="N124" s="68" t="str">
        <f t="shared" si="9"/>
        <v/>
      </c>
      <c r="O124" s="65" t="str">
        <f>IFERROR(VLOOKUP(A124,BUFFS!$H$5:$AF$195,15,),"")</f>
        <v/>
      </c>
      <c r="P124" s="66" t="str">
        <f>IFERROR(VLOOKUP(A124,BUFFS!$H$5:$AF$195,16,),"")</f>
        <v/>
      </c>
      <c r="Q124" s="66" t="str">
        <f>IFERROR(VLOOKUP(A124,BUFFS!$H$5:$AF$195,17,),"")</f>
        <v/>
      </c>
      <c r="R124" s="66" t="str">
        <f>IFERROR(VLOOKUP(A124,BUFFS!$H$5:$AF$195,19,),"")</f>
        <v/>
      </c>
      <c r="S124" s="69" t="str">
        <f t="shared" si="10"/>
        <v/>
      </c>
      <c r="T124" s="70" t="str">
        <f>IFERROR(VLOOKUP(A124,BUFFS!$H$5:$AF$195,20,),"")</f>
        <v/>
      </c>
    </row>
    <row r="125" spans="1:20" x14ac:dyDescent="0.35">
      <c r="A125" s="17"/>
      <c r="B125" s="18"/>
      <c r="C125" s="13"/>
      <c r="D125" s="31" t="str">
        <f>IFERROR(VLOOKUP(A125,BUFFS!$H$5:$AF$195,8,),"")</f>
        <v/>
      </c>
      <c r="E125" s="24" t="str">
        <f t="shared" si="8"/>
        <v/>
      </c>
      <c r="F125" s="65" t="str">
        <f>IFERROR(VLOOKUP(A125,BUFFS!$H$5:$AF$195,5,),"")</f>
        <v/>
      </c>
      <c r="G125" s="66" t="str">
        <f>IFERROR(VLOOKUP(A125,BUFFS!$H$5:$AF$195,6,),"")</f>
        <v/>
      </c>
      <c r="H125" s="67" t="str">
        <f>IFERROR(VLOOKUP(A125,BUFFS!$H$5:$AF$195,7,),"")</f>
        <v/>
      </c>
      <c r="I125" s="66" t="str">
        <f>IFERROR(VLOOKUP(A125,BUFFS!$H$5:$AF$195,9,),"")</f>
        <v/>
      </c>
      <c r="J125" s="65" t="str">
        <f>IFERROR(VLOOKUP(A125,BUFFS!$H$5:$AF$195,10,),"")</f>
        <v/>
      </c>
      <c r="K125" s="66" t="str">
        <f>IFERROR(VLOOKUP(A125,BUFFS!$H$5:$AF$195,11,),"")</f>
        <v/>
      </c>
      <c r="L125" s="66" t="str">
        <f>IFERROR(VLOOKUP(A125,BUFFS!$H$5:$AF$195,12,),"")</f>
        <v/>
      </c>
      <c r="M125" s="66" t="str">
        <f>IFERROR(VLOOKUP(A125,BUFFS!$H$5:$AF$195,14,),"")</f>
        <v/>
      </c>
      <c r="N125" s="68" t="str">
        <f t="shared" si="9"/>
        <v/>
      </c>
      <c r="O125" s="65" t="str">
        <f>IFERROR(VLOOKUP(A125,BUFFS!$H$5:$AF$195,15,),"")</f>
        <v/>
      </c>
      <c r="P125" s="66" t="str">
        <f>IFERROR(VLOOKUP(A125,BUFFS!$H$5:$AF$195,16,),"")</f>
        <v/>
      </c>
      <c r="Q125" s="66" t="str">
        <f>IFERROR(VLOOKUP(A125,BUFFS!$H$5:$AF$195,17,),"")</f>
        <v/>
      </c>
      <c r="R125" s="66" t="str">
        <f>IFERROR(VLOOKUP(A125,BUFFS!$H$5:$AF$195,19,),"")</f>
        <v/>
      </c>
      <c r="S125" s="69" t="str">
        <f t="shared" si="10"/>
        <v/>
      </c>
      <c r="T125" s="70" t="str">
        <f>IFERROR(VLOOKUP(A125,BUFFS!$H$5:$AF$195,20,),"")</f>
        <v/>
      </c>
    </row>
    <row r="126" spans="1:20" x14ac:dyDescent="0.35">
      <c r="A126" s="17"/>
      <c r="B126" s="18"/>
      <c r="C126" s="13"/>
      <c r="D126" s="31" t="str">
        <f>IFERROR(VLOOKUP(A126,BUFFS!$H$5:$AF$195,8,),"")</f>
        <v/>
      </c>
      <c r="E126" s="24" t="str">
        <f t="shared" si="8"/>
        <v/>
      </c>
      <c r="F126" s="65" t="str">
        <f>IFERROR(VLOOKUP(A126,BUFFS!$H$5:$AF$195,5,),"")</f>
        <v/>
      </c>
      <c r="G126" s="66" t="str">
        <f>IFERROR(VLOOKUP(A126,BUFFS!$H$5:$AF$195,6,),"")</f>
        <v/>
      </c>
      <c r="H126" s="67" t="str">
        <f>IFERROR(VLOOKUP(A126,BUFFS!$H$5:$AF$195,7,),"")</f>
        <v/>
      </c>
      <c r="I126" s="66" t="str">
        <f>IFERROR(VLOOKUP(A126,BUFFS!$H$5:$AF$195,9,),"")</f>
        <v/>
      </c>
      <c r="J126" s="65" t="str">
        <f>IFERROR(VLOOKUP(A126,BUFFS!$H$5:$AF$195,10,),"")</f>
        <v/>
      </c>
      <c r="K126" s="66" t="str">
        <f>IFERROR(VLOOKUP(A126,BUFFS!$H$5:$AF$195,11,),"")</f>
        <v/>
      </c>
      <c r="L126" s="66" t="str">
        <f>IFERROR(VLOOKUP(A126,BUFFS!$H$5:$AF$195,12,),"")</f>
        <v/>
      </c>
      <c r="M126" s="66" t="str">
        <f>IFERROR(VLOOKUP(A126,BUFFS!$H$5:$AF$195,14,),"")</f>
        <v/>
      </c>
      <c r="N126" s="68" t="str">
        <f t="shared" si="9"/>
        <v/>
      </c>
      <c r="O126" s="65" t="str">
        <f>IFERROR(VLOOKUP(A126,BUFFS!$H$5:$AF$195,15,),"")</f>
        <v/>
      </c>
      <c r="P126" s="66" t="str">
        <f>IFERROR(VLOOKUP(A126,BUFFS!$H$5:$AF$195,16,),"")</f>
        <v/>
      </c>
      <c r="Q126" s="66" t="str">
        <f>IFERROR(VLOOKUP(A126,BUFFS!$H$5:$AF$195,17,),"")</f>
        <v/>
      </c>
      <c r="R126" s="66" t="str">
        <f>IFERROR(VLOOKUP(A126,BUFFS!$H$5:$AF$195,19,),"")</f>
        <v/>
      </c>
      <c r="S126" s="69" t="str">
        <f t="shared" si="10"/>
        <v/>
      </c>
      <c r="T126" s="70" t="str">
        <f>IFERROR(VLOOKUP(A126,BUFFS!$H$5:$AF$195,20,),"")</f>
        <v/>
      </c>
    </row>
    <row r="127" spans="1:20" x14ac:dyDescent="0.35">
      <c r="A127" s="17"/>
      <c r="B127" s="18"/>
      <c r="C127" s="13"/>
      <c r="D127" s="31" t="str">
        <f>IFERROR(VLOOKUP(A127,BUFFS!$H$5:$AF$195,8,),"")</f>
        <v/>
      </c>
      <c r="E127" s="24" t="str">
        <f t="shared" si="8"/>
        <v/>
      </c>
      <c r="F127" s="65" t="str">
        <f>IFERROR(VLOOKUP(A127,BUFFS!$H$5:$AF$195,5,),"")</f>
        <v/>
      </c>
      <c r="G127" s="66" t="str">
        <f>IFERROR(VLOOKUP(A127,BUFFS!$H$5:$AF$195,6,),"")</f>
        <v/>
      </c>
      <c r="H127" s="67" t="str">
        <f>IFERROR(VLOOKUP(A127,BUFFS!$H$5:$AF$195,7,),"")</f>
        <v/>
      </c>
      <c r="I127" s="66" t="str">
        <f>IFERROR(VLOOKUP(A127,BUFFS!$H$5:$AF$195,9,),"")</f>
        <v/>
      </c>
      <c r="J127" s="65" t="str">
        <f>IFERROR(VLOOKUP(A127,BUFFS!$H$5:$AF$195,10,),"")</f>
        <v/>
      </c>
      <c r="K127" s="66" t="str">
        <f>IFERROR(VLOOKUP(A127,BUFFS!$H$5:$AF$195,11,),"")</f>
        <v/>
      </c>
      <c r="L127" s="66" t="str">
        <f>IFERROR(VLOOKUP(A127,BUFFS!$H$5:$AF$195,12,),"")</f>
        <v/>
      </c>
      <c r="M127" s="66" t="str">
        <f>IFERROR(VLOOKUP(A127,BUFFS!$H$5:$AF$195,14,),"")</f>
        <v/>
      </c>
      <c r="N127" s="68" t="str">
        <f t="shared" si="9"/>
        <v/>
      </c>
      <c r="O127" s="65" t="str">
        <f>IFERROR(VLOOKUP(A127,BUFFS!$H$5:$AF$195,15,),"")</f>
        <v/>
      </c>
      <c r="P127" s="66" t="str">
        <f>IFERROR(VLOOKUP(A127,BUFFS!$H$5:$AF$195,16,),"")</f>
        <v/>
      </c>
      <c r="Q127" s="66" t="str">
        <f>IFERROR(VLOOKUP(A127,BUFFS!$H$5:$AF$195,17,),"")</f>
        <v/>
      </c>
      <c r="R127" s="66" t="str">
        <f>IFERROR(VLOOKUP(A127,BUFFS!$H$5:$AF$195,19,),"")</f>
        <v/>
      </c>
      <c r="S127" s="69" t="str">
        <f t="shared" si="10"/>
        <v/>
      </c>
      <c r="T127" s="70" t="str">
        <f>IFERROR(VLOOKUP(A127,BUFFS!$H$5:$AF$195,20,),"")</f>
        <v/>
      </c>
    </row>
    <row r="128" spans="1:20" x14ac:dyDescent="0.35">
      <c r="A128" s="17"/>
      <c r="B128" s="18"/>
      <c r="C128" s="13"/>
      <c r="D128" s="31" t="str">
        <f>IFERROR(VLOOKUP(A128,BUFFS!$H$5:$AF$195,8,),"")</f>
        <v/>
      </c>
      <c r="E128" s="24" t="str">
        <f t="shared" si="8"/>
        <v/>
      </c>
      <c r="F128" s="65" t="str">
        <f>IFERROR(VLOOKUP(A128,BUFFS!$H$5:$AF$195,5,),"")</f>
        <v/>
      </c>
      <c r="G128" s="66" t="str">
        <f>IFERROR(VLOOKUP(A128,BUFFS!$H$5:$AF$195,6,),"")</f>
        <v/>
      </c>
      <c r="H128" s="67" t="str">
        <f>IFERROR(VLOOKUP(A128,BUFFS!$H$5:$AF$195,7,),"")</f>
        <v/>
      </c>
      <c r="I128" s="66" t="str">
        <f>IFERROR(VLOOKUP(A128,BUFFS!$H$5:$AF$195,9,),"")</f>
        <v/>
      </c>
      <c r="J128" s="65" t="str">
        <f>IFERROR(VLOOKUP(A128,BUFFS!$H$5:$AF$195,10,),"")</f>
        <v/>
      </c>
      <c r="K128" s="66" t="str">
        <f>IFERROR(VLOOKUP(A128,BUFFS!$H$5:$AF$195,11,),"")</f>
        <v/>
      </c>
      <c r="L128" s="66" t="str">
        <f>IFERROR(VLOOKUP(A128,BUFFS!$H$5:$AF$195,12,),"")</f>
        <v/>
      </c>
      <c r="M128" s="66" t="str">
        <f>IFERROR(VLOOKUP(A128,BUFFS!$H$5:$AF$195,14,),"")</f>
        <v/>
      </c>
      <c r="N128" s="68" t="str">
        <f t="shared" si="9"/>
        <v/>
      </c>
      <c r="O128" s="65" t="str">
        <f>IFERROR(VLOOKUP(A128,BUFFS!$H$5:$AF$195,15,),"")</f>
        <v/>
      </c>
      <c r="P128" s="66" t="str">
        <f>IFERROR(VLOOKUP(A128,BUFFS!$H$5:$AF$195,16,),"")</f>
        <v/>
      </c>
      <c r="Q128" s="66" t="str">
        <f>IFERROR(VLOOKUP(A128,BUFFS!$H$5:$AF$195,17,),"")</f>
        <v/>
      </c>
      <c r="R128" s="66" t="str">
        <f>IFERROR(VLOOKUP(A128,BUFFS!$H$5:$AF$195,19,),"")</f>
        <v/>
      </c>
      <c r="S128" s="69" t="str">
        <f t="shared" si="10"/>
        <v/>
      </c>
      <c r="T128" s="70" t="str">
        <f>IFERROR(VLOOKUP(A128,BUFFS!$H$5:$AF$195,20,),"")</f>
        <v/>
      </c>
    </row>
    <row r="129" spans="1:20" x14ac:dyDescent="0.35">
      <c r="A129" s="17"/>
      <c r="B129" s="18"/>
      <c r="C129" s="13"/>
      <c r="D129" s="31" t="str">
        <f>IFERROR(VLOOKUP(A129,BUFFS!$H$5:$AF$195,8,),"")</f>
        <v/>
      </c>
      <c r="E129" s="24" t="str">
        <f t="shared" si="8"/>
        <v/>
      </c>
      <c r="F129" s="65" t="str">
        <f>IFERROR(VLOOKUP(A129,BUFFS!$H$5:$AF$195,5,),"")</f>
        <v/>
      </c>
      <c r="G129" s="66" t="str">
        <f>IFERROR(VLOOKUP(A129,BUFFS!$H$5:$AF$195,6,),"")</f>
        <v/>
      </c>
      <c r="H129" s="67" t="str">
        <f>IFERROR(VLOOKUP(A129,BUFFS!$H$5:$AF$195,7,),"")</f>
        <v/>
      </c>
      <c r="I129" s="66" t="str">
        <f>IFERROR(VLOOKUP(A129,BUFFS!$H$5:$AF$195,9,),"")</f>
        <v/>
      </c>
      <c r="J129" s="65" t="str">
        <f>IFERROR(VLOOKUP(A129,BUFFS!$H$5:$AF$195,10,),"")</f>
        <v/>
      </c>
      <c r="K129" s="66" t="str">
        <f>IFERROR(VLOOKUP(A129,BUFFS!$H$5:$AF$195,11,),"")</f>
        <v/>
      </c>
      <c r="L129" s="66" t="str">
        <f>IFERROR(VLOOKUP(A129,BUFFS!$H$5:$AF$195,12,),"")</f>
        <v/>
      </c>
      <c r="M129" s="66" t="str">
        <f>IFERROR(VLOOKUP(A129,BUFFS!$H$5:$AF$195,14,),"")</f>
        <v/>
      </c>
      <c r="N129" s="68" t="str">
        <f t="shared" si="9"/>
        <v/>
      </c>
      <c r="O129" s="65" t="str">
        <f>IFERROR(VLOOKUP(A129,BUFFS!$H$5:$AF$195,15,),"")</f>
        <v/>
      </c>
      <c r="P129" s="66" t="str">
        <f>IFERROR(VLOOKUP(A129,BUFFS!$H$5:$AF$195,16,),"")</f>
        <v/>
      </c>
      <c r="Q129" s="66" t="str">
        <f>IFERROR(VLOOKUP(A129,BUFFS!$H$5:$AF$195,17,),"")</f>
        <v/>
      </c>
      <c r="R129" s="66" t="str">
        <f>IFERROR(VLOOKUP(A129,BUFFS!$H$5:$AF$195,19,),"")</f>
        <v/>
      </c>
      <c r="S129" s="69" t="str">
        <f t="shared" si="10"/>
        <v/>
      </c>
      <c r="T129" s="70" t="str">
        <f>IFERROR(VLOOKUP(A129,BUFFS!$H$5:$AF$195,20,),"")</f>
        <v/>
      </c>
    </row>
    <row r="130" spans="1:20" x14ac:dyDescent="0.35">
      <c r="A130" s="17"/>
      <c r="B130" s="18"/>
      <c r="C130" s="13"/>
      <c r="D130" s="31" t="str">
        <f>IFERROR(VLOOKUP(A130,BUFFS!$H$5:$AF$195,8,),"")</f>
        <v/>
      </c>
      <c r="E130" s="24" t="str">
        <f t="shared" si="8"/>
        <v/>
      </c>
      <c r="F130" s="65" t="str">
        <f>IFERROR(VLOOKUP(A130,BUFFS!$H$5:$AF$195,5,),"")</f>
        <v/>
      </c>
      <c r="G130" s="66" t="str">
        <f>IFERROR(VLOOKUP(A130,BUFFS!$H$5:$AF$195,6,),"")</f>
        <v/>
      </c>
      <c r="H130" s="67" t="str">
        <f>IFERROR(VLOOKUP(A130,BUFFS!$H$5:$AF$195,7,),"")</f>
        <v/>
      </c>
      <c r="I130" s="66" t="str">
        <f>IFERROR(VLOOKUP(A130,BUFFS!$H$5:$AF$195,9,),"")</f>
        <v/>
      </c>
      <c r="J130" s="65" t="str">
        <f>IFERROR(VLOOKUP(A130,BUFFS!$H$5:$AF$195,10,),"")</f>
        <v/>
      </c>
      <c r="K130" s="66" t="str">
        <f>IFERROR(VLOOKUP(A130,BUFFS!$H$5:$AF$195,11,),"")</f>
        <v/>
      </c>
      <c r="L130" s="66" t="str">
        <f>IFERROR(VLOOKUP(A130,BUFFS!$H$5:$AF$195,12,),"")</f>
        <v/>
      </c>
      <c r="M130" s="66" t="str">
        <f>IFERROR(VLOOKUP(A130,BUFFS!$H$5:$AF$195,14,),"")</f>
        <v/>
      </c>
      <c r="N130" s="68" t="str">
        <f t="shared" si="9"/>
        <v/>
      </c>
      <c r="O130" s="65" t="str">
        <f>IFERROR(VLOOKUP(A130,BUFFS!$H$5:$AF$195,15,),"")</f>
        <v/>
      </c>
      <c r="P130" s="66" t="str">
        <f>IFERROR(VLOOKUP(A130,BUFFS!$H$5:$AF$195,16,),"")</f>
        <v/>
      </c>
      <c r="Q130" s="66" t="str">
        <f>IFERROR(VLOOKUP(A130,BUFFS!$H$5:$AF$195,17,),"")</f>
        <v/>
      </c>
      <c r="R130" s="66" t="str">
        <f>IFERROR(VLOOKUP(A130,BUFFS!$H$5:$AF$195,19,),"")</f>
        <v/>
      </c>
      <c r="S130" s="69" t="str">
        <f t="shared" si="10"/>
        <v/>
      </c>
      <c r="T130" s="70" t="str">
        <f>IFERROR(VLOOKUP(A130,BUFFS!$H$5:$AF$195,20,),"")</f>
        <v/>
      </c>
    </row>
    <row r="131" spans="1:20" x14ac:dyDescent="0.35">
      <c r="A131" s="17"/>
      <c r="B131" s="18"/>
      <c r="C131" s="13"/>
      <c r="D131" s="31" t="str">
        <f>IFERROR(VLOOKUP(A131,BUFFS!$H$5:$AF$195,8,),"")</f>
        <v/>
      </c>
      <c r="E131" s="24" t="str">
        <f t="shared" si="8"/>
        <v/>
      </c>
      <c r="F131" s="65" t="str">
        <f>IFERROR(VLOOKUP(A131,BUFFS!$H$5:$AF$195,5,),"")</f>
        <v/>
      </c>
      <c r="G131" s="66" t="str">
        <f>IFERROR(VLOOKUP(A131,BUFFS!$H$5:$AF$195,6,),"")</f>
        <v/>
      </c>
      <c r="H131" s="67" t="str">
        <f>IFERROR(VLOOKUP(A131,BUFFS!$H$5:$AF$195,7,),"")</f>
        <v/>
      </c>
      <c r="I131" s="66" t="str">
        <f>IFERROR(VLOOKUP(A131,BUFFS!$H$5:$AF$195,9,),"")</f>
        <v/>
      </c>
      <c r="J131" s="65" t="str">
        <f>IFERROR(VLOOKUP(A131,BUFFS!$H$5:$AF$195,10,),"")</f>
        <v/>
      </c>
      <c r="K131" s="66" t="str">
        <f>IFERROR(VLOOKUP(A131,BUFFS!$H$5:$AF$195,11,),"")</f>
        <v/>
      </c>
      <c r="L131" s="66" t="str">
        <f>IFERROR(VLOOKUP(A131,BUFFS!$H$5:$AF$195,12,),"")</f>
        <v/>
      </c>
      <c r="M131" s="66" t="str">
        <f>IFERROR(VLOOKUP(A131,BUFFS!$H$5:$AF$195,14,),"")</f>
        <v/>
      </c>
      <c r="N131" s="68" t="str">
        <f t="shared" si="9"/>
        <v/>
      </c>
      <c r="O131" s="65" t="str">
        <f>IFERROR(VLOOKUP(A131,BUFFS!$H$5:$AF$195,15,),"")</f>
        <v/>
      </c>
      <c r="P131" s="66" t="str">
        <f>IFERROR(VLOOKUP(A131,BUFFS!$H$5:$AF$195,16,),"")</f>
        <v/>
      </c>
      <c r="Q131" s="66" t="str">
        <f>IFERROR(VLOOKUP(A131,BUFFS!$H$5:$AF$195,17,),"")</f>
        <v/>
      </c>
      <c r="R131" s="66" t="str">
        <f>IFERROR(VLOOKUP(A131,BUFFS!$H$5:$AF$195,19,),"")</f>
        <v/>
      </c>
      <c r="S131" s="69" t="str">
        <f t="shared" si="10"/>
        <v/>
      </c>
      <c r="T131" s="70" t="str">
        <f>IFERROR(VLOOKUP(A131,BUFFS!$H$5:$AF$195,20,),"")</f>
        <v/>
      </c>
    </row>
    <row r="132" spans="1:20" x14ac:dyDescent="0.35">
      <c r="A132" s="17"/>
      <c r="B132" s="18"/>
      <c r="C132" s="13"/>
      <c r="D132" s="31" t="str">
        <f>IFERROR(VLOOKUP(A132,BUFFS!$H$5:$AF$195,8,),"")</f>
        <v/>
      </c>
      <c r="E132" s="24" t="str">
        <f t="shared" si="8"/>
        <v/>
      </c>
      <c r="F132" s="65" t="str">
        <f>IFERROR(VLOOKUP(A132,BUFFS!$H$5:$AF$195,5,),"")</f>
        <v/>
      </c>
      <c r="G132" s="66" t="str">
        <f>IFERROR(VLOOKUP(A132,BUFFS!$H$5:$AF$195,6,),"")</f>
        <v/>
      </c>
      <c r="H132" s="67" t="str">
        <f>IFERROR(VLOOKUP(A132,BUFFS!$H$5:$AF$195,7,),"")</f>
        <v/>
      </c>
      <c r="I132" s="66" t="str">
        <f>IFERROR(VLOOKUP(A132,BUFFS!$H$5:$AF$195,9,),"")</f>
        <v/>
      </c>
      <c r="J132" s="65" t="str">
        <f>IFERROR(VLOOKUP(A132,BUFFS!$H$5:$AF$195,10,),"")</f>
        <v/>
      </c>
      <c r="K132" s="66" t="str">
        <f>IFERROR(VLOOKUP(A132,BUFFS!$H$5:$AF$195,11,),"")</f>
        <v/>
      </c>
      <c r="L132" s="66" t="str">
        <f>IFERROR(VLOOKUP(A132,BUFFS!$H$5:$AF$195,12,),"")</f>
        <v/>
      </c>
      <c r="M132" s="66" t="str">
        <f>IFERROR(VLOOKUP(A132,BUFFS!$H$5:$AF$195,14,),"")</f>
        <v/>
      </c>
      <c r="N132" s="68" t="str">
        <f t="shared" si="9"/>
        <v/>
      </c>
      <c r="O132" s="65" t="str">
        <f>IFERROR(VLOOKUP(A132,BUFFS!$H$5:$AF$195,15,),"")</f>
        <v/>
      </c>
      <c r="P132" s="66" t="str">
        <f>IFERROR(VLOOKUP(A132,BUFFS!$H$5:$AF$195,16,),"")</f>
        <v/>
      </c>
      <c r="Q132" s="66" t="str">
        <f>IFERROR(VLOOKUP(A132,BUFFS!$H$5:$AF$195,17,),"")</f>
        <v/>
      </c>
      <c r="R132" s="66" t="str">
        <f>IFERROR(VLOOKUP(A132,BUFFS!$H$5:$AF$195,19,),"")</f>
        <v/>
      </c>
      <c r="S132" s="69" t="str">
        <f t="shared" si="10"/>
        <v/>
      </c>
      <c r="T132" s="70" t="str">
        <f>IFERROR(VLOOKUP(A132,BUFFS!$H$5:$AF$195,20,),"")</f>
        <v/>
      </c>
    </row>
    <row r="133" spans="1:20" x14ac:dyDescent="0.35">
      <c r="A133" s="17"/>
      <c r="B133" s="18"/>
      <c r="C133" s="13"/>
      <c r="D133" s="31" t="str">
        <f>IFERROR(VLOOKUP(A133,BUFFS!$H$5:$AF$195,8,),"")</f>
        <v/>
      </c>
      <c r="E133" s="24" t="str">
        <f t="shared" si="8"/>
        <v/>
      </c>
      <c r="F133" s="65" t="str">
        <f>IFERROR(VLOOKUP(A133,BUFFS!$H$5:$AF$195,5,),"")</f>
        <v/>
      </c>
      <c r="G133" s="66" t="str">
        <f>IFERROR(VLOOKUP(A133,BUFFS!$H$5:$AF$195,6,),"")</f>
        <v/>
      </c>
      <c r="H133" s="67" t="str">
        <f>IFERROR(VLOOKUP(A133,BUFFS!$H$5:$AF$195,7,),"")</f>
        <v/>
      </c>
      <c r="I133" s="66" t="str">
        <f>IFERROR(VLOOKUP(A133,BUFFS!$H$5:$AF$195,9,),"")</f>
        <v/>
      </c>
      <c r="J133" s="65" t="str">
        <f>IFERROR(VLOOKUP(A133,BUFFS!$H$5:$AF$195,10,),"")</f>
        <v/>
      </c>
      <c r="K133" s="66" t="str">
        <f>IFERROR(VLOOKUP(A133,BUFFS!$H$5:$AF$195,11,),"")</f>
        <v/>
      </c>
      <c r="L133" s="66" t="str">
        <f>IFERROR(VLOOKUP(A133,BUFFS!$H$5:$AF$195,12,),"")</f>
        <v/>
      </c>
      <c r="M133" s="66" t="str">
        <f>IFERROR(VLOOKUP(A133,BUFFS!$H$5:$AF$195,14,),"")</f>
        <v/>
      </c>
      <c r="N133" s="68" t="str">
        <f t="shared" si="9"/>
        <v/>
      </c>
      <c r="O133" s="65" t="str">
        <f>IFERROR(VLOOKUP(A133,BUFFS!$H$5:$AF$195,15,),"")</f>
        <v/>
      </c>
      <c r="P133" s="66" t="str">
        <f>IFERROR(VLOOKUP(A133,BUFFS!$H$5:$AF$195,16,),"")</f>
        <v/>
      </c>
      <c r="Q133" s="66" t="str">
        <f>IFERROR(VLOOKUP(A133,BUFFS!$H$5:$AF$195,17,),"")</f>
        <v/>
      </c>
      <c r="R133" s="66" t="str">
        <f>IFERROR(VLOOKUP(A133,BUFFS!$H$5:$AF$195,19,),"")</f>
        <v/>
      </c>
      <c r="S133" s="69" t="str">
        <f t="shared" si="10"/>
        <v/>
      </c>
      <c r="T133" s="70" t="str">
        <f>IFERROR(VLOOKUP(A133,BUFFS!$H$5:$AF$195,20,),"")</f>
        <v/>
      </c>
    </row>
    <row r="134" spans="1:20" x14ac:dyDescent="0.35">
      <c r="A134" s="17"/>
      <c r="B134" s="18"/>
      <c r="C134" s="13"/>
      <c r="D134" s="31" t="str">
        <f>IFERROR(VLOOKUP(A134,BUFFS!$H$5:$AF$195,8,),"")</f>
        <v/>
      </c>
      <c r="E134" s="24" t="str">
        <f t="shared" si="8"/>
        <v/>
      </c>
      <c r="F134" s="65" t="str">
        <f>IFERROR(VLOOKUP(A134,BUFFS!$H$5:$AF$195,5,),"")</f>
        <v/>
      </c>
      <c r="G134" s="66" t="str">
        <f>IFERROR(VLOOKUP(A134,BUFFS!$H$5:$AF$195,6,),"")</f>
        <v/>
      </c>
      <c r="H134" s="67" t="str">
        <f>IFERROR(VLOOKUP(A134,BUFFS!$H$5:$AF$195,7,),"")</f>
        <v/>
      </c>
      <c r="I134" s="66" t="str">
        <f>IFERROR(VLOOKUP(A134,BUFFS!$H$5:$AF$195,9,),"")</f>
        <v/>
      </c>
      <c r="J134" s="65" t="str">
        <f>IFERROR(VLOOKUP(A134,BUFFS!$H$5:$AF$195,10,),"")</f>
        <v/>
      </c>
      <c r="K134" s="66" t="str">
        <f>IFERROR(VLOOKUP(A134,BUFFS!$H$5:$AF$195,11,),"")</f>
        <v/>
      </c>
      <c r="L134" s="66" t="str">
        <f>IFERROR(VLOOKUP(A134,BUFFS!$H$5:$AF$195,12,),"")</f>
        <v/>
      </c>
      <c r="M134" s="66" t="str">
        <f>IFERROR(VLOOKUP(A134,BUFFS!$H$5:$AF$195,14,),"")</f>
        <v/>
      </c>
      <c r="N134" s="68" t="str">
        <f t="shared" si="9"/>
        <v/>
      </c>
      <c r="O134" s="65" t="str">
        <f>IFERROR(VLOOKUP(A134,BUFFS!$H$5:$AF$195,15,),"")</f>
        <v/>
      </c>
      <c r="P134" s="66" t="str">
        <f>IFERROR(VLOOKUP(A134,BUFFS!$H$5:$AF$195,16,),"")</f>
        <v/>
      </c>
      <c r="Q134" s="66" t="str">
        <f>IFERROR(VLOOKUP(A134,BUFFS!$H$5:$AF$195,17,),"")</f>
        <v/>
      </c>
      <c r="R134" s="66" t="str">
        <f>IFERROR(VLOOKUP(A134,BUFFS!$H$5:$AF$195,19,),"")</f>
        <v/>
      </c>
      <c r="S134" s="69" t="str">
        <f t="shared" si="10"/>
        <v/>
      </c>
      <c r="T134" s="70" t="str">
        <f>IFERROR(VLOOKUP(A134,BUFFS!$H$5:$AF$195,20,),"")</f>
        <v/>
      </c>
    </row>
    <row r="135" spans="1:20" x14ac:dyDescent="0.35">
      <c r="A135" s="17"/>
      <c r="B135" s="18"/>
      <c r="C135" s="13"/>
      <c r="D135" s="31" t="str">
        <f>IFERROR(VLOOKUP(A135,BUFFS!$H$5:$AF$195,8,),"")</f>
        <v/>
      </c>
      <c r="E135" s="24" t="str">
        <f t="shared" si="8"/>
        <v/>
      </c>
      <c r="F135" s="65" t="str">
        <f>IFERROR(VLOOKUP(A135,BUFFS!$H$5:$AF$195,5,),"")</f>
        <v/>
      </c>
      <c r="G135" s="66" t="str">
        <f>IFERROR(VLOOKUP(A135,BUFFS!$H$5:$AF$195,6,),"")</f>
        <v/>
      </c>
      <c r="H135" s="67" t="str">
        <f>IFERROR(VLOOKUP(A135,BUFFS!$H$5:$AF$195,7,),"")</f>
        <v/>
      </c>
      <c r="I135" s="66" t="str">
        <f>IFERROR(VLOOKUP(A135,BUFFS!$H$5:$AF$195,9,),"")</f>
        <v/>
      </c>
      <c r="J135" s="65" t="str">
        <f>IFERROR(VLOOKUP(A135,BUFFS!$H$5:$AF$195,10,),"")</f>
        <v/>
      </c>
      <c r="K135" s="66" t="str">
        <f>IFERROR(VLOOKUP(A135,BUFFS!$H$5:$AF$195,11,),"")</f>
        <v/>
      </c>
      <c r="L135" s="66" t="str">
        <f>IFERROR(VLOOKUP(A135,BUFFS!$H$5:$AF$195,12,),"")</f>
        <v/>
      </c>
      <c r="M135" s="66" t="str">
        <f>IFERROR(VLOOKUP(A135,BUFFS!$H$5:$AF$195,14,),"")</f>
        <v/>
      </c>
      <c r="N135" s="68" t="str">
        <f t="shared" si="9"/>
        <v/>
      </c>
      <c r="O135" s="65" t="str">
        <f>IFERROR(VLOOKUP(A135,BUFFS!$H$5:$AF$195,15,),"")</f>
        <v/>
      </c>
      <c r="P135" s="66" t="str">
        <f>IFERROR(VLOOKUP(A135,BUFFS!$H$5:$AF$195,16,),"")</f>
        <v/>
      </c>
      <c r="Q135" s="66" t="str">
        <f>IFERROR(VLOOKUP(A135,BUFFS!$H$5:$AF$195,17,),"")</f>
        <v/>
      </c>
      <c r="R135" s="66" t="str">
        <f>IFERROR(VLOOKUP(A135,BUFFS!$H$5:$AF$195,19,),"")</f>
        <v/>
      </c>
      <c r="S135" s="69" t="str">
        <f t="shared" si="10"/>
        <v/>
      </c>
      <c r="T135" s="70" t="str">
        <f>IFERROR(VLOOKUP(A135,BUFFS!$H$5:$AF$195,20,),"")</f>
        <v/>
      </c>
    </row>
    <row r="136" spans="1:20" x14ac:dyDescent="0.35">
      <c r="A136" s="17"/>
      <c r="B136" s="18"/>
      <c r="C136" s="13"/>
      <c r="D136" s="31" t="str">
        <f>IFERROR(VLOOKUP(A136,BUFFS!$H$5:$AF$195,8,),"")</f>
        <v/>
      </c>
      <c r="E136" s="24" t="str">
        <f t="shared" si="8"/>
        <v/>
      </c>
      <c r="F136" s="65" t="str">
        <f>IFERROR(VLOOKUP(A136,BUFFS!$H$5:$AF$195,5,),"")</f>
        <v/>
      </c>
      <c r="G136" s="66" t="str">
        <f>IFERROR(VLOOKUP(A136,BUFFS!$H$5:$AF$195,6,),"")</f>
        <v/>
      </c>
      <c r="H136" s="67" t="str">
        <f>IFERROR(VLOOKUP(A136,BUFFS!$H$5:$AF$195,7,),"")</f>
        <v/>
      </c>
      <c r="I136" s="66" t="str">
        <f>IFERROR(VLOOKUP(A136,BUFFS!$H$5:$AF$195,9,),"")</f>
        <v/>
      </c>
      <c r="J136" s="65" t="str">
        <f>IFERROR(VLOOKUP(A136,BUFFS!$H$5:$AF$195,10,),"")</f>
        <v/>
      </c>
      <c r="K136" s="66" t="str">
        <f>IFERROR(VLOOKUP(A136,BUFFS!$H$5:$AF$195,11,),"")</f>
        <v/>
      </c>
      <c r="L136" s="66" t="str">
        <f>IFERROR(VLOOKUP(A136,BUFFS!$H$5:$AF$195,12,),"")</f>
        <v/>
      </c>
      <c r="M136" s="66" t="str">
        <f>IFERROR(VLOOKUP(A136,BUFFS!$H$5:$AF$195,14,),"")</f>
        <v/>
      </c>
      <c r="N136" s="68" t="str">
        <f t="shared" si="9"/>
        <v/>
      </c>
      <c r="O136" s="65" t="str">
        <f>IFERROR(VLOOKUP(A136,BUFFS!$H$5:$AF$195,15,),"")</f>
        <v/>
      </c>
      <c r="P136" s="66" t="str">
        <f>IFERROR(VLOOKUP(A136,BUFFS!$H$5:$AF$195,16,),"")</f>
        <v/>
      </c>
      <c r="Q136" s="66" t="str">
        <f>IFERROR(VLOOKUP(A136,BUFFS!$H$5:$AF$195,17,),"")</f>
        <v/>
      </c>
      <c r="R136" s="66" t="str">
        <f>IFERROR(VLOOKUP(A136,BUFFS!$H$5:$AF$195,19,),"")</f>
        <v/>
      </c>
      <c r="S136" s="69" t="str">
        <f t="shared" si="10"/>
        <v/>
      </c>
      <c r="T136" s="70" t="str">
        <f>IFERROR(VLOOKUP(A136,BUFFS!$H$5:$AF$195,20,),"")</f>
        <v/>
      </c>
    </row>
    <row r="137" spans="1:20" x14ac:dyDescent="0.35">
      <c r="A137" s="17"/>
      <c r="B137" s="18"/>
      <c r="C137" s="13"/>
      <c r="D137" s="31" t="str">
        <f>IFERROR(VLOOKUP(A137,BUFFS!$H$5:$AF$195,8,),"")</f>
        <v/>
      </c>
      <c r="E137" s="24" t="str">
        <f t="shared" si="8"/>
        <v/>
      </c>
      <c r="F137" s="65" t="str">
        <f>IFERROR(VLOOKUP(A137,BUFFS!$H$5:$AF$195,5,),"")</f>
        <v/>
      </c>
      <c r="G137" s="66" t="str">
        <f>IFERROR(VLOOKUP(A137,BUFFS!$H$5:$AF$195,6,),"")</f>
        <v/>
      </c>
      <c r="H137" s="67" t="str">
        <f>IFERROR(VLOOKUP(A137,BUFFS!$H$5:$AF$195,7,),"")</f>
        <v/>
      </c>
      <c r="I137" s="66" t="str">
        <f>IFERROR(VLOOKUP(A137,BUFFS!$H$5:$AF$195,9,),"")</f>
        <v/>
      </c>
      <c r="J137" s="65" t="str">
        <f>IFERROR(VLOOKUP(A137,BUFFS!$H$5:$AF$195,10,),"")</f>
        <v/>
      </c>
      <c r="K137" s="66" t="str">
        <f>IFERROR(VLOOKUP(A137,BUFFS!$H$5:$AF$195,11,),"")</f>
        <v/>
      </c>
      <c r="L137" s="66" t="str">
        <f>IFERROR(VLOOKUP(A137,BUFFS!$H$5:$AF$195,12,),"")</f>
        <v/>
      </c>
      <c r="M137" s="66" t="str">
        <f>IFERROR(VLOOKUP(A137,BUFFS!$H$5:$AF$195,14,),"")</f>
        <v/>
      </c>
      <c r="N137" s="68" t="str">
        <f t="shared" si="9"/>
        <v/>
      </c>
      <c r="O137" s="65" t="str">
        <f>IFERROR(VLOOKUP(A137,BUFFS!$H$5:$AF$195,15,),"")</f>
        <v/>
      </c>
      <c r="P137" s="66" t="str">
        <f>IFERROR(VLOOKUP(A137,BUFFS!$H$5:$AF$195,16,),"")</f>
        <v/>
      </c>
      <c r="Q137" s="66" t="str">
        <f>IFERROR(VLOOKUP(A137,BUFFS!$H$5:$AF$195,17,),"")</f>
        <v/>
      </c>
      <c r="R137" s="66" t="str">
        <f>IFERROR(VLOOKUP(A137,BUFFS!$H$5:$AF$195,19,),"")</f>
        <v/>
      </c>
      <c r="S137" s="69" t="str">
        <f t="shared" si="10"/>
        <v/>
      </c>
      <c r="T137" s="70" t="str">
        <f>IFERROR(VLOOKUP(A137,BUFFS!$H$5:$AF$195,20,),"")</f>
        <v/>
      </c>
    </row>
    <row r="138" spans="1:20" x14ac:dyDescent="0.35">
      <c r="A138" s="17"/>
      <c r="B138" s="18"/>
      <c r="C138" s="13"/>
      <c r="D138" s="31" t="str">
        <f>IFERROR(VLOOKUP(A138,BUFFS!$H$5:$AF$195,8,),"")</f>
        <v/>
      </c>
      <c r="E138" s="24" t="str">
        <f t="shared" si="8"/>
        <v/>
      </c>
      <c r="F138" s="65" t="str">
        <f>IFERROR(VLOOKUP(A138,BUFFS!$H$5:$AF$195,5,),"")</f>
        <v/>
      </c>
      <c r="G138" s="66" t="str">
        <f>IFERROR(VLOOKUP(A138,BUFFS!$H$5:$AF$195,6,),"")</f>
        <v/>
      </c>
      <c r="H138" s="67" t="str">
        <f>IFERROR(VLOOKUP(A138,BUFFS!$H$5:$AF$195,7,),"")</f>
        <v/>
      </c>
      <c r="I138" s="66" t="str">
        <f>IFERROR(VLOOKUP(A138,BUFFS!$H$5:$AF$195,9,),"")</f>
        <v/>
      </c>
      <c r="J138" s="65" t="str">
        <f>IFERROR(VLOOKUP(A138,BUFFS!$H$5:$AF$195,10,),"")</f>
        <v/>
      </c>
      <c r="K138" s="66" t="str">
        <f>IFERROR(VLOOKUP(A138,BUFFS!$H$5:$AF$195,11,),"")</f>
        <v/>
      </c>
      <c r="L138" s="66" t="str">
        <f>IFERROR(VLOOKUP(A138,BUFFS!$H$5:$AF$195,12,),"")</f>
        <v/>
      </c>
      <c r="M138" s="66" t="str">
        <f>IFERROR(VLOOKUP(A138,BUFFS!$H$5:$AF$195,14,),"")</f>
        <v/>
      </c>
      <c r="N138" s="68" t="str">
        <f t="shared" si="9"/>
        <v/>
      </c>
      <c r="O138" s="65" t="str">
        <f>IFERROR(VLOOKUP(A138,BUFFS!$H$5:$AF$195,15,),"")</f>
        <v/>
      </c>
      <c r="P138" s="66" t="str">
        <f>IFERROR(VLOOKUP(A138,BUFFS!$H$5:$AF$195,16,),"")</f>
        <v/>
      </c>
      <c r="Q138" s="66" t="str">
        <f>IFERROR(VLOOKUP(A138,BUFFS!$H$5:$AF$195,17,),"")</f>
        <v/>
      </c>
      <c r="R138" s="66" t="str">
        <f>IFERROR(VLOOKUP(A138,BUFFS!$H$5:$AF$195,19,),"")</f>
        <v/>
      </c>
      <c r="S138" s="69" t="str">
        <f t="shared" si="10"/>
        <v/>
      </c>
      <c r="T138" s="70" t="str">
        <f>IFERROR(VLOOKUP(A138,BUFFS!$H$5:$AF$195,20,),"")</f>
        <v/>
      </c>
    </row>
    <row r="139" spans="1:20" x14ac:dyDescent="0.35">
      <c r="A139" s="17"/>
      <c r="B139" s="18"/>
      <c r="C139" s="13"/>
      <c r="D139" s="31" t="str">
        <f>IFERROR(VLOOKUP(A139,BUFFS!$H$5:$AF$195,8,),"")</f>
        <v/>
      </c>
      <c r="E139" s="24" t="str">
        <f t="shared" si="8"/>
        <v/>
      </c>
      <c r="F139" s="65" t="str">
        <f>IFERROR(VLOOKUP(A139,BUFFS!$H$5:$AF$195,5,),"")</f>
        <v/>
      </c>
      <c r="G139" s="66" t="str">
        <f>IFERROR(VLOOKUP(A139,BUFFS!$H$5:$AF$195,6,),"")</f>
        <v/>
      </c>
      <c r="H139" s="67" t="str">
        <f>IFERROR(VLOOKUP(A139,BUFFS!$H$5:$AF$195,7,),"")</f>
        <v/>
      </c>
      <c r="I139" s="66" t="str">
        <f>IFERROR(VLOOKUP(A139,BUFFS!$H$5:$AF$195,9,),"")</f>
        <v/>
      </c>
      <c r="J139" s="65" t="str">
        <f>IFERROR(VLOOKUP(A139,BUFFS!$H$5:$AF$195,10,),"")</f>
        <v/>
      </c>
      <c r="K139" s="66" t="str">
        <f>IFERROR(VLOOKUP(A139,BUFFS!$H$5:$AF$195,11,),"")</f>
        <v/>
      </c>
      <c r="L139" s="66" t="str">
        <f>IFERROR(VLOOKUP(A139,BUFFS!$H$5:$AF$195,12,),"")</f>
        <v/>
      </c>
      <c r="M139" s="66" t="str">
        <f>IFERROR(VLOOKUP(A139,BUFFS!$H$5:$AF$195,14,),"")</f>
        <v/>
      </c>
      <c r="N139" s="68" t="str">
        <f t="shared" si="9"/>
        <v/>
      </c>
      <c r="O139" s="65" t="str">
        <f>IFERROR(VLOOKUP(A139,BUFFS!$H$5:$AF$195,15,),"")</f>
        <v/>
      </c>
      <c r="P139" s="66" t="str">
        <f>IFERROR(VLOOKUP(A139,BUFFS!$H$5:$AF$195,16,),"")</f>
        <v/>
      </c>
      <c r="Q139" s="66" t="str">
        <f>IFERROR(VLOOKUP(A139,BUFFS!$H$5:$AF$195,17,),"")</f>
        <v/>
      </c>
      <c r="R139" s="66" t="str">
        <f>IFERROR(VLOOKUP(A139,BUFFS!$H$5:$AF$195,19,),"")</f>
        <v/>
      </c>
      <c r="S139" s="69" t="str">
        <f t="shared" si="10"/>
        <v/>
      </c>
      <c r="T139" s="70" t="str">
        <f>IFERROR(VLOOKUP(A139,BUFFS!$H$5:$AF$195,20,),"")</f>
        <v/>
      </c>
    </row>
    <row r="140" spans="1:20" x14ac:dyDescent="0.35">
      <c r="A140" s="17"/>
      <c r="B140" s="18"/>
      <c r="C140" s="13"/>
      <c r="D140" s="31" t="str">
        <f>IFERROR(VLOOKUP(A140,BUFFS!$H$5:$AF$195,8,),"")</f>
        <v/>
      </c>
      <c r="E140" s="24" t="str">
        <f t="shared" si="8"/>
        <v/>
      </c>
      <c r="F140" s="65" t="str">
        <f>IFERROR(VLOOKUP(A140,BUFFS!$H$5:$AF$195,5,),"")</f>
        <v/>
      </c>
      <c r="G140" s="66" t="str">
        <f>IFERROR(VLOOKUP(A140,BUFFS!$H$5:$AF$195,6,),"")</f>
        <v/>
      </c>
      <c r="H140" s="67" t="str">
        <f>IFERROR(VLOOKUP(A140,BUFFS!$H$5:$AF$195,7,),"")</f>
        <v/>
      </c>
      <c r="I140" s="66" t="str">
        <f>IFERROR(VLOOKUP(A140,BUFFS!$H$5:$AF$195,9,),"")</f>
        <v/>
      </c>
      <c r="J140" s="65" t="str">
        <f>IFERROR(VLOOKUP(A140,BUFFS!$H$5:$AF$195,10,),"")</f>
        <v/>
      </c>
      <c r="K140" s="66" t="str">
        <f>IFERROR(VLOOKUP(A140,BUFFS!$H$5:$AF$195,11,),"")</f>
        <v/>
      </c>
      <c r="L140" s="66" t="str">
        <f>IFERROR(VLOOKUP(A140,BUFFS!$H$5:$AF$195,12,),"")</f>
        <v/>
      </c>
      <c r="M140" s="66" t="str">
        <f>IFERROR(VLOOKUP(A140,BUFFS!$H$5:$AF$195,14,),"")</f>
        <v/>
      </c>
      <c r="N140" s="68" t="str">
        <f t="shared" si="9"/>
        <v/>
      </c>
      <c r="O140" s="65" t="str">
        <f>IFERROR(VLOOKUP(A140,BUFFS!$H$5:$AF$195,15,),"")</f>
        <v/>
      </c>
      <c r="P140" s="66" t="str">
        <f>IFERROR(VLOOKUP(A140,BUFFS!$H$5:$AF$195,16,),"")</f>
        <v/>
      </c>
      <c r="Q140" s="66" t="str">
        <f>IFERROR(VLOOKUP(A140,BUFFS!$H$5:$AF$195,17,),"")</f>
        <v/>
      </c>
      <c r="R140" s="66" t="str">
        <f>IFERROR(VLOOKUP(A140,BUFFS!$H$5:$AF$195,19,),"")</f>
        <v/>
      </c>
      <c r="S140" s="69" t="str">
        <f t="shared" si="10"/>
        <v/>
      </c>
      <c r="T140" s="70" t="str">
        <f>IFERROR(VLOOKUP(A140,BUFFS!$H$5:$AF$195,20,),"")</f>
        <v/>
      </c>
    </row>
    <row r="141" spans="1:20" x14ac:dyDescent="0.35">
      <c r="A141" s="17"/>
      <c r="B141" s="18"/>
      <c r="C141" s="13"/>
      <c r="D141" s="31" t="str">
        <f>IFERROR(VLOOKUP(A141,BUFFS!$H$5:$AF$195,8,),"")</f>
        <v/>
      </c>
      <c r="E141" s="24" t="str">
        <f t="shared" si="8"/>
        <v/>
      </c>
      <c r="F141" s="65" t="str">
        <f>IFERROR(VLOOKUP(A141,BUFFS!$H$5:$AF$195,5,),"")</f>
        <v/>
      </c>
      <c r="G141" s="66" t="str">
        <f>IFERROR(VLOOKUP(A141,BUFFS!$H$5:$AF$195,6,),"")</f>
        <v/>
      </c>
      <c r="H141" s="67" t="str">
        <f>IFERROR(VLOOKUP(A141,BUFFS!$H$5:$AF$195,7,),"")</f>
        <v/>
      </c>
      <c r="I141" s="66" t="str">
        <f>IFERROR(VLOOKUP(A141,BUFFS!$H$5:$AF$195,9,),"")</f>
        <v/>
      </c>
      <c r="J141" s="65" t="str">
        <f>IFERROR(VLOOKUP(A141,BUFFS!$H$5:$AF$195,10,),"")</f>
        <v/>
      </c>
      <c r="K141" s="66" t="str">
        <f>IFERROR(VLOOKUP(A141,BUFFS!$H$5:$AF$195,11,),"")</f>
        <v/>
      </c>
      <c r="L141" s="66" t="str">
        <f>IFERROR(VLOOKUP(A141,BUFFS!$H$5:$AF$195,12,),"")</f>
        <v/>
      </c>
      <c r="M141" s="66" t="str">
        <f>IFERROR(VLOOKUP(A141,BUFFS!$H$5:$AF$195,14,),"")</f>
        <v/>
      </c>
      <c r="N141" s="68" t="str">
        <f t="shared" si="9"/>
        <v/>
      </c>
      <c r="O141" s="65" t="str">
        <f>IFERROR(VLOOKUP(A141,BUFFS!$H$5:$AF$195,15,),"")</f>
        <v/>
      </c>
      <c r="P141" s="66" t="str">
        <f>IFERROR(VLOOKUP(A141,BUFFS!$H$5:$AF$195,16,),"")</f>
        <v/>
      </c>
      <c r="Q141" s="66" t="str">
        <f>IFERROR(VLOOKUP(A141,BUFFS!$H$5:$AF$195,17,),"")</f>
        <v/>
      </c>
      <c r="R141" s="66" t="str">
        <f>IFERROR(VLOOKUP(A141,BUFFS!$H$5:$AF$195,19,),"")</f>
        <v/>
      </c>
      <c r="S141" s="69" t="str">
        <f t="shared" si="10"/>
        <v/>
      </c>
      <c r="T141" s="70" t="str">
        <f>IFERROR(VLOOKUP(A141,BUFFS!$H$5:$AF$195,20,),"")</f>
        <v/>
      </c>
    </row>
    <row r="142" spans="1:20" x14ac:dyDescent="0.35">
      <c r="A142" s="17"/>
      <c r="B142" s="18"/>
      <c r="C142" s="13"/>
      <c r="D142" s="31" t="str">
        <f>IFERROR(VLOOKUP(A142,BUFFS!$H$5:$AF$195,8,),"")</f>
        <v/>
      </c>
      <c r="E142" s="24" t="str">
        <f t="shared" si="8"/>
        <v/>
      </c>
      <c r="F142" s="65" t="str">
        <f>IFERROR(VLOOKUP(A142,BUFFS!$H$5:$AF$195,5,),"")</f>
        <v/>
      </c>
      <c r="G142" s="66" t="str">
        <f>IFERROR(VLOOKUP(A142,BUFFS!$H$5:$AF$195,6,),"")</f>
        <v/>
      </c>
      <c r="H142" s="67" t="str">
        <f>IFERROR(VLOOKUP(A142,BUFFS!$H$5:$AF$195,7,),"")</f>
        <v/>
      </c>
      <c r="I142" s="66" t="str">
        <f>IFERROR(VLOOKUP(A142,BUFFS!$H$5:$AF$195,9,),"")</f>
        <v/>
      </c>
      <c r="J142" s="65" t="str">
        <f>IFERROR(VLOOKUP(A142,BUFFS!$H$5:$AF$195,10,),"")</f>
        <v/>
      </c>
      <c r="K142" s="66" t="str">
        <f>IFERROR(VLOOKUP(A142,BUFFS!$H$5:$AF$195,11,),"")</f>
        <v/>
      </c>
      <c r="L142" s="66" t="str">
        <f>IFERROR(VLOOKUP(A142,BUFFS!$H$5:$AF$195,12,),"")</f>
        <v/>
      </c>
      <c r="M142" s="66" t="str">
        <f>IFERROR(VLOOKUP(A142,BUFFS!$H$5:$AF$195,14,),"")</f>
        <v/>
      </c>
      <c r="N142" s="68" t="str">
        <f t="shared" si="9"/>
        <v/>
      </c>
      <c r="O142" s="65" t="str">
        <f>IFERROR(VLOOKUP(A142,BUFFS!$H$5:$AF$195,15,),"")</f>
        <v/>
      </c>
      <c r="P142" s="66" t="str">
        <f>IFERROR(VLOOKUP(A142,BUFFS!$H$5:$AF$195,16,),"")</f>
        <v/>
      </c>
      <c r="Q142" s="66" t="str">
        <f>IFERROR(VLOOKUP(A142,BUFFS!$H$5:$AF$195,17,),"")</f>
        <v/>
      </c>
      <c r="R142" s="66" t="str">
        <f>IFERROR(VLOOKUP(A142,BUFFS!$H$5:$AF$195,19,),"")</f>
        <v/>
      </c>
      <c r="S142" s="69" t="str">
        <f t="shared" si="10"/>
        <v/>
      </c>
      <c r="T142" s="70" t="str">
        <f>IFERROR(VLOOKUP(A142,BUFFS!$H$5:$AF$195,20,),"")</f>
        <v/>
      </c>
    </row>
    <row r="143" spans="1:20" x14ac:dyDescent="0.35">
      <c r="A143" s="17"/>
      <c r="B143" s="18"/>
      <c r="C143" s="13"/>
      <c r="D143" s="31" t="str">
        <f>IFERROR(VLOOKUP(A143,BUFFS!$H$5:$AF$195,8,),"")</f>
        <v/>
      </c>
      <c r="E143" s="24" t="str">
        <f t="shared" si="8"/>
        <v/>
      </c>
      <c r="F143" s="65" t="str">
        <f>IFERROR(VLOOKUP(A143,BUFFS!$H$5:$AF$195,5,),"")</f>
        <v/>
      </c>
      <c r="G143" s="66" t="str">
        <f>IFERROR(VLOOKUP(A143,BUFFS!$H$5:$AF$195,6,),"")</f>
        <v/>
      </c>
      <c r="H143" s="67" t="str">
        <f>IFERROR(VLOOKUP(A143,BUFFS!$H$5:$AF$195,7,),"")</f>
        <v/>
      </c>
      <c r="I143" s="66" t="str">
        <f>IFERROR(VLOOKUP(A143,BUFFS!$H$5:$AF$195,9,),"")</f>
        <v/>
      </c>
      <c r="J143" s="65" t="str">
        <f>IFERROR(VLOOKUP(A143,BUFFS!$H$5:$AF$195,10,),"")</f>
        <v/>
      </c>
      <c r="K143" s="66" t="str">
        <f>IFERROR(VLOOKUP(A143,BUFFS!$H$5:$AF$195,11,),"")</f>
        <v/>
      </c>
      <c r="L143" s="66" t="str">
        <f>IFERROR(VLOOKUP(A143,BUFFS!$H$5:$AF$195,12,),"")</f>
        <v/>
      </c>
      <c r="M143" s="66" t="str">
        <f>IFERROR(VLOOKUP(A143,BUFFS!$H$5:$AF$195,14,),"")</f>
        <v/>
      </c>
      <c r="N143" s="68" t="str">
        <f t="shared" si="9"/>
        <v/>
      </c>
      <c r="O143" s="65" t="str">
        <f>IFERROR(VLOOKUP(A143,BUFFS!$H$5:$AF$195,15,),"")</f>
        <v/>
      </c>
      <c r="P143" s="66" t="str">
        <f>IFERROR(VLOOKUP(A143,BUFFS!$H$5:$AF$195,16,),"")</f>
        <v/>
      </c>
      <c r="Q143" s="66" t="str">
        <f>IFERROR(VLOOKUP(A143,BUFFS!$H$5:$AF$195,17,),"")</f>
        <v/>
      </c>
      <c r="R143" s="66" t="str">
        <f>IFERROR(VLOOKUP(A143,BUFFS!$H$5:$AF$195,19,),"")</f>
        <v/>
      </c>
      <c r="S143" s="69" t="str">
        <f t="shared" si="10"/>
        <v/>
      </c>
      <c r="T143" s="70" t="str">
        <f>IFERROR(VLOOKUP(A143,BUFFS!$H$5:$AF$195,20,),"")</f>
        <v/>
      </c>
    </row>
    <row r="144" spans="1:20" x14ac:dyDescent="0.35">
      <c r="A144" s="17"/>
      <c r="B144" s="18"/>
      <c r="C144" s="13"/>
      <c r="D144" s="31" t="str">
        <f>IFERROR(VLOOKUP(A144,BUFFS!$H$5:$AF$195,8,),"")</f>
        <v/>
      </c>
      <c r="E144" s="24" t="str">
        <f t="shared" si="8"/>
        <v/>
      </c>
      <c r="F144" s="65" t="str">
        <f>IFERROR(VLOOKUP(A144,BUFFS!$H$5:$AF$195,5,),"")</f>
        <v/>
      </c>
      <c r="G144" s="66" t="str">
        <f>IFERROR(VLOOKUP(A144,BUFFS!$H$5:$AF$195,6,),"")</f>
        <v/>
      </c>
      <c r="H144" s="67" t="str">
        <f>IFERROR(VLOOKUP(A144,BUFFS!$H$5:$AF$195,7,),"")</f>
        <v/>
      </c>
      <c r="I144" s="66" t="str">
        <f>IFERROR(VLOOKUP(A144,BUFFS!$H$5:$AF$195,9,),"")</f>
        <v/>
      </c>
      <c r="J144" s="65" t="str">
        <f>IFERROR(VLOOKUP(A144,BUFFS!$H$5:$AF$195,10,),"")</f>
        <v/>
      </c>
      <c r="K144" s="66" t="str">
        <f>IFERROR(VLOOKUP(A144,BUFFS!$H$5:$AF$195,11,),"")</f>
        <v/>
      </c>
      <c r="L144" s="66" t="str">
        <f>IFERROR(VLOOKUP(A144,BUFFS!$H$5:$AF$195,12,),"")</f>
        <v/>
      </c>
      <c r="M144" s="66" t="str">
        <f>IFERROR(VLOOKUP(A144,BUFFS!$H$5:$AF$195,14,),"")</f>
        <v/>
      </c>
      <c r="N144" s="68" t="str">
        <f t="shared" si="9"/>
        <v/>
      </c>
      <c r="O144" s="65" t="str">
        <f>IFERROR(VLOOKUP(A144,BUFFS!$H$5:$AF$195,15,),"")</f>
        <v/>
      </c>
      <c r="P144" s="66" t="str">
        <f>IFERROR(VLOOKUP(A144,BUFFS!$H$5:$AF$195,16,),"")</f>
        <v/>
      </c>
      <c r="Q144" s="66" t="str">
        <f>IFERROR(VLOOKUP(A144,BUFFS!$H$5:$AF$195,17,),"")</f>
        <v/>
      </c>
      <c r="R144" s="66" t="str">
        <f>IFERROR(VLOOKUP(A144,BUFFS!$H$5:$AF$195,19,),"")</f>
        <v/>
      </c>
      <c r="S144" s="69" t="str">
        <f t="shared" si="10"/>
        <v/>
      </c>
      <c r="T144" s="70" t="str">
        <f>IFERROR(VLOOKUP(A144,BUFFS!$H$5:$AF$195,20,),"")</f>
        <v/>
      </c>
    </row>
    <row r="145" spans="1:20" x14ac:dyDescent="0.35">
      <c r="A145" s="17"/>
      <c r="B145" s="18"/>
      <c r="C145" s="13"/>
      <c r="D145" s="31" t="str">
        <f>IFERROR(VLOOKUP(A145,BUFFS!$H$5:$AF$195,8,),"")</f>
        <v/>
      </c>
      <c r="E145" s="24" t="str">
        <f t="shared" si="8"/>
        <v/>
      </c>
      <c r="F145" s="65" t="str">
        <f>IFERROR(VLOOKUP(A145,BUFFS!$H$5:$AF$195,5,),"")</f>
        <v/>
      </c>
      <c r="G145" s="66" t="str">
        <f>IFERROR(VLOOKUP(A145,BUFFS!$H$5:$AF$195,6,),"")</f>
        <v/>
      </c>
      <c r="H145" s="67" t="str">
        <f>IFERROR(VLOOKUP(A145,BUFFS!$H$5:$AF$195,7,),"")</f>
        <v/>
      </c>
      <c r="I145" s="66" t="str">
        <f>IFERROR(VLOOKUP(A145,BUFFS!$H$5:$AF$195,9,),"")</f>
        <v/>
      </c>
      <c r="J145" s="65" t="str">
        <f>IFERROR(VLOOKUP(A145,BUFFS!$H$5:$AF$195,10,),"")</f>
        <v/>
      </c>
      <c r="K145" s="66" t="str">
        <f>IFERROR(VLOOKUP(A145,BUFFS!$H$5:$AF$195,11,),"")</f>
        <v/>
      </c>
      <c r="L145" s="66" t="str">
        <f>IFERROR(VLOOKUP(A145,BUFFS!$H$5:$AF$195,12,),"")</f>
        <v/>
      </c>
      <c r="M145" s="66" t="str">
        <f>IFERROR(VLOOKUP(A145,BUFFS!$H$5:$AF$195,14,),"")</f>
        <v/>
      </c>
      <c r="N145" s="68" t="str">
        <f t="shared" si="9"/>
        <v/>
      </c>
      <c r="O145" s="65" t="str">
        <f>IFERROR(VLOOKUP(A145,BUFFS!$H$5:$AF$195,15,),"")</f>
        <v/>
      </c>
      <c r="P145" s="66" t="str">
        <f>IFERROR(VLOOKUP(A145,BUFFS!$H$5:$AF$195,16,),"")</f>
        <v/>
      </c>
      <c r="Q145" s="66" t="str">
        <f>IFERROR(VLOOKUP(A145,BUFFS!$H$5:$AF$195,17,),"")</f>
        <v/>
      </c>
      <c r="R145" s="66" t="str">
        <f>IFERROR(VLOOKUP(A145,BUFFS!$H$5:$AF$195,19,),"")</f>
        <v/>
      </c>
      <c r="S145" s="69" t="str">
        <f t="shared" si="10"/>
        <v/>
      </c>
      <c r="T145" s="70" t="str">
        <f>IFERROR(VLOOKUP(A145,BUFFS!$H$5:$AF$195,20,),"")</f>
        <v/>
      </c>
    </row>
    <row r="146" spans="1:20" x14ac:dyDescent="0.35">
      <c r="A146" s="17"/>
      <c r="B146" s="18"/>
      <c r="C146" s="13"/>
      <c r="D146" s="31" t="str">
        <f>IFERROR(VLOOKUP(A146,BUFFS!$H$5:$AF$195,8,),"")</f>
        <v/>
      </c>
      <c r="E146" s="24" t="str">
        <f t="shared" si="8"/>
        <v/>
      </c>
      <c r="F146" s="65" t="str">
        <f>IFERROR(VLOOKUP(A146,BUFFS!$H$5:$AF$195,5,),"")</f>
        <v/>
      </c>
      <c r="G146" s="66" t="str">
        <f>IFERROR(VLOOKUP(A146,BUFFS!$H$5:$AF$195,6,),"")</f>
        <v/>
      </c>
      <c r="H146" s="67" t="str">
        <f>IFERROR(VLOOKUP(A146,BUFFS!$H$5:$AF$195,7,),"")</f>
        <v/>
      </c>
      <c r="I146" s="66" t="str">
        <f>IFERROR(VLOOKUP(A146,BUFFS!$H$5:$AF$195,9,),"")</f>
        <v/>
      </c>
      <c r="J146" s="65" t="str">
        <f>IFERROR(VLOOKUP(A146,BUFFS!$H$5:$AF$195,10,),"")</f>
        <v/>
      </c>
      <c r="K146" s="66" t="str">
        <f>IFERROR(VLOOKUP(A146,BUFFS!$H$5:$AF$195,11,),"")</f>
        <v/>
      </c>
      <c r="L146" s="66" t="str">
        <f>IFERROR(VLOOKUP(A146,BUFFS!$H$5:$AF$195,12,),"")</f>
        <v/>
      </c>
      <c r="M146" s="66" t="str">
        <f>IFERROR(VLOOKUP(A146,BUFFS!$H$5:$AF$195,14,),"")</f>
        <v/>
      </c>
      <c r="N146" s="68" t="str">
        <f t="shared" si="9"/>
        <v/>
      </c>
      <c r="O146" s="65" t="str">
        <f>IFERROR(VLOOKUP(A146,BUFFS!$H$5:$AF$195,15,),"")</f>
        <v/>
      </c>
      <c r="P146" s="66" t="str">
        <f>IFERROR(VLOOKUP(A146,BUFFS!$H$5:$AF$195,16,),"")</f>
        <v/>
      </c>
      <c r="Q146" s="66" t="str">
        <f>IFERROR(VLOOKUP(A146,BUFFS!$H$5:$AF$195,17,),"")</f>
        <v/>
      </c>
      <c r="R146" s="66" t="str">
        <f>IFERROR(VLOOKUP(A146,BUFFS!$H$5:$AF$195,19,),"")</f>
        <v/>
      </c>
      <c r="S146" s="69" t="str">
        <f t="shared" si="10"/>
        <v/>
      </c>
      <c r="T146" s="70" t="str">
        <f>IFERROR(VLOOKUP(A146,BUFFS!$H$5:$AF$195,20,),"")</f>
        <v/>
      </c>
    </row>
    <row r="147" spans="1:20" x14ac:dyDescent="0.35">
      <c r="A147" s="17"/>
      <c r="B147" s="18"/>
      <c r="C147" s="13"/>
      <c r="D147" s="31" t="str">
        <f>IFERROR(VLOOKUP(A147,BUFFS!$H$5:$AF$195,8,),"")</f>
        <v/>
      </c>
      <c r="E147" s="24" t="str">
        <f t="shared" si="8"/>
        <v/>
      </c>
      <c r="F147" s="65" t="str">
        <f>IFERROR(VLOOKUP(A147,BUFFS!$H$5:$AF$195,5,),"")</f>
        <v/>
      </c>
      <c r="G147" s="66" t="str">
        <f>IFERROR(VLOOKUP(A147,BUFFS!$H$5:$AF$195,6,),"")</f>
        <v/>
      </c>
      <c r="H147" s="67" t="str">
        <f>IFERROR(VLOOKUP(A147,BUFFS!$H$5:$AF$195,7,),"")</f>
        <v/>
      </c>
      <c r="I147" s="66" t="str">
        <f>IFERROR(VLOOKUP(A147,BUFFS!$H$5:$AF$195,9,),"")</f>
        <v/>
      </c>
      <c r="J147" s="65" t="str">
        <f>IFERROR(VLOOKUP(A147,BUFFS!$H$5:$AF$195,10,),"")</f>
        <v/>
      </c>
      <c r="K147" s="66" t="str">
        <f>IFERROR(VLOOKUP(A147,BUFFS!$H$5:$AF$195,11,),"")</f>
        <v/>
      </c>
      <c r="L147" s="66" t="str">
        <f>IFERROR(VLOOKUP(A147,BUFFS!$H$5:$AF$195,12,),"")</f>
        <v/>
      </c>
      <c r="M147" s="66" t="str">
        <f>IFERROR(VLOOKUP(A147,BUFFS!$H$5:$AF$195,14,),"")</f>
        <v/>
      </c>
      <c r="N147" s="68" t="str">
        <f t="shared" si="9"/>
        <v/>
      </c>
      <c r="O147" s="65" t="str">
        <f>IFERROR(VLOOKUP(A147,BUFFS!$H$5:$AF$195,15,),"")</f>
        <v/>
      </c>
      <c r="P147" s="66" t="str">
        <f>IFERROR(VLOOKUP(A147,BUFFS!$H$5:$AF$195,16,),"")</f>
        <v/>
      </c>
      <c r="Q147" s="66" t="str">
        <f>IFERROR(VLOOKUP(A147,BUFFS!$H$5:$AF$195,17,),"")</f>
        <v/>
      </c>
      <c r="R147" s="66" t="str">
        <f>IFERROR(VLOOKUP(A147,BUFFS!$H$5:$AF$195,19,),"")</f>
        <v/>
      </c>
      <c r="S147" s="69" t="str">
        <f t="shared" si="10"/>
        <v/>
      </c>
      <c r="T147" s="70" t="str">
        <f>IFERROR(VLOOKUP(A147,BUFFS!$H$5:$AF$195,20,),"")</f>
        <v/>
      </c>
    </row>
    <row r="148" spans="1:20" x14ac:dyDescent="0.35">
      <c r="A148" s="17"/>
      <c r="B148" s="18"/>
      <c r="C148" s="13"/>
      <c r="D148" s="31" t="str">
        <f>IFERROR(VLOOKUP(A148,BUFFS!$H$5:$AF$195,8,),"")</f>
        <v/>
      </c>
      <c r="E148" s="24" t="str">
        <f t="shared" si="8"/>
        <v/>
      </c>
      <c r="F148" s="65" t="str">
        <f>IFERROR(VLOOKUP(A148,BUFFS!$H$5:$AF$195,5,),"")</f>
        <v/>
      </c>
      <c r="G148" s="66" t="str">
        <f>IFERROR(VLOOKUP(A148,BUFFS!$H$5:$AF$195,6,),"")</f>
        <v/>
      </c>
      <c r="H148" s="67" t="str">
        <f>IFERROR(VLOOKUP(A148,BUFFS!$H$5:$AF$195,7,),"")</f>
        <v/>
      </c>
      <c r="I148" s="66" t="str">
        <f>IFERROR(VLOOKUP(A148,BUFFS!$H$5:$AF$195,9,),"")</f>
        <v/>
      </c>
      <c r="J148" s="65" t="str">
        <f>IFERROR(VLOOKUP(A148,BUFFS!$H$5:$AF$195,10,),"")</f>
        <v/>
      </c>
      <c r="K148" s="66" t="str">
        <f>IFERROR(VLOOKUP(A148,BUFFS!$H$5:$AF$195,11,),"")</f>
        <v/>
      </c>
      <c r="L148" s="66" t="str">
        <f>IFERROR(VLOOKUP(A148,BUFFS!$H$5:$AF$195,12,),"")</f>
        <v/>
      </c>
      <c r="M148" s="66" t="str">
        <f>IFERROR(VLOOKUP(A148,BUFFS!$H$5:$AF$195,14,),"")</f>
        <v/>
      </c>
      <c r="N148" s="68" t="str">
        <f t="shared" si="9"/>
        <v/>
      </c>
      <c r="O148" s="65" t="str">
        <f>IFERROR(VLOOKUP(A148,BUFFS!$H$5:$AF$195,15,),"")</f>
        <v/>
      </c>
      <c r="P148" s="66" t="str">
        <f>IFERROR(VLOOKUP(A148,BUFFS!$H$5:$AF$195,16,),"")</f>
        <v/>
      </c>
      <c r="Q148" s="66" t="str">
        <f>IFERROR(VLOOKUP(A148,BUFFS!$H$5:$AF$195,17,),"")</f>
        <v/>
      </c>
      <c r="R148" s="66" t="str">
        <f>IFERROR(VLOOKUP(A148,BUFFS!$H$5:$AF$195,19,),"")</f>
        <v/>
      </c>
      <c r="S148" s="69" t="str">
        <f t="shared" si="10"/>
        <v/>
      </c>
      <c r="T148" s="70" t="str">
        <f>IFERROR(VLOOKUP(A148,BUFFS!$H$5:$AF$195,20,),"")</f>
        <v/>
      </c>
    </row>
    <row r="149" spans="1:20" x14ac:dyDescent="0.35">
      <c r="A149" s="17"/>
      <c r="B149" s="18"/>
      <c r="C149" s="13"/>
      <c r="D149" s="31" t="str">
        <f>IFERROR(VLOOKUP(A149,BUFFS!$H$5:$AF$195,8,),"")</f>
        <v/>
      </c>
      <c r="E149" s="24" t="str">
        <f t="shared" si="8"/>
        <v/>
      </c>
      <c r="F149" s="65" t="str">
        <f>IFERROR(VLOOKUP(A149,BUFFS!$H$5:$AF$195,5,),"")</f>
        <v/>
      </c>
      <c r="G149" s="66" t="str">
        <f>IFERROR(VLOOKUP(A149,BUFFS!$H$5:$AF$195,6,),"")</f>
        <v/>
      </c>
      <c r="H149" s="67" t="str">
        <f>IFERROR(VLOOKUP(A149,BUFFS!$H$5:$AF$195,7,),"")</f>
        <v/>
      </c>
      <c r="I149" s="66" t="str">
        <f>IFERROR(VLOOKUP(A149,BUFFS!$H$5:$AF$195,9,),"")</f>
        <v/>
      </c>
      <c r="J149" s="65" t="str">
        <f>IFERROR(VLOOKUP(A149,BUFFS!$H$5:$AF$195,10,),"")</f>
        <v/>
      </c>
      <c r="K149" s="66" t="str">
        <f>IFERROR(VLOOKUP(A149,BUFFS!$H$5:$AF$195,11,),"")</f>
        <v/>
      </c>
      <c r="L149" s="66" t="str">
        <f>IFERROR(VLOOKUP(A149,BUFFS!$H$5:$AF$195,12,),"")</f>
        <v/>
      </c>
      <c r="M149" s="66" t="str">
        <f>IFERROR(VLOOKUP(A149,BUFFS!$H$5:$AF$195,14,),"")</f>
        <v/>
      </c>
      <c r="N149" s="68" t="str">
        <f t="shared" si="9"/>
        <v/>
      </c>
      <c r="O149" s="65" t="str">
        <f>IFERROR(VLOOKUP(A149,BUFFS!$H$5:$AF$195,15,),"")</f>
        <v/>
      </c>
      <c r="P149" s="66" t="str">
        <f>IFERROR(VLOOKUP(A149,BUFFS!$H$5:$AF$195,16,),"")</f>
        <v/>
      </c>
      <c r="Q149" s="66" t="str">
        <f>IFERROR(VLOOKUP(A149,BUFFS!$H$5:$AF$195,17,),"")</f>
        <v/>
      </c>
      <c r="R149" s="66" t="str">
        <f>IFERROR(VLOOKUP(A149,BUFFS!$H$5:$AF$195,19,),"")</f>
        <v/>
      </c>
      <c r="S149" s="69" t="str">
        <f t="shared" si="10"/>
        <v/>
      </c>
      <c r="T149" s="70" t="str">
        <f>IFERROR(VLOOKUP(A149,BUFFS!$H$5:$AF$195,20,),"")</f>
        <v/>
      </c>
    </row>
    <row r="150" spans="1:20" x14ac:dyDescent="0.35">
      <c r="A150" s="17"/>
      <c r="B150" s="18"/>
      <c r="C150" s="13"/>
      <c r="D150" s="31" t="str">
        <f>IFERROR(VLOOKUP(A150,BUFFS!$H$5:$AF$195,8,),"")</f>
        <v/>
      </c>
      <c r="E150" s="24" t="str">
        <f t="shared" si="8"/>
        <v/>
      </c>
      <c r="F150" s="65" t="str">
        <f>IFERROR(VLOOKUP(A150,BUFFS!$H$5:$AF$195,5,),"")</f>
        <v/>
      </c>
      <c r="G150" s="66" t="str">
        <f>IFERROR(VLOOKUP(A150,BUFFS!$H$5:$AF$195,6,),"")</f>
        <v/>
      </c>
      <c r="H150" s="67" t="str">
        <f>IFERROR(VLOOKUP(A150,BUFFS!$H$5:$AF$195,7,),"")</f>
        <v/>
      </c>
      <c r="I150" s="66" t="str">
        <f>IFERROR(VLOOKUP(A150,BUFFS!$H$5:$AF$195,9,),"")</f>
        <v/>
      </c>
      <c r="J150" s="65" t="str">
        <f>IFERROR(VLOOKUP(A150,BUFFS!$H$5:$AF$195,10,),"")</f>
        <v/>
      </c>
      <c r="K150" s="66" t="str">
        <f>IFERROR(VLOOKUP(A150,BUFFS!$H$5:$AF$195,11,),"")</f>
        <v/>
      </c>
      <c r="L150" s="66" t="str">
        <f>IFERROR(VLOOKUP(A150,BUFFS!$H$5:$AF$195,12,),"")</f>
        <v/>
      </c>
      <c r="M150" s="66" t="str">
        <f>IFERROR(VLOOKUP(A150,BUFFS!$H$5:$AF$195,14,),"")</f>
        <v/>
      </c>
      <c r="N150" s="68" t="str">
        <f t="shared" si="9"/>
        <v/>
      </c>
      <c r="O150" s="65" t="str">
        <f>IFERROR(VLOOKUP(A150,BUFFS!$H$5:$AF$195,15,),"")</f>
        <v/>
      </c>
      <c r="P150" s="66" t="str">
        <f>IFERROR(VLOOKUP(A150,BUFFS!$H$5:$AF$195,16,),"")</f>
        <v/>
      </c>
      <c r="Q150" s="66" t="str">
        <f>IFERROR(VLOOKUP(A150,BUFFS!$H$5:$AF$195,17,),"")</f>
        <v/>
      </c>
      <c r="R150" s="66" t="str">
        <f>IFERROR(VLOOKUP(A150,BUFFS!$H$5:$AF$195,19,),"")</f>
        <v/>
      </c>
      <c r="S150" s="69" t="str">
        <f t="shared" si="10"/>
        <v/>
      </c>
      <c r="T150" s="70" t="str">
        <f>IFERROR(VLOOKUP(A150,BUFFS!$H$5:$AF$195,20,),"")</f>
        <v/>
      </c>
    </row>
    <row r="151" spans="1:20" x14ac:dyDescent="0.35">
      <c r="A151" s="17"/>
      <c r="B151" s="18"/>
      <c r="C151" s="13"/>
      <c r="D151" s="31" t="str">
        <f>IFERROR(VLOOKUP(A151,BUFFS!$H$5:$AF$195,8,),"")</f>
        <v/>
      </c>
      <c r="E151" s="24" t="str">
        <f t="shared" si="8"/>
        <v/>
      </c>
      <c r="F151" s="65" t="str">
        <f>IFERROR(VLOOKUP(A151,BUFFS!$H$5:$AF$195,5,),"")</f>
        <v/>
      </c>
      <c r="G151" s="66" t="str">
        <f>IFERROR(VLOOKUP(A151,BUFFS!$H$5:$AF$195,6,),"")</f>
        <v/>
      </c>
      <c r="H151" s="67" t="str">
        <f>IFERROR(VLOOKUP(A151,BUFFS!$H$5:$AF$195,7,),"")</f>
        <v/>
      </c>
      <c r="I151" s="66" t="str">
        <f>IFERROR(VLOOKUP(A151,BUFFS!$H$5:$AF$195,9,),"")</f>
        <v/>
      </c>
      <c r="J151" s="65" t="str">
        <f>IFERROR(VLOOKUP(A151,BUFFS!$H$5:$AF$195,10,),"")</f>
        <v/>
      </c>
      <c r="K151" s="66" t="str">
        <f>IFERROR(VLOOKUP(A151,BUFFS!$H$5:$AF$195,11,),"")</f>
        <v/>
      </c>
      <c r="L151" s="66" t="str">
        <f>IFERROR(VLOOKUP(A151,BUFFS!$H$5:$AF$195,12,),"")</f>
        <v/>
      </c>
      <c r="M151" s="66" t="str">
        <f>IFERROR(VLOOKUP(A151,BUFFS!$H$5:$AF$195,14,),"")</f>
        <v/>
      </c>
      <c r="N151" s="68" t="str">
        <f t="shared" si="9"/>
        <v/>
      </c>
      <c r="O151" s="65" t="str">
        <f>IFERROR(VLOOKUP(A151,BUFFS!$H$5:$AF$195,15,),"")</f>
        <v/>
      </c>
      <c r="P151" s="66" t="str">
        <f>IFERROR(VLOOKUP(A151,BUFFS!$H$5:$AF$195,16,),"")</f>
        <v/>
      </c>
      <c r="Q151" s="66" t="str">
        <f>IFERROR(VLOOKUP(A151,BUFFS!$H$5:$AF$195,17,),"")</f>
        <v/>
      </c>
      <c r="R151" s="66" t="str">
        <f>IFERROR(VLOOKUP(A151,BUFFS!$H$5:$AF$195,19,),"")</f>
        <v/>
      </c>
      <c r="S151" s="69" t="str">
        <f t="shared" si="10"/>
        <v/>
      </c>
      <c r="T151" s="70" t="str">
        <f>IFERROR(VLOOKUP(A151,BUFFS!$H$5:$AF$195,20,),"")</f>
        <v/>
      </c>
    </row>
    <row r="152" spans="1:20" x14ac:dyDescent="0.35">
      <c r="A152" s="17"/>
      <c r="B152" s="18"/>
      <c r="C152" s="13"/>
      <c r="D152" s="31" t="str">
        <f>IFERROR(VLOOKUP(A152,BUFFS!$H$5:$AF$195,8,),"")</f>
        <v/>
      </c>
      <c r="E152" s="24" t="str">
        <f t="shared" si="8"/>
        <v/>
      </c>
      <c r="F152" s="65" t="str">
        <f>IFERROR(VLOOKUP(A152,BUFFS!$H$5:$AF$195,5,),"")</f>
        <v/>
      </c>
      <c r="G152" s="66" t="str">
        <f>IFERROR(VLOOKUP(A152,BUFFS!$H$5:$AF$195,6,),"")</f>
        <v/>
      </c>
      <c r="H152" s="67" t="str">
        <f>IFERROR(VLOOKUP(A152,BUFFS!$H$5:$AF$195,7,),"")</f>
        <v/>
      </c>
      <c r="I152" s="66" t="str">
        <f>IFERROR(VLOOKUP(A152,BUFFS!$H$5:$AF$195,9,),"")</f>
        <v/>
      </c>
      <c r="J152" s="65" t="str">
        <f>IFERROR(VLOOKUP(A152,BUFFS!$H$5:$AF$195,10,),"")</f>
        <v/>
      </c>
      <c r="K152" s="66" t="str">
        <f>IFERROR(VLOOKUP(A152,BUFFS!$H$5:$AF$195,11,),"")</f>
        <v/>
      </c>
      <c r="L152" s="66" t="str">
        <f>IFERROR(VLOOKUP(A152,BUFFS!$H$5:$AF$195,12,),"")</f>
        <v/>
      </c>
      <c r="M152" s="66" t="str">
        <f>IFERROR(VLOOKUP(A152,BUFFS!$H$5:$AF$195,14,),"")</f>
        <v/>
      </c>
      <c r="N152" s="68" t="str">
        <f t="shared" si="9"/>
        <v/>
      </c>
      <c r="O152" s="65" t="str">
        <f>IFERROR(VLOOKUP(A152,BUFFS!$H$5:$AF$195,15,),"")</f>
        <v/>
      </c>
      <c r="P152" s="66" t="str">
        <f>IFERROR(VLOOKUP(A152,BUFFS!$H$5:$AF$195,16,),"")</f>
        <v/>
      </c>
      <c r="Q152" s="66" t="str">
        <f>IFERROR(VLOOKUP(A152,BUFFS!$H$5:$AF$195,17,),"")</f>
        <v/>
      </c>
      <c r="R152" s="66" t="str">
        <f>IFERROR(VLOOKUP(A152,BUFFS!$H$5:$AF$195,19,),"")</f>
        <v/>
      </c>
      <c r="S152" s="69" t="str">
        <f t="shared" si="10"/>
        <v/>
      </c>
      <c r="T152" s="70" t="str">
        <f>IFERROR(VLOOKUP(A152,BUFFS!$H$5:$AF$195,20,),"")</f>
        <v/>
      </c>
    </row>
    <row r="153" spans="1:20" x14ac:dyDescent="0.35">
      <c r="A153" s="17"/>
      <c r="B153" s="18"/>
      <c r="C153" s="13"/>
      <c r="D153" s="31" t="str">
        <f>IFERROR(VLOOKUP(A153,BUFFS!$H$5:$AF$195,8,),"")</f>
        <v/>
      </c>
      <c r="E153" s="24" t="str">
        <f t="shared" si="8"/>
        <v/>
      </c>
      <c r="F153" s="65" t="str">
        <f>IFERROR(VLOOKUP(A153,BUFFS!$H$5:$AF$195,5,),"")</f>
        <v/>
      </c>
      <c r="G153" s="66" t="str">
        <f>IFERROR(VLOOKUP(A153,BUFFS!$H$5:$AF$195,6,),"")</f>
        <v/>
      </c>
      <c r="H153" s="67" t="str">
        <f>IFERROR(VLOOKUP(A153,BUFFS!$H$5:$AF$195,7,),"")</f>
        <v/>
      </c>
      <c r="I153" s="66" t="str">
        <f>IFERROR(VLOOKUP(A153,BUFFS!$H$5:$AF$195,9,),"")</f>
        <v/>
      </c>
      <c r="J153" s="65" t="str">
        <f>IFERROR(VLOOKUP(A153,BUFFS!$H$5:$AF$195,10,),"")</f>
        <v/>
      </c>
      <c r="K153" s="66" t="str">
        <f>IFERROR(VLOOKUP(A153,BUFFS!$H$5:$AF$195,11,),"")</f>
        <v/>
      </c>
      <c r="L153" s="66" t="str">
        <f>IFERROR(VLOOKUP(A153,BUFFS!$H$5:$AF$195,12,),"")</f>
        <v/>
      </c>
      <c r="M153" s="66" t="str">
        <f>IFERROR(VLOOKUP(A153,BUFFS!$H$5:$AF$195,14,),"")</f>
        <v/>
      </c>
      <c r="N153" s="68" t="str">
        <f t="shared" si="9"/>
        <v/>
      </c>
      <c r="O153" s="65" t="str">
        <f>IFERROR(VLOOKUP(A153,BUFFS!$H$5:$AF$195,15,),"")</f>
        <v/>
      </c>
      <c r="P153" s="66" t="str">
        <f>IFERROR(VLOOKUP(A153,BUFFS!$H$5:$AF$195,16,),"")</f>
        <v/>
      </c>
      <c r="Q153" s="66" t="str">
        <f>IFERROR(VLOOKUP(A153,BUFFS!$H$5:$AF$195,17,),"")</f>
        <v/>
      </c>
      <c r="R153" s="66" t="str">
        <f>IFERROR(VLOOKUP(A153,BUFFS!$H$5:$AF$195,19,),"")</f>
        <v/>
      </c>
      <c r="S153" s="69" t="str">
        <f t="shared" si="10"/>
        <v/>
      </c>
      <c r="T153" s="70" t="str">
        <f>IFERROR(VLOOKUP(A153,BUFFS!$H$5:$AF$195,20,),"")</f>
        <v/>
      </c>
    </row>
    <row r="154" spans="1:20" x14ac:dyDescent="0.35">
      <c r="A154" s="17"/>
      <c r="B154" s="18"/>
      <c r="C154" s="13"/>
      <c r="D154" s="31" t="str">
        <f>IFERROR(VLOOKUP(A154,BUFFS!$H$5:$AF$195,8,),"")</f>
        <v/>
      </c>
      <c r="E154" s="24" t="str">
        <f t="shared" si="8"/>
        <v/>
      </c>
      <c r="F154" s="65" t="str">
        <f>IFERROR(VLOOKUP(A154,BUFFS!$H$5:$AF$195,5,),"")</f>
        <v/>
      </c>
      <c r="G154" s="66" t="str">
        <f>IFERROR(VLOOKUP(A154,BUFFS!$H$5:$AF$195,6,),"")</f>
        <v/>
      </c>
      <c r="H154" s="67" t="str">
        <f>IFERROR(VLOOKUP(A154,BUFFS!$H$5:$AF$195,7,),"")</f>
        <v/>
      </c>
      <c r="I154" s="66" t="str">
        <f>IFERROR(VLOOKUP(A154,BUFFS!$H$5:$AF$195,9,),"")</f>
        <v/>
      </c>
      <c r="J154" s="65" t="str">
        <f>IFERROR(VLOOKUP(A154,BUFFS!$H$5:$AF$195,10,),"")</f>
        <v/>
      </c>
      <c r="K154" s="66" t="str">
        <f>IFERROR(VLOOKUP(A154,BUFFS!$H$5:$AF$195,11,),"")</f>
        <v/>
      </c>
      <c r="L154" s="66" t="str">
        <f>IFERROR(VLOOKUP(A154,BUFFS!$H$5:$AF$195,12,),"")</f>
        <v/>
      </c>
      <c r="M154" s="66" t="str">
        <f>IFERROR(VLOOKUP(A154,BUFFS!$H$5:$AF$195,14,),"")</f>
        <v/>
      </c>
      <c r="N154" s="68" t="str">
        <f t="shared" si="9"/>
        <v/>
      </c>
      <c r="O154" s="65" t="str">
        <f>IFERROR(VLOOKUP(A154,BUFFS!$H$5:$AF$195,15,),"")</f>
        <v/>
      </c>
      <c r="P154" s="66" t="str">
        <f>IFERROR(VLOOKUP(A154,BUFFS!$H$5:$AF$195,16,),"")</f>
        <v/>
      </c>
      <c r="Q154" s="66" t="str">
        <f>IFERROR(VLOOKUP(A154,BUFFS!$H$5:$AF$195,17,),"")</f>
        <v/>
      </c>
      <c r="R154" s="66" t="str">
        <f>IFERROR(VLOOKUP(A154,BUFFS!$H$5:$AF$195,19,),"")</f>
        <v/>
      </c>
      <c r="S154" s="69" t="str">
        <f t="shared" si="10"/>
        <v/>
      </c>
      <c r="T154" s="70" t="str">
        <f>IFERROR(VLOOKUP(A154,BUFFS!$H$5:$AF$195,20,),"")</f>
        <v/>
      </c>
    </row>
    <row r="155" spans="1:20" x14ac:dyDescent="0.35">
      <c r="A155" s="17"/>
      <c r="B155" s="18"/>
      <c r="C155" s="13"/>
      <c r="D155" s="31" t="str">
        <f>IFERROR(VLOOKUP(A155,BUFFS!$H$5:$AF$195,8,),"")</f>
        <v/>
      </c>
      <c r="E155" s="24" t="str">
        <f t="shared" si="8"/>
        <v/>
      </c>
      <c r="F155" s="65" t="str">
        <f>IFERROR(VLOOKUP(A155,BUFFS!$H$5:$AF$195,5,),"")</f>
        <v/>
      </c>
      <c r="G155" s="66" t="str">
        <f>IFERROR(VLOOKUP(A155,BUFFS!$H$5:$AF$195,6,),"")</f>
        <v/>
      </c>
      <c r="H155" s="67" t="str">
        <f>IFERROR(VLOOKUP(A155,BUFFS!$H$5:$AF$195,7,),"")</f>
        <v/>
      </c>
      <c r="I155" s="66" t="str">
        <f>IFERROR(VLOOKUP(A155,BUFFS!$H$5:$AF$195,9,),"")</f>
        <v/>
      </c>
      <c r="J155" s="65" t="str">
        <f>IFERROR(VLOOKUP(A155,BUFFS!$H$5:$AF$195,10,),"")</f>
        <v/>
      </c>
      <c r="K155" s="66" t="str">
        <f>IFERROR(VLOOKUP(A155,BUFFS!$H$5:$AF$195,11,),"")</f>
        <v/>
      </c>
      <c r="L155" s="66" t="str">
        <f>IFERROR(VLOOKUP(A155,BUFFS!$H$5:$AF$195,12,),"")</f>
        <v/>
      </c>
      <c r="M155" s="66" t="str">
        <f>IFERROR(VLOOKUP(A155,BUFFS!$H$5:$AF$195,14,),"")</f>
        <v/>
      </c>
      <c r="N155" s="68" t="str">
        <f t="shared" si="9"/>
        <v/>
      </c>
      <c r="O155" s="65" t="str">
        <f>IFERROR(VLOOKUP(A155,BUFFS!$H$5:$AF$195,15,),"")</f>
        <v/>
      </c>
      <c r="P155" s="66" t="str">
        <f>IFERROR(VLOOKUP(A155,BUFFS!$H$5:$AF$195,16,),"")</f>
        <v/>
      </c>
      <c r="Q155" s="66" t="str">
        <f>IFERROR(VLOOKUP(A155,BUFFS!$H$5:$AF$195,17,),"")</f>
        <v/>
      </c>
      <c r="R155" s="66" t="str">
        <f>IFERROR(VLOOKUP(A155,BUFFS!$H$5:$AF$195,19,),"")</f>
        <v/>
      </c>
      <c r="S155" s="69" t="str">
        <f t="shared" si="10"/>
        <v/>
      </c>
      <c r="T155" s="70" t="str">
        <f>IFERROR(VLOOKUP(A155,BUFFS!$H$5:$AF$195,20,),"")</f>
        <v/>
      </c>
    </row>
    <row r="156" spans="1:20" x14ac:dyDescent="0.35">
      <c r="A156" s="17"/>
      <c r="B156" s="18"/>
      <c r="C156" s="13"/>
      <c r="D156" s="31" t="str">
        <f>IFERROR(VLOOKUP(A156,BUFFS!$H$5:$AF$195,8,),"")</f>
        <v/>
      </c>
      <c r="E156" s="24" t="str">
        <f t="shared" si="8"/>
        <v/>
      </c>
      <c r="F156" s="65" t="str">
        <f>IFERROR(VLOOKUP(A156,BUFFS!$H$5:$AF$195,5,),"")</f>
        <v/>
      </c>
      <c r="G156" s="66" t="str">
        <f>IFERROR(VLOOKUP(A156,BUFFS!$H$5:$AF$195,6,),"")</f>
        <v/>
      </c>
      <c r="H156" s="67" t="str">
        <f>IFERROR(VLOOKUP(A156,BUFFS!$H$5:$AF$195,7,),"")</f>
        <v/>
      </c>
      <c r="I156" s="66" t="str">
        <f>IFERROR(VLOOKUP(A156,BUFFS!$H$5:$AF$195,9,),"")</f>
        <v/>
      </c>
      <c r="J156" s="65" t="str">
        <f>IFERROR(VLOOKUP(A156,BUFFS!$H$5:$AF$195,10,),"")</f>
        <v/>
      </c>
      <c r="K156" s="66" t="str">
        <f>IFERROR(VLOOKUP(A156,BUFFS!$H$5:$AF$195,11,),"")</f>
        <v/>
      </c>
      <c r="L156" s="66" t="str">
        <f>IFERROR(VLOOKUP(A156,BUFFS!$H$5:$AF$195,12,),"")</f>
        <v/>
      </c>
      <c r="M156" s="66" t="str">
        <f>IFERROR(VLOOKUP(A156,BUFFS!$H$5:$AF$195,14,),"")</f>
        <v/>
      </c>
      <c r="N156" s="68" t="str">
        <f t="shared" si="9"/>
        <v/>
      </c>
      <c r="O156" s="65" t="str">
        <f>IFERROR(VLOOKUP(A156,BUFFS!$H$5:$AF$195,15,),"")</f>
        <v/>
      </c>
      <c r="P156" s="66" t="str">
        <f>IFERROR(VLOOKUP(A156,BUFFS!$H$5:$AF$195,16,),"")</f>
        <v/>
      </c>
      <c r="Q156" s="66" t="str">
        <f>IFERROR(VLOOKUP(A156,BUFFS!$H$5:$AF$195,17,),"")</f>
        <v/>
      </c>
      <c r="R156" s="66" t="str">
        <f>IFERROR(VLOOKUP(A156,BUFFS!$H$5:$AF$195,19,),"")</f>
        <v/>
      </c>
      <c r="S156" s="69" t="str">
        <f t="shared" si="10"/>
        <v/>
      </c>
      <c r="T156" s="70" t="str">
        <f>IFERROR(VLOOKUP(A156,BUFFS!$H$5:$AF$195,20,),"")</f>
        <v/>
      </c>
    </row>
    <row r="157" spans="1:20" x14ac:dyDescent="0.35">
      <c r="A157" s="17"/>
      <c r="B157" s="18"/>
      <c r="C157" s="13"/>
      <c r="D157" s="31" t="str">
        <f>IFERROR(VLOOKUP(A157,BUFFS!$H$5:$AF$195,8,),"")</f>
        <v/>
      </c>
      <c r="E157" s="24" t="str">
        <f t="shared" si="8"/>
        <v/>
      </c>
      <c r="F157" s="65" t="str">
        <f>IFERROR(VLOOKUP(A157,BUFFS!$H$5:$AF$195,5,),"")</f>
        <v/>
      </c>
      <c r="G157" s="66" t="str">
        <f>IFERROR(VLOOKUP(A157,BUFFS!$H$5:$AF$195,6,),"")</f>
        <v/>
      </c>
      <c r="H157" s="67" t="str">
        <f>IFERROR(VLOOKUP(A157,BUFFS!$H$5:$AF$195,7,),"")</f>
        <v/>
      </c>
      <c r="I157" s="66" t="str">
        <f>IFERROR(VLOOKUP(A157,BUFFS!$H$5:$AF$195,9,),"")</f>
        <v/>
      </c>
      <c r="J157" s="65" t="str">
        <f>IFERROR(VLOOKUP(A157,BUFFS!$H$5:$AF$195,10,),"")</f>
        <v/>
      </c>
      <c r="K157" s="66" t="str">
        <f>IFERROR(VLOOKUP(A157,BUFFS!$H$5:$AF$195,11,),"")</f>
        <v/>
      </c>
      <c r="L157" s="66" t="str">
        <f>IFERROR(VLOOKUP(A157,BUFFS!$H$5:$AF$195,12,),"")</f>
        <v/>
      </c>
      <c r="M157" s="66" t="str">
        <f>IFERROR(VLOOKUP(A157,BUFFS!$H$5:$AF$195,14,),"")</f>
        <v/>
      </c>
      <c r="N157" s="68" t="str">
        <f t="shared" si="9"/>
        <v/>
      </c>
      <c r="O157" s="65" t="str">
        <f>IFERROR(VLOOKUP(A157,BUFFS!$H$5:$AF$195,15,),"")</f>
        <v/>
      </c>
      <c r="P157" s="66" t="str">
        <f>IFERROR(VLOOKUP(A157,BUFFS!$H$5:$AF$195,16,),"")</f>
        <v/>
      </c>
      <c r="Q157" s="66" t="str">
        <f>IFERROR(VLOOKUP(A157,BUFFS!$H$5:$AF$195,17,),"")</f>
        <v/>
      </c>
      <c r="R157" s="66" t="str">
        <f>IFERROR(VLOOKUP(A157,BUFFS!$H$5:$AF$195,19,),"")</f>
        <v/>
      </c>
      <c r="S157" s="69" t="str">
        <f t="shared" si="10"/>
        <v/>
      </c>
      <c r="T157" s="70" t="str">
        <f>IFERROR(VLOOKUP(A157,BUFFS!$H$5:$AF$195,20,),"")</f>
        <v/>
      </c>
    </row>
    <row r="158" spans="1:20" x14ac:dyDescent="0.35">
      <c r="A158" s="17"/>
      <c r="B158" s="18"/>
      <c r="C158" s="13"/>
      <c r="D158" s="31" t="str">
        <f>IFERROR(VLOOKUP(A158,BUFFS!$H$5:$AF$195,8,),"")</f>
        <v/>
      </c>
      <c r="E158" s="24" t="str">
        <f t="shared" si="8"/>
        <v/>
      </c>
      <c r="F158" s="65" t="str">
        <f>IFERROR(VLOOKUP(A158,BUFFS!$H$5:$AF$195,5,),"")</f>
        <v/>
      </c>
      <c r="G158" s="66" t="str">
        <f>IFERROR(VLOOKUP(A158,BUFFS!$H$5:$AF$195,6,),"")</f>
        <v/>
      </c>
      <c r="H158" s="67" t="str">
        <f>IFERROR(VLOOKUP(A158,BUFFS!$H$5:$AF$195,7,),"")</f>
        <v/>
      </c>
      <c r="I158" s="66" t="str">
        <f>IFERROR(VLOOKUP(A158,BUFFS!$H$5:$AF$195,9,),"")</f>
        <v/>
      </c>
      <c r="J158" s="65" t="str">
        <f>IFERROR(VLOOKUP(A158,BUFFS!$H$5:$AF$195,10,),"")</f>
        <v/>
      </c>
      <c r="K158" s="66" t="str">
        <f>IFERROR(VLOOKUP(A158,BUFFS!$H$5:$AF$195,11,),"")</f>
        <v/>
      </c>
      <c r="L158" s="66" t="str">
        <f>IFERROR(VLOOKUP(A158,BUFFS!$H$5:$AF$195,12,),"")</f>
        <v/>
      </c>
      <c r="M158" s="66" t="str">
        <f>IFERROR(VLOOKUP(A158,BUFFS!$H$5:$AF$195,14,),"")</f>
        <v/>
      </c>
      <c r="N158" s="68" t="str">
        <f t="shared" si="9"/>
        <v/>
      </c>
      <c r="O158" s="65" t="str">
        <f>IFERROR(VLOOKUP(A158,BUFFS!$H$5:$AF$195,15,),"")</f>
        <v/>
      </c>
      <c r="P158" s="66" t="str">
        <f>IFERROR(VLOOKUP(A158,BUFFS!$H$5:$AF$195,16,),"")</f>
        <v/>
      </c>
      <c r="Q158" s="66" t="str">
        <f>IFERROR(VLOOKUP(A158,BUFFS!$H$5:$AF$195,17,),"")</f>
        <v/>
      </c>
      <c r="R158" s="66" t="str">
        <f>IFERROR(VLOOKUP(A158,BUFFS!$H$5:$AF$195,19,),"")</f>
        <v/>
      </c>
      <c r="S158" s="69" t="str">
        <f t="shared" si="10"/>
        <v/>
      </c>
      <c r="T158" s="70" t="str">
        <f>IFERROR(VLOOKUP(A158,BUFFS!$H$5:$AF$195,20,),"")</f>
        <v/>
      </c>
    </row>
    <row r="159" spans="1:20" x14ac:dyDescent="0.35">
      <c r="A159" s="17"/>
      <c r="B159" s="18"/>
      <c r="C159" s="13"/>
      <c r="D159" s="31" t="str">
        <f>IFERROR(VLOOKUP(A159,BUFFS!$H$5:$AF$195,8,),"")</f>
        <v/>
      </c>
      <c r="E159" s="24" t="str">
        <f t="shared" si="8"/>
        <v/>
      </c>
      <c r="F159" s="65" t="str">
        <f>IFERROR(VLOOKUP(A159,BUFFS!$H$5:$AF$195,5,),"")</f>
        <v/>
      </c>
      <c r="G159" s="66" t="str">
        <f>IFERROR(VLOOKUP(A159,BUFFS!$H$5:$AF$195,6,),"")</f>
        <v/>
      </c>
      <c r="H159" s="67" t="str">
        <f>IFERROR(VLOOKUP(A159,BUFFS!$H$5:$AF$195,7,),"")</f>
        <v/>
      </c>
      <c r="I159" s="66" t="str">
        <f>IFERROR(VLOOKUP(A159,BUFFS!$H$5:$AF$195,9,),"")</f>
        <v/>
      </c>
      <c r="J159" s="65" t="str">
        <f>IFERROR(VLOOKUP(A159,BUFFS!$H$5:$AF$195,10,),"")</f>
        <v/>
      </c>
      <c r="K159" s="66" t="str">
        <f>IFERROR(VLOOKUP(A159,BUFFS!$H$5:$AF$195,11,),"")</f>
        <v/>
      </c>
      <c r="L159" s="66" t="str">
        <f>IFERROR(VLOOKUP(A159,BUFFS!$H$5:$AF$195,12,),"")</f>
        <v/>
      </c>
      <c r="M159" s="66" t="str">
        <f>IFERROR(VLOOKUP(A159,BUFFS!$H$5:$AF$195,14,),"")</f>
        <v/>
      </c>
      <c r="N159" s="68" t="str">
        <f t="shared" si="9"/>
        <v/>
      </c>
      <c r="O159" s="65" t="str">
        <f>IFERROR(VLOOKUP(A159,BUFFS!$H$5:$AF$195,15,),"")</f>
        <v/>
      </c>
      <c r="P159" s="66" t="str">
        <f>IFERROR(VLOOKUP(A159,BUFFS!$H$5:$AF$195,16,),"")</f>
        <v/>
      </c>
      <c r="Q159" s="66" t="str">
        <f>IFERROR(VLOOKUP(A159,BUFFS!$H$5:$AF$195,17,),"")</f>
        <v/>
      </c>
      <c r="R159" s="66" t="str">
        <f>IFERROR(VLOOKUP(A159,BUFFS!$H$5:$AF$195,19,),"")</f>
        <v/>
      </c>
      <c r="S159" s="69" t="str">
        <f t="shared" si="10"/>
        <v/>
      </c>
      <c r="T159" s="70" t="str">
        <f>IFERROR(VLOOKUP(A159,BUFFS!$H$5:$AF$195,20,),"")</f>
        <v/>
      </c>
    </row>
    <row r="160" spans="1:20" x14ac:dyDescent="0.35">
      <c r="A160" s="17"/>
      <c r="B160" s="18"/>
      <c r="C160" s="13"/>
      <c r="D160" s="31" t="str">
        <f>IFERROR(VLOOKUP(A160,BUFFS!$H$5:$AF$195,8,),"")</f>
        <v/>
      </c>
      <c r="E160" s="24" t="str">
        <f t="shared" si="8"/>
        <v/>
      </c>
      <c r="F160" s="65" t="str">
        <f>IFERROR(VLOOKUP(A160,BUFFS!$H$5:$AF$195,5,),"")</f>
        <v/>
      </c>
      <c r="G160" s="66" t="str">
        <f>IFERROR(VLOOKUP(A160,BUFFS!$H$5:$AF$195,6,),"")</f>
        <v/>
      </c>
      <c r="H160" s="67" t="str">
        <f>IFERROR(VLOOKUP(A160,BUFFS!$H$5:$AF$195,7,),"")</f>
        <v/>
      </c>
      <c r="I160" s="66" t="str">
        <f>IFERROR(VLOOKUP(A160,BUFFS!$H$5:$AF$195,9,),"")</f>
        <v/>
      </c>
      <c r="J160" s="65" t="str">
        <f>IFERROR(VLOOKUP(A160,BUFFS!$H$5:$AF$195,10,),"")</f>
        <v/>
      </c>
      <c r="K160" s="66" t="str">
        <f>IFERROR(VLOOKUP(A160,BUFFS!$H$5:$AF$195,11,),"")</f>
        <v/>
      </c>
      <c r="L160" s="66" t="str">
        <f>IFERROR(VLOOKUP(A160,BUFFS!$H$5:$AF$195,12,),"")</f>
        <v/>
      </c>
      <c r="M160" s="66" t="str">
        <f>IFERROR(VLOOKUP(A160,BUFFS!$H$5:$AF$195,14,),"")</f>
        <v/>
      </c>
      <c r="N160" s="68" t="str">
        <f t="shared" si="9"/>
        <v/>
      </c>
      <c r="O160" s="65" t="str">
        <f>IFERROR(VLOOKUP(A160,BUFFS!$H$5:$AF$195,15,),"")</f>
        <v/>
      </c>
      <c r="P160" s="66" t="str">
        <f>IFERROR(VLOOKUP(A160,BUFFS!$H$5:$AF$195,16,),"")</f>
        <v/>
      </c>
      <c r="Q160" s="66" t="str">
        <f>IFERROR(VLOOKUP(A160,BUFFS!$H$5:$AF$195,17,),"")</f>
        <v/>
      </c>
      <c r="R160" s="66" t="str">
        <f>IFERROR(VLOOKUP(A160,BUFFS!$H$5:$AF$195,19,),"")</f>
        <v/>
      </c>
      <c r="S160" s="69" t="str">
        <f t="shared" si="10"/>
        <v/>
      </c>
      <c r="T160" s="70" t="str">
        <f>IFERROR(VLOOKUP(A160,BUFFS!$H$5:$AF$195,20,),"")</f>
        <v/>
      </c>
    </row>
    <row r="161" spans="1:20" x14ac:dyDescent="0.35">
      <c r="A161" s="17"/>
      <c r="B161" s="18"/>
      <c r="C161" s="13"/>
      <c r="D161" s="31" t="str">
        <f>IFERROR(VLOOKUP(A161,BUFFS!$H$5:$AF$195,8,),"")</f>
        <v/>
      </c>
      <c r="E161" s="24" t="str">
        <f t="shared" si="8"/>
        <v/>
      </c>
      <c r="F161" s="65" t="str">
        <f>IFERROR(VLOOKUP(A161,BUFFS!$H$5:$AF$195,5,),"")</f>
        <v/>
      </c>
      <c r="G161" s="66" t="str">
        <f>IFERROR(VLOOKUP(A161,BUFFS!$H$5:$AF$195,6,),"")</f>
        <v/>
      </c>
      <c r="H161" s="67" t="str">
        <f>IFERROR(VLOOKUP(A161,BUFFS!$H$5:$AF$195,7,),"")</f>
        <v/>
      </c>
      <c r="I161" s="66" t="str">
        <f>IFERROR(VLOOKUP(A161,BUFFS!$H$5:$AF$195,9,),"")</f>
        <v/>
      </c>
      <c r="J161" s="65" t="str">
        <f>IFERROR(VLOOKUP(A161,BUFFS!$H$5:$AF$195,10,),"")</f>
        <v/>
      </c>
      <c r="K161" s="66" t="str">
        <f>IFERROR(VLOOKUP(A161,BUFFS!$H$5:$AF$195,11,),"")</f>
        <v/>
      </c>
      <c r="L161" s="66" t="str">
        <f>IFERROR(VLOOKUP(A161,BUFFS!$H$5:$AF$195,12,),"")</f>
        <v/>
      </c>
      <c r="M161" s="66" t="str">
        <f>IFERROR(VLOOKUP(A161,BUFFS!$H$5:$AF$195,14,),"")</f>
        <v/>
      </c>
      <c r="N161" s="68" t="str">
        <f t="shared" si="9"/>
        <v/>
      </c>
      <c r="O161" s="65" t="str">
        <f>IFERROR(VLOOKUP(A161,BUFFS!$H$5:$AF$195,15,),"")</f>
        <v/>
      </c>
      <c r="P161" s="66" t="str">
        <f>IFERROR(VLOOKUP(A161,BUFFS!$H$5:$AF$195,16,),"")</f>
        <v/>
      </c>
      <c r="Q161" s="66" t="str">
        <f>IFERROR(VLOOKUP(A161,BUFFS!$H$5:$AF$195,17,),"")</f>
        <v/>
      </c>
      <c r="R161" s="66" t="str">
        <f>IFERROR(VLOOKUP(A161,BUFFS!$H$5:$AF$195,19,),"")</f>
        <v/>
      </c>
      <c r="S161" s="69" t="str">
        <f t="shared" si="10"/>
        <v/>
      </c>
      <c r="T161" s="70" t="str">
        <f>IFERROR(VLOOKUP(A161,BUFFS!$H$5:$AF$195,20,),"")</f>
        <v/>
      </c>
    </row>
    <row r="162" spans="1:20" x14ac:dyDescent="0.35">
      <c r="A162" s="17"/>
      <c r="B162" s="18"/>
      <c r="C162" s="13"/>
      <c r="D162" s="31" t="str">
        <f>IFERROR(VLOOKUP(A162,BUFFS!$H$5:$AF$195,8,),"")</f>
        <v/>
      </c>
      <c r="E162" s="24" t="str">
        <f t="shared" si="8"/>
        <v/>
      </c>
      <c r="F162" s="65" t="str">
        <f>IFERROR(VLOOKUP(A162,BUFFS!$H$5:$AF$195,5,),"")</f>
        <v/>
      </c>
      <c r="G162" s="66" t="str">
        <f>IFERROR(VLOOKUP(A162,BUFFS!$H$5:$AF$195,6,),"")</f>
        <v/>
      </c>
      <c r="H162" s="67" t="str">
        <f>IFERROR(VLOOKUP(A162,BUFFS!$H$5:$AF$195,7,),"")</f>
        <v/>
      </c>
      <c r="I162" s="66" t="str">
        <f>IFERROR(VLOOKUP(A162,BUFFS!$H$5:$AF$195,9,),"")</f>
        <v/>
      </c>
      <c r="J162" s="65" t="str">
        <f>IFERROR(VLOOKUP(A162,BUFFS!$H$5:$AF$195,10,),"")</f>
        <v/>
      </c>
      <c r="K162" s="66" t="str">
        <f>IFERROR(VLOOKUP(A162,BUFFS!$H$5:$AF$195,11,),"")</f>
        <v/>
      </c>
      <c r="L162" s="66" t="str">
        <f>IFERROR(VLOOKUP(A162,BUFFS!$H$5:$AF$195,12,),"")</f>
        <v/>
      </c>
      <c r="M162" s="66" t="str">
        <f>IFERROR(VLOOKUP(A162,BUFFS!$H$5:$AF$195,14,),"")</f>
        <v/>
      </c>
      <c r="N162" s="68" t="str">
        <f t="shared" si="9"/>
        <v/>
      </c>
      <c r="O162" s="65" t="str">
        <f>IFERROR(VLOOKUP(A162,BUFFS!$H$5:$AF$195,15,),"")</f>
        <v/>
      </c>
      <c r="P162" s="66" t="str">
        <f>IFERROR(VLOOKUP(A162,BUFFS!$H$5:$AF$195,16,),"")</f>
        <v/>
      </c>
      <c r="Q162" s="66" t="str">
        <f>IFERROR(VLOOKUP(A162,BUFFS!$H$5:$AF$195,17,),"")</f>
        <v/>
      </c>
      <c r="R162" s="66" t="str">
        <f>IFERROR(VLOOKUP(A162,BUFFS!$H$5:$AF$195,19,),"")</f>
        <v/>
      </c>
      <c r="S162" s="69" t="str">
        <f t="shared" si="10"/>
        <v/>
      </c>
      <c r="T162" s="70" t="str">
        <f>IFERROR(VLOOKUP(A162,BUFFS!$H$5:$AF$195,20,),"")</f>
        <v/>
      </c>
    </row>
    <row r="163" spans="1:20" x14ac:dyDescent="0.35">
      <c r="A163" s="17"/>
      <c r="B163" s="18"/>
      <c r="C163" s="13"/>
      <c r="D163" s="31" t="str">
        <f>IFERROR(VLOOKUP(A163,BUFFS!$H$5:$AF$195,8,),"")</f>
        <v/>
      </c>
      <c r="E163" s="24" t="str">
        <f t="shared" si="8"/>
        <v/>
      </c>
      <c r="F163" s="65" t="str">
        <f>IFERROR(VLOOKUP(A163,BUFFS!$H$5:$AF$195,5,),"")</f>
        <v/>
      </c>
      <c r="G163" s="66" t="str">
        <f>IFERROR(VLOOKUP(A163,BUFFS!$H$5:$AF$195,6,),"")</f>
        <v/>
      </c>
      <c r="H163" s="67" t="str">
        <f>IFERROR(VLOOKUP(A163,BUFFS!$H$5:$AF$195,7,),"")</f>
        <v/>
      </c>
      <c r="I163" s="66" t="str">
        <f>IFERROR(VLOOKUP(A163,BUFFS!$H$5:$AF$195,9,),"")</f>
        <v/>
      </c>
      <c r="J163" s="65" t="str">
        <f>IFERROR(VLOOKUP(A163,BUFFS!$H$5:$AF$195,10,),"")</f>
        <v/>
      </c>
      <c r="K163" s="66" t="str">
        <f>IFERROR(VLOOKUP(A163,BUFFS!$H$5:$AF$195,11,),"")</f>
        <v/>
      </c>
      <c r="L163" s="66" t="str">
        <f>IFERROR(VLOOKUP(A163,BUFFS!$H$5:$AF$195,12,),"")</f>
        <v/>
      </c>
      <c r="M163" s="66" t="str">
        <f>IFERROR(VLOOKUP(A163,BUFFS!$H$5:$AF$195,14,),"")</f>
        <v/>
      </c>
      <c r="N163" s="68" t="str">
        <f t="shared" si="9"/>
        <v/>
      </c>
      <c r="O163" s="65" t="str">
        <f>IFERROR(VLOOKUP(A163,BUFFS!$H$5:$AF$195,15,),"")</f>
        <v/>
      </c>
      <c r="P163" s="66" t="str">
        <f>IFERROR(VLOOKUP(A163,BUFFS!$H$5:$AF$195,16,),"")</f>
        <v/>
      </c>
      <c r="Q163" s="66" t="str">
        <f>IFERROR(VLOOKUP(A163,BUFFS!$H$5:$AF$195,17,),"")</f>
        <v/>
      </c>
      <c r="R163" s="66" t="str">
        <f>IFERROR(VLOOKUP(A163,BUFFS!$H$5:$AF$195,19,),"")</f>
        <v/>
      </c>
      <c r="S163" s="69" t="str">
        <f t="shared" si="10"/>
        <v/>
      </c>
      <c r="T163" s="70" t="str">
        <f>IFERROR(VLOOKUP(A163,BUFFS!$H$5:$AF$195,20,),"")</f>
        <v/>
      </c>
    </row>
    <row r="164" spans="1:20" x14ac:dyDescent="0.35">
      <c r="A164" s="17"/>
      <c r="B164" s="18"/>
      <c r="C164" s="13"/>
      <c r="D164" s="31"/>
      <c r="E164" s="24"/>
      <c r="F164" s="71"/>
      <c r="G164" s="72"/>
      <c r="H164" s="73"/>
      <c r="I164" s="72"/>
      <c r="J164" s="71"/>
      <c r="K164" s="72"/>
      <c r="L164" s="72"/>
      <c r="M164" s="72"/>
      <c r="N164" s="74"/>
      <c r="O164" s="71"/>
      <c r="P164" s="72"/>
      <c r="Q164" s="72"/>
      <c r="R164" s="72"/>
      <c r="S164" s="74"/>
      <c r="T164" s="75"/>
    </row>
    <row r="165" spans="1:20" x14ac:dyDescent="0.35">
      <c r="A165" s="17"/>
      <c r="B165" s="18"/>
      <c r="C165" s="13"/>
      <c r="D165" s="31"/>
      <c r="E165" s="24"/>
      <c r="F165" s="71"/>
      <c r="G165" s="72"/>
      <c r="H165" s="73"/>
      <c r="I165" s="72"/>
      <c r="J165" s="71"/>
      <c r="K165" s="72"/>
      <c r="L165" s="72"/>
      <c r="M165" s="72"/>
      <c r="N165" s="74"/>
      <c r="O165" s="71"/>
      <c r="P165" s="72"/>
      <c r="Q165" s="72"/>
      <c r="R165" s="72"/>
      <c r="S165" s="74"/>
      <c r="T165" s="75"/>
    </row>
    <row r="166" spans="1:20" x14ac:dyDescent="0.35">
      <c r="A166" s="17"/>
      <c r="B166" s="18"/>
      <c r="C166" s="13"/>
      <c r="D166" s="31"/>
      <c r="E166" s="24"/>
      <c r="F166" s="71"/>
      <c r="G166" s="72"/>
      <c r="H166" s="73"/>
      <c r="I166" s="72"/>
      <c r="J166" s="71"/>
      <c r="K166" s="72"/>
      <c r="L166" s="72"/>
      <c r="M166" s="72"/>
      <c r="N166" s="74"/>
      <c r="O166" s="71"/>
      <c r="P166" s="72"/>
      <c r="Q166" s="72"/>
      <c r="R166" s="72"/>
      <c r="S166" s="74"/>
      <c r="T166" s="75"/>
    </row>
    <row r="167" spans="1:20" x14ac:dyDescent="0.35">
      <c r="A167" s="17"/>
      <c r="B167" s="18"/>
      <c r="C167" s="13"/>
      <c r="D167" s="31"/>
      <c r="E167" s="24"/>
      <c r="F167" s="71"/>
      <c r="G167" s="72"/>
      <c r="H167" s="73"/>
      <c r="I167" s="72"/>
      <c r="J167" s="71"/>
      <c r="K167" s="72"/>
      <c r="L167" s="72"/>
      <c r="M167" s="72"/>
      <c r="N167" s="74"/>
      <c r="O167" s="71"/>
      <c r="P167" s="72"/>
      <c r="Q167" s="72"/>
      <c r="R167" s="72"/>
      <c r="S167" s="74"/>
      <c r="T167" s="75"/>
    </row>
    <row r="168" spans="1:20" x14ac:dyDescent="0.35">
      <c r="A168" s="17"/>
      <c r="B168" s="18"/>
      <c r="C168" s="13"/>
      <c r="D168" s="31"/>
      <c r="E168" s="24"/>
      <c r="F168" s="71"/>
      <c r="G168" s="72"/>
      <c r="H168" s="73"/>
      <c r="I168" s="72"/>
      <c r="J168" s="71"/>
      <c r="K168" s="72"/>
      <c r="L168" s="72"/>
      <c r="M168" s="72"/>
      <c r="N168" s="74"/>
      <c r="O168" s="71"/>
      <c r="P168" s="72"/>
      <c r="Q168" s="72"/>
      <c r="R168" s="72"/>
      <c r="S168" s="74"/>
      <c r="T168" s="75"/>
    </row>
    <row r="169" spans="1:20" x14ac:dyDescent="0.35">
      <c r="A169" s="17"/>
      <c r="B169" s="18"/>
      <c r="C169" s="13"/>
      <c r="D169" s="31"/>
      <c r="E169" s="24"/>
      <c r="F169" s="71"/>
      <c r="G169" s="72"/>
      <c r="H169" s="73"/>
      <c r="I169" s="72"/>
      <c r="J169" s="71"/>
      <c r="K169" s="72"/>
      <c r="L169" s="72"/>
      <c r="M169" s="72"/>
      <c r="N169" s="74"/>
      <c r="O169" s="71"/>
      <c r="P169" s="72"/>
      <c r="Q169" s="72"/>
      <c r="R169" s="72"/>
      <c r="S169" s="74"/>
      <c r="T169" s="75"/>
    </row>
    <row r="170" spans="1:20" x14ac:dyDescent="0.35">
      <c r="A170" s="17"/>
      <c r="B170" s="18"/>
      <c r="C170" s="13"/>
      <c r="D170" s="31"/>
      <c r="E170" s="24"/>
      <c r="F170" s="71"/>
      <c r="G170" s="72"/>
      <c r="H170" s="73"/>
      <c r="I170" s="72"/>
      <c r="J170" s="71"/>
      <c r="K170" s="72"/>
      <c r="L170" s="72"/>
      <c r="M170" s="72"/>
      <c r="N170" s="74"/>
      <c r="O170" s="71"/>
      <c r="P170" s="72"/>
      <c r="Q170" s="72"/>
      <c r="R170" s="72"/>
      <c r="S170" s="74"/>
      <c r="T170" s="75"/>
    </row>
    <row r="171" spans="1:20" x14ac:dyDescent="0.35">
      <c r="A171" s="17"/>
      <c r="B171" s="18"/>
      <c r="C171" s="13"/>
      <c r="D171" s="31"/>
      <c r="E171" s="24"/>
      <c r="F171" s="71"/>
      <c r="G171" s="72"/>
      <c r="H171" s="73"/>
      <c r="I171" s="72"/>
      <c r="J171" s="71"/>
      <c r="K171" s="72"/>
      <c r="L171" s="72"/>
      <c r="M171" s="72"/>
      <c r="N171" s="74"/>
      <c r="O171" s="71"/>
      <c r="P171" s="72"/>
      <c r="Q171" s="72"/>
      <c r="R171" s="72"/>
      <c r="S171" s="74"/>
      <c r="T171" s="75"/>
    </row>
    <row r="172" spans="1:20" x14ac:dyDescent="0.35">
      <c r="A172" s="17"/>
      <c r="B172" s="18"/>
      <c r="C172" s="13"/>
      <c r="D172" s="31"/>
      <c r="E172" s="24"/>
      <c r="F172" s="71"/>
      <c r="G172" s="72"/>
      <c r="H172" s="73"/>
      <c r="I172" s="72"/>
      <c r="J172" s="71"/>
      <c r="K172" s="72"/>
      <c r="L172" s="72"/>
      <c r="M172" s="72"/>
      <c r="N172" s="74"/>
      <c r="O172" s="71"/>
      <c r="P172" s="72"/>
      <c r="Q172" s="72"/>
      <c r="R172" s="72"/>
      <c r="S172" s="74"/>
      <c r="T172" s="75"/>
    </row>
    <row r="173" spans="1:20" x14ac:dyDescent="0.35">
      <c r="A173" s="17"/>
      <c r="B173" s="18"/>
      <c r="C173" s="13"/>
      <c r="D173" s="31"/>
      <c r="E173" s="24"/>
      <c r="F173" s="71"/>
      <c r="G173" s="72"/>
      <c r="H173" s="73"/>
      <c r="I173" s="72"/>
      <c r="J173" s="71"/>
      <c r="K173" s="72"/>
      <c r="L173" s="72"/>
      <c r="M173" s="72"/>
      <c r="N173" s="74"/>
      <c r="O173" s="71"/>
      <c r="P173" s="72"/>
      <c r="Q173" s="72"/>
      <c r="R173" s="72"/>
      <c r="S173" s="74"/>
      <c r="T173" s="75"/>
    </row>
    <row r="174" spans="1:20" x14ac:dyDescent="0.35">
      <c r="A174" s="17"/>
      <c r="B174" s="18"/>
      <c r="C174" s="13"/>
      <c r="D174" s="31"/>
      <c r="E174" s="24"/>
      <c r="F174" s="71"/>
      <c r="G174" s="72"/>
      <c r="H174" s="73"/>
      <c r="I174" s="72"/>
      <c r="J174" s="71"/>
      <c r="K174" s="72"/>
      <c r="L174" s="72"/>
      <c r="M174" s="72"/>
      <c r="N174" s="74"/>
      <c r="O174" s="71"/>
      <c r="P174" s="72"/>
      <c r="Q174" s="72"/>
      <c r="R174" s="72"/>
      <c r="S174" s="74"/>
      <c r="T174" s="75"/>
    </row>
    <row r="175" spans="1:20" x14ac:dyDescent="0.35">
      <c r="A175" s="17"/>
      <c r="B175" s="18"/>
      <c r="C175" s="13"/>
      <c r="D175" s="31"/>
      <c r="E175" s="24"/>
      <c r="F175" s="71"/>
      <c r="G175" s="72"/>
      <c r="H175" s="73"/>
      <c r="I175" s="72"/>
      <c r="J175" s="71"/>
      <c r="K175" s="72"/>
      <c r="L175" s="72"/>
      <c r="M175" s="72"/>
      <c r="N175" s="74"/>
      <c r="O175" s="71"/>
      <c r="P175" s="72"/>
      <c r="Q175" s="72"/>
      <c r="R175" s="72"/>
      <c r="S175" s="74"/>
      <c r="T175" s="75"/>
    </row>
    <row r="176" spans="1:20" x14ac:dyDescent="0.35">
      <c r="A176" s="17"/>
      <c r="B176" s="18"/>
      <c r="C176" s="13"/>
      <c r="D176" s="31"/>
      <c r="E176" s="24"/>
      <c r="F176" s="71"/>
      <c r="G176" s="72"/>
      <c r="H176" s="73"/>
      <c r="I176" s="72"/>
      <c r="J176" s="71"/>
      <c r="K176" s="72"/>
      <c r="L176" s="72"/>
      <c r="M176" s="72"/>
      <c r="N176" s="74"/>
      <c r="O176" s="71"/>
      <c r="P176" s="72"/>
      <c r="Q176" s="72"/>
      <c r="R176" s="72"/>
      <c r="S176" s="74"/>
      <c r="T176" s="75"/>
    </row>
    <row r="177" spans="1:20" x14ac:dyDescent="0.35">
      <c r="A177" s="17"/>
      <c r="B177" s="18"/>
      <c r="C177" s="13"/>
      <c r="D177" s="31"/>
      <c r="E177" s="24"/>
      <c r="F177" s="71"/>
      <c r="G177" s="72"/>
      <c r="H177" s="73"/>
      <c r="I177" s="72"/>
      <c r="J177" s="71"/>
      <c r="K177" s="72"/>
      <c r="L177" s="72"/>
      <c r="M177" s="72"/>
      <c r="N177" s="74"/>
      <c r="O177" s="71"/>
      <c r="P177" s="72"/>
      <c r="Q177" s="72"/>
      <c r="R177" s="72"/>
      <c r="S177" s="74"/>
      <c r="T177" s="75"/>
    </row>
    <row r="178" spans="1:20" x14ac:dyDescent="0.35">
      <c r="A178" s="17"/>
      <c r="B178" s="18"/>
      <c r="C178" s="13"/>
      <c r="D178" s="31"/>
      <c r="E178" s="24"/>
      <c r="F178" s="71"/>
      <c r="G178" s="72"/>
      <c r="H178" s="73"/>
      <c r="I178" s="72"/>
      <c r="J178" s="71"/>
      <c r="K178" s="72"/>
      <c r="L178" s="72"/>
      <c r="M178" s="72"/>
      <c r="N178" s="74"/>
      <c r="O178" s="71"/>
      <c r="P178" s="72"/>
      <c r="Q178" s="72"/>
      <c r="R178" s="72"/>
      <c r="S178" s="74"/>
      <c r="T178" s="75"/>
    </row>
    <row r="179" spans="1:20" x14ac:dyDescent="0.35">
      <c r="A179" s="17"/>
      <c r="B179" s="18"/>
      <c r="C179" s="13"/>
      <c r="D179" s="31"/>
      <c r="E179" s="24"/>
      <c r="F179" s="71"/>
      <c r="G179" s="72"/>
      <c r="H179" s="73"/>
      <c r="I179" s="72"/>
      <c r="J179" s="71"/>
      <c r="K179" s="72"/>
      <c r="L179" s="72"/>
      <c r="M179" s="72"/>
      <c r="N179" s="74"/>
      <c r="O179" s="71"/>
      <c r="P179" s="72"/>
      <c r="Q179" s="72"/>
      <c r="R179" s="72"/>
      <c r="S179" s="74"/>
      <c r="T179" s="75"/>
    </row>
    <row r="180" spans="1:20" x14ac:dyDescent="0.35">
      <c r="A180" s="17"/>
      <c r="B180" s="18"/>
      <c r="C180" s="13"/>
      <c r="D180" s="31"/>
      <c r="E180" s="24"/>
      <c r="F180" s="71"/>
      <c r="G180" s="72"/>
      <c r="H180" s="73"/>
      <c r="I180" s="72"/>
      <c r="J180" s="71"/>
      <c r="K180" s="72"/>
      <c r="L180" s="72"/>
      <c r="M180" s="72"/>
      <c r="N180" s="74"/>
      <c r="O180" s="71"/>
      <c r="P180" s="72"/>
      <c r="Q180" s="72"/>
      <c r="R180" s="72"/>
      <c r="S180" s="74"/>
      <c r="T180" s="75"/>
    </row>
    <row r="181" spans="1:20" x14ac:dyDescent="0.35">
      <c r="A181" s="17"/>
      <c r="B181" s="18"/>
      <c r="C181" s="13"/>
      <c r="D181" s="31"/>
      <c r="E181" s="24"/>
      <c r="F181" s="71"/>
      <c r="G181" s="72"/>
      <c r="H181" s="73"/>
      <c r="I181" s="72"/>
      <c r="J181" s="71"/>
      <c r="K181" s="72"/>
      <c r="L181" s="72"/>
      <c r="M181" s="72"/>
      <c r="N181" s="74"/>
      <c r="O181" s="71"/>
      <c r="P181" s="72"/>
      <c r="Q181" s="72"/>
      <c r="R181" s="72"/>
      <c r="S181" s="74"/>
      <c r="T181" s="75"/>
    </row>
    <row r="182" spans="1:20" x14ac:dyDescent="0.35">
      <c r="A182" s="17"/>
      <c r="B182" s="18"/>
      <c r="C182" s="13"/>
      <c r="D182" s="31"/>
      <c r="E182" s="24"/>
      <c r="F182" s="71"/>
      <c r="G182" s="72"/>
      <c r="H182" s="73"/>
      <c r="I182" s="72"/>
      <c r="J182" s="71"/>
      <c r="K182" s="72"/>
      <c r="L182" s="72"/>
      <c r="M182" s="72"/>
      <c r="N182" s="74"/>
      <c r="O182" s="71"/>
      <c r="P182" s="72"/>
      <c r="Q182" s="72"/>
      <c r="R182" s="72"/>
      <c r="S182" s="74"/>
      <c r="T182" s="75"/>
    </row>
    <row r="183" spans="1:20" x14ac:dyDescent="0.35">
      <c r="A183" s="17"/>
      <c r="B183" s="18"/>
      <c r="C183" s="13"/>
      <c r="D183" s="31"/>
      <c r="E183" s="24"/>
      <c r="F183" s="71"/>
      <c r="G183" s="72"/>
      <c r="H183" s="73"/>
      <c r="I183" s="72"/>
      <c r="J183" s="71"/>
      <c r="K183" s="72"/>
      <c r="L183" s="72"/>
      <c r="M183" s="72"/>
      <c r="N183" s="74"/>
      <c r="O183" s="71"/>
      <c r="P183" s="72"/>
      <c r="Q183" s="72"/>
      <c r="R183" s="72"/>
      <c r="S183" s="74"/>
      <c r="T183" s="75"/>
    </row>
    <row r="184" spans="1:20" x14ac:dyDescent="0.35">
      <c r="A184" s="17"/>
      <c r="B184" s="18"/>
      <c r="C184" s="13"/>
      <c r="D184" s="31"/>
      <c r="E184" s="24"/>
      <c r="F184" s="71"/>
      <c r="G184" s="72"/>
      <c r="H184" s="73"/>
      <c r="I184" s="72"/>
      <c r="J184" s="71"/>
      <c r="K184" s="72"/>
      <c r="L184" s="72"/>
      <c r="M184" s="72"/>
      <c r="N184" s="74"/>
      <c r="O184" s="71"/>
      <c r="P184" s="72"/>
      <c r="Q184" s="72"/>
      <c r="R184" s="72"/>
      <c r="S184" s="74"/>
      <c r="T184" s="75"/>
    </row>
    <row r="185" spans="1:20" x14ac:dyDescent="0.35">
      <c r="A185" s="17"/>
      <c r="B185" s="18"/>
      <c r="C185" s="13"/>
      <c r="D185" s="31"/>
      <c r="E185" s="24"/>
      <c r="F185" s="71"/>
      <c r="G185" s="72"/>
      <c r="H185" s="73"/>
      <c r="I185" s="72"/>
      <c r="J185" s="71"/>
      <c r="K185" s="72"/>
      <c r="L185" s="72"/>
      <c r="M185" s="72"/>
      <c r="N185" s="74"/>
      <c r="O185" s="71"/>
      <c r="P185" s="72"/>
      <c r="Q185" s="72"/>
      <c r="R185" s="72"/>
      <c r="S185" s="74"/>
      <c r="T185" s="75"/>
    </row>
    <row r="186" spans="1:20" x14ac:dyDescent="0.35">
      <c r="A186" s="17"/>
      <c r="B186" s="18"/>
      <c r="C186" s="13"/>
      <c r="D186" s="31"/>
      <c r="E186" s="24"/>
      <c r="F186" s="71"/>
      <c r="G186" s="72"/>
      <c r="H186" s="73"/>
      <c r="I186" s="72"/>
      <c r="J186" s="71"/>
      <c r="K186" s="72"/>
      <c r="L186" s="72"/>
      <c r="M186" s="72"/>
      <c r="N186" s="74"/>
      <c r="O186" s="71"/>
      <c r="P186" s="72"/>
      <c r="Q186" s="72"/>
      <c r="R186" s="72"/>
      <c r="S186" s="74"/>
      <c r="T186" s="75"/>
    </row>
    <row r="187" spans="1:20" x14ac:dyDescent="0.35">
      <c r="A187" s="17"/>
      <c r="B187" s="18"/>
      <c r="C187" s="13"/>
      <c r="D187" s="31"/>
      <c r="E187" s="24"/>
      <c r="F187" s="71"/>
      <c r="G187" s="72"/>
      <c r="H187" s="73"/>
      <c r="I187" s="72"/>
      <c r="J187" s="71"/>
      <c r="K187" s="72"/>
      <c r="L187" s="72"/>
      <c r="M187" s="72"/>
      <c r="N187" s="74"/>
      <c r="O187" s="71"/>
      <c r="P187" s="72"/>
      <c r="Q187" s="72"/>
      <c r="R187" s="72"/>
      <c r="S187" s="74"/>
      <c r="T187" s="75"/>
    </row>
    <row r="188" spans="1:20" x14ac:dyDescent="0.35">
      <c r="A188" s="17"/>
      <c r="B188" s="18"/>
      <c r="C188" s="13"/>
      <c r="D188" s="31"/>
      <c r="E188" s="24"/>
      <c r="F188" s="71"/>
      <c r="G188" s="72"/>
      <c r="H188" s="73"/>
      <c r="I188" s="72"/>
      <c r="J188" s="71"/>
      <c r="K188" s="72"/>
      <c r="L188" s="72"/>
      <c r="M188" s="72"/>
      <c r="N188" s="74"/>
      <c r="O188" s="71"/>
      <c r="P188" s="72"/>
      <c r="Q188" s="72"/>
      <c r="R188" s="72"/>
      <c r="S188" s="74"/>
      <c r="T188" s="75"/>
    </row>
    <row r="189" spans="1:20" x14ac:dyDescent="0.35">
      <c r="A189" s="17"/>
      <c r="B189" s="18"/>
      <c r="C189" s="13"/>
      <c r="D189" s="31"/>
      <c r="E189" s="24"/>
      <c r="F189" s="71"/>
      <c r="G189" s="72"/>
      <c r="H189" s="73"/>
      <c r="I189" s="72"/>
      <c r="J189" s="71"/>
      <c r="K189" s="72"/>
      <c r="L189" s="72"/>
      <c r="M189" s="72"/>
      <c r="N189" s="74"/>
      <c r="O189" s="71"/>
      <c r="P189" s="72"/>
      <c r="Q189" s="72"/>
      <c r="R189" s="72"/>
      <c r="S189" s="74"/>
      <c r="T189" s="75"/>
    </row>
    <row r="190" spans="1:20" x14ac:dyDescent="0.35">
      <c r="A190" s="17"/>
      <c r="B190" s="18"/>
      <c r="C190" s="13"/>
      <c r="D190" s="31"/>
      <c r="E190" s="24"/>
      <c r="F190" s="71"/>
      <c r="G190" s="72"/>
      <c r="H190" s="73"/>
      <c r="I190" s="72"/>
      <c r="J190" s="71"/>
      <c r="K190" s="72"/>
      <c r="L190" s="72"/>
      <c r="M190" s="72"/>
      <c r="N190" s="74"/>
      <c r="O190" s="71"/>
      <c r="P190" s="72"/>
      <c r="Q190" s="72"/>
      <c r="R190" s="72"/>
      <c r="S190" s="74"/>
      <c r="T190" s="75"/>
    </row>
    <row r="191" spans="1:20" x14ac:dyDescent="0.35">
      <c r="A191" s="17"/>
      <c r="B191" s="18"/>
      <c r="C191" s="13"/>
      <c r="D191" s="31"/>
      <c r="E191" s="24"/>
      <c r="F191" s="71"/>
      <c r="G191" s="72"/>
      <c r="H191" s="73"/>
      <c r="I191" s="72"/>
      <c r="J191" s="71"/>
      <c r="K191" s="72"/>
      <c r="L191" s="72"/>
      <c r="M191" s="72"/>
      <c r="N191" s="74"/>
      <c r="O191" s="71"/>
      <c r="P191" s="72"/>
      <c r="Q191" s="72"/>
      <c r="R191" s="72"/>
      <c r="S191" s="74"/>
      <c r="T191" s="75"/>
    </row>
    <row r="192" spans="1:20" x14ac:dyDescent="0.35">
      <c r="A192" s="17"/>
      <c r="B192" s="18"/>
      <c r="C192" s="13"/>
      <c r="D192" s="31"/>
      <c r="E192" s="24"/>
      <c r="F192" s="71"/>
      <c r="G192" s="72"/>
      <c r="H192" s="73"/>
      <c r="I192" s="72"/>
      <c r="J192" s="71"/>
      <c r="K192" s="72"/>
      <c r="L192" s="72"/>
      <c r="M192" s="72"/>
      <c r="N192" s="74"/>
      <c r="O192" s="71"/>
      <c r="P192" s="72"/>
      <c r="Q192" s="72"/>
      <c r="R192" s="72"/>
      <c r="S192" s="74"/>
      <c r="T192" s="75"/>
    </row>
    <row r="193" spans="1:20" x14ac:dyDescent="0.35">
      <c r="A193" s="17"/>
      <c r="B193" s="18"/>
      <c r="C193" s="13"/>
      <c r="D193" s="31"/>
      <c r="E193" s="24"/>
      <c r="F193" s="71"/>
      <c r="G193" s="72"/>
      <c r="H193" s="73"/>
      <c r="I193" s="72"/>
      <c r="J193" s="71"/>
      <c r="K193" s="72"/>
      <c r="L193" s="72"/>
      <c r="M193" s="72"/>
      <c r="N193" s="74"/>
      <c r="O193" s="71"/>
      <c r="P193" s="72"/>
      <c r="Q193" s="72"/>
      <c r="R193" s="72"/>
      <c r="S193" s="74"/>
      <c r="T193" s="75"/>
    </row>
    <row r="194" spans="1:20" x14ac:dyDescent="0.35">
      <c r="A194" s="17"/>
      <c r="B194" s="18"/>
      <c r="C194" s="13"/>
      <c r="D194" s="31"/>
      <c r="E194" s="24"/>
      <c r="F194" s="71"/>
      <c r="G194" s="72"/>
      <c r="H194" s="73"/>
      <c r="I194" s="72"/>
      <c r="J194" s="71"/>
      <c r="K194" s="72"/>
      <c r="L194" s="72"/>
      <c r="M194" s="72"/>
      <c r="N194" s="74"/>
      <c r="O194" s="71"/>
      <c r="P194" s="72"/>
      <c r="Q194" s="72"/>
      <c r="R194" s="72"/>
      <c r="S194" s="74"/>
      <c r="T194" s="75"/>
    </row>
    <row r="195" spans="1:20" x14ac:dyDescent="0.35">
      <c r="A195" s="17"/>
      <c r="B195" s="18"/>
      <c r="C195" s="13"/>
      <c r="D195" s="31"/>
      <c r="E195" s="24"/>
      <c r="F195" s="71"/>
      <c r="G195" s="72"/>
      <c r="H195" s="73"/>
      <c r="I195" s="72"/>
      <c r="J195" s="71"/>
      <c r="K195" s="72"/>
      <c r="L195" s="72"/>
      <c r="M195" s="72"/>
      <c r="N195" s="74"/>
      <c r="O195" s="71"/>
      <c r="P195" s="72"/>
      <c r="Q195" s="72"/>
      <c r="R195" s="72"/>
      <c r="S195" s="74"/>
      <c r="T195" s="75"/>
    </row>
    <row r="196" spans="1:20" x14ac:dyDescent="0.35">
      <c r="A196" s="17"/>
      <c r="B196" s="18"/>
      <c r="C196" s="13"/>
      <c r="D196" s="31"/>
      <c r="E196" s="24"/>
      <c r="F196" s="71"/>
      <c r="G196" s="72"/>
      <c r="H196" s="73"/>
      <c r="I196" s="72"/>
      <c r="J196" s="71"/>
      <c r="K196" s="72"/>
      <c r="L196" s="72"/>
      <c r="M196" s="72"/>
      <c r="N196" s="74"/>
      <c r="O196" s="71"/>
      <c r="P196" s="72"/>
      <c r="Q196" s="72"/>
      <c r="R196" s="72"/>
      <c r="S196" s="74"/>
      <c r="T196" s="75"/>
    </row>
    <row r="197" spans="1:20" x14ac:dyDescent="0.35">
      <c r="A197" s="17"/>
      <c r="B197" s="18"/>
      <c r="C197" s="13"/>
      <c r="D197" s="31"/>
      <c r="E197" s="24"/>
      <c r="F197" s="71"/>
      <c r="G197" s="72"/>
      <c r="H197" s="73"/>
      <c r="I197" s="72"/>
      <c r="J197" s="71"/>
      <c r="K197" s="72"/>
      <c r="L197" s="72"/>
      <c r="M197" s="72"/>
      <c r="N197" s="74"/>
      <c r="O197" s="71"/>
      <c r="P197" s="72"/>
      <c r="Q197" s="72"/>
      <c r="R197" s="72"/>
      <c r="S197" s="74"/>
      <c r="T197" s="75"/>
    </row>
    <row r="198" spans="1:20" x14ac:dyDescent="0.35">
      <c r="A198" s="17"/>
      <c r="B198" s="18"/>
      <c r="C198" s="13"/>
      <c r="D198" s="31"/>
      <c r="E198" s="24"/>
      <c r="F198" s="71"/>
      <c r="G198" s="72"/>
      <c r="H198" s="73"/>
      <c r="I198" s="72"/>
      <c r="J198" s="71"/>
      <c r="K198" s="72"/>
      <c r="L198" s="72"/>
      <c r="M198" s="72"/>
      <c r="N198" s="74"/>
      <c r="O198" s="71"/>
      <c r="P198" s="72"/>
      <c r="Q198" s="72"/>
      <c r="R198" s="72"/>
      <c r="S198" s="74"/>
      <c r="T198" s="75"/>
    </row>
    <row r="199" spans="1:20" x14ac:dyDescent="0.35">
      <c r="A199" s="17"/>
      <c r="B199" s="18"/>
      <c r="C199" s="13"/>
      <c r="D199" s="31"/>
      <c r="E199" s="24"/>
      <c r="F199" s="71"/>
      <c r="G199" s="72"/>
      <c r="H199" s="73"/>
      <c r="I199" s="72"/>
      <c r="J199" s="71"/>
      <c r="K199" s="72"/>
      <c r="L199" s="72"/>
      <c r="M199" s="72"/>
      <c r="N199" s="74"/>
      <c r="O199" s="71"/>
      <c r="P199" s="72"/>
      <c r="Q199" s="72"/>
      <c r="R199" s="72"/>
      <c r="S199" s="74"/>
      <c r="T199" s="75"/>
    </row>
    <row r="200" spans="1:20" x14ac:dyDescent="0.35">
      <c r="A200" s="17"/>
      <c r="B200" s="18"/>
      <c r="C200" s="13"/>
      <c r="D200" s="31"/>
      <c r="E200" s="24"/>
      <c r="F200" s="71"/>
      <c r="G200" s="72"/>
      <c r="H200" s="73"/>
      <c r="I200" s="72"/>
      <c r="J200" s="71"/>
      <c r="K200" s="72"/>
      <c r="L200" s="72"/>
      <c r="M200" s="72"/>
      <c r="N200" s="74"/>
      <c r="O200" s="71"/>
      <c r="P200" s="72"/>
      <c r="Q200" s="72"/>
      <c r="R200" s="72"/>
      <c r="S200" s="74"/>
      <c r="T200" s="75"/>
    </row>
    <row r="201" spans="1:20" x14ac:dyDescent="0.35">
      <c r="A201" s="17"/>
      <c r="B201" s="18"/>
      <c r="C201" s="13"/>
      <c r="D201" s="31"/>
      <c r="E201" s="24"/>
      <c r="F201" s="71"/>
      <c r="G201" s="72"/>
      <c r="H201" s="73"/>
      <c r="I201" s="72"/>
      <c r="J201" s="71"/>
      <c r="K201" s="72"/>
      <c r="L201" s="72"/>
      <c r="M201" s="72"/>
      <c r="N201" s="74"/>
      <c r="O201" s="71"/>
      <c r="P201" s="72"/>
      <c r="Q201" s="72"/>
      <c r="R201" s="72"/>
      <c r="S201" s="74"/>
      <c r="T201" s="75"/>
    </row>
    <row r="202" spans="1:20" x14ac:dyDescent="0.35">
      <c r="A202" s="17"/>
      <c r="B202" s="18"/>
      <c r="C202" s="13"/>
      <c r="D202" s="31"/>
      <c r="E202" s="24"/>
      <c r="F202" s="71"/>
      <c r="G202" s="72"/>
      <c r="H202" s="73"/>
      <c r="I202" s="72"/>
      <c r="J202" s="71"/>
      <c r="K202" s="72"/>
      <c r="L202" s="72"/>
      <c r="M202" s="72"/>
      <c r="N202" s="74"/>
      <c r="O202" s="71"/>
      <c r="P202" s="72"/>
      <c r="Q202" s="72"/>
      <c r="R202" s="72"/>
      <c r="S202" s="74"/>
      <c r="T202" s="75"/>
    </row>
    <row r="203" spans="1:20" x14ac:dyDescent="0.35">
      <c r="A203" s="17"/>
      <c r="B203" s="18"/>
      <c r="C203" s="13"/>
      <c r="D203" s="31"/>
      <c r="E203" s="24"/>
      <c r="F203" s="71"/>
      <c r="G203" s="72"/>
      <c r="H203" s="73"/>
      <c r="I203" s="72"/>
      <c r="J203" s="71"/>
      <c r="K203" s="72"/>
      <c r="L203" s="72"/>
      <c r="M203" s="72"/>
      <c r="N203" s="74"/>
      <c r="O203" s="71"/>
      <c r="P203" s="72"/>
      <c r="Q203" s="72"/>
      <c r="R203" s="72"/>
      <c r="S203" s="74"/>
      <c r="T203" s="75"/>
    </row>
    <row r="204" spans="1:20" x14ac:dyDescent="0.35">
      <c r="A204" s="17"/>
      <c r="B204" s="18"/>
      <c r="C204" s="13"/>
      <c r="D204" s="31"/>
      <c r="E204" s="24"/>
      <c r="F204" s="71"/>
      <c r="G204" s="72"/>
      <c r="H204" s="73"/>
      <c r="I204" s="72"/>
      <c r="J204" s="71"/>
      <c r="K204" s="72"/>
      <c r="L204" s="72"/>
      <c r="M204" s="72"/>
      <c r="N204" s="74"/>
      <c r="O204" s="71"/>
      <c r="P204" s="72"/>
      <c r="Q204" s="72"/>
      <c r="R204" s="72"/>
      <c r="S204" s="74"/>
      <c r="T204" s="75"/>
    </row>
    <row r="205" spans="1:20" x14ac:dyDescent="0.35">
      <c r="A205" s="17"/>
      <c r="B205" s="18"/>
      <c r="C205" s="13"/>
      <c r="D205" s="31"/>
      <c r="E205" s="24"/>
      <c r="F205" s="71"/>
      <c r="G205" s="72"/>
      <c r="H205" s="73"/>
      <c r="I205" s="72"/>
      <c r="J205" s="71"/>
      <c r="K205" s="72"/>
      <c r="L205" s="72"/>
      <c r="M205" s="72"/>
      <c r="N205" s="74"/>
      <c r="O205" s="71"/>
      <c r="P205" s="72"/>
      <c r="Q205" s="72"/>
      <c r="R205" s="72"/>
      <c r="S205" s="74"/>
      <c r="T205" s="75"/>
    </row>
    <row r="206" spans="1:20" x14ac:dyDescent="0.35">
      <c r="A206" s="17"/>
      <c r="B206" s="18"/>
      <c r="C206" s="13"/>
      <c r="D206" s="31"/>
      <c r="E206" s="24"/>
      <c r="F206" s="71"/>
      <c r="G206" s="72"/>
      <c r="H206" s="73"/>
      <c r="I206" s="72"/>
      <c r="J206" s="71"/>
      <c r="K206" s="72"/>
      <c r="L206" s="72"/>
      <c r="M206" s="72"/>
      <c r="N206" s="74"/>
      <c r="O206" s="71"/>
      <c r="P206" s="72"/>
      <c r="Q206" s="72"/>
      <c r="R206" s="72"/>
      <c r="S206" s="74"/>
      <c r="T206" s="75"/>
    </row>
    <row r="207" spans="1:20" x14ac:dyDescent="0.35">
      <c r="A207" s="17"/>
      <c r="B207" s="18"/>
      <c r="C207" s="13"/>
      <c r="D207" s="31"/>
      <c r="E207" s="24"/>
      <c r="F207" s="71"/>
      <c r="G207" s="72"/>
      <c r="H207" s="73"/>
      <c r="I207" s="72"/>
      <c r="J207" s="71"/>
      <c r="K207" s="72"/>
      <c r="L207" s="72"/>
      <c r="M207" s="72"/>
      <c r="N207" s="74"/>
      <c r="O207" s="71"/>
      <c r="P207" s="72"/>
      <c r="Q207" s="72"/>
      <c r="R207" s="72"/>
      <c r="S207" s="74"/>
      <c r="T207" s="75"/>
    </row>
    <row r="208" spans="1:20" x14ac:dyDescent="0.35">
      <c r="A208" s="17"/>
      <c r="B208" s="18"/>
      <c r="C208" s="13"/>
      <c r="D208" s="31"/>
      <c r="E208" s="24"/>
      <c r="F208" s="71"/>
      <c r="G208" s="72"/>
      <c r="H208" s="73"/>
      <c r="I208" s="72"/>
      <c r="J208" s="71"/>
      <c r="K208" s="72"/>
      <c r="L208" s="72"/>
      <c r="M208" s="72"/>
      <c r="N208" s="74"/>
      <c r="O208" s="71"/>
      <c r="P208" s="72"/>
      <c r="Q208" s="72"/>
      <c r="R208" s="72"/>
      <c r="S208" s="74"/>
      <c r="T208" s="75"/>
    </row>
    <row r="209" spans="1:21" x14ac:dyDescent="0.35">
      <c r="A209" s="17"/>
      <c r="B209" s="18"/>
      <c r="C209" s="13"/>
      <c r="D209" s="31"/>
      <c r="E209" s="24"/>
      <c r="F209" s="71"/>
      <c r="G209" s="72"/>
      <c r="H209" s="73"/>
      <c r="I209" s="72"/>
      <c r="J209" s="71"/>
      <c r="K209" s="72"/>
      <c r="L209" s="72"/>
      <c r="M209" s="72"/>
      <c r="N209" s="74"/>
      <c r="O209" s="71"/>
      <c r="P209" s="72"/>
      <c r="Q209" s="72"/>
      <c r="R209" s="72"/>
      <c r="S209" s="74"/>
      <c r="T209" s="75"/>
      <c r="U209" s="33"/>
    </row>
    <row r="210" spans="1:21" x14ac:dyDescent="0.35">
      <c r="A210" s="17"/>
      <c r="B210" s="18"/>
      <c r="C210" s="13"/>
      <c r="D210" s="31"/>
      <c r="E210" s="24"/>
      <c r="F210" s="71"/>
      <c r="G210" s="72"/>
      <c r="H210" s="73"/>
      <c r="I210" s="72"/>
      <c r="J210" s="71"/>
      <c r="K210" s="72"/>
      <c r="L210" s="72"/>
      <c r="M210" s="72"/>
      <c r="N210" s="74"/>
      <c r="O210" s="71"/>
      <c r="P210" s="72"/>
      <c r="Q210" s="72"/>
      <c r="R210" s="72"/>
      <c r="S210" s="74"/>
      <c r="T210" s="75"/>
      <c r="U210" s="33"/>
    </row>
    <row r="211" spans="1:21" x14ac:dyDescent="0.35">
      <c r="A211" s="17"/>
      <c r="B211" s="18"/>
      <c r="C211" s="13"/>
      <c r="D211" s="31"/>
      <c r="E211" s="24"/>
      <c r="F211" s="71"/>
      <c r="G211" s="72"/>
      <c r="H211" s="73"/>
      <c r="I211" s="72"/>
      <c r="J211" s="71"/>
      <c r="K211" s="72"/>
      <c r="L211" s="72"/>
      <c r="M211" s="72"/>
      <c r="N211" s="74"/>
      <c r="O211" s="71"/>
      <c r="P211" s="72"/>
      <c r="Q211" s="72"/>
      <c r="R211" s="72"/>
      <c r="S211" s="74"/>
      <c r="T211" s="75"/>
      <c r="U211" s="33"/>
    </row>
    <row r="212" spans="1:21" x14ac:dyDescent="0.35">
      <c r="A212" s="17"/>
      <c r="B212" s="18"/>
      <c r="C212" s="13"/>
      <c r="D212" s="31"/>
      <c r="E212" s="24"/>
      <c r="F212" s="71"/>
      <c r="G212" s="72"/>
      <c r="H212" s="73"/>
      <c r="I212" s="72"/>
      <c r="J212" s="71"/>
      <c r="K212" s="72"/>
      <c r="L212" s="72"/>
      <c r="M212" s="72"/>
      <c r="N212" s="74"/>
      <c r="O212" s="71"/>
      <c r="P212" s="72"/>
      <c r="Q212" s="72"/>
      <c r="R212" s="72"/>
      <c r="S212" s="74"/>
      <c r="T212" s="75"/>
      <c r="U212" s="33"/>
    </row>
    <row r="213" spans="1:21" x14ac:dyDescent="0.35">
      <c r="A213" s="17"/>
      <c r="B213" s="18"/>
      <c r="C213" s="13"/>
      <c r="D213" s="31"/>
      <c r="E213" s="24"/>
      <c r="F213" s="71"/>
      <c r="G213" s="72"/>
      <c r="H213" s="73"/>
      <c r="I213" s="72"/>
      <c r="J213" s="71"/>
      <c r="K213" s="72"/>
      <c r="L213" s="72"/>
      <c r="M213" s="72"/>
      <c r="N213" s="74"/>
      <c r="O213" s="71"/>
      <c r="P213" s="72"/>
      <c r="Q213" s="72"/>
      <c r="R213" s="72"/>
      <c r="S213" s="74"/>
      <c r="T213" s="75"/>
    </row>
    <row r="214" spans="1:21" x14ac:dyDescent="0.35">
      <c r="A214" s="17"/>
      <c r="B214" s="18"/>
      <c r="C214" s="13"/>
      <c r="D214" s="31"/>
      <c r="E214" s="24"/>
      <c r="F214" s="71"/>
      <c r="G214" s="72"/>
      <c r="H214" s="73"/>
      <c r="I214" s="72"/>
      <c r="J214" s="71"/>
      <c r="K214" s="72"/>
      <c r="L214" s="72"/>
      <c r="M214" s="72"/>
      <c r="N214" s="74"/>
      <c r="O214" s="71"/>
      <c r="P214" s="72"/>
      <c r="Q214" s="72"/>
      <c r="R214" s="72"/>
      <c r="S214" s="74"/>
      <c r="T214" s="75"/>
    </row>
    <row r="215" spans="1:21" x14ac:dyDescent="0.35">
      <c r="A215" s="17"/>
      <c r="B215" s="18"/>
      <c r="C215" s="13"/>
      <c r="D215" s="31"/>
      <c r="E215" s="24"/>
      <c r="F215" s="71"/>
      <c r="G215" s="72"/>
      <c r="H215" s="73"/>
      <c r="I215" s="72"/>
      <c r="J215" s="71"/>
      <c r="K215" s="72"/>
      <c r="L215" s="72"/>
      <c r="M215" s="72"/>
      <c r="N215" s="74"/>
      <c r="O215" s="71"/>
      <c r="P215" s="72"/>
      <c r="Q215" s="72"/>
      <c r="R215" s="72"/>
      <c r="S215" s="74"/>
      <c r="T215" s="75"/>
    </row>
    <row r="216" spans="1:21" x14ac:dyDescent="0.35">
      <c r="A216" s="17"/>
      <c r="B216" s="18"/>
      <c r="C216" s="13"/>
      <c r="D216" s="31"/>
      <c r="E216" s="24"/>
      <c r="F216" s="71"/>
      <c r="G216" s="72"/>
      <c r="H216" s="73"/>
      <c r="I216" s="72"/>
      <c r="J216" s="71"/>
      <c r="K216" s="72"/>
      <c r="L216" s="72"/>
      <c r="M216" s="72"/>
      <c r="N216" s="74"/>
      <c r="O216" s="71"/>
      <c r="P216" s="72"/>
      <c r="Q216" s="72"/>
      <c r="R216" s="72"/>
      <c r="S216" s="74"/>
      <c r="T216" s="75"/>
    </row>
    <row r="217" spans="1:21" x14ac:dyDescent="0.35">
      <c r="A217" s="17"/>
      <c r="B217" s="18"/>
      <c r="C217" s="13"/>
      <c r="D217" s="31"/>
      <c r="E217" s="24"/>
      <c r="F217" s="71"/>
      <c r="G217" s="72"/>
      <c r="H217" s="73"/>
      <c r="I217" s="72"/>
      <c r="J217" s="71"/>
      <c r="K217" s="72"/>
      <c r="L217" s="72"/>
      <c r="M217" s="72"/>
      <c r="N217" s="74"/>
      <c r="O217" s="71"/>
      <c r="P217" s="72"/>
      <c r="Q217" s="72"/>
      <c r="R217" s="72"/>
      <c r="S217" s="74"/>
      <c r="T217" s="75"/>
    </row>
    <row r="218" spans="1:21" x14ac:dyDescent="0.35">
      <c r="A218" s="17"/>
      <c r="B218" s="18"/>
      <c r="C218" s="13"/>
      <c r="D218" s="31"/>
      <c r="E218" s="24"/>
      <c r="F218" s="71"/>
      <c r="G218" s="72"/>
      <c r="H218" s="73"/>
      <c r="I218" s="72"/>
      <c r="J218" s="71"/>
      <c r="K218" s="72"/>
      <c r="L218" s="72"/>
      <c r="M218" s="72"/>
      <c r="N218" s="74"/>
      <c r="O218" s="71"/>
      <c r="P218" s="72"/>
      <c r="Q218" s="72"/>
      <c r="R218" s="72"/>
      <c r="S218" s="74"/>
      <c r="T218" s="75"/>
    </row>
    <row r="219" spans="1:21" x14ac:dyDescent="0.35">
      <c r="A219" s="17"/>
      <c r="B219" s="18"/>
      <c r="C219" s="13"/>
      <c r="D219" s="31"/>
      <c r="E219" s="24"/>
      <c r="F219" s="71"/>
      <c r="G219" s="72"/>
      <c r="H219" s="73"/>
      <c r="I219" s="72"/>
      <c r="J219" s="71"/>
      <c r="K219" s="72"/>
      <c r="L219" s="72"/>
      <c r="M219" s="72"/>
      <c r="N219" s="74"/>
      <c r="O219" s="71"/>
      <c r="P219" s="72"/>
      <c r="Q219" s="72"/>
      <c r="R219" s="72"/>
      <c r="S219" s="74"/>
      <c r="T219" s="75"/>
    </row>
    <row r="220" spans="1:21" x14ac:dyDescent="0.35">
      <c r="A220" s="17"/>
      <c r="B220" s="18"/>
      <c r="C220" s="13"/>
      <c r="D220" s="31"/>
      <c r="E220" s="24"/>
      <c r="F220" s="71"/>
      <c r="G220" s="72"/>
      <c r="H220" s="73"/>
      <c r="I220" s="72"/>
      <c r="J220" s="71"/>
      <c r="K220" s="72"/>
      <c r="L220" s="72"/>
      <c r="M220" s="72"/>
      <c r="N220" s="74"/>
      <c r="O220" s="71"/>
      <c r="P220" s="72"/>
      <c r="Q220" s="72"/>
      <c r="R220" s="72"/>
      <c r="S220" s="74"/>
      <c r="T220" s="75"/>
    </row>
    <row r="221" spans="1:21" x14ac:dyDescent="0.35">
      <c r="A221" s="17"/>
      <c r="B221" s="18"/>
      <c r="C221" s="13"/>
      <c r="D221" s="31"/>
      <c r="E221" s="24"/>
      <c r="F221" s="71"/>
      <c r="G221" s="72"/>
      <c r="H221" s="73"/>
      <c r="I221" s="72"/>
      <c r="J221" s="71"/>
      <c r="K221" s="72"/>
      <c r="L221" s="72"/>
      <c r="M221" s="72"/>
      <c r="N221" s="74"/>
      <c r="O221" s="71"/>
      <c r="P221" s="72"/>
      <c r="Q221" s="72"/>
      <c r="R221" s="72"/>
      <c r="S221" s="74"/>
      <c r="T221" s="75"/>
    </row>
    <row r="222" spans="1:21" x14ac:dyDescent="0.35">
      <c r="A222" s="17"/>
      <c r="B222" s="18"/>
      <c r="C222" s="13"/>
      <c r="D222" s="31"/>
      <c r="E222" s="24"/>
      <c r="F222" s="71"/>
      <c r="G222" s="72"/>
      <c r="H222" s="73"/>
      <c r="I222" s="72"/>
      <c r="J222" s="71"/>
      <c r="K222" s="72"/>
      <c r="L222" s="72"/>
      <c r="M222" s="72"/>
      <c r="N222" s="74"/>
      <c r="O222" s="71"/>
      <c r="P222" s="72"/>
      <c r="Q222" s="72"/>
      <c r="R222" s="72"/>
      <c r="S222" s="74"/>
      <c r="T222" s="75"/>
    </row>
    <row r="223" spans="1:21" x14ac:dyDescent="0.35">
      <c r="A223" s="17"/>
      <c r="B223" s="18"/>
      <c r="C223" s="13"/>
      <c r="D223" s="31"/>
      <c r="E223" s="24"/>
      <c r="F223" s="71"/>
      <c r="G223" s="72"/>
      <c r="H223" s="73"/>
      <c r="I223" s="72"/>
      <c r="J223" s="71"/>
      <c r="K223" s="72"/>
      <c r="L223" s="72"/>
      <c r="M223" s="72"/>
      <c r="N223" s="74"/>
      <c r="O223" s="71"/>
      <c r="P223" s="72"/>
      <c r="Q223" s="72"/>
      <c r="R223" s="72"/>
      <c r="S223" s="74"/>
      <c r="T223" s="75"/>
    </row>
    <row r="224" spans="1:21" x14ac:dyDescent="0.35">
      <c r="A224" s="17"/>
      <c r="B224" s="18"/>
      <c r="C224" s="13"/>
      <c r="D224" s="31"/>
      <c r="E224" s="24"/>
      <c r="F224" s="71"/>
      <c r="G224" s="72"/>
      <c r="H224" s="73"/>
      <c r="I224" s="72"/>
      <c r="J224" s="71"/>
      <c r="K224" s="72"/>
      <c r="L224" s="72"/>
      <c r="M224" s="72"/>
      <c r="N224" s="74"/>
      <c r="O224" s="71"/>
      <c r="P224" s="72"/>
      <c r="Q224" s="72"/>
      <c r="R224" s="72"/>
      <c r="S224" s="74"/>
      <c r="T224" s="75"/>
    </row>
    <row r="225" spans="1:20" x14ac:dyDescent="0.35">
      <c r="A225" s="17"/>
      <c r="B225" s="18"/>
      <c r="C225" s="13"/>
      <c r="D225" s="31"/>
      <c r="E225" s="24"/>
      <c r="F225" s="71"/>
      <c r="G225" s="72"/>
      <c r="H225" s="73"/>
      <c r="I225" s="72"/>
      <c r="J225" s="71"/>
      <c r="K225" s="72"/>
      <c r="L225" s="72"/>
      <c r="M225" s="72"/>
      <c r="N225" s="74"/>
      <c r="O225" s="71"/>
      <c r="P225" s="72"/>
      <c r="Q225" s="72"/>
      <c r="R225" s="72"/>
      <c r="S225" s="74"/>
      <c r="T225" s="75"/>
    </row>
    <row r="226" spans="1:20" x14ac:dyDescent="0.35">
      <c r="A226" s="17"/>
      <c r="B226" s="18"/>
      <c r="C226" s="13"/>
      <c r="D226" s="31"/>
      <c r="E226" s="24"/>
      <c r="F226" s="71"/>
      <c r="G226" s="72"/>
      <c r="H226" s="73"/>
      <c r="I226" s="72"/>
      <c r="J226" s="71"/>
      <c r="K226" s="72"/>
      <c r="L226" s="72"/>
      <c r="M226" s="72"/>
      <c r="N226" s="74"/>
      <c r="O226" s="71"/>
      <c r="P226" s="72"/>
      <c r="Q226" s="72"/>
      <c r="R226" s="72"/>
      <c r="S226" s="74"/>
      <c r="T226" s="75"/>
    </row>
    <row r="227" spans="1:20" x14ac:dyDescent="0.35">
      <c r="A227" s="17"/>
      <c r="B227" s="18"/>
      <c r="C227" s="13"/>
      <c r="D227" s="31"/>
      <c r="E227" s="24"/>
      <c r="F227" s="71"/>
      <c r="G227" s="72"/>
      <c r="H227" s="73"/>
      <c r="I227" s="72"/>
      <c r="J227" s="71"/>
      <c r="K227" s="72"/>
      <c r="L227" s="72"/>
      <c r="M227" s="72"/>
      <c r="N227" s="74"/>
      <c r="O227" s="71"/>
      <c r="P227" s="72"/>
      <c r="Q227" s="72"/>
      <c r="R227" s="72"/>
      <c r="S227" s="74"/>
      <c r="T227" s="75"/>
    </row>
    <row r="228" spans="1:20" x14ac:dyDescent="0.35">
      <c r="A228" s="17"/>
      <c r="B228" s="18"/>
      <c r="C228" s="13"/>
      <c r="D228" s="31"/>
      <c r="E228" s="24"/>
      <c r="F228" s="71"/>
      <c r="G228" s="72"/>
      <c r="H228" s="73"/>
      <c r="I228" s="72"/>
      <c r="J228" s="71"/>
      <c r="K228" s="72"/>
      <c r="L228" s="72"/>
      <c r="M228" s="72"/>
      <c r="N228" s="74"/>
      <c r="O228" s="71"/>
      <c r="P228" s="72"/>
      <c r="Q228" s="72"/>
      <c r="R228" s="72"/>
      <c r="S228" s="74"/>
      <c r="T228" s="75"/>
    </row>
    <row r="229" spans="1:20" x14ac:dyDescent="0.35">
      <c r="A229" s="17"/>
      <c r="B229" s="18"/>
      <c r="C229" s="13"/>
      <c r="D229" s="31"/>
      <c r="E229" s="24"/>
      <c r="F229" s="71"/>
      <c r="G229" s="72"/>
      <c r="H229" s="73"/>
      <c r="I229" s="72"/>
      <c r="J229" s="71"/>
      <c r="K229" s="72"/>
      <c r="L229" s="72"/>
      <c r="M229" s="72"/>
      <c r="N229" s="74"/>
      <c r="O229" s="71"/>
      <c r="P229" s="72"/>
      <c r="Q229" s="72"/>
      <c r="R229" s="72"/>
      <c r="S229" s="74"/>
      <c r="T229" s="75"/>
    </row>
    <row r="230" spans="1:20" x14ac:dyDescent="0.35">
      <c r="A230" s="17"/>
      <c r="B230" s="18"/>
      <c r="C230" s="13"/>
      <c r="D230" s="31"/>
      <c r="E230" s="24"/>
      <c r="F230" s="71"/>
      <c r="G230" s="72"/>
      <c r="H230" s="73"/>
      <c r="I230" s="72"/>
      <c r="J230" s="71"/>
      <c r="K230" s="72"/>
      <c r="L230" s="72"/>
      <c r="M230" s="72"/>
      <c r="N230" s="74"/>
      <c r="O230" s="71"/>
      <c r="P230" s="72"/>
      <c r="Q230" s="72"/>
      <c r="R230" s="72"/>
      <c r="S230" s="74"/>
      <c r="T230" s="75"/>
    </row>
    <row r="231" spans="1:20" x14ac:dyDescent="0.35">
      <c r="A231" s="17"/>
      <c r="B231" s="18"/>
      <c r="C231" s="13"/>
      <c r="D231" s="31"/>
      <c r="E231" s="24"/>
      <c r="F231" s="71"/>
      <c r="G231" s="72"/>
      <c r="H231" s="73"/>
      <c r="I231" s="72"/>
      <c r="J231" s="71"/>
      <c r="K231" s="72"/>
      <c r="L231" s="72"/>
      <c r="M231" s="72"/>
      <c r="N231" s="74"/>
      <c r="O231" s="71"/>
      <c r="P231" s="72"/>
      <c r="Q231" s="72"/>
      <c r="R231" s="72"/>
      <c r="S231" s="74"/>
      <c r="T231" s="75"/>
    </row>
    <row r="232" spans="1:20" x14ac:dyDescent="0.35">
      <c r="A232" s="17"/>
      <c r="B232" s="18"/>
      <c r="C232" s="13"/>
      <c r="D232" s="31"/>
      <c r="E232" s="24"/>
      <c r="F232" s="71"/>
      <c r="G232" s="72"/>
      <c r="H232" s="73"/>
      <c r="I232" s="72"/>
      <c r="J232" s="71"/>
      <c r="K232" s="72"/>
      <c r="L232" s="72"/>
      <c r="M232" s="72"/>
      <c r="N232" s="74"/>
      <c r="O232" s="71"/>
      <c r="P232" s="72"/>
      <c r="Q232" s="72"/>
      <c r="R232" s="72"/>
      <c r="S232" s="74"/>
      <c r="T232" s="75"/>
    </row>
    <row r="233" spans="1:20" x14ac:dyDescent="0.35">
      <c r="A233" s="17"/>
      <c r="B233" s="18"/>
      <c r="C233" s="13"/>
      <c r="D233" s="31"/>
      <c r="E233" s="24"/>
      <c r="F233" s="71"/>
      <c r="G233" s="72"/>
      <c r="H233" s="73"/>
      <c r="I233" s="72"/>
      <c r="J233" s="71"/>
      <c r="K233" s="72"/>
      <c r="L233" s="72"/>
      <c r="M233" s="72"/>
      <c r="N233" s="74"/>
      <c r="O233" s="71"/>
      <c r="P233" s="72"/>
      <c r="Q233" s="72"/>
      <c r="R233" s="72"/>
      <c r="S233" s="74"/>
      <c r="T233" s="75"/>
    </row>
    <row r="234" spans="1:20" x14ac:dyDescent="0.35">
      <c r="A234" s="17"/>
      <c r="B234" s="18"/>
      <c r="C234" s="13"/>
      <c r="D234" s="31"/>
      <c r="E234" s="24"/>
      <c r="F234" s="71"/>
      <c r="G234" s="72"/>
      <c r="H234" s="73"/>
      <c r="I234" s="72"/>
      <c r="J234" s="71"/>
      <c r="K234" s="72"/>
      <c r="L234" s="72"/>
      <c r="M234" s="72"/>
      <c r="N234" s="74"/>
      <c r="O234" s="71"/>
      <c r="P234" s="72"/>
      <c r="Q234" s="72"/>
      <c r="R234" s="72"/>
      <c r="S234" s="74"/>
      <c r="T234" s="75"/>
    </row>
    <row r="235" spans="1:20" x14ac:dyDescent="0.35">
      <c r="A235" s="17"/>
      <c r="B235" s="18"/>
      <c r="C235" s="13"/>
      <c r="D235" s="31"/>
      <c r="E235" s="24"/>
      <c r="F235" s="71"/>
      <c r="G235" s="72"/>
      <c r="H235" s="73"/>
      <c r="I235" s="72"/>
      <c r="J235" s="71"/>
      <c r="K235" s="72"/>
      <c r="L235" s="72"/>
      <c r="M235" s="72"/>
      <c r="N235" s="74"/>
      <c r="O235" s="71"/>
      <c r="P235" s="72"/>
      <c r="Q235" s="72"/>
      <c r="R235" s="72"/>
      <c r="S235" s="74"/>
      <c r="T235" s="75"/>
    </row>
    <row r="236" spans="1:20" x14ac:dyDescent="0.35">
      <c r="A236" s="17"/>
      <c r="B236" s="18"/>
      <c r="C236" s="13"/>
      <c r="D236" s="31"/>
      <c r="E236" s="24"/>
      <c r="F236" s="71"/>
      <c r="G236" s="72"/>
      <c r="H236" s="73"/>
      <c r="I236" s="72"/>
      <c r="J236" s="71"/>
      <c r="K236" s="72"/>
      <c r="L236" s="72"/>
      <c r="M236" s="72"/>
      <c r="N236" s="74"/>
      <c r="O236" s="71"/>
      <c r="P236" s="72"/>
      <c r="Q236" s="72"/>
      <c r="R236" s="72"/>
      <c r="S236" s="74"/>
      <c r="T236" s="75"/>
    </row>
    <row r="237" spans="1:20" x14ac:dyDescent="0.35">
      <c r="A237" s="17"/>
      <c r="B237" s="18"/>
      <c r="C237" s="13"/>
      <c r="D237" s="31"/>
      <c r="E237" s="24"/>
      <c r="F237" s="71"/>
      <c r="G237" s="72"/>
      <c r="H237" s="73"/>
      <c r="I237" s="72"/>
      <c r="J237" s="71"/>
      <c r="K237" s="72"/>
      <c r="L237" s="72"/>
      <c r="M237" s="72"/>
      <c r="N237" s="74"/>
      <c r="O237" s="71"/>
      <c r="P237" s="72"/>
      <c r="Q237" s="72"/>
      <c r="R237" s="72"/>
      <c r="S237" s="74"/>
      <c r="T237" s="75"/>
    </row>
    <row r="238" spans="1:20" x14ac:dyDescent="0.35">
      <c r="A238" s="17"/>
      <c r="B238" s="18"/>
      <c r="C238" s="13"/>
      <c r="D238" s="31"/>
      <c r="E238" s="24"/>
      <c r="F238" s="71"/>
      <c r="G238" s="72"/>
      <c r="H238" s="73"/>
      <c r="I238" s="72"/>
      <c r="J238" s="71"/>
      <c r="K238" s="72"/>
      <c r="L238" s="72"/>
      <c r="M238" s="72"/>
      <c r="N238" s="74"/>
      <c r="O238" s="71"/>
      <c r="P238" s="72"/>
      <c r="Q238" s="72"/>
      <c r="R238" s="72"/>
      <c r="S238" s="74"/>
      <c r="T238" s="75"/>
    </row>
    <row r="239" spans="1:20" x14ac:dyDescent="0.35">
      <c r="A239" s="17"/>
      <c r="B239" s="18"/>
      <c r="C239" s="13"/>
      <c r="D239" s="31"/>
      <c r="E239" s="24"/>
      <c r="F239" s="71"/>
      <c r="G239" s="72"/>
      <c r="H239" s="73"/>
      <c r="I239" s="72"/>
      <c r="J239" s="71"/>
      <c r="K239" s="72"/>
      <c r="L239" s="72"/>
      <c r="M239" s="72"/>
      <c r="N239" s="74"/>
      <c r="O239" s="71"/>
      <c r="P239" s="72"/>
      <c r="Q239" s="72"/>
      <c r="R239" s="72"/>
      <c r="S239" s="74"/>
      <c r="T239" s="75"/>
    </row>
    <row r="240" spans="1:20" x14ac:dyDescent="0.35">
      <c r="A240" s="17"/>
      <c r="B240" s="18"/>
      <c r="C240" s="13"/>
      <c r="D240" s="31"/>
      <c r="E240" s="24"/>
      <c r="F240" s="71"/>
      <c r="G240" s="72"/>
      <c r="H240" s="73"/>
      <c r="I240" s="72"/>
      <c r="J240" s="71"/>
      <c r="K240" s="72"/>
      <c r="L240" s="72"/>
      <c r="M240" s="72"/>
      <c r="N240" s="74"/>
      <c r="O240" s="71"/>
      <c r="P240" s="72"/>
      <c r="Q240" s="72"/>
      <c r="R240" s="72"/>
      <c r="S240" s="74"/>
      <c r="T240" s="75"/>
    </row>
    <row r="241" spans="1:20" x14ac:dyDescent="0.35">
      <c r="A241" s="17"/>
      <c r="B241" s="18"/>
      <c r="C241" s="13"/>
      <c r="D241" s="31"/>
      <c r="E241" s="24"/>
      <c r="F241" s="71"/>
      <c r="G241" s="72"/>
      <c r="H241" s="73"/>
      <c r="I241" s="72"/>
      <c r="J241" s="71"/>
      <c r="K241" s="72"/>
      <c r="L241" s="72"/>
      <c r="M241" s="72"/>
      <c r="N241" s="74"/>
      <c r="O241" s="71"/>
      <c r="P241" s="72"/>
      <c r="Q241" s="72"/>
      <c r="R241" s="72"/>
      <c r="S241" s="74"/>
      <c r="T241" s="75"/>
    </row>
    <row r="242" spans="1:20" x14ac:dyDescent="0.35">
      <c r="A242" s="17"/>
      <c r="B242" s="18"/>
      <c r="C242" s="13"/>
      <c r="D242" s="31"/>
      <c r="E242" s="24"/>
      <c r="F242" s="71"/>
      <c r="G242" s="72"/>
      <c r="H242" s="73"/>
      <c r="I242" s="72"/>
      <c r="J242" s="71"/>
      <c r="K242" s="72"/>
      <c r="L242" s="72"/>
      <c r="M242" s="72"/>
      <c r="N242" s="74"/>
      <c r="O242" s="71"/>
      <c r="P242" s="72"/>
      <c r="Q242" s="72"/>
      <c r="R242" s="72"/>
      <c r="S242" s="74"/>
      <c r="T242" s="75"/>
    </row>
    <row r="243" spans="1:20" x14ac:dyDescent="0.35">
      <c r="A243" s="17"/>
      <c r="B243" s="18"/>
      <c r="C243" s="13"/>
      <c r="D243" s="31"/>
      <c r="E243" s="24"/>
      <c r="F243" s="71"/>
      <c r="G243" s="72"/>
      <c r="H243" s="73"/>
      <c r="I243" s="72"/>
      <c r="J243" s="71"/>
      <c r="K243" s="72"/>
      <c r="L243" s="72"/>
      <c r="M243" s="72"/>
      <c r="N243" s="74"/>
      <c r="O243" s="71"/>
      <c r="P243" s="72"/>
      <c r="Q243" s="72"/>
      <c r="R243" s="72"/>
      <c r="S243" s="74"/>
      <c r="T243" s="75"/>
    </row>
    <row r="244" spans="1:20" x14ac:dyDescent="0.35">
      <c r="A244" s="17"/>
      <c r="B244" s="18"/>
      <c r="C244" s="13"/>
      <c r="D244" s="31"/>
      <c r="E244" s="24"/>
      <c r="F244" s="71"/>
      <c r="G244" s="72"/>
      <c r="H244" s="73"/>
      <c r="I244" s="72"/>
      <c r="J244" s="71"/>
      <c r="K244" s="72"/>
      <c r="L244" s="72"/>
      <c r="M244" s="72"/>
      <c r="N244" s="74"/>
      <c r="O244" s="71"/>
      <c r="P244" s="72"/>
      <c r="Q244" s="72"/>
      <c r="R244" s="72"/>
      <c r="S244" s="74"/>
      <c r="T244" s="75"/>
    </row>
    <row r="245" spans="1:20" x14ac:dyDescent="0.35">
      <c r="A245" s="17"/>
      <c r="B245" s="18"/>
      <c r="C245" s="13"/>
      <c r="D245" s="31"/>
      <c r="E245" s="24"/>
      <c r="F245" s="71"/>
      <c r="G245" s="72"/>
      <c r="H245" s="73"/>
      <c r="I245" s="72"/>
      <c r="J245" s="71"/>
      <c r="K245" s="72"/>
      <c r="L245" s="72"/>
      <c r="M245" s="72"/>
      <c r="N245" s="74"/>
      <c r="O245" s="71"/>
      <c r="P245" s="72"/>
      <c r="Q245" s="72"/>
      <c r="R245" s="72"/>
      <c r="S245" s="74"/>
      <c r="T245" s="75"/>
    </row>
    <row r="246" spans="1:20" x14ac:dyDescent="0.35">
      <c r="A246" s="17"/>
      <c r="B246" s="18"/>
      <c r="C246" s="13"/>
      <c r="D246" s="31"/>
      <c r="E246" s="24"/>
      <c r="F246" s="71"/>
      <c r="G246" s="72"/>
      <c r="H246" s="73"/>
      <c r="I246" s="72"/>
      <c r="J246" s="71"/>
      <c r="K246" s="72"/>
      <c r="L246" s="72"/>
      <c r="M246" s="72"/>
      <c r="N246" s="74"/>
      <c r="O246" s="71"/>
      <c r="P246" s="72"/>
      <c r="Q246" s="72"/>
      <c r="R246" s="72"/>
      <c r="S246" s="74"/>
      <c r="T246" s="75"/>
    </row>
    <row r="247" spans="1:20" x14ac:dyDescent="0.35">
      <c r="A247" s="17"/>
      <c r="B247" s="18"/>
      <c r="C247" s="13"/>
      <c r="D247" s="31"/>
      <c r="E247" s="24"/>
      <c r="F247" s="71"/>
      <c r="G247" s="72"/>
      <c r="H247" s="73"/>
      <c r="I247" s="72"/>
      <c r="J247" s="71"/>
      <c r="K247" s="72"/>
      <c r="L247" s="72"/>
      <c r="M247" s="72"/>
      <c r="N247" s="74"/>
      <c r="O247" s="71"/>
      <c r="P247" s="72"/>
      <c r="Q247" s="72"/>
      <c r="R247" s="72"/>
      <c r="S247" s="74"/>
      <c r="T247" s="75"/>
    </row>
    <row r="248" spans="1:20" x14ac:dyDescent="0.35">
      <c r="A248" s="17"/>
      <c r="B248" s="18"/>
      <c r="C248" s="13"/>
      <c r="D248" s="31"/>
      <c r="E248" s="24"/>
      <c r="F248" s="71"/>
      <c r="G248" s="72"/>
      <c r="H248" s="73"/>
      <c r="I248" s="72"/>
      <c r="J248" s="71"/>
      <c r="K248" s="72"/>
      <c r="L248" s="72"/>
      <c r="M248" s="72"/>
      <c r="N248" s="74"/>
      <c r="O248" s="71"/>
      <c r="P248" s="72"/>
      <c r="Q248" s="72"/>
      <c r="R248" s="72"/>
      <c r="S248" s="74"/>
      <c r="T248" s="75"/>
    </row>
    <row r="249" spans="1:20" x14ac:dyDescent="0.35">
      <c r="A249" s="17"/>
      <c r="B249" s="18"/>
      <c r="C249" s="13"/>
      <c r="D249" s="31"/>
      <c r="E249" s="24"/>
      <c r="F249" s="71"/>
      <c r="G249" s="72"/>
      <c r="H249" s="73"/>
      <c r="I249" s="72"/>
      <c r="J249" s="71"/>
      <c r="K249" s="72"/>
      <c r="L249" s="72"/>
      <c r="M249" s="72"/>
      <c r="N249" s="74"/>
      <c r="O249" s="71"/>
      <c r="P249" s="72"/>
      <c r="Q249" s="72"/>
      <c r="R249" s="72"/>
      <c r="S249" s="74"/>
      <c r="T249" s="75"/>
    </row>
    <row r="250" spans="1:20" x14ac:dyDescent="0.35">
      <c r="A250" s="17"/>
      <c r="B250" s="18"/>
      <c r="C250" s="13"/>
      <c r="D250" s="31"/>
      <c r="E250" s="24"/>
      <c r="F250" s="71"/>
      <c r="G250" s="72"/>
      <c r="H250" s="73"/>
      <c r="I250" s="72"/>
      <c r="J250" s="71"/>
      <c r="K250" s="72"/>
      <c r="L250" s="72"/>
      <c r="M250" s="72"/>
      <c r="N250" s="74"/>
      <c r="O250" s="71"/>
      <c r="P250" s="72"/>
      <c r="Q250" s="72"/>
      <c r="R250" s="72"/>
      <c r="S250" s="74"/>
      <c r="T250" s="75"/>
    </row>
    <row r="251" spans="1:20" x14ac:dyDescent="0.35">
      <c r="A251" s="17"/>
      <c r="B251" s="18"/>
      <c r="C251" s="13"/>
      <c r="D251" s="31"/>
      <c r="E251" s="24"/>
      <c r="F251" s="71"/>
      <c r="G251" s="72"/>
      <c r="H251" s="73"/>
      <c r="I251" s="72"/>
      <c r="J251" s="71"/>
      <c r="K251" s="72"/>
      <c r="L251" s="72"/>
      <c r="M251" s="72"/>
      <c r="N251" s="74"/>
      <c r="O251" s="71"/>
      <c r="P251" s="72"/>
      <c r="Q251" s="72"/>
      <c r="R251" s="72"/>
      <c r="S251" s="74"/>
      <c r="T251" s="75"/>
    </row>
    <row r="252" spans="1:20" x14ac:dyDescent="0.35">
      <c r="A252" s="17"/>
      <c r="B252" s="18"/>
      <c r="C252" s="13"/>
      <c r="D252" s="31"/>
      <c r="E252" s="24"/>
      <c r="F252" s="71"/>
      <c r="G252" s="72"/>
      <c r="H252" s="73"/>
      <c r="I252" s="72"/>
      <c r="J252" s="71"/>
      <c r="K252" s="72"/>
      <c r="L252" s="72"/>
      <c r="M252" s="72"/>
      <c r="N252" s="74"/>
      <c r="O252" s="71"/>
      <c r="P252" s="72"/>
      <c r="Q252" s="72"/>
      <c r="R252" s="72"/>
      <c r="S252" s="74"/>
      <c r="T252" s="75"/>
    </row>
    <row r="253" spans="1:20" x14ac:dyDescent="0.35">
      <c r="A253" s="17"/>
      <c r="B253" s="18"/>
      <c r="C253" s="13"/>
      <c r="D253" s="31"/>
      <c r="E253" s="24"/>
      <c r="F253" s="71"/>
      <c r="G253" s="72"/>
      <c r="H253" s="73"/>
      <c r="I253" s="72"/>
      <c r="J253" s="71"/>
      <c r="K253" s="72"/>
      <c r="L253" s="72"/>
      <c r="M253" s="72"/>
      <c r="N253" s="74"/>
      <c r="O253" s="71"/>
      <c r="P253" s="72"/>
      <c r="Q253" s="72"/>
      <c r="R253" s="72"/>
      <c r="S253" s="74"/>
      <c r="T253" s="75"/>
    </row>
    <row r="254" spans="1:20" x14ac:dyDescent="0.35">
      <c r="A254" s="17"/>
      <c r="B254" s="18"/>
      <c r="C254" s="13"/>
      <c r="D254" s="31"/>
      <c r="E254" s="24"/>
      <c r="F254" s="71"/>
      <c r="G254" s="72"/>
      <c r="H254" s="73"/>
      <c r="I254" s="72"/>
      <c r="J254" s="71"/>
      <c r="K254" s="72"/>
      <c r="L254" s="72"/>
      <c r="M254" s="72"/>
      <c r="N254" s="74"/>
      <c r="O254" s="71"/>
      <c r="P254" s="72"/>
      <c r="Q254" s="72"/>
      <c r="R254" s="72"/>
      <c r="S254" s="74"/>
      <c r="T254" s="75"/>
    </row>
    <row r="255" spans="1:20" x14ac:dyDescent="0.35">
      <c r="A255" s="17"/>
      <c r="B255" s="18"/>
      <c r="C255" s="13"/>
      <c r="D255" s="31"/>
      <c r="E255" s="24"/>
      <c r="F255" s="71"/>
      <c r="G255" s="72"/>
      <c r="H255" s="73"/>
      <c r="I255" s="72"/>
      <c r="J255" s="71"/>
      <c r="K255" s="72"/>
      <c r="L255" s="72"/>
      <c r="M255" s="72"/>
      <c r="N255" s="74"/>
      <c r="O255" s="71"/>
      <c r="P255" s="72"/>
      <c r="Q255" s="72"/>
      <c r="R255" s="72"/>
      <c r="S255" s="74"/>
      <c r="T255" s="75"/>
    </row>
    <row r="256" spans="1:20" x14ac:dyDescent="0.35">
      <c r="A256" s="17"/>
      <c r="B256" s="18"/>
      <c r="C256" s="13"/>
      <c r="D256" s="31"/>
      <c r="E256" s="24"/>
      <c r="F256" s="71"/>
      <c r="G256" s="72"/>
      <c r="H256" s="73"/>
      <c r="I256" s="72"/>
      <c r="J256" s="71"/>
      <c r="K256" s="72"/>
      <c r="L256" s="72"/>
      <c r="M256" s="72"/>
      <c r="N256" s="74"/>
      <c r="O256" s="71"/>
      <c r="P256" s="72"/>
      <c r="Q256" s="72"/>
      <c r="R256" s="72"/>
      <c r="S256" s="74"/>
      <c r="T256" s="75"/>
    </row>
    <row r="257" spans="1:20" x14ac:dyDescent="0.35">
      <c r="A257" s="17"/>
      <c r="B257" s="18"/>
      <c r="C257" s="13"/>
      <c r="D257" s="31"/>
      <c r="E257" s="24"/>
      <c r="F257" s="71"/>
      <c r="G257" s="72"/>
      <c r="H257" s="73"/>
      <c r="I257" s="72"/>
      <c r="J257" s="71"/>
      <c r="K257" s="72"/>
      <c r="L257" s="72"/>
      <c r="M257" s="72"/>
      <c r="N257" s="74"/>
      <c r="O257" s="71"/>
      <c r="P257" s="72"/>
      <c r="Q257" s="72"/>
      <c r="R257" s="72"/>
      <c r="S257" s="74"/>
      <c r="T257" s="75"/>
    </row>
    <row r="258" spans="1:20" x14ac:dyDescent="0.35">
      <c r="A258" s="17"/>
      <c r="B258" s="18"/>
      <c r="C258" s="13"/>
      <c r="D258" s="31"/>
      <c r="E258" s="24"/>
      <c r="F258" s="71"/>
      <c r="G258" s="72"/>
      <c r="H258" s="73"/>
      <c r="I258" s="72"/>
      <c r="J258" s="71"/>
      <c r="K258" s="72"/>
      <c r="L258" s="72"/>
      <c r="M258" s="72"/>
      <c r="N258" s="74"/>
      <c r="O258" s="71"/>
      <c r="P258" s="72"/>
      <c r="Q258" s="72"/>
      <c r="R258" s="72"/>
      <c r="S258" s="74"/>
      <c r="T258" s="75"/>
    </row>
    <row r="259" spans="1:20" x14ac:dyDescent="0.35">
      <c r="A259" s="17"/>
      <c r="B259" s="18"/>
      <c r="C259" s="13"/>
      <c r="D259" s="31"/>
      <c r="E259" s="24"/>
      <c r="F259" s="71"/>
      <c r="G259" s="72"/>
      <c r="H259" s="73"/>
      <c r="I259" s="72"/>
      <c r="J259" s="71"/>
      <c r="K259" s="72"/>
      <c r="L259" s="72"/>
      <c r="M259" s="72"/>
      <c r="N259" s="74"/>
      <c r="O259" s="71"/>
      <c r="P259" s="72"/>
      <c r="Q259" s="72"/>
      <c r="R259" s="72"/>
      <c r="S259" s="74"/>
      <c r="T259" s="75"/>
    </row>
    <row r="260" spans="1:20" x14ac:dyDescent="0.35">
      <c r="A260" s="17"/>
      <c r="B260" s="18"/>
      <c r="C260" s="13"/>
      <c r="D260" s="31"/>
      <c r="E260" s="24"/>
      <c r="F260" s="71"/>
      <c r="G260" s="72"/>
      <c r="H260" s="73"/>
      <c r="I260" s="72"/>
      <c r="J260" s="71"/>
      <c r="K260" s="72"/>
      <c r="L260" s="72"/>
      <c r="M260" s="72"/>
      <c r="N260" s="74"/>
      <c r="O260" s="71"/>
      <c r="P260" s="72"/>
      <c r="Q260" s="72"/>
      <c r="R260" s="72"/>
      <c r="S260" s="74"/>
      <c r="T260" s="75"/>
    </row>
    <row r="261" spans="1:20" x14ac:dyDescent="0.35">
      <c r="A261" s="17"/>
      <c r="B261" s="18"/>
      <c r="C261" s="13"/>
      <c r="D261" s="31"/>
      <c r="E261" s="24"/>
      <c r="F261" s="71"/>
      <c r="G261" s="72"/>
      <c r="H261" s="73"/>
      <c r="I261" s="72"/>
      <c r="J261" s="71"/>
      <c r="K261" s="72"/>
      <c r="L261" s="72"/>
      <c r="M261" s="72"/>
      <c r="N261" s="74"/>
      <c r="O261" s="71"/>
      <c r="P261" s="72"/>
      <c r="Q261" s="72"/>
      <c r="R261" s="72"/>
      <c r="S261" s="74"/>
      <c r="T261" s="75"/>
    </row>
    <row r="262" spans="1:20" x14ac:dyDescent="0.35">
      <c r="A262" s="17"/>
      <c r="B262" s="18"/>
      <c r="C262" s="13"/>
      <c r="D262" s="31"/>
      <c r="E262" s="24"/>
      <c r="F262" s="71"/>
      <c r="G262" s="72"/>
      <c r="H262" s="73"/>
      <c r="I262" s="72"/>
      <c r="J262" s="71"/>
      <c r="K262" s="72"/>
      <c r="L262" s="72"/>
      <c r="M262" s="72"/>
      <c r="N262" s="74"/>
      <c r="O262" s="71"/>
      <c r="P262" s="72"/>
      <c r="Q262" s="72"/>
      <c r="R262" s="72"/>
      <c r="S262" s="74"/>
      <c r="T262" s="75"/>
    </row>
    <row r="263" spans="1:20" x14ac:dyDescent="0.35">
      <c r="A263" s="17"/>
      <c r="B263" s="18"/>
      <c r="C263" s="13"/>
      <c r="D263" s="31"/>
      <c r="E263" s="24"/>
      <c r="F263" s="71"/>
      <c r="G263" s="72"/>
      <c r="H263" s="73"/>
      <c r="I263" s="72"/>
      <c r="J263" s="71"/>
      <c r="K263" s="72"/>
      <c r="L263" s="72"/>
      <c r="M263" s="72"/>
      <c r="N263" s="74"/>
      <c r="O263" s="71"/>
      <c r="P263" s="72"/>
      <c r="Q263" s="72"/>
      <c r="R263" s="72"/>
      <c r="S263" s="74"/>
      <c r="T263" s="75"/>
    </row>
    <row r="264" spans="1:20" x14ac:dyDescent="0.35">
      <c r="A264" s="17"/>
      <c r="B264" s="18"/>
      <c r="C264" s="13"/>
      <c r="D264" s="31"/>
      <c r="E264" s="24"/>
      <c r="F264" s="71"/>
      <c r="G264" s="72"/>
      <c r="H264" s="73"/>
      <c r="I264" s="72"/>
      <c r="J264" s="71"/>
      <c r="K264" s="72"/>
      <c r="L264" s="72"/>
      <c r="M264" s="72"/>
      <c r="N264" s="74"/>
      <c r="O264" s="71"/>
      <c r="P264" s="72"/>
      <c r="Q264" s="72"/>
      <c r="R264" s="72"/>
      <c r="S264" s="74"/>
      <c r="T264" s="75"/>
    </row>
    <row r="265" spans="1:20" x14ac:dyDescent="0.35">
      <c r="A265" s="17"/>
      <c r="B265" s="18"/>
      <c r="C265" s="13"/>
      <c r="D265" s="31"/>
      <c r="E265" s="24"/>
      <c r="F265" s="71"/>
      <c r="G265" s="72"/>
      <c r="H265" s="73"/>
      <c r="I265" s="72"/>
      <c r="J265" s="71"/>
      <c r="K265" s="72"/>
      <c r="L265" s="72"/>
      <c r="M265" s="72"/>
      <c r="N265" s="74"/>
      <c r="O265" s="71"/>
      <c r="P265" s="72"/>
      <c r="Q265" s="72"/>
      <c r="R265" s="72"/>
      <c r="S265" s="74"/>
      <c r="T265" s="75"/>
    </row>
    <row r="266" spans="1:20" x14ac:dyDescent="0.35">
      <c r="A266" s="17"/>
      <c r="B266" s="18"/>
      <c r="C266" s="13"/>
      <c r="D266" s="31"/>
      <c r="E266" s="24"/>
      <c r="F266" s="71"/>
      <c r="G266" s="72"/>
      <c r="H266" s="73"/>
      <c r="I266" s="72"/>
      <c r="J266" s="71"/>
      <c r="K266" s="72"/>
      <c r="L266" s="72"/>
      <c r="M266" s="72"/>
      <c r="N266" s="74"/>
      <c r="O266" s="71"/>
      <c r="P266" s="72"/>
      <c r="Q266" s="72"/>
      <c r="R266" s="72"/>
      <c r="S266" s="74"/>
      <c r="T266" s="75"/>
    </row>
    <row r="267" spans="1:20" x14ac:dyDescent="0.35">
      <c r="A267" s="17"/>
      <c r="B267" s="18"/>
      <c r="C267" s="13"/>
      <c r="D267" s="31"/>
      <c r="E267" s="24"/>
      <c r="F267" s="71"/>
      <c r="G267" s="72"/>
      <c r="H267" s="73"/>
      <c r="I267" s="72"/>
      <c r="J267" s="71"/>
      <c r="K267" s="72"/>
      <c r="L267" s="72"/>
      <c r="M267" s="72"/>
      <c r="N267" s="74"/>
      <c r="O267" s="71"/>
      <c r="P267" s="72"/>
      <c r="Q267" s="72"/>
      <c r="R267" s="72"/>
      <c r="S267" s="74"/>
      <c r="T267" s="75"/>
    </row>
    <row r="268" spans="1:20" x14ac:dyDescent="0.35">
      <c r="A268" s="17"/>
      <c r="B268" s="18"/>
      <c r="C268" s="13"/>
      <c r="D268" s="31"/>
      <c r="E268" s="24"/>
      <c r="F268" s="71"/>
      <c r="G268" s="72"/>
      <c r="H268" s="73"/>
      <c r="I268" s="72"/>
      <c r="J268" s="71"/>
      <c r="K268" s="72"/>
      <c r="L268" s="72"/>
      <c r="M268" s="72"/>
      <c r="N268" s="74"/>
      <c r="O268" s="71"/>
      <c r="P268" s="72"/>
      <c r="Q268" s="72"/>
      <c r="R268" s="72"/>
      <c r="S268" s="74"/>
      <c r="T268" s="75"/>
    </row>
    <row r="269" spans="1:20" x14ac:dyDescent="0.35">
      <c r="A269" s="17"/>
      <c r="B269" s="18"/>
      <c r="C269" s="13"/>
      <c r="D269" s="31"/>
      <c r="E269" s="24"/>
      <c r="F269" s="71"/>
      <c r="G269" s="72"/>
      <c r="H269" s="73"/>
      <c r="I269" s="72"/>
      <c r="J269" s="71"/>
      <c r="K269" s="72"/>
      <c r="L269" s="72"/>
      <c r="M269" s="72"/>
      <c r="N269" s="74"/>
      <c r="O269" s="71"/>
      <c r="P269" s="72"/>
      <c r="Q269" s="72"/>
      <c r="R269" s="72"/>
      <c r="S269" s="74"/>
      <c r="T269" s="75"/>
    </row>
    <row r="270" spans="1:20" x14ac:dyDescent="0.35">
      <c r="A270" s="17"/>
      <c r="B270" s="18"/>
      <c r="C270" s="13"/>
      <c r="D270" s="31"/>
      <c r="E270" s="24"/>
      <c r="F270" s="71"/>
      <c r="G270" s="72"/>
      <c r="H270" s="73"/>
      <c r="I270" s="72"/>
      <c r="J270" s="71"/>
      <c r="K270" s="72"/>
      <c r="L270" s="72"/>
      <c r="M270" s="72"/>
      <c r="N270" s="74"/>
      <c r="O270" s="71"/>
      <c r="P270" s="72"/>
      <c r="Q270" s="72"/>
      <c r="R270" s="72"/>
      <c r="S270" s="74"/>
      <c r="T270" s="75"/>
    </row>
    <row r="271" spans="1:20" x14ac:dyDescent="0.35">
      <c r="A271" s="17"/>
      <c r="B271" s="18"/>
      <c r="C271" s="13"/>
      <c r="D271" s="31"/>
      <c r="E271" s="24"/>
      <c r="F271" s="71"/>
      <c r="G271" s="72"/>
      <c r="H271" s="73"/>
      <c r="I271" s="72"/>
      <c r="J271" s="71"/>
      <c r="K271" s="72"/>
      <c r="L271" s="72"/>
      <c r="M271" s="72"/>
      <c r="N271" s="74"/>
      <c r="O271" s="71"/>
      <c r="P271" s="72"/>
      <c r="Q271" s="72"/>
      <c r="R271" s="72"/>
      <c r="S271" s="74"/>
      <c r="T271" s="75"/>
    </row>
    <row r="272" spans="1:20" x14ac:dyDescent="0.35">
      <c r="A272" s="17"/>
      <c r="B272" s="18"/>
      <c r="C272" s="13"/>
      <c r="D272" s="31"/>
      <c r="E272" s="24"/>
      <c r="F272" s="71"/>
      <c r="G272" s="72"/>
      <c r="H272" s="73"/>
      <c r="I272" s="72"/>
      <c r="J272" s="71"/>
      <c r="K272" s="72"/>
      <c r="L272" s="72"/>
      <c r="M272" s="72"/>
      <c r="N272" s="74"/>
      <c r="O272" s="71"/>
      <c r="P272" s="72"/>
      <c r="Q272" s="72"/>
      <c r="R272" s="72"/>
      <c r="S272" s="74"/>
      <c r="T272" s="75"/>
    </row>
    <row r="273" spans="1:20" x14ac:dyDescent="0.35">
      <c r="A273" s="17"/>
      <c r="B273" s="18"/>
      <c r="C273" s="13"/>
      <c r="D273" s="31"/>
      <c r="E273" s="24"/>
      <c r="F273" s="71"/>
      <c r="G273" s="72"/>
      <c r="H273" s="73"/>
      <c r="I273" s="72"/>
      <c r="J273" s="71"/>
      <c r="K273" s="72"/>
      <c r="L273" s="72"/>
      <c r="M273" s="72"/>
      <c r="N273" s="74"/>
      <c r="O273" s="71"/>
      <c r="P273" s="72"/>
      <c r="Q273" s="72"/>
      <c r="R273" s="72"/>
      <c r="S273" s="74"/>
      <c r="T273" s="75"/>
    </row>
    <row r="274" spans="1:20" x14ac:dyDescent="0.35">
      <c r="A274" s="17"/>
      <c r="B274" s="18"/>
      <c r="C274" s="13"/>
      <c r="D274" s="31"/>
      <c r="E274" s="24"/>
      <c r="F274" s="71"/>
      <c r="G274" s="72"/>
      <c r="H274" s="73"/>
      <c r="I274" s="72"/>
      <c r="J274" s="71"/>
      <c r="K274" s="72"/>
      <c r="L274" s="72"/>
      <c r="M274" s="72"/>
      <c r="N274" s="74"/>
      <c r="O274" s="71"/>
      <c r="P274" s="72"/>
      <c r="Q274" s="72"/>
      <c r="R274" s="72"/>
      <c r="S274" s="74"/>
      <c r="T274" s="75"/>
    </row>
    <row r="275" spans="1:20" x14ac:dyDescent="0.35">
      <c r="A275" s="17"/>
      <c r="B275" s="18"/>
      <c r="C275" s="13"/>
      <c r="D275" s="31"/>
      <c r="E275" s="24"/>
      <c r="F275" s="71"/>
      <c r="G275" s="72"/>
      <c r="H275" s="73"/>
      <c r="I275" s="72"/>
      <c r="J275" s="71"/>
      <c r="K275" s="72"/>
      <c r="L275" s="72"/>
      <c r="M275" s="72"/>
      <c r="N275" s="74"/>
      <c r="O275" s="71"/>
      <c r="P275" s="72"/>
      <c r="Q275" s="72"/>
      <c r="R275" s="72"/>
      <c r="S275" s="74"/>
      <c r="T275" s="75"/>
    </row>
    <row r="276" spans="1:20" x14ac:dyDescent="0.35">
      <c r="A276" s="17"/>
      <c r="B276" s="18"/>
      <c r="C276" s="13"/>
      <c r="D276" s="31"/>
      <c r="E276" s="24"/>
      <c r="F276" s="71"/>
      <c r="G276" s="72"/>
      <c r="H276" s="73"/>
      <c r="I276" s="72"/>
      <c r="J276" s="71"/>
      <c r="K276" s="72"/>
      <c r="L276" s="72"/>
      <c r="M276" s="72"/>
      <c r="N276" s="74"/>
      <c r="O276" s="71"/>
      <c r="P276" s="72"/>
      <c r="Q276" s="72"/>
      <c r="R276" s="72"/>
      <c r="S276" s="74"/>
      <c r="T276" s="75"/>
    </row>
    <row r="277" spans="1:20" x14ac:dyDescent="0.35">
      <c r="A277" s="17"/>
      <c r="B277" s="18"/>
      <c r="C277" s="13"/>
      <c r="D277" s="31"/>
      <c r="E277" s="24"/>
      <c r="F277" s="71"/>
      <c r="G277" s="72"/>
      <c r="H277" s="73"/>
      <c r="I277" s="72"/>
      <c r="J277" s="71"/>
      <c r="K277" s="72"/>
      <c r="L277" s="72"/>
      <c r="M277" s="72"/>
      <c r="N277" s="74"/>
      <c r="O277" s="71"/>
      <c r="P277" s="72"/>
      <c r="Q277" s="72"/>
      <c r="R277" s="72"/>
      <c r="S277" s="74"/>
      <c r="T277" s="75"/>
    </row>
    <row r="278" spans="1:20" x14ac:dyDescent="0.35">
      <c r="A278" s="17"/>
      <c r="B278" s="18"/>
      <c r="C278" s="13"/>
      <c r="D278" s="31"/>
      <c r="E278" s="24"/>
      <c r="F278" s="71"/>
      <c r="G278" s="72"/>
      <c r="H278" s="73"/>
      <c r="I278" s="72"/>
      <c r="J278" s="71"/>
      <c r="K278" s="72"/>
      <c r="L278" s="72"/>
      <c r="M278" s="72"/>
      <c r="N278" s="74"/>
      <c r="O278" s="71"/>
      <c r="P278" s="72"/>
      <c r="Q278" s="72"/>
      <c r="R278" s="72"/>
      <c r="S278" s="74"/>
      <c r="T278" s="75"/>
    </row>
    <row r="279" spans="1:20" x14ac:dyDescent="0.35">
      <c r="A279" s="17"/>
      <c r="B279" s="18"/>
      <c r="C279" s="13"/>
      <c r="D279" s="31"/>
      <c r="E279" s="24"/>
      <c r="F279" s="71"/>
      <c r="G279" s="72"/>
      <c r="H279" s="73"/>
      <c r="I279" s="72"/>
      <c r="J279" s="71"/>
      <c r="K279" s="72"/>
      <c r="L279" s="72"/>
      <c r="M279" s="72"/>
      <c r="N279" s="74"/>
      <c r="O279" s="71"/>
      <c r="P279" s="72"/>
      <c r="Q279" s="72"/>
      <c r="R279" s="72"/>
      <c r="S279" s="74"/>
      <c r="T279" s="75"/>
    </row>
    <row r="280" spans="1:20" x14ac:dyDescent="0.35">
      <c r="A280" s="17"/>
      <c r="B280" s="18"/>
      <c r="C280" s="13"/>
      <c r="D280" s="31"/>
      <c r="E280" s="24"/>
      <c r="F280" s="71"/>
      <c r="G280" s="72"/>
      <c r="H280" s="73"/>
      <c r="I280" s="72"/>
      <c r="J280" s="71"/>
      <c r="K280" s="72"/>
      <c r="L280" s="72"/>
      <c r="M280" s="72"/>
      <c r="N280" s="74"/>
      <c r="O280" s="71"/>
      <c r="P280" s="72"/>
      <c r="Q280" s="72"/>
      <c r="R280" s="72"/>
      <c r="S280" s="74"/>
      <c r="T280" s="75"/>
    </row>
    <row r="281" spans="1:20" x14ac:dyDescent="0.35">
      <c r="A281" s="17"/>
      <c r="B281" s="18"/>
      <c r="C281" s="13"/>
      <c r="D281" s="31"/>
      <c r="E281" s="24"/>
      <c r="F281" s="71"/>
      <c r="G281" s="72"/>
      <c r="H281" s="73"/>
      <c r="I281" s="72"/>
      <c r="J281" s="71"/>
      <c r="K281" s="72"/>
      <c r="L281" s="72"/>
      <c r="M281" s="72"/>
      <c r="N281" s="74"/>
      <c r="O281" s="71"/>
      <c r="P281" s="72"/>
      <c r="Q281" s="72"/>
      <c r="R281" s="72"/>
      <c r="S281" s="74"/>
      <c r="T281" s="75"/>
    </row>
    <row r="282" spans="1:20" x14ac:dyDescent="0.35">
      <c r="A282" s="17"/>
      <c r="B282" s="18"/>
      <c r="C282" s="13"/>
      <c r="D282" s="31"/>
      <c r="E282" s="24"/>
      <c r="F282" s="71"/>
      <c r="G282" s="72"/>
      <c r="H282" s="73"/>
      <c r="I282" s="72"/>
      <c r="J282" s="71"/>
      <c r="K282" s="72"/>
      <c r="L282" s="72"/>
      <c r="M282" s="72"/>
      <c r="N282" s="74"/>
      <c r="O282" s="71"/>
      <c r="P282" s="72"/>
      <c r="Q282" s="72"/>
      <c r="R282" s="72"/>
      <c r="S282" s="74"/>
      <c r="T282" s="75"/>
    </row>
    <row r="283" spans="1:20" x14ac:dyDescent="0.35">
      <c r="A283" s="17"/>
      <c r="B283" s="18"/>
      <c r="C283" s="13"/>
      <c r="D283" s="31"/>
      <c r="E283" s="24"/>
      <c r="F283" s="71"/>
      <c r="G283" s="72"/>
      <c r="H283" s="73"/>
      <c r="I283" s="72"/>
      <c r="J283" s="71"/>
      <c r="K283" s="72"/>
      <c r="L283" s="72"/>
      <c r="M283" s="72"/>
      <c r="N283" s="74"/>
      <c r="O283" s="71"/>
      <c r="P283" s="72"/>
      <c r="Q283" s="72"/>
      <c r="R283" s="72"/>
      <c r="S283" s="74"/>
      <c r="T283" s="75"/>
    </row>
    <row r="284" spans="1:20" x14ac:dyDescent="0.35">
      <c r="A284" s="17"/>
      <c r="B284" s="18"/>
      <c r="C284" s="13"/>
      <c r="D284" s="31"/>
      <c r="E284" s="24"/>
      <c r="F284" s="71"/>
      <c r="G284" s="72"/>
      <c r="H284" s="73"/>
      <c r="I284" s="72"/>
      <c r="J284" s="71"/>
      <c r="K284" s="72"/>
      <c r="L284" s="72"/>
      <c r="M284" s="72"/>
      <c r="N284" s="74"/>
      <c r="O284" s="71"/>
      <c r="P284" s="72"/>
      <c r="Q284" s="72"/>
      <c r="R284" s="72"/>
      <c r="S284" s="74"/>
      <c r="T284" s="75"/>
    </row>
    <row r="285" spans="1:20" x14ac:dyDescent="0.35">
      <c r="A285" s="17"/>
      <c r="B285" s="18"/>
      <c r="C285" s="13"/>
      <c r="D285" s="31"/>
      <c r="E285" s="24"/>
      <c r="F285" s="71"/>
      <c r="G285" s="72"/>
      <c r="H285" s="73"/>
      <c r="I285" s="72"/>
      <c r="J285" s="71"/>
      <c r="K285" s="72"/>
      <c r="L285" s="72"/>
      <c r="M285" s="72"/>
      <c r="N285" s="74"/>
      <c r="O285" s="71"/>
      <c r="P285" s="72"/>
      <c r="Q285" s="72"/>
      <c r="R285" s="72"/>
      <c r="S285" s="74"/>
      <c r="T285" s="75"/>
    </row>
    <row r="286" spans="1:20" x14ac:dyDescent="0.35">
      <c r="A286" s="17"/>
      <c r="B286" s="18"/>
      <c r="C286" s="13"/>
      <c r="D286" s="31"/>
      <c r="E286" s="24"/>
      <c r="F286" s="71"/>
      <c r="G286" s="72"/>
      <c r="H286" s="73"/>
      <c r="I286" s="72"/>
      <c r="J286" s="71"/>
      <c r="K286" s="72"/>
      <c r="L286" s="72"/>
      <c r="M286" s="72"/>
      <c r="N286" s="74"/>
      <c r="O286" s="71"/>
      <c r="P286" s="72"/>
      <c r="Q286" s="72"/>
      <c r="R286" s="72"/>
      <c r="S286" s="74"/>
      <c r="T286" s="75"/>
    </row>
    <row r="287" spans="1:20" x14ac:dyDescent="0.35">
      <c r="A287" s="17"/>
      <c r="B287" s="18"/>
      <c r="C287" s="13"/>
      <c r="D287" s="31"/>
      <c r="E287" s="24"/>
      <c r="F287" s="71"/>
      <c r="G287" s="72"/>
      <c r="H287" s="73"/>
      <c r="I287" s="72"/>
      <c r="J287" s="71"/>
      <c r="K287" s="72"/>
      <c r="L287" s="72"/>
      <c r="M287" s="72"/>
      <c r="N287" s="74"/>
      <c r="O287" s="71"/>
      <c r="P287" s="72"/>
      <c r="Q287" s="72"/>
      <c r="R287" s="72"/>
      <c r="S287" s="74"/>
      <c r="T287" s="75"/>
    </row>
    <row r="288" spans="1:20" x14ac:dyDescent="0.35">
      <c r="A288" s="17"/>
      <c r="B288" s="18"/>
      <c r="C288" s="13"/>
      <c r="D288" s="31"/>
      <c r="E288" s="24"/>
      <c r="F288" s="71"/>
      <c r="G288" s="72"/>
      <c r="H288" s="73"/>
      <c r="I288" s="72"/>
      <c r="J288" s="71"/>
      <c r="K288" s="72"/>
      <c r="L288" s="72"/>
      <c r="M288" s="72"/>
      <c r="N288" s="74"/>
      <c r="O288" s="71"/>
      <c r="P288" s="72"/>
      <c r="Q288" s="72"/>
      <c r="R288" s="72"/>
      <c r="S288" s="74"/>
      <c r="T288" s="75"/>
    </row>
    <row r="289" spans="1:20" x14ac:dyDescent="0.35">
      <c r="A289" s="17"/>
      <c r="B289" s="18"/>
      <c r="C289" s="13"/>
      <c r="D289" s="31"/>
      <c r="E289" s="24"/>
      <c r="F289" s="71"/>
      <c r="G289" s="72"/>
      <c r="H289" s="73"/>
      <c r="I289" s="72"/>
      <c r="J289" s="71"/>
      <c r="K289" s="72"/>
      <c r="L289" s="72"/>
      <c r="M289" s="72"/>
      <c r="N289" s="74"/>
      <c r="O289" s="71"/>
      <c r="P289" s="72"/>
      <c r="Q289" s="72"/>
      <c r="R289" s="72"/>
      <c r="S289" s="74"/>
      <c r="T289" s="75"/>
    </row>
    <row r="290" spans="1:20" x14ac:dyDescent="0.35">
      <c r="A290" s="17"/>
      <c r="B290" s="18"/>
      <c r="C290" s="13"/>
      <c r="D290" s="31"/>
      <c r="E290" s="24"/>
      <c r="F290" s="71"/>
      <c r="G290" s="72"/>
      <c r="H290" s="73"/>
      <c r="I290" s="72"/>
      <c r="J290" s="71"/>
      <c r="K290" s="72"/>
      <c r="L290" s="72"/>
      <c r="M290" s="72"/>
      <c r="N290" s="74"/>
      <c r="O290" s="71"/>
      <c r="P290" s="72"/>
      <c r="Q290" s="72"/>
      <c r="R290" s="72"/>
      <c r="S290" s="74"/>
      <c r="T290" s="75"/>
    </row>
    <row r="291" spans="1:20" x14ac:dyDescent="0.35">
      <c r="A291" s="17"/>
      <c r="B291" s="18"/>
      <c r="C291" s="13"/>
      <c r="D291" s="31"/>
      <c r="E291" s="24"/>
      <c r="F291" s="71"/>
      <c r="G291" s="72"/>
      <c r="H291" s="73"/>
      <c r="I291" s="72"/>
      <c r="J291" s="71"/>
      <c r="K291" s="72"/>
      <c r="L291" s="72"/>
      <c r="M291" s="72"/>
      <c r="N291" s="74"/>
      <c r="O291" s="71"/>
      <c r="P291" s="72"/>
      <c r="Q291" s="72"/>
      <c r="R291" s="72"/>
      <c r="S291" s="74"/>
      <c r="T291" s="75"/>
    </row>
    <row r="292" spans="1:20" x14ac:dyDescent="0.35">
      <c r="A292" s="17"/>
      <c r="B292" s="18"/>
      <c r="C292" s="13"/>
      <c r="D292" s="31"/>
      <c r="E292" s="24"/>
      <c r="F292" s="71"/>
      <c r="G292" s="72"/>
      <c r="H292" s="73"/>
      <c r="I292" s="72"/>
      <c r="J292" s="71"/>
      <c r="K292" s="72"/>
      <c r="L292" s="72"/>
      <c r="M292" s="72"/>
      <c r="N292" s="74"/>
      <c r="O292" s="71"/>
      <c r="P292" s="72"/>
      <c r="Q292" s="72"/>
      <c r="R292" s="72"/>
      <c r="S292" s="74"/>
      <c r="T292" s="75"/>
    </row>
    <row r="293" spans="1:20" x14ac:dyDescent="0.35">
      <c r="A293" s="17"/>
      <c r="B293" s="18"/>
      <c r="C293" s="13"/>
      <c r="D293" s="31"/>
      <c r="E293" s="24"/>
      <c r="F293" s="71"/>
      <c r="G293" s="72"/>
      <c r="H293" s="73"/>
      <c r="I293" s="72"/>
      <c r="J293" s="71"/>
      <c r="K293" s="72"/>
      <c r="L293" s="72"/>
      <c r="M293" s="72"/>
      <c r="N293" s="74"/>
      <c r="O293" s="71"/>
      <c r="P293" s="72"/>
      <c r="Q293" s="72"/>
      <c r="R293" s="72"/>
      <c r="S293" s="74"/>
      <c r="T293" s="75"/>
    </row>
    <row r="294" spans="1:20" x14ac:dyDescent="0.35">
      <c r="A294" s="17"/>
      <c r="B294" s="18"/>
      <c r="C294" s="13"/>
      <c r="D294" s="31"/>
      <c r="E294" s="24"/>
      <c r="F294" s="71"/>
      <c r="G294" s="72"/>
      <c r="H294" s="73"/>
      <c r="I294" s="72"/>
      <c r="J294" s="71"/>
      <c r="K294" s="72"/>
      <c r="L294" s="72"/>
      <c r="M294" s="72"/>
      <c r="N294" s="74"/>
      <c r="O294" s="71"/>
      <c r="P294" s="72"/>
      <c r="Q294" s="72"/>
      <c r="R294" s="72"/>
      <c r="S294" s="74"/>
      <c r="T294" s="75"/>
    </row>
    <row r="295" spans="1:20" x14ac:dyDescent="0.35">
      <c r="A295" s="17"/>
      <c r="B295" s="18"/>
      <c r="C295" s="13"/>
      <c r="D295" s="31"/>
      <c r="E295" s="24"/>
      <c r="F295" s="71"/>
      <c r="G295" s="72"/>
      <c r="H295" s="73"/>
      <c r="I295" s="72"/>
      <c r="J295" s="71"/>
      <c r="K295" s="72"/>
      <c r="L295" s="72"/>
      <c r="M295" s="72"/>
      <c r="N295" s="74"/>
      <c r="O295" s="71"/>
      <c r="P295" s="72"/>
      <c r="Q295" s="72"/>
      <c r="R295" s="72"/>
      <c r="S295" s="74"/>
      <c r="T295" s="75"/>
    </row>
    <row r="296" spans="1:20" x14ac:dyDescent="0.35">
      <c r="A296" s="17"/>
      <c r="B296" s="18"/>
      <c r="C296" s="13"/>
      <c r="D296" s="31"/>
      <c r="E296" s="24"/>
      <c r="F296" s="71"/>
      <c r="G296" s="72"/>
      <c r="H296" s="73"/>
      <c r="I296" s="72"/>
      <c r="J296" s="71"/>
      <c r="K296" s="72"/>
      <c r="L296" s="72"/>
      <c r="M296" s="72"/>
      <c r="N296" s="74"/>
      <c r="O296" s="71"/>
      <c r="P296" s="72"/>
      <c r="Q296" s="72"/>
      <c r="R296" s="72"/>
      <c r="S296" s="74"/>
      <c r="T296" s="75"/>
    </row>
    <row r="297" spans="1:20" x14ac:dyDescent="0.35">
      <c r="A297" s="17"/>
      <c r="B297" s="18"/>
      <c r="C297" s="13"/>
      <c r="D297" s="31"/>
      <c r="E297" s="24"/>
      <c r="F297" s="71"/>
      <c r="G297" s="72"/>
      <c r="H297" s="73"/>
      <c r="I297" s="72"/>
      <c r="J297" s="71"/>
      <c r="K297" s="72"/>
      <c r="L297" s="72"/>
      <c r="M297" s="72"/>
      <c r="N297" s="74"/>
      <c r="O297" s="71"/>
      <c r="P297" s="72"/>
      <c r="Q297" s="72"/>
      <c r="R297" s="72"/>
      <c r="S297" s="74"/>
      <c r="T297" s="75"/>
    </row>
    <row r="298" spans="1:20" x14ac:dyDescent="0.35">
      <c r="A298" s="17"/>
      <c r="B298" s="18"/>
      <c r="C298" s="13"/>
      <c r="D298" s="31"/>
      <c r="E298" s="24"/>
      <c r="F298" s="71"/>
      <c r="G298" s="72"/>
      <c r="H298" s="73"/>
      <c r="I298" s="72"/>
      <c r="J298" s="71"/>
      <c r="K298" s="72"/>
      <c r="L298" s="72"/>
      <c r="M298" s="72"/>
      <c r="N298" s="74"/>
      <c r="O298" s="71"/>
      <c r="P298" s="72"/>
      <c r="Q298" s="72"/>
      <c r="R298" s="72"/>
      <c r="S298" s="74"/>
      <c r="T298" s="75"/>
    </row>
    <row r="299" spans="1:20" x14ac:dyDescent="0.35">
      <c r="A299" s="17"/>
      <c r="B299" s="18"/>
      <c r="C299" s="13"/>
      <c r="D299" s="31"/>
      <c r="E299" s="24"/>
      <c r="F299" s="71"/>
      <c r="G299" s="72"/>
      <c r="H299" s="73"/>
      <c r="I299" s="72"/>
      <c r="J299" s="71"/>
      <c r="K299" s="72"/>
      <c r="L299" s="72"/>
      <c r="M299" s="72"/>
      <c r="N299" s="74"/>
      <c r="O299" s="71"/>
      <c r="P299" s="72"/>
      <c r="Q299" s="72"/>
      <c r="R299" s="72"/>
      <c r="S299" s="74"/>
      <c r="T299" s="75"/>
    </row>
    <row r="300" spans="1:20" x14ac:dyDescent="0.35">
      <c r="A300" s="17"/>
      <c r="B300" s="18"/>
      <c r="C300" s="13"/>
      <c r="D300" s="31"/>
      <c r="E300" s="24"/>
      <c r="F300" s="71"/>
      <c r="G300" s="72"/>
      <c r="H300" s="73"/>
      <c r="I300" s="72"/>
      <c r="J300" s="71"/>
      <c r="K300" s="72"/>
      <c r="L300" s="72"/>
      <c r="M300" s="72"/>
      <c r="N300" s="74"/>
      <c r="O300" s="71"/>
      <c r="P300" s="72"/>
      <c r="Q300" s="72"/>
      <c r="R300" s="72"/>
      <c r="S300" s="74"/>
      <c r="T300" s="75"/>
    </row>
    <row r="301" spans="1:20" x14ac:dyDescent="0.35">
      <c r="A301" s="17"/>
      <c r="B301" s="18"/>
      <c r="C301" s="13"/>
      <c r="D301" s="31"/>
      <c r="E301" s="24"/>
      <c r="F301" s="71"/>
      <c r="G301" s="72"/>
      <c r="H301" s="73"/>
      <c r="I301" s="72"/>
      <c r="J301" s="71"/>
      <c r="K301" s="72"/>
      <c r="L301" s="72"/>
      <c r="M301" s="72"/>
      <c r="N301" s="74"/>
      <c r="O301" s="71"/>
      <c r="P301" s="72"/>
      <c r="Q301" s="72"/>
      <c r="R301" s="72"/>
      <c r="S301" s="74"/>
      <c r="T301" s="75"/>
    </row>
    <row r="302" spans="1:20" x14ac:dyDescent="0.35">
      <c r="A302" s="17"/>
      <c r="B302" s="18"/>
      <c r="C302" s="13"/>
      <c r="D302" s="31"/>
      <c r="E302" s="24"/>
      <c r="F302" s="71"/>
      <c r="G302" s="72"/>
      <c r="H302" s="73"/>
      <c r="I302" s="72"/>
      <c r="J302" s="71"/>
      <c r="K302" s="72"/>
      <c r="L302" s="72"/>
      <c r="M302" s="72"/>
      <c r="N302" s="74"/>
      <c r="O302" s="71"/>
      <c r="P302" s="72"/>
      <c r="Q302" s="72"/>
      <c r="R302" s="72"/>
      <c r="S302" s="74"/>
      <c r="T302" s="75"/>
    </row>
    <row r="303" spans="1:20" x14ac:dyDescent="0.35">
      <c r="A303" s="17"/>
      <c r="B303" s="18"/>
      <c r="C303" s="13"/>
      <c r="D303" s="31"/>
      <c r="E303" s="24"/>
      <c r="F303" s="71"/>
      <c r="G303" s="72"/>
      <c r="H303" s="73"/>
      <c r="I303" s="72"/>
      <c r="J303" s="71"/>
      <c r="K303" s="72"/>
      <c r="L303" s="72"/>
      <c r="M303" s="72"/>
      <c r="N303" s="74"/>
      <c r="O303" s="71"/>
      <c r="P303" s="72"/>
      <c r="Q303" s="72"/>
      <c r="R303" s="72"/>
      <c r="S303" s="74"/>
      <c r="T303" s="75"/>
    </row>
    <row r="304" spans="1:20" x14ac:dyDescent="0.35">
      <c r="A304" s="17"/>
      <c r="B304" s="18"/>
      <c r="C304" s="13"/>
      <c r="D304" s="31"/>
      <c r="E304" s="24"/>
      <c r="F304" s="71"/>
      <c r="G304" s="72"/>
      <c r="H304" s="73"/>
      <c r="I304" s="72"/>
      <c r="J304" s="71"/>
      <c r="K304" s="72"/>
      <c r="L304" s="72"/>
      <c r="M304" s="72"/>
      <c r="N304" s="74"/>
      <c r="O304" s="71"/>
      <c r="P304" s="72"/>
      <c r="Q304" s="72"/>
      <c r="R304" s="72"/>
      <c r="S304" s="74"/>
      <c r="T304" s="75"/>
    </row>
    <row r="305" spans="1:20" x14ac:dyDescent="0.35">
      <c r="A305" s="17"/>
      <c r="B305" s="18"/>
      <c r="C305" s="13"/>
      <c r="D305" s="31"/>
      <c r="E305" s="24"/>
      <c r="F305" s="71"/>
      <c r="G305" s="72"/>
      <c r="H305" s="73"/>
      <c r="I305" s="72"/>
      <c r="J305" s="71"/>
      <c r="K305" s="72"/>
      <c r="L305" s="72"/>
      <c r="M305" s="72"/>
      <c r="N305" s="74"/>
      <c r="O305" s="71"/>
      <c r="P305" s="72"/>
      <c r="Q305" s="72"/>
      <c r="R305" s="72"/>
      <c r="S305" s="74"/>
      <c r="T305" s="75"/>
    </row>
    <row r="306" spans="1:20" x14ac:dyDescent="0.35">
      <c r="A306" s="17"/>
      <c r="B306" s="18"/>
      <c r="C306" s="13"/>
      <c r="D306" s="31"/>
      <c r="E306" s="24"/>
      <c r="F306" s="71"/>
      <c r="G306" s="72"/>
      <c r="H306" s="73"/>
      <c r="I306" s="72"/>
      <c r="J306" s="71"/>
      <c r="K306" s="72"/>
      <c r="L306" s="72"/>
      <c r="M306" s="72"/>
      <c r="N306" s="74"/>
      <c r="O306" s="71"/>
      <c r="P306" s="72"/>
      <c r="Q306" s="72"/>
      <c r="R306" s="72"/>
      <c r="S306" s="74"/>
      <c r="T306" s="75"/>
    </row>
    <row r="307" spans="1:20" x14ac:dyDescent="0.35">
      <c r="A307" s="17"/>
      <c r="B307" s="18"/>
      <c r="C307" s="13"/>
      <c r="D307" s="31"/>
      <c r="E307" s="24"/>
      <c r="F307" s="71"/>
      <c r="G307" s="72"/>
      <c r="H307" s="73"/>
      <c r="I307" s="72"/>
      <c r="J307" s="71"/>
      <c r="K307" s="72"/>
      <c r="L307" s="72"/>
      <c r="M307" s="72"/>
      <c r="N307" s="74"/>
      <c r="O307" s="71"/>
      <c r="P307" s="72"/>
      <c r="Q307" s="72"/>
      <c r="R307" s="72"/>
      <c r="S307" s="74"/>
      <c r="T307" s="75"/>
    </row>
    <row r="308" spans="1:20" x14ac:dyDescent="0.35">
      <c r="A308" s="17"/>
      <c r="B308" s="18"/>
      <c r="C308" s="13"/>
      <c r="D308" s="31"/>
      <c r="E308" s="24"/>
      <c r="F308" s="71"/>
      <c r="G308" s="72"/>
      <c r="H308" s="73"/>
      <c r="I308" s="72"/>
      <c r="J308" s="71"/>
      <c r="K308" s="72"/>
      <c r="L308" s="72"/>
      <c r="M308" s="72"/>
      <c r="N308" s="74"/>
      <c r="O308" s="71"/>
      <c r="P308" s="72"/>
      <c r="Q308" s="72"/>
      <c r="R308" s="72"/>
      <c r="S308" s="74"/>
      <c r="T308" s="75"/>
    </row>
    <row r="309" spans="1:20" x14ac:dyDescent="0.35">
      <c r="A309" s="17"/>
      <c r="B309" s="18"/>
      <c r="C309" s="13"/>
      <c r="D309" s="31"/>
      <c r="E309" s="24"/>
      <c r="F309" s="71"/>
      <c r="G309" s="72"/>
      <c r="H309" s="73"/>
      <c r="I309" s="72"/>
      <c r="J309" s="71"/>
      <c r="K309" s="72"/>
      <c r="L309" s="72"/>
      <c r="M309" s="72"/>
      <c r="N309" s="74"/>
      <c r="O309" s="71"/>
      <c r="P309" s="72"/>
      <c r="Q309" s="72"/>
      <c r="R309" s="72"/>
      <c r="S309" s="74"/>
      <c r="T309" s="75"/>
    </row>
    <row r="310" spans="1:20" x14ac:dyDescent="0.35">
      <c r="A310" s="17"/>
      <c r="B310" s="18"/>
      <c r="C310" s="13"/>
      <c r="D310" s="31"/>
      <c r="E310" s="24"/>
      <c r="F310" s="71"/>
      <c r="G310" s="72"/>
      <c r="H310" s="73"/>
      <c r="I310" s="72"/>
      <c r="J310" s="71"/>
      <c r="K310" s="72"/>
      <c r="L310" s="72"/>
      <c r="M310" s="72"/>
      <c r="N310" s="74"/>
      <c r="O310" s="71"/>
      <c r="P310" s="72"/>
      <c r="Q310" s="72"/>
      <c r="R310" s="72"/>
      <c r="S310" s="74"/>
      <c r="T310" s="75"/>
    </row>
    <row r="311" spans="1:20" x14ac:dyDescent="0.35">
      <c r="A311" s="17"/>
      <c r="B311" s="18"/>
      <c r="C311" s="13"/>
      <c r="D311" s="31"/>
      <c r="E311" s="24"/>
      <c r="F311" s="71"/>
      <c r="G311" s="72"/>
      <c r="H311" s="73"/>
      <c r="I311" s="72"/>
      <c r="J311" s="71"/>
      <c r="K311" s="72"/>
      <c r="L311" s="72"/>
      <c r="M311" s="72"/>
      <c r="N311" s="74"/>
      <c r="O311" s="71"/>
      <c r="P311" s="72"/>
      <c r="Q311" s="72"/>
      <c r="R311" s="72"/>
      <c r="S311" s="74"/>
      <c r="T311" s="75"/>
    </row>
    <row r="312" spans="1:20" x14ac:dyDescent="0.35">
      <c r="A312" s="17"/>
      <c r="B312" s="18"/>
      <c r="C312" s="13"/>
      <c r="D312" s="31"/>
      <c r="E312" s="24"/>
      <c r="F312" s="71"/>
      <c r="G312" s="72"/>
      <c r="H312" s="73"/>
      <c r="I312" s="72"/>
      <c r="J312" s="71"/>
      <c r="K312" s="72"/>
      <c r="L312" s="72"/>
      <c r="M312" s="72"/>
      <c r="N312" s="74"/>
      <c r="O312" s="71"/>
      <c r="P312" s="72"/>
      <c r="Q312" s="72"/>
      <c r="R312" s="72"/>
      <c r="S312" s="74"/>
      <c r="T312" s="75"/>
    </row>
    <row r="313" spans="1:20" x14ac:dyDescent="0.35">
      <c r="A313" s="17"/>
      <c r="B313" s="18"/>
      <c r="C313" s="13"/>
      <c r="D313" s="31"/>
      <c r="E313" s="24"/>
      <c r="F313" s="71"/>
      <c r="G313" s="72"/>
      <c r="H313" s="73"/>
      <c r="I313" s="72"/>
      <c r="J313" s="71"/>
      <c r="K313" s="72"/>
      <c r="L313" s="72"/>
      <c r="M313" s="72"/>
      <c r="N313" s="74"/>
      <c r="O313" s="71"/>
      <c r="P313" s="72"/>
      <c r="Q313" s="72"/>
      <c r="R313" s="72"/>
      <c r="S313" s="74"/>
      <c r="T313" s="75"/>
    </row>
    <row r="314" spans="1:20" x14ac:dyDescent="0.35">
      <c r="A314" s="17"/>
      <c r="B314" s="18"/>
      <c r="C314" s="13"/>
      <c r="D314" s="31"/>
      <c r="E314" s="24"/>
      <c r="F314" s="71"/>
      <c r="G314" s="72"/>
      <c r="H314" s="73"/>
      <c r="I314" s="72"/>
      <c r="J314" s="71"/>
      <c r="K314" s="72"/>
      <c r="L314" s="72"/>
      <c r="M314" s="72"/>
      <c r="N314" s="74"/>
      <c r="O314" s="71"/>
      <c r="P314" s="72"/>
      <c r="Q314" s="72"/>
      <c r="R314" s="72"/>
      <c r="S314" s="74"/>
      <c r="T314" s="75"/>
    </row>
    <row r="315" spans="1:20" x14ac:dyDescent="0.35">
      <c r="A315" s="17"/>
      <c r="B315" s="18"/>
      <c r="C315" s="13"/>
      <c r="D315" s="31"/>
      <c r="E315" s="24"/>
      <c r="F315" s="71"/>
      <c r="G315" s="72"/>
      <c r="H315" s="73"/>
      <c r="I315" s="72"/>
      <c r="J315" s="71"/>
      <c r="K315" s="72"/>
      <c r="L315" s="72"/>
      <c r="M315" s="72"/>
      <c r="N315" s="74"/>
      <c r="O315" s="71"/>
      <c r="P315" s="72"/>
      <c r="Q315" s="72"/>
      <c r="R315" s="72"/>
      <c r="S315" s="74"/>
      <c r="T315" s="75"/>
    </row>
    <row r="316" spans="1:20" x14ac:dyDescent="0.35">
      <c r="A316" s="17"/>
      <c r="B316" s="18"/>
      <c r="C316" s="13"/>
      <c r="D316" s="31"/>
      <c r="E316" s="24"/>
      <c r="F316" s="71"/>
      <c r="G316" s="72"/>
      <c r="H316" s="73"/>
      <c r="I316" s="72"/>
      <c r="J316" s="71"/>
      <c r="K316" s="72"/>
      <c r="L316" s="72"/>
      <c r="M316" s="72"/>
      <c r="N316" s="74"/>
      <c r="O316" s="71"/>
      <c r="P316" s="72"/>
      <c r="Q316" s="72"/>
      <c r="R316" s="72"/>
      <c r="S316" s="74"/>
      <c r="T316" s="75"/>
    </row>
    <row r="317" spans="1:20" x14ac:dyDescent="0.35">
      <c r="A317" s="17"/>
      <c r="B317" s="18"/>
      <c r="C317" s="13"/>
      <c r="D317" s="31"/>
      <c r="E317" s="24"/>
      <c r="F317" s="71"/>
      <c r="G317" s="72"/>
      <c r="H317" s="73"/>
      <c r="I317" s="72"/>
      <c r="J317" s="71"/>
      <c r="K317" s="72"/>
      <c r="L317" s="72"/>
      <c r="M317" s="72"/>
      <c r="N317" s="74"/>
      <c r="O317" s="71"/>
      <c r="P317" s="72"/>
      <c r="Q317" s="72"/>
      <c r="R317" s="72"/>
      <c r="S317" s="74"/>
      <c r="T317" s="75"/>
    </row>
    <row r="318" spans="1:20" x14ac:dyDescent="0.35">
      <c r="A318" s="17"/>
      <c r="B318" s="18"/>
      <c r="C318" s="13"/>
      <c r="D318" s="31"/>
      <c r="E318" s="24"/>
      <c r="F318" s="71"/>
      <c r="G318" s="72"/>
      <c r="H318" s="73"/>
      <c r="I318" s="72"/>
      <c r="J318" s="71"/>
      <c r="K318" s="72"/>
      <c r="L318" s="72"/>
      <c r="M318" s="72"/>
      <c r="N318" s="74"/>
      <c r="O318" s="71"/>
      <c r="P318" s="72"/>
      <c r="Q318" s="72"/>
      <c r="R318" s="72"/>
      <c r="S318" s="74"/>
      <c r="T318" s="75"/>
    </row>
    <row r="319" spans="1:20" x14ac:dyDescent="0.35">
      <c r="A319" s="17"/>
      <c r="B319" s="18"/>
      <c r="C319" s="13"/>
      <c r="D319" s="31"/>
      <c r="E319" s="24"/>
      <c r="F319" s="71"/>
      <c r="G319" s="72"/>
      <c r="H319" s="73"/>
      <c r="I319" s="72"/>
      <c r="J319" s="71"/>
      <c r="K319" s="72"/>
      <c r="L319" s="72"/>
      <c r="M319" s="72"/>
      <c r="N319" s="74"/>
      <c r="O319" s="71"/>
      <c r="P319" s="72"/>
      <c r="Q319" s="72"/>
      <c r="R319" s="72"/>
      <c r="S319" s="74"/>
      <c r="T319" s="75"/>
    </row>
    <row r="320" spans="1:20" x14ac:dyDescent="0.35">
      <c r="A320" s="17"/>
      <c r="B320" s="18"/>
      <c r="C320" s="13"/>
      <c r="D320" s="31"/>
      <c r="E320" s="24"/>
      <c r="F320" s="71"/>
      <c r="G320" s="72"/>
      <c r="H320" s="73"/>
      <c r="I320" s="72"/>
      <c r="J320" s="71"/>
      <c r="K320" s="72"/>
      <c r="L320" s="72"/>
      <c r="M320" s="72"/>
      <c r="N320" s="74"/>
      <c r="O320" s="71"/>
      <c r="P320" s="72"/>
      <c r="Q320" s="72"/>
      <c r="R320" s="72"/>
      <c r="S320" s="74"/>
      <c r="T320" s="75"/>
    </row>
    <row r="321" spans="1:20" x14ac:dyDescent="0.35">
      <c r="A321" s="17"/>
      <c r="B321" s="18"/>
      <c r="C321" s="13"/>
      <c r="D321" s="31"/>
      <c r="E321" s="24"/>
      <c r="F321" s="71"/>
      <c r="G321" s="72"/>
      <c r="H321" s="73"/>
      <c r="I321" s="72"/>
      <c r="J321" s="71"/>
      <c r="K321" s="72"/>
      <c r="L321" s="72"/>
      <c r="M321" s="72"/>
      <c r="N321" s="74"/>
      <c r="O321" s="71"/>
      <c r="P321" s="72"/>
      <c r="Q321" s="72"/>
      <c r="R321" s="72"/>
      <c r="S321" s="74"/>
      <c r="T321" s="75"/>
    </row>
    <row r="322" spans="1:20" x14ac:dyDescent="0.35">
      <c r="A322" s="17"/>
      <c r="B322" s="18"/>
      <c r="C322" s="13"/>
      <c r="D322" s="31"/>
      <c r="E322" s="24"/>
      <c r="F322" s="71"/>
      <c r="G322" s="72"/>
      <c r="H322" s="73"/>
      <c r="I322" s="72"/>
      <c r="J322" s="71"/>
      <c r="K322" s="72"/>
      <c r="L322" s="72"/>
      <c r="M322" s="72"/>
      <c r="N322" s="74"/>
      <c r="O322" s="71"/>
      <c r="P322" s="72"/>
      <c r="Q322" s="72"/>
      <c r="R322" s="72"/>
      <c r="S322" s="74"/>
      <c r="T322" s="75"/>
    </row>
    <row r="323" spans="1:20" x14ac:dyDescent="0.35">
      <c r="A323" s="17"/>
      <c r="B323" s="18"/>
      <c r="C323" s="13"/>
      <c r="D323" s="31"/>
      <c r="E323" s="24"/>
      <c r="F323" s="71"/>
      <c r="G323" s="72"/>
      <c r="H323" s="73"/>
      <c r="I323" s="72"/>
      <c r="J323" s="71"/>
      <c r="K323" s="72"/>
      <c r="L323" s="72"/>
      <c r="M323" s="72"/>
      <c r="N323" s="74"/>
      <c r="O323" s="71"/>
      <c r="P323" s="72"/>
      <c r="Q323" s="72"/>
      <c r="R323" s="72"/>
      <c r="S323" s="74"/>
      <c r="T323" s="75"/>
    </row>
    <row r="324" spans="1:20" x14ac:dyDescent="0.35">
      <c r="A324" s="17"/>
      <c r="B324" s="18"/>
      <c r="C324" s="13"/>
      <c r="D324" s="31"/>
      <c r="E324" s="24"/>
      <c r="F324" s="71"/>
      <c r="G324" s="72"/>
      <c r="H324" s="73"/>
      <c r="I324" s="72"/>
      <c r="J324" s="71"/>
      <c r="K324" s="72"/>
      <c r="L324" s="72"/>
      <c r="M324" s="72"/>
      <c r="N324" s="74"/>
      <c r="O324" s="71"/>
      <c r="P324" s="72"/>
      <c r="Q324" s="72"/>
      <c r="R324" s="72"/>
      <c r="S324" s="74"/>
      <c r="T324" s="75"/>
    </row>
    <row r="325" spans="1:20" x14ac:dyDescent="0.35">
      <c r="A325" s="17"/>
      <c r="B325" s="18"/>
      <c r="C325" s="13"/>
      <c r="D325" s="31"/>
      <c r="E325" s="24"/>
      <c r="F325" s="71"/>
      <c r="G325" s="72"/>
      <c r="H325" s="73"/>
      <c r="I325" s="72"/>
      <c r="J325" s="71"/>
      <c r="K325" s="72"/>
      <c r="L325" s="72"/>
      <c r="M325" s="72"/>
      <c r="N325" s="74"/>
      <c r="O325" s="71"/>
      <c r="P325" s="72"/>
      <c r="Q325" s="72"/>
      <c r="R325" s="72"/>
      <c r="S325" s="74"/>
      <c r="T325" s="75"/>
    </row>
    <row r="326" spans="1:20" x14ac:dyDescent="0.35">
      <c r="A326" s="17"/>
      <c r="B326" s="18"/>
      <c r="C326" s="13"/>
      <c r="D326" s="31"/>
      <c r="E326" s="24"/>
      <c r="F326" s="71"/>
      <c r="G326" s="72"/>
      <c r="H326" s="73"/>
      <c r="I326" s="72"/>
      <c r="J326" s="71"/>
      <c r="K326" s="72"/>
      <c r="L326" s="72"/>
      <c r="M326" s="72"/>
      <c r="N326" s="74"/>
      <c r="O326" s="71"/>
      <c r="P326" s="72"/>
      <c r="Q326" s="72"/>
      <c r="R326" s="72"/>
      <c r="S326" s="74"/>
      <c r="T326" s="75"/>
    </row>
    <row r="327" spans="1:20" x14ac:dyDescent="0.35">
      <c r="A327" s="17"/>
      <c r="B327" s="18"/>
      <c r="C327" s="13"/>
      <c r="D327" s="31"/>
      <c r="E327" s="24"/>
      <c r="F327" s="71"/>
      <c r="G327" s="72"/>
      <c r="H327" s="73"/>
      <c r="I327" s="72"/>
      <c r="J327" s="71"/>
      <c r="K327" s="72"/>
      <c r="L327" s="72"/>
      <c r="M327" s="72"/>
      <c r="N327" s="74"/>
      <c r="O327" s="71"/>
      <c r="P327" s="72"/>
      <c r="Q327" s="72"/>
      <c r="R327" s="72"/>
      <c r="S327" s="74"/>
      <c r="T327" s="75"/>
    </row>
    <row r="328" spans="1:20" x14ac:dyDescent="0.35">
      <c r="A328" s="17"/>
      <c r="B328" s="18"/>
      <c r="C328" s="13"/>
      <c r="D328" s="31"/>
      <c r="E328" s="24"/>
      <c r="F328" s="71"/>
      <c r="G328" s="72"/>
      <c r="H328" s="73"/>
      <c r="I328" s="72"/>
      <c r="J328" s="71"/>
      <c r="K328" s="72"/>
      <c r="L328" s="72"/>
      <c r="M328" s="72"/>
      <c r="N328" s="74"/>
      <c r="O328" s="71"/>
      <c r="P328" s="72"/>
      <c r="Q328" s="72"/>
      <c r="R328" s="72"/>
      <c r="S328" s="74"/>
      <c r="T328" s="75"/>
    </row>
    <row r="329" spans="1:20" x14ac:dyDescent="0.35">
      <c r="A329" s="17"/>
      <c r="B329" s="18"/>
      <c r="C329" s="13"/>
      <c r="D329" s="31"/>
      <c r="E329" s="24"/>
      <c r="F329" s="71"/>
      <c r="G329" s="72"/>
      <c r="H329" s="73"/>
      <c r="I329" s="72"/>
      <c r="J329" s="71"/>
      <c r="K329" s="72"/>
      <c r="L329" s="72"/>
      <c r="M329" s="72"/>
      <c r="N329" s="74"/>
      <c r="O329" s="71"/>
      <c r="P329" s="72"/>
      <c r="Q329" s="72"/>
      <c r="R329" s="72"/>
      <c r="S329" s="74"/>
      <c r="T329" s="75"/>
    </row>
    <row r="330" spans="1:20" x14ac:dyDescent="0.35">
      <c r="A330" s="17"/>
      <c r="B330" s="18"/>
      <c r="C330" s="13"/>
      <c r="D330" s="31"/>
      <c r="E330" s="24"/>
      <c r="F330" s="71"/>
      <c r="G330" s="72"/>
      <c r="H330" s="73"/>
      <c r="I330" s="72"/>
      <c r="J330" s="71"/>
      <c r="K330" s="72"/>
      <c r="L330" s="72"/>
      <c r="M330" s="72"/>
      <c r="N330" s="74"/>
      <c r="O330" s="71"/>
      <c r="P330" s="72"/>
      <c r="Q330" s="72"/>
      <c r="R330" s="72"/>
      <c r="S330" s="74"/>
      <c r="T330" s="75"/>
    </row>
    <row r="331" spans="1:20" x14ac:dyDescent="0.35">
      <c r="A331" s="17"/>
      <c r="B331" s="18"/>
      <c r="C331" s="13"/>
      <c r="D331" s="31"/>
      <c r="E331" s="24"/>
      <c r="F331" s="71"/>
      <c r="G331" s="72"/>
      <c r="H331" s="73"/>
      <c r="I331" s="72"/>
      <c r="J331" s="71"/>
      <c r="K331" s="72"/>
      <c r="L331" s="72"/>
      <c r="M331" s="72"/>
      <c r="N331" s="74"/>
      <c r="O331" s="71"/>
      <c r="P331" s="72"/>
      <c r="Q331" s="72"/>
      <c r="R331" s="72"/>
      <c r="S331" s="74"/>
      <c r="T331" s="75"/>
    </row>
    <row r="332" spans="1:20" x14ac:dyDescent="0.35">
      <c r="A332" s="17"/>
      <c r="B332" s="18"/>
      <c r="C332" s="13"/>
      <c r="D332" s="31"/>
      <c r="E332" s="24"/>
      <c r="F332" s="71"/>
      <c r="G332" s="72"/>
      <c r="H332" s="73"/>
      <c r="I332" s="72"/>
      <c r="J332" s="71"/>
      <c r="K332" s="72"/>
      <c r="L332" s="72"/>
      <c r="M332" s="72"/>
      <c r="N332" s="74"/>
      <c r="O332" s="71"/>
      <c r="P332" s="72"/>
      <c r="Q332" s="72"/>
      <c r="R332" s="72"/>
      <c r="S332" s="74"/>
      <c r="T332" s="75"/>
    </row>
    <row r="333" spans="1:20" x14ac:dyDescent="0.35">
      <c r="A333" s="17"/>
      <c r="B333" s="18"/>
      <c r="C333" s="13"/>
      <c r="D333" s="31"/>
      <c r="E333" s="24"/>
      <c r="F333" s="71"/>
      <c r="G333" s="72"/>
      <c r="H333" s="73"/>
      <c r="I333" s="72"/>
      <c r="J333" s="71"/>
      <c r="K333" s="72"/>
      <c r="L333" s="72"/>
      <c r="M333" s="72"/>
      <c r="N333" s="74"/>
      <c r="O333" s="71"/>
      <c r="P333" s="72"/>
      <c r="Q333" s="72"/>
      <c r="R333" s="72"/>
      <c r="S333" s="74"/>
      <c r="T333" s="75"/>
    </row>
    <row r="334" spans="1:20" x14ac:dyDescent="0.35">
      <c r="A334" s="17"/>
      <c r="B334" s="18"/>
      <c r="C334" s="13"/>
      <c r="D334" s="31"/>
      <c r="E334" s="24"/>
      <c r="F334" s="71"/>
      <c r="G334" s="72"/>
      <c r="H334" s="73"/>
      <c r="I334" s="72"/>
      <c r="J334" s="71"/>
      <c r="K334" s="72"/>
      <c r="L334" s="72"/>
      <c r="M334" s="72"/>
      <c r="N334" s="74"/>
      <c r="O334" s="71"/>
      <c r="P334" s="72"/>
      <c r="Q334" s="72"/>
      <c r="R334" s="72"/>
      <c r="S334" s="74"/>
      <c r="T334" s="75"/>
    </row>
    <row r="335" spans="1:20" x14ac:dyDescent="0.35">
      <c r="A335" s="17"/>
      <c r="B335" s="18"/>
      <c r="C335" s="13"/>
      <c r="D335" s="31"/>
      <c r="E335" s="24"/>
      <c r="F335" s="71"/>
      <c r="G335" s="72"/>
      <c r="H335" s="73"/>
      <c r="I335" s="72"/>
      <c r="J335" s="71"/>
      <c r="K335" s="72"/>
      <c r="L335" s="72"/>
      <c r="M335" s="72"/>
      <c r="N335" s="74"/>
      <c r="O335" s="71"/>
      <c r="P335" s="72"/>
      <c r="Q335" s="72"/>
      <c r="R335" s="72"/>
      <c r="S335" s="74"/>
      <c r="T335" s="75"/>
    </row>
    <row r="336" spans="1:20" x14ac:dyDescent="0.35">
      <c r="A336" s="17"/>
      <c r="B336" s="18"/>
      <c r="C336" s="13"/>
      <c r="D336" s="31"/>
      <c r="E336" s="24"/>
      <c r="F336" s="71"/>
      <c r="G336" s="72"/>
      <c r="H336" s="73"/>
      <c r="I336" s="72"/>
      <c r="J336" s="71"/>
      <c r="K336" s="72"/>
      <c r="L336" s="72"/>
      <c r="M336" s="72"/>
      <c r="N336" s="74"/>
      <c r="O336" s="71"/>
      <c r="P336" s="72"/>
      <c r="Q336" s="72"/>
      <c r="R336" s="72"/>
      <c r="S336" s="74"/>
      <c r="T336" s="75"/>
    </row>
    <row r="337" spans="1:20" x14ac:dyDescent="0.35">
      <c r="A337" s="17"/>
      <c r="B337" s="18"/>
      <c r="C337" s="13"/>
      <c r="D337" s="31"/>
      <c r="E337" s="24"/>
      <c r="F337" s="71"/>
      <c r="G337" s="72"/>
      <c r="H337" s="73"/>
      <c r="I337" s="72"/>
      <c r="J337" s="71"/>
      <c r="K337" s="72"/>
      <c r="L337" s="72"/>
      <c r="M337" s="72"/>
      <c r="N337" s="74"/>
      <c r="O337" s="71"/>
      <c r="P337" s="72"/>
      <c r="Q337" s="72"/>
      <c r="R337" s="72"/>
      <c r="S337" s="74"/>
      <c r="T337" s="75"/>
    </row>
    <row r="338" spans="1:20" x14ac:dyDescent="0.35">
      <c r="A338" s="17"/>
      <c r="B338" s="18"/>
      <c r="C338" s="13"/>
      <c r="D338" s="31"/>
      <c r="E338" s="24"/>
      <c r="F338" s="71"/>
      <c r="G338" s="72"/>
      <c r="H338" s="73"/>
      <c r="I338" s="72"/>
      <c r="J338" s="71"/>
      <c r="K338" s="72"/>
      <c r="L338" s="72"/>
      <c r="M338" s="72"/>
      <c r="N338" s="74"/>
      <c r="O338" s="71"/>
      <c r="P338" s="72"/>
      <c r="Q338" s="72"/>
      <c r="R338" s="72"/>
      <c r="S338" s="74"/>
      <c r="T338" s="75"/>
    </row>
    <row r="339" spans="1:20" x14ac:dyDescent="0.35">
      <c r="A339" s="17"/>
      <c r="B339" s="18"/>
      <c r="C339" s="13"/>
      <c r="D339" s="31"/>
      <c r="E339" s="24"/>
      <c r="F339" s="71"/>
      <c r="G339" s="72"/>
      <c r="H339" s="73"/>
      <c r="I339" s="72"/>
      <c r="J339" s="71"/>
      <c r="K339" s="72"/>
      <c r="L339" s="72"/>
      <c r="M339" s="72"/>
      <c r="N339" s="74"/>
      <c r="O339" s="71"/>
      <c r="P339" s="72"/>
      <c r="Q339" s="72"/>
      <c r="R339" s="72"/>
      <c r="S339" s="74"/>
      <c r="T339" s="75"/>
    </row>
    <row r="340" spans="1:20" x14ac:dyDescent="0.35">
      <c r="A340" s="17"/>
      <c r="B340" s="18"/>
      <c r="C340" s="13"/>
      <c r="D340" s="31"/>
      <c r="E340" s="24"/>
      <c r="F340" s="71"/>
      <c r="G340" s="72"/>
      <c r="H340" s="73"/>
      <c r="I340" s="72"/>
      <c r="J340" s="71"/>
      <c r="K340" s="72"/>
      <c r="L340" s="72"/>
      <c r="M340" s="72"/>
      <c r="N340" s="74"/>
      <c r="O340" s="71"/>
      <c r="P340" s="72"/>
      <c r="Q340" s="72"/>
      <c r="R340" s="72"/>
      <c r="S340" s="74"/>
      <c r="T340" s="75"/>
    </row>
    <row r="341" spans="1:20" x14ac:dyDescent="0.35">
      <c r="A341" s="17"/>
      <c r="B341" s="18"/>
      <c r="C341" s="13"/>
      <c r="D341" s="31"/>
      <c r="E341" s="24"/>
      <c r="F341" s="71"/>
      <c r="G341" s="72"/>
      <c r="H341" s="73"/>
      <c r="I341" s="72"/>
      <c r="J341" s="71"/>
      <c r="K341" s="72"/>
      <c r="L341" s="72"/>
      <c r="M341" s="72"/>
      <c r="N341" s="74"/>
      <c r="O341" s="71"/>
      <c r="P341" s="72"/>
      <c r="Q341" s="72"/>
      <c r="R341" s="72"/>
      <c r="S341" s="74"/>
      <c r="T341" s="75"/>
    </row>
    <row r="342" spans="1:20" x14ac:dyDescent="0.35">
      <c r="A342" s="17"/>
      <c r="B342" s="18"/>
      <c r="C342" s="13"/>
      <c r="D342" s="31"/>
      <c r="E342" s="24"/>
      <c r="F342" s="71"/>
      <c r="G342" s="72"/>
      <c r="H342" s="73"/>
      <c r="I342" s="72"/>
      <c r="J342" s="71"/>
      <c r="K342" s="72"/>
      <c r="L342" s="72"/>
      <c r="M342" s="72"/>
      <c r="N342" s="74"/>
      <c r="O342" s="71"/>
      <c r="P342" s="72"/>
      <c r="Q342" s="72"/>
      <c r="R342" s="72"/>
      <c r="S342" s="74"/>
      <c r="T342" s="75"/>
    </row>
    <row r="343" spans="1:20" x14ac:dyDescent="0.35">
      <c r="A343" s="17"/>
      <c r="B343" s="18"/>
      <c r="C343" s="13"/>
      <c r="D343" s="31"/>
      <c r="E343" s="24"/>
      <c r="F343" s="71"/>
      <c r="G343" s="72"/>
      <c r="H343" s="73"/>
      <c r="I343" s="72"/>
      <c r="J343" s="71"/>
      <c r="K343" s="72"/>
      <c r="L343" s="72"/>
      <c r="M343" s="72"/>
      <c r="N343" s="74"/>
      <c r="O343" s="71"/>
      <c r="P343" s="72"/>
      <c r="Q343" s="72"/>
      <c r="R343" s="72"/>
      <c r="S343" s="74"/>
      <c r="T343" s="75"/>
    </row>
    <row r="344" spans="1:20" x14ac:dyDescent="0.35">
      <c r="A344" s="17"/>
      <c r="B344" s="18"/>
      <c r="C344" s="13"/>
      <c r="D344" s="31"/>
      <c r="E344" s="24"/>
      <c r="F344" s="71"/>
      <c r="G344" s="72"/>
      <c r="H344" s="73"/>
      <c r="I344" s="72"/>
      <c r="J344" s="71"/>
      <c r="K344" s="72"/>
      <c r="L344" s="72"/>
      <c r="M344" s="72"/>
      <c r="N344" s="74"/>
      <c r="O344" s="71"/>
      <c r="P344" s="72"/>
      <c r="Q344" s="72"/>
      <c r="R344" s="72"/>
      <c r="S344" s="74"/>
      <c r="T344" s="75"/>
    </row>
    <row r="345" spans="1:20" x14ac:dyDescent="0.35">
      <c r="A345" s="17"/>
      <c r="B345" s="18"/>
      <c r="C345" s="13"/>
      <c r="D345" s="31"/>
      <c r="E345" s="24"/>
      <c r="F345" s="71"/>
      <c r="G345" s="72"/>
      <c r="H345" s="73"/>
      <c r="I345" s="72"/>
      <c r="J345" s="71"/>
      <c r="K345" s="72"/>
      <c r="L345" s="72"/>
      <c r="M345" s="72"/>
      <c r="N345" s="74"/>
      <c r="O345" s="71"/>
      <c r="P345" s="72"/>
      <c r="Q345" s="72"/>
      <c r="R345" s="72"/>
      <c r="S345" s="74"/>
      <c r="T345" s="75"/>
    </row>
    <row r="346" spans="1:20" x14ac:dyDescent="0.35">
      <c r="A346" s="17"/>
      <c r="B346" s="18"/>
      <c r="C346" s="13"/>
      <c r="D346" s="31"/>
      <c r="E346" s="24"/>
      <c r="F346" s="71"/>
      <c r="G346" s="72"/>
      <c r="H346" s="73"/>
      <c r="I346" s="72"/>
      <c r="J346" s="71"/>
      <c r="K346" s="72"/>
      <c r="L346" s="72"/>
      <c r="M346" s="72"/>
      <c r="N346" s="74"/>
      <c r="O346" s="71"/>
      <c r="P346" s="72"/>
      <c r="Q346" s="72"/>
      <c r="R346" s="72"/>
      <c r="S346" s="74"/>
      <c r="T346" s="75"/>
    </row>
    <row r="347" spans="1:20" x14ac:dyDescent="0.35">
      <c r="A347" s="17"/>
      <c r="B347" s="18"/>
      <c r="C347" s="13"/>
      <c r="D347" s="31"/>
      <c r="E347" s="24"/>
      <c r="F347" s="71"/>
      <c r="G347" s="72"/>
      <c r="H347" s="73"/>
      <c r="I347" s="72"/>
      <c r="J347" s="71"/>
      <c r="K347" s="72"/>
      <c r="L347" s="72"/>
      <c r="M347" s="72"/>
      <c r="N347" s="74"/>
      <c r="O347" s="71"/>
      <c r="P347" s="72"/>
      <c r="Q347" s="72"/>
      <c r="R347" s="72"/>
      <c r="S347" s="74"/>
      <c r="T347" s="75"/>
    </row>
    <row r="348" spans="1:20" x14ac:dyDescent="0.35">
      <c r="A348" s="17"/>
      <c r="B348" s="18"/>
      <c r="C348" s="13"/>
      <c r="D348" s="31"/>
      <c r="E348" s="24"/>
      <c r="F348" s="71"/>
      <c r="G348" s="72"/>
      <c r="H348" s="73"/>
      <c r="I348" s="72"/>
      <c r="J348" s="71"/>
      <c r="K348" s="72"/>
      <c r="L348" s="72"/>
      <c r="M348" s="72"/>
      <c r="N348" s="74"/>
      <c r="O348" s="71"/>
      <c r="P348" s="72"/>
      <c r="Q348" s="72"/>
      <c r="R348" s="72"/>
      <c r="S348" s="74"/>
      <c r="T348" s="75"/>
    </row>
    <row r="349" spans="1:20" x14ac:dyDescent="0.35">
      <c r="A349" s="17"/>
      <c r="B349" s="18"/>
      <c r="C349" s="13"/>
      <c r="D349" s="31"/>
      <c r="E349" s="24"/>
      <c r="F349" s="71"/>
      <c r="G349" s="72"/>
      <c r="H349" s="73"/>
      <c r="I349" s="72"/>
      <c r="J349" s="71"/>
      <c r="K349" s="72"/>
      <c r="L349" s="72"/>
      <c r="M349" s="72"/>
      <c r="N349" s="74"/>
      <c r="O349" s="71"/>
      <c r="P349" s="72"/>
      <c r="Q349" s="72"/>
      <c r="R349" s="72"/>
      <c r="S349" s="74"/>
      <c r="T349" s="75"/>
    </row>
    <row r="350" spans="1:20" x14ac:dyDescent="0.35">
      <c r="A350" s="17"/>
      <c r="B350" s="18"/>
      <c r="C350" s="13"/>
      <c r="D350" s="31"/>
      <c r="E350" s="24"/>
      <c r="F350" s="71"/>
      <c r="G350" s="72"/>
      <c r="H350" s="73"/>
      <c r="I350" s="72"/>
      <c r="J350" s="71"/>
      <c r="K350" s="72"/>
      <c r="L350" s="72"/>
      <c r="M350" s="72"/>
      <c r="N350" s="74"/>
      <c r="O350" s="71"/>
      <c r="P350" s="72"/>
      <c r="Q350" s="72"/>
      <c r="R350" s="72"/>
      <c r="S350" s="74"/>
      <c r="T350" s="75"/>
    </row>
    <row r="351" spans="1:20" x14ac:dyDescent="0.35">
      <c r="A351" s="17"/>
      <c r="B351" s="18"/>
      <c r="C351" s="13"/>
      <c r="D351" s="31"/>
      <c r="E351" s="24"/>
      <c r="F351" s="71"/>
      <c r="G351" s="72"/>
      <c r="H351" s="73"/>
      <c r="I351" s="72"/>
      <c r="J351" s="71"/>
      <c r="K351" s="72"/>
      <c r="L351" s="72"/>
      <c r="M351" s="72"/>
      <c r="N351" s="74"/>
      <c r="O351" s="71"/>
      <c r="P351" s="72"/>
      <c r="Q351" s="72"/>
      <c r="R351" s="72"/>
      <c r="S351" s="74"/>
      <c r="T351" s="75"/>
    </row>
    <row r="352" spans="1:20" x14ac:dyDescent="0.35">
      <c r="A352" s="17"/>
      <c r="B352" s="18"/>
      <c r="C352" s="13"/>
      <c r="D352" s="31"/>
      <c r="E352" s="24"/>
      <c r="F352" s="71"/>
      <c r="G352" s="72"/>
      <c r="H352" s="73"/>
      <c r="I352" s="72"/>
      <c r="J352" s="71"/>
      <c r="K352" s="72"/>
      <c r="L352" s="72"/>
      <c r="M352" s="72"/>
      <c r="N352" s="74"/>
      <c r="O352" s="71"/>
      <c r="P352" s="72"/>
      <c r="Q352" s="72"/>
      <c r="R352" s="72"/>
      <c r="S352" s="74"/>
      <c r="T352" s="75"/>
    </row>
    <row r="353" spans="1:20" x14ac:dyDescent="0.35">
      <c r="A353" s="17"/>
      <c r="B353" s="18"/>
      <c r="C353" s="13"/>
      <c r="D353" s="31"/>
      <c r="E353" s="24"/>
      <c r="F353" s="71"/>
      <c r="G353" s="72"/>
      <c r="H353" s="73"/>
      <c r="I353" s="72"/>
      <c r="J353" s="71"/>
      <c r="K353" s="72"/>
      <c r="L353" s="72"/>
      <c r="M353" s="72"/>
      <c r="N353" s="74"/>
      <c r="O353" s="71"/>
      <c r="P353" s="72"/>
      <c r="Q353" s="72"/>
      <c r="R353" s="72"/>
      <c r="S353" s="74"/>
      <c r="T353" s="75"/>
    </row>
    <row r="354" spans="1:20" x14ac:dyDescent="0.35">
      <c r="A354" s="17"/>
      <c r="B354" s="18"/>
      <c r="C354" s="13"/>
      <c r="D354" s="31"/>
      <c r="E354" s="24"/>
      <c r="F354" s="71"/>
      <c r="G354" s="72"/>
      <c r="H354" s="73"/>
      <c r="I354" s="72"/>
      <c r="J354" s="71"/>
      <c r="K354" s="72"/>
      <c r="L354" s="72"/>
      <c r="M354" s="72"/>
      <c r="N354" s="74"/>
      <c r="O354" s="71"/>
      <c r="P354" s="72"/>
      <c r="Q354" s="72"/>
      <c r="R354" s="72"/>
      <c r="S354" s="74"/>
      <c r="T354" s="75"/>
    </row>
    <row r="355" spans="1:20" x14ac:dyDescent="0.35">
      <c r="A355" s="17"/>
      <c r="B355" s="18"/>
      <c r="C355" s="13"/>
      <c r="D355" s="31"/>
      <c r="E355" s="24"/>
      <c r="F355" s="71"/>
      <c r="G355" s="72"/>
      <c r="H355" s="73"/>
      <c r="I355" s="72"/>
      <c r="J355" s="71"/>
      <c r="K355" s="72"/>
      <c r="L355" s="72"/>
      <c r="M355" s="72"/>
      <c r="N355" s="74"/>
      <c r="O355" s="71"/>
      <c r="P355" s="72"/>
      <c r="Q355" s="72"/>
      <c r="R355" s="72"/>
      <c r="S355" s="74"/>
      <c r="T355" s="75"/>
    </row>
    <row r="356" spans="1:20" x14ac:dyDescent="0.35">
      <c r="A356" s="17"/>
      <c r="B356" s="18"/>
      <c r="C356" s="13"/>
      <c r="D356" s="31"/>
      <c r="E356" s="24"/>
      <c r="F356" s="71"/>
      <c r="G356" s="72"/>
      <c r="H356" s="73"/>
      <c r="I356" s="72"/>
      <c r="J356" s="71"/>
      <c r="K356" s="72"/>
      <c r="L356" s="72"/>
      <c r="M356" s="72"/>
      <c r="N356" s="74"/>
      <c r="O356" s="71"/>
      <c r="P356" s="72"/>
      <c r="Q356" s="72"/>
      <c r="R356" s="72"/>
      <c r="S356" s="74"/>
      <c r="T356" s="75"/>
    </row>
    <row r="357" spans="1:20" x14ac:dyDescent="0.35">
      <c r="A357" s="17"/>
      <c r="B357" s="18"/>
      <c r="C357" s="13"/>
      <c r="D357" s="31"/>
      <c r="E357" s="24"/>
      <c r="F357" s="71"/>
      <c r="G357" s="72"/>
      <c r="H357" s="73"/>
      <c r="I357" s="72"/>
      <c r="J357" s="71"/>
      <c r="K357" s="72"/>
      <c r="L357" s="72"/>
      <c r="M357" s="72"/>
      <c r="N357" s="74"/>
      <c r="O357" s="71"/>
      <c r="P357" s="72"/>
      <c r="Q357" s="72"/>
      <c r="R357" s="72"/>
      <c r="S357" s="74"/>
      <c r="T357" s="75"/>
    </row>
    <row r="358" spans="1:20" x14ac:dyDescent="0.35">
      <c r="A358" s="17"/>
      <c r="B358" s="18"/>
      <c r="C358" s="13"/>
      <c r="D358" s="31"/>
      <c r="E358" s="24"/>
      <c r="F358" s="71"/>
      <c r="G358" s="72"/>
      <c r="H358" s="73"/>
      <c r="I358" s="72"/>
      <c r="J358" s="71"/>
      <c r="K358" s="72"/>
      <c r="L358" s="72"/>
      <c r="M358" s="72"/>
      <c r="N358" s="74"/>
      <c r="O358" s="71"/>
      <c r="P358" s="72"/>
      <c r="Q358" s="72"/>
      <c r="R358" s="72"/>
      <c r="S358" s="74"/>
      <c r="T358" s="75"/>
    </row>
    <row r="359" spans="1:20" x14ac:dyDescent="0.35">
      <c r="A359" s="17"/>
      <c r="B359" s="18"/>
      <c r="C359" s="13"/>
      <c r="D359" s="31"/>
      <c r="E359" s="24"/>
      <c r="F359" s="71"/>
      <c r="G359" s="72"/>
      <c r="H359" s="73"/>
      <c r="I359" s="72"/>
      <c r="J359" s="71"/>
      <c r="K359" s="72"/>
      <c r="L359" s="72"/>
      <c r="M359" s="72"/>
      <c r="N359" s="74"/>
      <c r="O359" s="71"/>
      <c r="P359" s="72"/>
      <c r="Q359" s="72"/>
      <c r="R359" s="72"/>
      <c r="S359" s="74"/>
      <c r="T359" s="75"/>
    </row>
    <row r="360" spans="1:20" x14ac:dyDescent="0.35">
      <c r="A360" s="17"/>
      <c r="B360" s="18"/>
      <c r="C360" s="13"/>
      <c r="D360" s="31"/>
      <c r="E360" s="24"/>
      <c r="F360" s="71"/>
      <c r="G360" s="72"/>
      <c r="H360" s="73"/>
      <c r="I360" s="72"/>
      <c r="J360" s="71"/>
      <c r="K360" s="72"/>
      <c r="L360" s="72"/>
      <c r="M360" s="72"/>
      <c r="N360" s="74"/>
      <c r="O360" s="71"/>
      <c r="P360" s="72"/>
      <c r="Q360" s="72"/>
      <c r="R360" s="72"/>
      <c r="S360" s="74"/>
      <c r="T360" s="75"/>
    </row>
    <row r="361" spans="1:20" x14ac:dyDescent="0.35">
      <c r="A361" s="17"/>
      <c r="B361" s="18"/>
      <c r="C361" s="13"/>
      <c r="D361" s="31"/>
      <c r="E361" s="24"/>
      <c r="F361" s="71"/>
      <c r="G361" s="72"/>
      <c r="H361" s="73"/>
      <c r="I361" s="72"/>
      <c r="J361" s="71"/>
      <c r="K361" s="72"/>
      <c r="L361" s="72"/>
      <c r="M361" s="72"/>
      <c r="N361" s="74"/>
      <c r="O361" s="71"/>
      <c r="P361" s="72"/>
      <c r="Q361" s="72"/>
      <c r="R361" s="72"/>
      <c r="S361" s="74"/>
      <c r="T361" s="75"/>
    </row>
    <row r="362" spans="1:20" x14ac:dyDescent="0.35">
      <c r="A362" s="17"/>
      <c r="B362" s="18"/>
      <c r="C362" s="13"/>
      <c r="D362" s="31"/>
      <c r="E362" s="24"/>
      <c r="F362" s="71"/>
      <c r="G362" s="72"/>
      <c r="H362" s="73"/>
      <c r="I362" s="72"/>
      <c r="J362" s="71"/>
      <c r="K362" s="72"/>
      <c r="L362" s="72"/>
      <c r="M362" s="72"/>
      <c r="N362" s="74"/>
      <c r="O362" s="71"/>
      <c r="P362" s="72"/>
      <c r="Q362" s="72"/>
      <c r="R362" s="72"/>
      <c r="S362" s="74"/>
      <c r="T362" s="75"/>
    </row>
    <row r="363" spans="1:20" x14ac:dyDescent="0.35">
      <c r="A363" s="17"/>
      <c r="B363" s="18"/>
      <c r="C363" s="13"/>
      <c r="D363" s="31"/>
      <c r="E363" s="24"/>
      <c r="F363" s="71"/>
      <c r="G363" s="72"/>
      <c r="H363" s="73"/>
      <c r="I363" s="72"/>
      <c r="J363" s="71"/>
      <c r="K363" s="72"/>
      <c r="L363" s="72"/>
      <c r="M363" s="72"/>
      <c r="N363" s="74"/>
      <c r="O363" s="71"/>
      <c r="P363" s="72"/>
      <c r="Q363" s="72"/>
      <c r="R363" s="72"/>
      <c r="S363" s="74"/>
      <c r="T363" s="75"/>
    </row>
    <row r="364" spans="1:20" x14ac:dyDescent="0.35">
      <c r="A364" s="17"/>
      <c r="B364" s="18"/>
      <c r="C364" s="13"/>
      <c r="D364" s="31"/>
      <c r="E364" s="24"/>
      <c r="F364" s="71"/>
      <c r="G364" s="72"/>
      <c r="H364" s="73"/>
      <c r="I364" s="72"/>
      <c r="J364" s="71"/>
      <c r="K364" s="72"/>
      <c r="L364" s="72"/>
      <c r="M364" s="72"/>
      <c r="N364" s="74"/>
      <c r="O364" s="71"/>
      <c r="P364" s="72"/>
      <c r="Q364" s="72"/>
      <c r="R364" s="72"/>
      <c r="S364" s="74"/>
      <c r="T364" s="75"/>
    </row>
    <row r="365" spans="1:20" x14ac:dyDescent="0.35">
      <c r="A365" s="17"/>
      <c r="B365" s="18"/>
      <c r="C365" s="13"/>
      <c r="D365" s="31"/>
      <c r="E365" s="24"/>
      <c r="F365" s="71"/>
      <c r="G365" s="72"/>
      <c r="H365" s="73"/>
      <c r="I365" s="72"/>
      <c r="J365" s="71"/>
      <c r="K365" s="72"/>
      <c r="L365" s="72"/>
      <c r="M365" s="72"/>
      <c r="N365" s="74"/>
      <c r="O365" s="71"/>
      <c r="P365" s="72"/>
      <c r="Q365" s="72"/>
      <c r="R365" s="72"/>
      <c r="S365" s="74"/>
      <c r="T365" s="75"/>
    </row>
    <row r="366" spans="1:20" x14ac:dyDescent="0.35">
      <c r="A366" s="17"/>
      <c r="B366" s="18"/>
      <c r="C366" s="13"/>
      <c r="D366" s="31"/>
      <c r="E366" s="24"/>
      <c r="F366" s="71"/>
      <c r="G366" s="72"/>
      <c r="H366" s="73"/>
      <c r="I366" s="72"/>
      <c r="J366" s="71"/>
      <c r="K366" s="72"/>
      <c r="L366" s="72"/>
      <c r="M366" s="72"/>
      <c r="N366" s="74"/>
      <c r="O366" s="71"/>
      <c r="P366" s="72"/>
      <c r="Q366" s="72"/>
      <c r="R366" s="72"/>
      <c r="S366" s="74"/>
      <c r="T366" s="75"/>
    </row>
    <row r="367" spans="1:20" x14ac:dyDescent="0.35">
      <c r="A367" s="17"/>
      <c r="B367" s="18"/>
      <c r="C367" s="13"/>
      <c r="D367" s="31"/>
      <c r="E367" s="24"/>
      <c r="F367" s="71"/>
      <c r="G367" s="72"/>
      <c r="H367" s="73"/>
      <c r="I367" s="72"/>
      <c r="J367" s="71"/>
      <c r="K367" s="72"/>
      <c r="L367" s="72"/>
      <c r="M367" s="72"/>
      <c r="N367" s="74"/>
      <c r="O367" s="71"/>
      <c r="P367" s="72"/>
      <c r="Q367" s="72"/>
      <c r="R367" s="72"/>
      <c r="S367" s="74"/>
      <c r="T367" s="75"/>
    </row>
    <row r="368" spans="1:20" x14ac:dyDescent="0.35">
      <c r="A368" s="17"/>
      <c r="B368" s="18"/>
      <c r="C368" s="13"/>
      <c r="D368" s="31"/>
      <c r="E368" s="24"/>
      <c r="F368" s="71"/>
      <c r="G368" s="72"/>
      <c r="H368" s="73"/>
      <c r="I368" s="72"/>
      <c r="J368" s="71"/>
      <c r="K368" s="72"/>
      <c r="L368" s="72"/>
      <c r="M368" s="72"/>
      <c r="N368" s="74"/>
      <c r="O368" s="71"/>
      <c r="P368" s="72"/>
      <c r="Q368" s="72"/>
      <c r="R368" s="72"/>
      <c r="S368" s="74"/>
      <c r="T368" s="75"/>
    </row>
    <row r="369" spans="1:20" x14ac:dyDescent="0.35">
      <c r="A369" s="17"/>
      <c r="B369" s="18"/>
      <c r="C369" s="13"/>
      <c r="D369" s="31"/>
      <c r="E369" s="24"/>
      <c r="F369" s="71"/>
      <c r="G369" s="72"/>
      <c r="H369" s="73"/>
      <c r="I369" s="72"/>
      <c r="J369" s="71"/>
      <c r="K369" s="72"/>
      <c r="L369" s="72"/>
      <c r="M369" s="72"/>
      <c r="N369" s="74"/>
      <c r="O369" s="71"/>
      <c r="P369" s="72"/>
      <c r="Q369" s="72"/>
      <c r="R369" s="72"/>
      <c r="S369" s="74"/>
      <c r="T369" s="75"/>
    </row>
    <row r="370" spans="1:20" x14ac:dyDescent="0.35">
      <c r="A370" s="17"/>
      <c r="B370" s="18"/>
      <c r="C370" s="13"/>
      <c r="D370" s="31"/>
      <c r="E370" s="24"/>
      <c r="F370" s="71"/>
      <c r="G370" s="72"/>
      <c r="H370" s="73"/>
      <c r="I370" s="72"/>
      <c r="J370" s="71"/>
      <c r="K370" s="72"/>
      <c r="L370" s="72"/>
      <c r="M370" s="72"/>
      <c r="N370" s="74"/>
      <c r="O370" s="71"/>
      <c r="P370" s="72"/>
      <c r="Q370" s="72"/>
      <c r="R370" s="72"/>
      <c r="S370" s="74"/>
      <c r="T370" s="75"/>
    </row>
    <row r="371" spans="1:20" x14ac:dyDescent="0.35">
      <c r="A371" s="17"/>
      <c r="B371" s="18"/>
      <c r="C371" s="13"/>
      <c r="D371" s="31"/>
      <c r="E371" s="24"/>
      <c r="F371" s="71"/>
      <c r="G371" s="72"/>
      <c r="H371" s="73"/>
      <c r="I371" s="72"/>
      <c r="J371" s="71"/>
      <c r="K371" s="72"/>
      <c r="L371" s="72"/>
      <c r="M371" s="72"/>
      <c r="N371" s="74"/>
      <c r="O371" s="71"/>
      <c r="P371" s="72"/>
      <c r="Q371" s="72"/>
      <c r="R371" s="72"/>
      <c r="S371" s="74"/>
      <c r="T371" s="75"/>
    </row>
    <row r="372" spans="1:20" x14ac:dyDescent="0.35">
      <c r="A372" s="17"/>
      <c r="B372" s="18"/>
      <c r="C372" s="13"/>
      <c r="D372" s="31"/>
      <c r="E372" s="24"/>
      <c r="F372" s="71"/>
      <c r="G372" s="72"/>
      <c r="H372" s="73"/>
      <c r="I372" s="72"/>
      <c r="J372" s="71"/>
      <c r="K372" s="72"/>
      <c r="L372" s="72"/>
      <c r="M372" s="72"/>
      <c r="N372" s="74"/>
      <c r="O372" s="71"/>
      <c r="P372" s="72"/>
      <c r="Q372" s="72"/>
      <c r="R372" s="72"/>
      <c r="S372" s="74"/>
      <c r="T372" s="75"/>
    </row>
    <row r="373" spans="1:20" x14ac:dyDescent="0.35">
      <c r="A373" s="17"/>
      <c r="B373" s="18"/>
      <c r="C373" s="13"/>
      <c r="D373" s="31"/>
      <c r="E373" s="24"/>
      <c r="F373" s="71"/>
      <c r="G373" s="72"/>
      <c r="H373" s="73"/>
      <c r="I373" s="72"/>
      <c r="J373" s="71"/>
      <c r="K373" s="72"/>
      <c r="L373" s="72"/>
      <c r="M373" s="72"/>
      <c r="N373" s="74"/>
      <c r="O373" s="71"/>
      <c r="P373" s="72"/>
      <c r="Q373" s="72"/>
      <c r="R373" s="72"/>
      <c r="S373" s="74"/>
      <c r="T373" s="75"/>
    </row>
    <row r="374" spans="1:20" x14ac:dyDescent="0.35">
      <c r="A374" s="17"/>
      <c r="B374" s="18"/>
      <c r="C374" s="13"/>
      <c r="D374" s="31"/>
      <c r="E374" s="24"/>
      <c r="F374" s="71"/>
      <c r="G374" s="72"/>
      <c r="H374" s="73"/>
      <c r="I374" s="72"/>
      <c r="J374" s="71"/>
      <c r="K374" s="72"/>
      <c r="L374" s="72"/>
      <c r="M374" s="72"/>
      <c r="N374" s="74"/>
      <c r="O374" s="71"/>
      <c r="P374" s="72"/>
      <c r="Q374" s="72"/>
      <c r="R374" s="72"/>
      <c r="S374" s="74"/>
      <c r="T374" s="75"/>
    </row>
    <row r="375" spans="1:20" x14ac:dyDescent="0.35">
      <c r="A375" s="17"/>
      <c r="B375" s="18"/>
      <c r="C375" s="13"/>
      <c r="D375" s="31"/>
      <c r="E375" s="24"/>
      <c r="F375" s="71"/>
      <c r="G375" s="72"/>
      <c r="H375" s="73"/>
      <c r="I375" s="72"/>
      <c r="J375" s="71"/>
      <c r="K375" s="72"/>
      <c r="L375" s="72"/>
      <c r="M375" s="72"/>
      <c r="N375" s="74"/>
      <c r="O375" s="71"/>
      <c r="P375" s="72"/>
      <c r="Q375" s="72"/>
      <c r="R375" s="72"/>
      <c r="S375" s="74"/>
      <c r="T375" s="75"/>
    </row>
    <row r="376" spans="1:20" x14ac:dyDescent="0.35">
      <c r="A376" s="17"/>
      <c r="B376" s="18"/>
      <c r="C376" s="13"/>
      <c r="D376" s="31"/>
      <c r="E376" s="24"/>
      <c r="F376" s="71"/>
      <c r="G376" s="72"/>
      <c r="H376" s="73"/>
      <c r="I376" s="72"/>
      <c r="J376" s="71"/>
      <c r="K376" s="72"/>
      <c r="L376" s="72"/>
      <c r="M376" s="72"/>
      <c r="N376" s="74"/>
      <c r="O376" s="71"/>
      <c r="P376" s="72"/>
      <c r="Q376" s="72"/>
      <c r="R376" s="72"/>
      <c r="S376" s="74"/>
      <c r="T376" s="75"/>
    </row>
    <row r="377" spans="1:20" x14ac:dyDescent="0.35">
      <c r="A377" s="17"/>
      <c r="B377" s="18"/>
      <c r="C377" s="13"/>
      <c r="D377" s="31"/>
      <c r="E377" s="24"/>
      <c r="F377" s="71"/>
      <c r="G377" s="72"/>
      <c r="H377" s="73"/>
      <c r="I377" s="72"/>
      <c r="J377" s="71"/>
      <c r="K377" s="72"/>
      <c r="L377" s="72"/>
      <c r="M377" s="72"/>
      <c r="N377" s="74"/>
      <c r="O377" s="71"/>
      <c r="P377" s="72"/>
      <c r="Q377" s="72"/>
      <c r="R377" s="72"/>
      <c r="S377" s="74"/>
      <c r="T377" s="75"/>
    </row>
    <row r="378" spans="1:20" x14ac:dyDescent="0.35">
      <c r="A378" s="17"/>
      <c r="B378" s="18"/>
      <c r="C378" s="13"/>
      <c r="D378" s="31"/>
      <c r="E378" s="24"/>
      <c r="F378" s="71"/>
      <c r="G378" s="72"/>
      <c r="H378" s="73"/>
      <c r="I378" s="72"/>
      <c r="J378" s="71"/>
      <c r="K378" s="72"/>
      <c r="L378" s="72"/>
      <c r="M378" s="72"/>
      <c r="N378" s="74"/>
      <c r="O378" s="71"/>
      <c r="P378" s="72"/>
      <c r="Q378" s="72"/>
      <c r="R378" s="72"/>
      <c r="S378" s="74"/>
      <c r="T378" s="75"/>
    </row>
    <row r="379" spans="1:20" x14ac:dyDescent="0.35">
      <c r="A379" s="17"/>
      <c r="B379" s="18"/>
      <c r="C379" s="13"/>
      <c r="D379" s="31"/>
      <c r="E379" s="24"/>
      <c r="F379" s="71"/>
      <c r="G379" s="72"/>
      <c r="H379" s="73"/>
      <c r="I379" s="72"/>
      <c r="J379" s="71"/>
      <c r="K379" s="72"/>
      <c r="L379" s="72"/>
      <c r="M379" s="72"/>
      <c r="N379" s="74"/>
      <c r="O379" s="71"/>
      <c r="P379" s="72"/>
      <c r="Q379" s="72"/>
      <c r="R379" s="72"/>
      <c r="S379" s="74"/>
      <c r="T379" s="75"/>
    </row>
    <row r="380" spans="1:20" x14ac:dyDescent="0.35">
      <c r="A380" s="17"/>
      <c r="B380" s="18"/>
      <c r="C380" s="13"/>
      <c r="D380" s="31"/>
      <c r="E380" s="24"/>
      <c r="F380" s="71"/>
      <c r="G380" s="72"/>
      <c r="H380" s="73"/>
      <c r="I380" s="72"/>
      <c r="J380" s="71"/>
      <c r="K380" s="72"/>
      <c r="L380" s="72"/>
      <c r="M380" s="72"/>
      <c r="N380" s="74"/>
      <c r="O380" s="71"/>
      <c r="P380" s="72"/>
      <c r="Q380" s="72"/>
      <c r="R380" s="72"/>
      <c r="S380" s="74"/>
      <c r="T380" s="75"/>
    </row>
    <row r="381" spans="1:20" x14ac:dyDescent="0.35">
      <c r="A381" s="17"/>
      <c r="B381" s="18"/>
      <c r="C381" s="13"/>
      <c r="D381" s="31"/>
      <c r="E381" s="24"/>
      <c r="F381" s="71"/>
      <c r="G381" s="72"/>
      <c r="H381" s="73"/>
      <c r="I381" s="72"/>
      <c r="J381" s="71"/>
      <c r="K381" s="72"/>
      <c r="L381" s="72"/>
      <c r="M381" s="72"/>
      <c r="N381" s="74"/>
      <c r="O381" s="71"/>
      <c r="P381" s="72"/>
      <c r="Q381" s="72"/>
      <c r="R381" s="72"/>
      <c r="S381" s="74"/>
      <c r="T381" s="75"/>
    </row>
    <row r="382" spans="1:20" x14ac:dyDescent="0.35">
      <c r="A382" s="17"/>
      <c r="B382" s="18"/>
      <c r="C382" s="13"/>
      <c r="D382" s="31"/>
      <c r="E382" s="24"/>
      <c r="F382" s="71"/>
      <c r="G382" s="72"/>
      <c r="H382" s="73"/>
      <c r="I382" s="72"/>
      <c r="J382" s="71"/>
      <c r="K382" s="72"/>
      <c r="L382" s="72"/>
      <c r="M382" s="72"/>
      <c r="N382" s="74"/>
      <c r="O382" s="71"/>
      <c r="P382" s="72"/>
      <c r="Q382" s="72"/>
      <c r="R382" s="72"/>
      <c r="S382" s="74"/>
      <c r="T382" s="75"/>
    </row>
    <row r="383" spans="1:20" x14ac:dyDescent="0.35">
      <c r="A383" s="17"/>
      <c r="B383" s="18"/>
      <c r="C383" s="13"/>
      <c r="D383" s="31"/>
      <c r="E383" s="24"/>
      <c r="F383" s="71"/>
      <c r="G383" s="72"/>
      <c r="H383" s="73"/>
      <c r="I383" s="72"/>
      <c r="J383" s="71"/>
      <c r="K383" s="72"/>
      <c r="L383" s="72"/>
      <c r="M383" s="72"/>
      <c r="N383" s="74"/>
      <c r="O383" s="71"/>
      <c r="P383" s="72"/>
      <c r="Q383" s="72"/>
      <c r="R383" s="72"/>
      <c r="S383" s="74"/>
      <c r="T383" s="75"/>
    </row>
    <row r="384" spans="1:20" x14ac:dyDescent="0.35">
      <c r="A384" s="17"/>
      <c r="B384" s="18"/>
      <c r="C384" s="13"/>
      <c r="D384" s="31"/>
      <c r="E384" s="24"/>
      <c r="F384" s="71"/>
      <c r="G384" s="72"/>
      <c r="H384" s="73"/>
      <c r="I384" s="72"/>
      <c r="J384" s="71"/>
      <c r="K384" s="72"/>
      <c r="L384" s="72"/>
      <c r="M384" s="72"/>
      <c r="N384" s="74"/>
      <c r="O384" s="71"/>
      <c r="P384" s="72"/>
      <c r="Q384" s="72"/>
      <c r="R384" s="72"/>
      <c r="S384" s="74"/>
      <c r="T384" s="75"/>
    </row>
    <row r="385" spans="1:20" x14ac:dyDescent="0.35">
      <c r="A385" s="17"/>
      <c r="B385" s="18"/>
      <c r="C385" s="13"/>
      <c r="D385" s="31"/>
      <c r="E385" s="24"/>
      <c r="F385" s="71"/>
      <c r="G385" s="72"/>
      <c r="H385" s="73"/>
      <c r="I385" s="72"/>
      <c r="J385" s="71"/>
      <c r="K385" s="72"/>
      <c r="L385" s="72"/>
      <c r="M385" s="72"/>
      <c r="N385" s="74"/>
      <c r="O385" s="71"/>
      <c r="P385" s="72"/>
      <c r="Q385" s="72"/>
      <c r="R385" s="72"/>
      <c r="S385" s="74"/>
      <c r="T385" s="75"/>
    </row>
    <row r="386" spans="1:20" x14ac:dyDescent="0.35">
      <c r="A386" s="17"/>
      <c r="B386" s="18"/>
      <c r="C386" s="13"/>
      <c r="D386" s="31"/>
      <c r="E386" s="24"/>
      <c r="F386" s="71"/>
      <c r="G386" s="72"/>
      <c r="H386" s="73"/>
      <c r="I386" s="72"/>
      <c r="J386" s="71"/>
      <c r="K386" s="72"/>
      <c r="L386" s="72"/>
      <c r="M386" s="72"/>
      <c r="N386" s="74"/>
      <c r="O386" s="71"/>
      <c r="P386" s="72"/>
      <c r="Q386" s="72"/>
      <c r="R386" s="72"/>
      <c r="S386" s="74"/>
      <c r="T386" s="75"/>
    </row>
    <row r="387" spans="1:20" x14ac:dyDescent="0.35">
      <c r="A387" s="17"/>
      <c r="B387" s="18"/>
      <c r="C387" s="13"/>
      <c r="D387" s="31"/>
      <c r="E387" s="24"/>
      <c r="F387" s="71"/>
      <c r="G387" s="72"/>
      <c r="H387" s="73"/>
      <c r="I387" s="72"/>
      <c r="J387" s="71"/>
      <c r="K387" s="72"/>
      <c r="L387" s="72"/>
      <c r="M387" s="72"/>
      <c r="N387" s="74"/>
      <c r="O387" s="71"/>
      <c r="P387" s="72"/>
      <c r="Q387" s="72"/>
      <c r="R387" s="72"/>
      <c r="S387" s="74"/>
      <c r="T387" s="75"/>
    </row>
    <row r="388" spans="1:20" x14ac:dyDescent="0.35">
      <c r="A388" s="17"/>
      <c r="B388" s="18"/>
      <c r="C388" s="13"/>
      <c r="D388" s="31"/>
      <c r="E388" s="24"/>
      <c r="F388" s="71"/>
      <c r="G388" s="72"/>
      <c r="H388" s="73"/>
      <c r="I388" s="72"/>
      <c r="J388" s="71"/>
      <c r="K388" s="72"/>
      <c r="L388" s="72"/>
      <c r="M388" s="72"/>
      <c r="N388" s="74"/>
      <c r="O388" s="71"/>
      <c r="P388" s="72"/>
      <c r="Q388" s="72"/>
      <c r="R388" s="72"/>
      <c r="S388" s="74"/>
      <c r="T388" s="75"/>
    </row>
    <row r="389" spans="1:20" x14ac:dyDescent="0.35">
      <c r="A389" s="17"/>
      <c r="B389" s="18"/>
      <c r="C389" s="13"/>
      <c r="D389" s="31"/>
      <c r="E389" s="24"/>
      <c r="F389" s="71"/>
      <c r="G389" s="72"/>
      <c r="H389" s="73"/>
      <c r="I389" s="72"/>
      <c r="J389" s="71"/>
      <c r="K389" s="72"/>
      <c r="L389" s="72"/>
      <c r="M389" s="72"/>
      <c r="N389" s="74"/>
      <c r="O389" s="71"/>
      <c r="P389" s="72"/>
      <c r="Q389" s="72"/>
      <c r="R389" s="72"/>
      <c r="S389" s="74"/>
      <c r="T389" s="75"/>
    </row>
    <row r="390" spans="1:20" x14ac:dyDescent="0.35">
      <c r="A390" s="17"/>
      <c r="B390" s="18"/>
      <c r="C390" s="13"/>
      <c r="D390" s="31"/>
      <c r="E390" s="24"/>
      <c r="F390" s="71"/>
      <c r="G390" s="72"/>
      <c r="H390" s="73"/>
      <c r="I390" s="72"/>
      <c r="J390" s="71"/>
      <c r="K390" s="72"/>
      <c r="L390" s="72"/>
      <c r="M390" s="72"/>
      <c r="N390" s="74"/>
      <c r="O390" s="71"/>
      <c r="P390" s="72"/>
      <c r="Q390" s="72"/>
      <c r="R390" s="72"/>
      <c r="S390" s="74"/>
      <c r="T390" s="75"/>
    </row>
    <row r="391" spans="1:20" x14ac:dyDescent="0.35">
      <c r="A391" s="17"/>
      <c r="B391" s="18"/>
      <c r="C391" s="13"/>
      <c r="D391" s="31"/>
      <c r="E391" s="24"/>
      <c r="F391" s="71"/>
      <c r="G391" s="72"/>
      <c r="H391" s="73"/>
      <c r="I391" s="72"/>
      <c r="J391" s="71"/>
      <c r="K391" s="72"/>
      <c r="L391" s="72"/>
      <c r="M391" s="72"/>
      <c r="N391" s="74"/>
      <c r="O391" s="71"/>
      <c r="P391" s="72"/>
      <c r="Q391" s="72"/>
      <c r="R391" s="72"/>
      <c r="S391" s="74"/>
      <c r="T391" s="75"/>
    </row>
    <row r="392" spans="1:20" x14ac:dyDescent="0.35">
      <c r="A392" s="17"/>
      <c r="B392" s="18"/>
      <c r="C392" s="13"/>
      <c r="D392" s="31"/>
      <c r="E392" s="24"/>
      <c r="F392" s="71"/>
      <c r="G392" s="72"/>
      <c r="H392" s="73"/>
      <c r="I392" s="72"/>
      <c r="J392" s="71"/>
      <c r="K392" s="72"/>
      <c r="L392" s="72"/>
      <c r="M392" s="72"/>
      <c r="N392" s="74"/>
      <c r="O392" s="71"/>
      <c r="P392" s="72"/>
      <c r="Q392" s="72"/>
      <c r="R392" s="72"/>
      <c r="S392" s="74"/>
      <c r="T392" s="75"/>
    </row>
    <row r="393" spans="1:20" x14ac:dyDescent="0.35">
      <c r="A393" s="17"/>
      <c r="B393" s="18"/>
      <c r="C393" s="13"/>
      <c r="D393" s="31"/>
      <c r="E393" s="24"/>
      <c r="F393" s="71"/>
      <c r="G393" s="72"/>
      <c r="H393" s="73"/>
      <c r="I393" s="72"/>
      <c r="J393" s="71"/>
      <c r="K393" s="72"/>
      <c r="L393" s="72"/>
      <c r="M393" s="72"/>
      <c r="N393" s="74"/>
      <c r="O393" s="71"/>
      <c r="P393" s="72"/>
      <c r="Q393" s="72"/>
      <c r="R393" s="72"/>
      <c r="S393" s="74"/>
      <c r="T393" s="75"/>
    </row>
    <row r="394" spans="1:20" x14ac:dyDescent="0.35">
      <c r="A394" s="17"/>
      <c r="B394" s="18"/>
      <c r="C394" s="13"/>
      <c r="D394" s="31"/>
      <c r="E394" s="24"/>
      <c r="F394" s="71"/>
      <c r="G394" s="72"/>
      <c r="H394" s="73"/>
      <c r="I394" s="72"/>
      <c r="J394" s="71"/>
      <c r="K394" s="72"/>
      <c r="L394" s="72"/>
      <c r="M394" s="72"/>
      <c r="N394" s="74"/>
      <c r="O394" s="71"/>
      <c r="P394" s="72"/>
      <c r="Q394" s="72"/>
      <c r="R394" s="72"/>
      <c r="S394" s="74"/>
      <c r="T394" s="75"/>
    </row>
    <row r="395" spans="1:20" x14ac:dyDescent="0.35">
      <c r="A395" s="17"/>
      <c r="B395" s="18"/>
      <c r="C395" s="13"/>
      <c r="D395" s="31"/>
      <c r="E395" s="24"/>
      <c r="F395" s="71"/>
      <c r="G395" s="72"/>
      <c r="H395" s="73"/>
      <c r="I395" s="72"/>
      <c r="J395" s="71"/>
      <c r="K395" s="72"/>
      <c r="L395" s="72"/>
      <c r="M395" s="72"/>
      <c r="N395" s="74"/>
      <c r="O395" s="71"/>
      <c r="P395" s="72"/>
      <c r="Q395" s="72"/>
      <c r="R395" s="72"/>
      <c r="S395" s="74"/>
      <c r="T395" s="75"/>
    </row>
    <row r="396" spans="1:20" x14ac:dyDescent="0.35">
      <c r="A396" s="17"/>
      <c r="B396" s="18"/>
      <c r="C396" s="13"/>
      <c r="D396" s="31"/>
      <c r="E396" s="24"/>
      <c r="F396" s="71"/>
      <c r="G396" s="72"/>
      <c r="H396" s="73"/>
      <c r="I396" s="72"/>
      <c r="J396" s="71"/>
      <c r="K396" s="72"/>
      <c r="L396" s="72"/>
      <c r="M396" s="72"/>
      <c r="N396" s="74"/>
      <c r="O396" s="71"/>
      <c r="P396" s="72"/>
      <c r="Q396" s="72"/>
      <c r="R396" s="72"/>
      <c r="S396" s="74"/>
      <c r="T396" s="75"/>
    </row>
    <row r="397" spans="1:20" x14ac:dyDescent="0.35">
      <c r="A397" s="17"/>
      <c r="B397" s="18"/>
      <c r="C397" s="13"/>
      <c r="D397" s="31"/>
      <c r="E397" s="24"/>
      <c r="F397" s="71"/>
      <c r="G397" s="72"/>
      <c r="H397" s="73"/>
      <c r="I397" s="72"/>
      <c r="J397" s="71"/>
      <c r="K397" s="72"/>
      <c r="L397" s="72"/>
      <c r="M397" s="72"/>
      <c r="N397" s="74"/>
      <c r="O397" s="71"/>
      <c r="P397" s="72"/>
      <c r="Q397" s="72"/>
      <c r="R397" s="72"/>
      <c r="S397" s="74"/>
      <c r="T397" s="75"/>
    </row>
    <row r="398" spans="1:20" x14ac:dyDescent="0.35">
      <c r="A398" s="17"/>
      <c r="B398" s="18"/>
      <c r="C398" s="13"/>
      <c r="D398" s="31"/>
      <c r="E398" s="24"/>
      <c r="F398" s="71"/>
      <c r="G398" s="72"/>
      <c r="H398" s="73"/>
      <c r="I398" s="72"/>
      <c r="J398" s="71"/>
      <c r="K398" s="72"/>
      <c r="L398" s="72"/>
      <c r="M398" s="72"/>
      <c r="N398" s="74"/>
      <c r="O398" s="71"/>
      <c r="P398" s="72"/>
      <c r="Q398" s="72"/>
      <c r="R398" s="72"/>
      <c r="S398" s="74"/>
      <c r="T398" s="75"/>
    </row>
    <row r="399" spans="1:20" x14ac:dyDescent="0.35">
      <c r="A399" s="17"/>
      <c r="B399" s="18"/>
      <c r="C399" s="13"/>
      <c r="D399" s="31"/>
      <c r="E399" s="24"/>
      <c r="F399" s="71"/>
      <c r="G399" s="72"/>
      <c r="H399" s="73"/>
      <c r="I399" s="72"/>
      <c r="J399" s="71"/>
      <c r="K399" s="72"/>
      <c r="L399" s="72"/>
      <c r="M399" s="72"/>
      <c r="N399" s="74"/>
      <c r="O399" s="71"/>
      <c r="P399" s="72"/>
      <c r="Q399" s="72"/>
      <c r="R399" s="72"/>
      <c r="S399" s="74"/>
      <c r="T399" s="75"/>
    </row>
    <row r="400" spans="1:20" x14ac:dyDescent="0.35">
      <c r="A400" s="17"/>
      <c r="B400" s="18"/>
      <c r="C400" s="13"/>
      <c r="D400" s="31"/>
      <c r="E400" s="24"/>
      <c r="F400" s="71"/>
      <c r="G400" s="72"/>
      <c r="H400" s="73"/>
      <c r="I400" s="72"/>
      <c r="J400" s="71"/>
      <c r="K400" s="72"/>
      <c r="L400" s="72"/>
      <c r="M400" s="72"/>
      <c r="N400" s="74"/>
      <c r="O400" s="71"/>
      <c r="P400" s="72"/>
      <c r="Q400" s="72"/>
      <c r="R400" s="72"/>
      <c r="S400" s="74"/>
      <c r="T400" s="75"/>
    </row>
    <row r="401" spans="1:20" x14ac:dyDescent="0.35">
      <c r="A401" s="17"/>
      <c r="B401" s="18"/>
      <c r="C401" s="13"/>
      <c r="D401" s="31"/>
      <c r="E401" s="24"/>
      <c r="F401" s="71"/>
      <c r="G401" s="72"/>
      <c r="H401" s="73"/>
      <c r="I401" s="72"/>
      <c r="J401" s="71"/>
      <c r="K401" s="72"/>
      <c r="L401" s="72"/>
      <c r="M401" s="72"/>
      <c r="N401" s="74"/>
      <c r="O401" s="71"/>
      <c r="P401" s="72"/>
      <c r="Q401" s="72"/>
      <c r="R401" s="72"/>
      <c r="S401" s="74"/>
      <c r="T401" s="75"/>
    </row>
    <row r="402" spans="1:20" x14ac:dyDescent="0.35">
      <c r="A402" s="17"/>
      <c r="B402" s="18"/>
      <c r="C402" s="13"/>
      <c r="D402" s="31"/>
      <c r="E402" s="24"/>
      <c r="F402" s="71"/>
      <c r="G402" s="72"/>
      <c r="H402" s="73"/>
      <c r="I402" s="72"/>
      <c r="J402" s="71"/>
      <c r="K402" s="72"/>
      <c r="L402" s="72"/>
      <c r="M402" s="72"/>
      <c r="N402" s="74"/>
      <c r="O402" s="71"/>
      <c r="P402" s="72"/>
      <c r="Q402" s="72"/>
      <c r="R402" s="72"/>
      <c r="S402" s="74"/>
      <c r="T402" s="75"/>
    </row>
    <row r="403" spans="1:20" x14ac:dyDescent="0.35">
      <c r="A403" s="17"/>
      <c r="B403" s="18"/>
      <c r="C403" s="13"/>
      <c r="D403" s="31"/>
      <c r="E403" s="24"/>
      <c r="F403" s="71"/>
      <c r="G403" s="72"/>
      <c r="H403" s="73"/>
      <c r="I403" s="72"/>
      <c r="J403" s="71"/>
      <c r="K403" s="72"/>
      <c r="L403" s="72"/>
      <c r="M403" s="72"/>
      <c r="N403" s="74"/>
      <c r="O403" s="71"/>
      <c r="P403" s="72"/>
      <c r="Q403" s="72"/>
      <c r="R403" s="72"/>
      <c r="S403" s="74"/>
      <c r="T403" s="75"/>
    </row>
    <row r="404" spans="1:20" x14ac:dyDescent="0.35">
      <c r="A404" s="17"/>
      <c r="B404" s="18"/>
      <c r="C404" s="13"/>
      <c r="D404" s="31"/>
      <c r="E404" s="24"/>
      <c r="F404" s="71"/>
      <c r="G404" s="72"/>
      <c r="H404" s="73"/>
      <c r="I404" s="72"/>
      <c r="J404" s="71"/>
      <c r="K404" s="72"/>
      <c r="L404" s="72"/>
      <c r="M404" s="72"/>
      <c r="N404" s="74"/>
      <c r="O404" s="71"/>
      <c r="P404" s="72"/>
      <c r="Q404" s="72"/>
      <c r="R404" s="72"/>
      <c r="S404" s="74"/>
      <c r="T404" s="75"/>
    </row>
    <row r="405" spans="1:20" x14ac:dyDescent="0.35">
      <c r="A405" s="17"/>
      <c r="B405" s="18"/>
      <c r="C405" s="13"/>
      <c r="D405" s="31"/>
      <c r="E405" s="24"/>
      <c r="F405" s="71"/>
      <c r="G405" s="72"/>
      <c r="H405" s="73"/>
      <c r="I405" s="72"/>
      <c r="J405" s="71"/>
      <c r="K405" s="72"/>
      <c r="L405" s="72"/>
      <c r="M405" s="72"/>
      <c r="N405" s="74"/>
      <c r="O405" s="71"/>
      <c r="P405" s="72"/>
      <c r="Q405" s="72"/>
      <c r="R405" s="72"/>
      <c r="S405" s="74"/>
      <c r="T405" s="75"/>
    </row>
    <row r="406" spans="1:20" x14ac:dyDescent="0.35">
      <c r="A406" s="17"/>
      <c r="B406" s="18"/>
      <c r="C406" s="13"/>
      <c r="D406" s="31"/>
      <c r="E406" s="24"/>
      <c r="F406" s="71"/>
      <c r="G406" s="72"/>
      <c r="H406" s="73"/>
      <c r="I406" s="72"/>
      <c r="J406" s="71"/>
      <c r="K406" s="72"/>
      <c r="L406" s="72"/>
      <c r="M406" s="72"/>
      <c r="N406" s="74"/>
      <c r="O406" s="71"/>
      <c r="P406" s="72"/>
      <c r="Q406" s="72"/>
      <c r="R406" s="72"/>
      <c r="S406" s="74"/>
      <c r="T406" s="75"/>
    </row>
    <row r="407" spans="1:20" x14ac:dyDescent="0.35">
      <c r="A407" s="17"/>
      <c r="B407" s="18"/>
      <c r="C407" s="13"/>
      <c r="D407" s="31"/>
      <c r="E407" s="24"/>
      <c r="F407" s="71"/>
      <c r="G407" s="72"/>
      <c r="H407" s="73"/>
      <c r="I407" s="72"/>
      <c r="J407" s="71"/>
      <c r="K407" s="72"/>
      <c r="L407" s="72"/>
      <c r="M407" s="72"/>
      <c r="N407" s="74"/>
      <c r="O407" s="71"/>
      <c r="P407" s="72"/>
      <c r="Q407" s="72"/>
      <c r="R407" s="72"/>
      <c r="S407" s="74"/>
      <c r="T407" s="75"/>
    </row>
    <row r="408" spans="1:20" x14ac:dyDescent="0.35">
      <c r="A408" s="17"/>
      <c r="B408" s="18"/>
      <c r="C408" s="13"/>
      <c r="D408" s="31"/>
      <c r="E408" s="24"/>
      <c r="F408" s="71"/>
      <c r="G408" s="72"/>
      <c r="H408" s="73"/>
      <c r="I408" s="72"/>
      <c r="J408" s="71"/>
      <c r="K408" s="72"/>
      <c r="L408" s="72"/>
      <c r="M408" s="72"/>
      <c r="N408" s="74"/>
      <c r="O408" s="71"/>
      <c r="P408" s="72"/>
      <c r="Q408" s="72"/>
      <c r="R408" s="72"/>
      <c r="S408" s="74"/>
      <c r="T408" s="75"/>
    </row>
    <row r="409" spans="1:20" x14ac:dyDescent="0.35">
      <c r="A409" s="17"/>
      <c r="B409" s="18"/>
      <c r="C409" s="13"/>
      <c r="D409" s="31"/>
      <c r="E409" s="24"/>
      <c r="F409" s="71"/>
      <c r="G409" s="72"/>
      <c r="H409" s="73"/>
      <c r="I409" s="72"/>
      <c r="J409" s="71"/>
      <c r="K409" s="72"/>
      <c r="L409" s="72"/>
      <c r="M409" s="72"/>
      <c r="N409" s="74"/>
      <c r="O409" s="71"/>
      <c r="P409" s="72"/>
      <c r="Q409" s="72"/>
      <c r="R409" s="72"/>
      <c r="S409" s="74"/>
      <c r="T409" s="75"/>
    </row>
    <row r="410" spans="1:20" x14ac:dyDescent="0.35">
      <c r="A410" s="17"/>
      <c r="B410" s="18"/>
      <c r="C410" s="13"/>
      <c r="D410" s="31"/>
      <c r="E410" s="24"/>
      <c r="F410" s="71"/>
      <c r="G410" s="72"/>
      <c r="H410" s="73"/>
      <c r="I410" s="72"/>
      <c r="J410" s="71"/>
      <c r="K410" s="72"/>
      <c r="L410" s="72"/>
      <c r="M410" s="72"/>
      <c r="N410" s="74"/>
      <c r="O410" s="71"/>
      <c r="P410" s="72"/>
      <c r="Q410" s="72"/>
      <c r="R410" s="72"/>
      <c r="S410" s="74"/>
      <c r="T410" s="75"/>
    </row>
    <row r="411" spans="1:20" x14ac:dyDescent="0.35">
      <c r="A411" s="17"/>
      <c r="B411" s="18"/>
      <c r="C411" s="13"/>
      <c r="D411" s="31"/>
      <c r="E411" s="24"/>
      <c r="F411" s="71"/>
      <c r="G411" s="72"/>
      <c r="H411" s="73"/>
      <c r="I411" s="72"/>
      <c r="J411" s="71"/>
      <c r="K411" s="72"/>
      <c r="L411" s="72"/>
      <c r="M411" s="72"/>
      <c r="N411" s="74"/>
      <c r="O411" s="71"/>
      <c r="P411" s="72"/>
      <c r="Q411" s="72"/>
      <c r="R411" s="72"/>
      <c r="S411" s="74"/>
      <c r="T411" s="75"/>
    </row>
    <row r="412" spans="1:20" x14ac:dyDescent="0.35">
      <c r="A412" s="17"/>
      <c r="B412" s="18"/>
      <c r="C412" s="13"/>
      <c r="D412" s="31"/>
      <c r="E412" s="24"/>
      <c r="F412" s="71"/>
      <c r="G412" s="72"/>
      <c r="H412" s="73"/>
      <c r="I412" s="72"/>
      <c r="J412" s="71"/>
      <c r="K412" s="72"/>
      <c r="L412" s="72"/>
      <c r="M412" s="72"/>
      <c r="N412" s="74"/>
      <c r="O412" s="71"/>
      <c r="P412" s="72"/>
      <c r="Q412" s="72"/>
      <c r="R412" s="72"/>
      <c r="S412" s="74"/>
      <c r="T412" s="75"/>
    </row>
    <row r="413" spans="1:20" x14ac:dyDescent="0.35">
      <c r="A413" s="17"/>
      <c r="B413" s="18"/>
      <c r="C413" s="13"/>
      <c r="D413" s="31"/>
      <c r="E413" s="24"/>
      <c r="F413" s="71"/>
      <c r="G413" s="72"/>
      <c r="H413" s="73"/>
      <c r="I413" s="72"/>
      <c r="J413" s="71"/>
      <c r="K413" s="72"/>
      <c r="L413" s="72"/>
      <c r="M413" s="72"/>
      <c r="N413" s="74"/>
      <c r="O413" s="71"/>
      <c r="P413" s="72"/>
      <c r="Q413" s="72"/>
      <c r="R413" s="72"/>
      <c r="S413" s="74"/>
      <c r="T413" s="75"/>
    </row>
    <row r="414" spans="1:20" x14ac:dyDescent="0.35">
      <c r="A414" s="17"/>
      <c r="B414" s="18"/>
      <c r="C414" s="13"/>
      <c r="D414" s="31"/>
      <c r="E414" s="24"/>
      <c r="F414" s="71"/>
      <c r="G414" s="72"/>
      <c r="H414" s="73"/>
      <c r="I414" s="72"/>
      <c r="J414" s="71"/>
      <c r="K414" s="72"/>
      <c r="L414" s="72"/>
      <c r="M414" s="72"/>
      <c r="N414" s="74"/>
      <c r="O414" s="71"/>
      <c r="P414" s="72"/>
      <c r="Q414" s="72"/>
      <c r="R414" s="72"/>
      <c r="S414" s="74"/>
      <c r="T414" s="75"/>
    </row>
    <row r="415" spans="1:20" x14ac:dyDescent="0.35">
      <c r="A415" s="17"/>
      <c r="B415" s="18"/>
      <c r="C415" s="13"/>
      <c r="D415" s="31"/>
      <c r="E415" s="24"/>
      <c r="F415" s="71"/>
      <c r="G415" s="72"/>
      <c r="H415" s="73"/>
      <c r="I415" s="72"/>
      <c r="J415" s="71"/>
      <c r="K415" s="72"/>
      <c r="L415" s="72"/>
      <c r="M415" s="72"/>
      <c r="N415" s="74"/>
      <c r="O415" s="71"/>
      <c r="P415" s="72"/>
      <c r="Q415" s="72"/>
      <c r="R415" s="72"/>
      <c r="S415" s="74"/>
      <c r="T415" s="75"/>
    </row>
    <row r="416" spans="1:20" x14ac:dyDescent="0.35">
      <c r="A416" s="17"/>
      <c r="B416" s="18"/>
      <c r="C416" s="13"/>
      <c r="D416" s="31"/>
      <c r="E416" s="24"/>
      <c r="F416" s="71"/>
      <c r="G416" s="72"/>
      <c r="H416" s="73"/>
      <c r="I416" s="72"/>
      <c r="J416" s="71"/>
      <c r="K416" s="72"/>
      <c r="L416" s="72"/>
      <c r="M416" s="72"/>
      <c r="N416" s="74"/>
      <c r="O416" s="71"/>
      <c r="P416" s="72"/>
      <c r="Q416" s="72"/>
      <c r="R416" s="72"/>
      <c r="S416" s="74"/>
      <c r="T416" s="75"/>
    </row>
    <row r="417" spans="1:20" x14ac:dyDescent="0.35">
      <c r="A417" s="17"/>
      <c r="B417" s="18"/>
      <c r="C417" s="13"/>
      <c r="D417" s="31"/>
      <c r="E417" s="24"/>
      <c r="F417" s="71"/>
      <c r="G417" s="72"/>
      <c r="H417" s="73"/>
      <c r="I417" s="72"/>
      <c r="J417" s="71"/>
      <c r="K417" s="72"/>
      <c r="L417" s="72"/>
      <c r="M417" s="72"/>
      <c r="N417" s="74"/>
      <c r="O417" s="71"/>
      <c r="P417" s="72"/>
      <c r="Q417" s="72"/>
      <c r="R417" s="72"/>
      <c r="S417" s="74"/>
      <c r="T417" s="75"/>
    </row>
    <row r="418" spans="1:20" x14ac:dyDescent="0.35">
      <c r="A418" s="17"/>
      <c r="B418" s="18"/>
      <c r="C418" s="13"/>
      <c r="D418" s="31"/>
      <c r="E418" s="24"/>
      <c r="F418" s="71"/>
      <c r="G418" s="72"/>
      <c r="H418" s="73"/>
      <c r="I418" s="72"/>
      <c r="J418" s="71"/>
      <c r="K418" s="72"/>
      <c r="L418" s="72"/>
      <c r="M418" s="72"/>
      <c r="N418" s="74"/>
      <c r="O418" s="71"/>
      <c r="P418" s="72"/>
      <c r="Q418" s="72"/>
      <c r="R418" s="72"/>
      <c r="S418" s="74"/>
      <c r="T418" s="75"/>
    </row>
    <row r="419" spans="1:20" x14ac:dyDescent="0.35">
      <c r="A419" s="17"/>
      <c r="B419" s="18"/>
      <c r="C419" s="13"/>
      <c r="D419" s="31"/>
      <c r="E419" s="24"/>
      <c r="F419" s="71"/>
      <c r="G419" s="72"/>
      <c r="H419" s="73"/>
      <c r="I419" s="72"/>
      <c r="J419" s="71"/>
      <c r="K419" s="72"/>
      <c r="L419" s="72"/>
      <c r="M419" s="72"/>
      <c r="N419" s="74"/>
      <c r="O419" s="71"/>
      <c r="P419" s="72"/>
      <c r="Q419" s="72"/>
      <c r="R419" s="72"/>
      <c r="S419" s="74"/>
      <c r="T419" s="75"/>
    </row>
    <row r="420" spans="1:20" x14ac:dyDescent="0.35">
      <c r="A420" s="17"/>
      <c r="B420" s="18"/>
      <c r="C420" s="13"/>
      <c r="D420" s="31"/>
      <c r="E420" s="24"/>
      <c r="F420" s="71"/>
      <c r="G420" s="72"/>
      <c r="H420" s="73"/>
      <c r="I420" s="72"/>
      <c r="J420" s="71"/>
      <c r="K420" s="72"/>
      <c r="L420" s="72"/>
      <c r="M420" s="72"/>
      <c r="N420" s="74"/>
      <c r="O420" s="71"/>
      <c r="P420" s="72"/>
      <c r="Q420" s="72"/>
      <c r="R420" s="72"/>
      <c r="S420" s="74"/>
      <c r="T420" s="75"/>
    </row>
    <row r="421" spans="1:20" x14ac:dyDescent="0.35">
      <c r="A421" s="17"/>
      <c r="B421" s="18"/>
      <c r="C421" s="13"/>
      <c r="D421" s="31"/>
      <c r="E421" s="24"/>
      <c r="F421" s="71"/>
      <c r="G421" s="72"/>
      <c r="H421" s="73"/>
      <c r="I421" s="72"/>
      <c r="J421" s="71"/>
      <c r="K421" s="72"/>
      <c r="L421" s="72"/>
      <c r="M421" s="72"/>
      <c r="N421" s="74"/>
      <c r="O421" s="71"/>
      <c r="P421" s="72"/>
      <c r="Q421" s="72"/>
      <c r="R421" s="72"/>
      <c r="S421" s="74"/>
      <c r="T421" s="75"/>
    </row>
    <row r="422" spans="1:20" x14ac:dyDescent="0.35">
      <c r="A422" s="17"/>
      <c r="B422" s="18"/>
      <c r="C422" s="13"/>
      <c r="D422" s="31"/>
      <c r="E422" s="24"/>
      <c r="F422" s="71"/>
      <c r="G422" s="72"/>
      <c r="H422" s="73"/>
      <c r="I422" s="72"/>
      <c r="J422" s="71"/>
      <c r="K422" s="72"/>
      <c r="L422" s="72"/>
      <c r="M422" s="72"/>
      <c r="N422" s="74"/>
      <c r="O422" s="71"/>
      <c r="P422" s="72"/>
      <c r="Q422" s="72"/>
      <c r="R422" s="72"/>
      <c r="S422" s="74"/>
      <c r="T422" s="75"/>
    </row>
    <row r="423" spans="1:20" x14ac:dyDescent="0.35">
      <c r="A423" s="17"/>
      <c r="B423" s="18"/>
      <c r="C423" s="13"/>
      <c r="D423" s="31"/>
      <c r="E423" s="24"/>
      <c r="F423" s="71"/>
      <c r="G423" s="72"/>
      <c r="H423" s="73"/>
      <c r="I423" s="72"/>
      <c r="J423" s="71"/>
      <c r="K423" s="72"/>
      <c r="L423" s="72"/>
      <c r="M423" s="72"/>
      <c r="N423" s="74"/>
      <c r="O423" s="71"/>
      <c r="P423" s="72"/>
      <c r="Q423" s="72"/>
      <c r="R423" s="72"/>
      <c r="S423" s="74"/>
      <c r="T423" s="75"/>
    </row>
    <row r="424" spans="1:20" x14ac:dyDescent="0.35">
      <c r="A424" s="17"/>
      <c r="B424" s="18"/>
      <c r="C424" s="13"/>
      <c r="D424" s="31"/>
      <c r="E424" s="24"/>
      <c r="F424" s="71"/>
      <c r="G424" s="72"/>
      <c r="H424" s="73"/>
      <c r="I424" s="72"/>
      <c r="J424" s="71"/>
      <c r="K424" s="72"/>
      <c r="L424" s="72"/>
      <c r="M424" s="72"/>
      <c r="N424" s="74"/>
      <c r="O424" s="71"/>
      <c r="P424" s="72"/>
      <c r="Q424" s="72"/>
      <c r="R424" s="72"/>
      <c r="S424" s="74"/>
      <c r="T424" s="75"/>
    </row>
    <row r="425" spans="1:20" x14ac:dyDescent="0.35">
      <c r="A425" s="17"/>
      <c r="B425" s="18"/>
      <c r="C425" s="13"/>
      <c r="D425" s="31"/>
      <c r="E425" s="24"/>
      <c r="F425" s="71"/>
      <c r="G425" s="72"/>
      <c r="H425" s="73"/>
      <c r="I425" s="72"/>
      <c r="J425" s="71"/>
      <c r="K425" s="72"/>
      <c r="L425" s="72"/>
      <c r="M425" s="72"/>
      <c r="N425" s="74"/>
      <c r="O425" s="71"/>
      <c r="P425" s="72"/>
      <c r="Q425" s="72"/>
      <c r="R425" s="72"/>
      <c r="S425" s="74"/>
      <c r="T425" s="75"/>
    </row>
    <row r="426" spans="1:20" x14ac:dyDescent="0.35">
      <c r="A426" s="17"/>
      <c r="B426" s="18"/>
      <c r="C426" s="13"/>
      <c r="D426" s="31"/>
      <c r="E426" s="24"/>
      <c r="F426" s="71"/>
      <c r="G426" s="72"/>
      <c r="H426" s="73"/>
      <c r="I426" s="72"/>
      <c r="J426" s="71"/>
      <c r="K426" s="72"/>
      <c r="L426" s="72"/>
      <c r="M426" s="72"/>
      <c r="N426" s="74"/>
      <c r="O426" s="71"/>
      <c r="P426" s="72"/>
      <c r="Q426" s="72"/>
      <c r="R426" s="72"/>
      <c r="S426" s="74"/>
      <c r="T426" s="75"/>
    </row>
    <row r="427" spans="1:20" x14ac:dyDescent="0.35">
      <c r="A427" s="17"/>
      <c r="B427" s="18"/>
      <c r="C427" s="13"/>
      <c r="D427" s="31"/>
      <c r="E427" s="24"/>
      <c r="F427" s="71"/>
      <c r="G427" s="72"/>
      <c r="H427" s="73"/>
      <c r="I427" s="72"/>
      <c r="J427" s="71"/>
      <c r="K427" s="72"/>
      <c r="L427" s="72"/>
      <c r="M427" s="72"/>
      <c r="N427" s="74"/>
      <c r="O427" s="71"/>
      <c r="P427" s="72"/>
      <c r="Q427" s="72"/>
      <c r="R427" s="72"/>
      <c r="S427" s="74"/>
      <c r="T427" s="75"/>
    </row>
    <row r="428" spans="1:20" x14ac:dyDescent="0.35">
      <c r="A428" s="17"/>
      <c r="B428" s="18"/>
      <c r="C428" s="13"/>
      <c r="D428" s="31"/>
      <c r="E428" s="24"/>
      <c r="F428" s="71"/>
      <c r="G428" s="72"/>
      <c r="H428" s="73"/>
      <c r="I428" s="72"/>
      <c r="J428" s="71"/>
      <c r="K428" s="72"/>
      <c r="L428" s="72"/>
      <c r="M428" s="72"/>
      <c r="N428" s="74"/>
      <c r="O428" s="71"/>
      <c r="P428" s="72"/>
      <c r="Q428" s="72"/>
      <c r="R428" s="72"/>
      <c r="S428" s="74"/>
      <c r="T428" s="75"/>
    </row>
    <row r="429" spans="1:20" x14ac:dyDescent="0.35">
      <c r="A429" s="17"/>
      <c r="B429" s="18"/>
      <c r="C429" s="13"/>
      <c r="D429" s="31"/>
      <c r="E429" s="24"/>
      <c r="F429" s="71"/>
      <c r="G429" s="72"/>
      <c r="H429" s="73"/>
      <c r="I429" s="72"/>
      <c r="J429" s="71"/>
      <c r="K429" s="72"/>
      <c r="L429" s="72"/>
      <c r="M429" s="72"/>
      <c r="N429" s="74"/>
      <c r="O429" s="71"/>
      <c r="P429" s="72"/>
      <c r="Q429" s="72"/>
      <c r="R429" s="72"/>
      <c r="S429" s="74"/>
      <c r="T429" s="75"/>
    </row>
    <row r="430" spans="1:20" x14ac:dyDescent="0.35">
      <c r="A430" s="17"/>
      <c r="B430" s="18"/>
      <c r="C430" s="13"/>
      <c r="D430" s="31"/>
      <c r="E430" s="24"/>
      <c r="F430" s="71"/>
      <c r="G430" s="72"/>
      <c r="H430" s="73"/>
      <c r="I430" s="72"/>
      <c r="J430" s="71"/>
      <c r="K430" s="72"/>
      <c r="L430" s="72"/>
      <c r="M430" s="72"/>
      <c r="N430" s="74"/>
      <c r="O430" s="71"/>
      <c r="P430" s="72"/>
      <c r="Q430" s="72"/>
      <c r="R430" s="72"/>
      <c r="S430" s="74"/>
      <c r="T430" s="75"/>
    </row>
    <row r="431" spans="1:20" x14ac:dyDescent="0.35">
      <c r="A431" s="17"/>
      <c r="B431" s="18"/>
      <c r="C431" s="13"/>
      <c r="D431" s="31"/>
      <c r="E431" s="24"/>
      <c r="F431" s="71"/>
      <c r="G431" s="72"/>
      <c r="H431" s="73"/>
      <c r="I431" s="72"/>
      <c r="J431" s="71"/>
      <c r="K431" s="72"/>
      <c r="L431" s="72"/>
      <c r="M431" s="72"/>
      <c r="N431" s="74"/>
      <c r="O431" s="71"/>
      <c r="P431" s="72"/>
      <c r="Q431" s="72"/>
      <c r="R431" s="72"/>
      <c r="S431" s="74"/>
      <c r="T431" s="75"/>
    </row>
    <row r="432" spans="1:20" x14ac:dyDescent="0.35">
      <c r="A432" s="17"/>
      <c r="B432" s="18"/>
      <c r="C432" s="13"/>
      <c r="D432" s="31"/>
      <c r="E432" s="24"/>
      <c r="F432" s="71"/>
      <c r="G432" s="72"/>
      <c r="H432" s="73"/>
      <c r="I432" s="72"/>
      <c r="J432" s="71"/>
      <c r="K432" s="72"/>
      <c r="L432" s="72"/>
      <c r="M432" s="72"/>
      <c r="N432" s="74"/>
      <c r="O432" s="71"/>
      <c r="P432" s="72"/>
      <c r="Q432" s="72"/>
      <c r="R432" s="72"/>
      <c r="S432" s="74"/>
      <c r="T432" s="75"/>
    </row>
    <row r="433" spans="1:20" x14ac:dyDescent="0.35">
      <c r="A433" s="17"/>
      <c r="B433" s="18"/>
      <c r="C433" s="13"/>
      <c r="D433" s="31"/>
      <c r="E433" s="24"/>
      <c r="F433" s="71"/>
      <c r="G433" s="72"/>
      <c r="H433" s="73"/>
      <c r="I433" s="72"/>
      <c r="J433" s="71"/>
      <c r="K433" s="72"/>
      <c r="L433" s="72"/>
      <c r="M433" s="72"/>
      <c r="N433" s="74"/>
      <c r="O433" s="71"/>
      <c r="P433" s="72"/>
      <c r="Q433" s="72"/>
      <c r="R433" s="72"/>
      <c r="S433" s="74"/>
      <c r="T433" s="75"/>
    </row>
    <row r="434" spans="1:20" x14ac:dyDescent="0.35">
      <c r="A434" s="17"/>
      <c r="B434" s="18"/>
      <c r="C434" s="13"/>
      <c r="D434" s="31"/>
      <c r="E434" s="24"/>
      <c r="F434" s="71"/>
      <c r="G434" s="72"/>
      <c r="H434" s="73"/>
      <c r="I434" s="72"/>
      <c r="J434" s="71"/>
      <c r="K434" s="72"/>
      <c r="L434" s="72"/>
      <c r="M434" s="72"/>
      <c r="N434" s="74"/>
      <c r="O434" s="71"/>
      <c r="P434" s="72"/>
      <c r="Q434" s="72"/>
      <c r="R434" s="72"/>
      <c r="S434" s="74"/>
      <c r="T434" s="75"/>
    </row>
    <row r="435" spans="1:20" x14ac:dyDescent="0.35">
      <c r="A435" s="17"/>
      <c r="B435" s="18"/>
      <c r="C435" s="13"/>
      <c r="D435" s="31"/>
      <c r="E435" s="24"/>
      <c r="F435" s="71"/>
      <c r="G435" s="72"/>
      <c r="H435" s="73"/>
      <c r="I435" s="72"/>
      <c r="J435" s="71"/>
      <c r="K435" s="72"/>
      <c r="L435" s="72"/>
      <c r="M435" s="72"/>
      <c r="N435" s="74"/>
      <c r="O435" s="71"/>
      <c r="P435" s="72"/>
      <c r="Q435" s="72"/>
      <c r="R435" s="72"/>
      <c r="S435" s="74"/>
      <c r="T435" s="75"/>
    </row>
    <row r="436" spans="1:20" x14ac:dyDescent="0.35">
      <c r="A436" s="17"/>
      <c r="B436" s="18"/>
      <c r="C436" s="13"/>
      <c r="D436" s="31"/>
      <c r="E436" s="24"/>
      <c r="F436" s="71"/>
      <c r="G436" s="72"/>
      <c r="H436" s="73"/>
      <c r="I436" s="72"/>
      <c r="J436" s="71"/>
      <c r="K436" s="72"/>
      <c r="L436" s="72"/>
      <c r="M436" s="72"/>
      <c r="N436" s="74"/>
      <c r="O436" s="71"/>
      <c r="P436" s="72"/>
      <c r="Q436" s="72"/>
      <c r="R436" s="72"/>
      <c r="S436" s="74"/>
      <c r="T436" s="75"/>
    </row>
    <row r="437" spans="1:20" x14ac:dyDescent="0.35">
      <c r="A437" s="17"/>
      <c r="B437" s="18"/>
      <c r="C437" s="13"/>
      <c r="D437" s="31"/>
      <c r="E437" s="24"/>
      <c r="F437" s="71"/>
      <c r="G437" s="72"/>
      <c r="H437" s="73"/>
      <c r="I437" s="72"/>
      <c r="J437" s="71"/>
      <c r="K437" s="72"/>
      <c r="L437" s="72"/>
      <c r="M437" s="72"/>
      <c r="N437" s="74"/>
      <c r="O437" s="71"/>
      <c r="P437" s="72"/>
      <c r="Q437" s="72"/>
      <c r="R437" s="72"/>
      <c r="S437" s="74"/>
      <c r="T437" s="75"/>
    </row>
    <row r="438" spans="1:20" x14ac:dyDescent="0.35">
      <c r="A438" s="17"/>
      <c r="B438" s="18"/>
      <c r="C438" s="13"/>
      <c r="D438" s="31"/>
      <c r="E438" s="24"/>
      <c r="F438" s="71"/>
      <c r="G438" s="72"/>
      <c r="H438" s="73"/>
      <c r="I438" s="72"/>
      <c r="J438" s="71"/>
      <c r="K438" s="72"/>
      <c r="L438" s="72"/>
      <c r="M438" s="72"/>
      <c r="N438" s="74"/>
      <c r="O438" s="71"/>
      <c r="P438" s="72"/>
      <c r="Q438" s="72"/>
      <c r="R438" s="72"/>
      <c r="S438" s="74"/>
      <c r="T438" s="75"/>
    </row>
    <row r="439" spans="1:20" x14ac:dyDescent="0.35">
      <c r="A439" s="17"/>
      <c r="B439" s="18"/>
      <c r="C439" s="13"/>
      <c r="D439" s="31"/>
      <c r="E439" s="24"/>
      <c r="F439" s="71"/>
      <c r="G439" s="72"/>
      <c r="H439" s="73"/>
      <c r="I439" s="72"/>
      <c r="J439" s="71"/>
      <c r="K439" s="72"/>
      <c r="L439" s="72"/>
      <c r="M439" s="72"/>
      <c r="N439" s="74"/>
      <c r="O439" s="71"/>
      <c r="P439" s="72"/>
      <c r="Q439" s="72"/>
      <c r="R439" s="72"/>
      <c r="S439" s="74"/>
      <c r="T439" s="75"/>
    </row>
    <row r="440" spans="1:20" x14ac:dyDescent="0.35">
      <c r="A440" s="17"/>
      <c r="B440" s="18"/>
      <c r="C440" s="13"/>
      <c r="D440" s="31"/>
      <c r="E440" s="24"/>
      <c r="F440" s="71"/>
      <c r="G440" s="72"/>
      <c r="H440" s="73"/>
      <c r="I440" s="72"/>
      <c r="J440" s="71"/>
      <c r="K440" s="72"/>
      <c r="L440" s="72"/>
      <c r="M440" s="72"/>
      <c r="N440" s="74"/>
      <c r="O440" s="71"/>
      <c r="P440" s="72"/>
      <c r="Q440" s="72"/>
      <c r="R440" s="72"/>
      <c r="S440" s="74"/>
      <c r="T440" s="75"/>
    </row>
    <row r="441" spans="1:20" x14ac:dyDescent="0.35">
      <c r="A441" s="17"/>
      <c r="B441" s="18"/>
      <c r="C441" s="13"/>
      <c r="D441" s="31"/>
      <c r="E441" s="24"/>
      <c r="F441" s="71"/>
      <c r="G441" s="72"/>
      <c r="H441" s="73"/>
      <c r="I441" s="72"/>
      <c r="J441" s="71"/>
      <c r="K441" s="72"/>
      <c r="L441" s="72"/>
      <c r="M441" s="72"/>
      <c r="N441" s="74"/>
      <c r="O441" s="71"/>
      <c r="P441" s="72"/>
      <c r="Q441" s="72"/>
      <c r="R441" s="72"/>
      <c r="S441" s="74"/>
      <c r="T441" s="75"/>
    </row>
    <row r="442" spans="1:20" x14ac:dyDescent="0.35">
      <c r="A442" s="17"/>
      <c r="B442" s="18"/>
      <c r="C442" s="13"/>
      <c r="D442" s="31"/>
      <c r="E442" s="24"/>
      <c r="F442" s="71"/>
      <c r="G442" s="72"/>
      <c r="H442" s="73"/>
      <c r="I442" s="72"/>
      <c r="J442" s="71"/>
      <c r="K442" s="72"/>
      <c r="L442" s="72"/>
      <c r="M442" s="72"/>
      <c r="N442" s="74"/>
      <c r="O442" s="71"/>
      <c r="P442" s="72"/>
      <c r="Q442" s="72"/>
      <c r="R442" s="72"/>
      <c r="S442" s="74"/>
      <c r="T442" s="75"/>
    </row>
    <row r="443" spans="1:20" x14ac:dyDescent="0.35">
      <c r="A443" s="17"/>
      <c r="B443" s="18"/>
      <c r="C443" s="13"/>
      <c r="D443" s="31"/>
      <c r="E443" s="24"/>
      <c r="F443" s="71"/>
      <c r="G443" s="72"/>
      <c r="H443" s="73"/>
      <c r="I443" s="72"/>
      <c r="J443" s="71"/>
      <c r="K443" s="72"/>
      <c r="L443" s="72"/>
      <c r="M443" s="72"/>
      <c r="N443" s="74"/>
      <c r="O443" s="71"/>
      <c r="P443" s="72"/>
      <c r="Q443" s="72"/>
      <c r="R443" s="72"/>
      <c r="S443" s="74"/>
      <c r="T443" s="75"/>
    </row>
    <row r="444" spans="1:20" x14ac:dyDescent="0.35">
      <c r="A444" s="17"/>
      <c r="B444" s="18"/>
      <c r="C444" s="13"/>
      <c r="D444" s="31"/>
      <c r="E444" s="24"/>
      <c r="F444" s="71"/>
      <c r="G444" s="72"/>
      <c r="H444" s="73"/>
      <c r="I444" s="72"/>
      <c r="J444" s="71"/>
      <c r="K444" s="72"/>
      <c r="L444" s="72"/>
      <c r="M444" s="72"/>
      <c r="N444" s="74"/>
      <c r="O444" s="71"/>
      <c r="P444" s="72"/>
      <c r="Q444" s="72"/>
      <c r="R444" s="72"/>
      <c r="S444" s="74"/>
      <c r="T444" s="75"/>
    </row>
    <row r="445" spans="1:20" x14ac:dyDescent="0.35">
      <c r="A445" s="17"/>
      <c r="B445" s="18"/>
      <c r="C445" s="13"/>
      <c r="D445" s="31"/>
      <c r="E445" s="24"/>
      <c r="F445" s="71"/>
      <c r="G445" s="72"/>
      <c r="H445" s="73"/>
      <c r="I445" s="72"/>
      <c r="J445" s="71"/>
      <c r="K445" s="72"/>
      <c r="L445" s="72"/>
      <c r="M445" s="72"/>
      <c r="N445" s="74"/>
      <c r="O445" s="71"/>
      <c r="P445" s="72"/>
      <c r="Q445" s="72"/>
      <c r="R445" s="72"/>
      <c r="S445" s="74"/>
      <c r="T445" s="75"/>
    </row>
    <row r="446" spans="1:20" x14ac:dyDescent="0.35">
      <c r="A446" s="17"/>
      <c r="B446" s="18"/>
      <c r="C446" s="13"/>
      <c r="D446" s="31"/>
      <c r="E446" s="24"/>
      <c r="F446" s="71"/>
      <c r="G446" s="72"/>
      <c r="H446" s="73"/>
      <c r="I446" s="72"/>
      <c r="J446" s="71"/>
      <c r="K446" s="72"/>
      <c r="L446" s="72"/>
      <c r="M446" s="72"/>
      <c r="N446" s="74"/>
      <c r="O446" s="71"/>
      <c r="P446" s="72"/>
      <c r="Q446" s="72"/>
      <c r="R446" s="72"/>
      <c r="S446" s="74"/>
      <c r="T446" s="75"/>
    </row>
    <row r="447" spans="1:20" x14ac:dyDescent="0.35">
      <c r="A447" s="17"/>
      <c r="B447" s="18"/>
      <c r="C447" s="13"/>
      <c r="D447" s="31"/>
      <c r="E447" s="24"/>
      <c r="F447" s="71"/>
      <c r="G447" s="72"/>
      <c r="H447" s="73"/>
      <c r="I447" s="72"/>
      <c r="J447" s="71"/>
      <c r="K447" s="72"/>
      <c r="L447" s="72"/>
      <c r="M447" s="72"/>
      <c r="N447" s="74"/>
      <c r="O447" s="71"/>
      <c r="P447" s="72"/>
      <c r="Q447" s="72"/>
      <c r="R447" s="72"/>
      <c r="S447" s="74"/>
      <c r="T447" s="75"/>
    </row>
    <row r="448" spans="1:20" x14ac:dyDescent="0.35">
      <c r="A448" s="17"/>
      <c r="B448" s="18"/>
      <c r="C448" s="13"/>
      <c r="D448" s="31"/>
      <c r="E448" s="24"/>
      <c r="F448" s="71"/>
      <c r="G448" s="72"/>
      <c r="H448" s="73"/>
      <c r="I448" s="72"/>
      <c r="J448" s="71"/>
      <c r="K448" s="72"/>
      <c r="L448" s="72"/>
      <c r="M448" s="72"/>
      <c r="N448" s="74"/>
      <c r="O448" s="71"/>
      <c r="P448" s="72"/>
      <c r="Q448" s="72"/>
      <c r="R448" s="72"/>
      <c r="S448" s="74"/>
      <c r="T448" s="75"/>
    </row>
    <row r="449" spans="1:20" x14ac:dyDescent="0.35">
      <c r="A449" s="17"/>
      <c r="B449" s="18"/>
      <c r="C449" s="13"/>
      <c r="D449" s="31"/>
      <c r="E449" s="24"/>
      <c r="F449" s="71"/>
      <c r="G449" s="72"/>
      <c r="H449" s="73"/>
      <c r="I449" s="72"/>
      <c r="J449" s="71"/>
      <c r="K449" s="72"/>
      <c r="L449" s="72"/>
      <c r="M449" s="72"/>
      <c r="N449" s="74"/>
      <c r="O449" s="71"/>
      <c r="P449" s="72"/>
      <c r="Q449" s="72"/>
      <c r="R449" s="72"/>
      <c r="S449" s="74"/>
      <c r="T449" s="75"/>
    </row>
    <row r="450" spans="1:20" x14ac:dyDescent="0.35">
      <c r="A450" s="17"/>
      <c r="B450" s="18"/>
      <c r="C450" s="13"/>
      <c r="D450" s="31"/>
      <c r="E450" s="24"/>
      <c r="F450" s="71"/>
      <c r="G450" s="72"/>
      <c r="H450" s="73"/>
      <c r="I450" s="72"/>
      <c r="J450" s="71"/>
      <c r="K450" s="72"/>
      <c r="L450" s="72"/>
      <c r="M450" s="72"/>
      <c r="N450" s="74"/>
      <c r="O450" s="71"/>
      <c r="P450" s="72"/>
      <c r="Q450" s="72"/>
      <c r="R450" s="72"/>
      <c r="S450" s="74"/>
      <c r="T450" s="75"/>
    </row>
    <row r="451" spans="1:20" x14ac:dyDescent="0.35">
      <c r="A451" s="17"/>
      <c r="B451" s="18"/>
      <c r="C451" s="13"/>
      <c r="D451" s="31"/>
      <c r="E451" s="24"/>
      <c r="F451" s="71"/>
      <c r="G451" s="72"/>
      <c r="H451" s="73"/>
      <c r="I451" s="72"/>
      <c r="J451" s="71"/>
      <c r="K451" s="72"/>
      <c r="L451" s="72"/>
      <c r="M451" s="72"/>
      <c r="N451" s="74"/>
      <c r="O451" s="71"/>
      <c r="P451" s="72"/>
      <c r="Q451" s="72"/>
      <c r="R451" s="72"/>
      <c r="S451" s="74"/>
      <c r="T451" s="75"/>
    </row>
    <row r="452" spans="1:20" x14ac:dyDescent="0.35">
      <c r="A452" s="17"/>
      <c r="B452" s="18"/>
      <c r="C452" s="13"/>
      <c r="D452" s="31"/>
      <c r="E452" s="24"/>
      <c r="F452" s="71"/>
      <c r="G452" s="72"/>
      <c r="H452" s="73"/>
      <c r="I452" s="72"/>
      <c r="J452" s="71"/>
      <c r="K452" s="72"/>
      <c r="L452" s="72"/>
      <c r="M452" s="72"/>
      <c r="N452" s="74"/>
      <c r="O452" s="71"/>
      <c r="P452" s="72"/>
      <c r="Q452" s="72"/>
      <c r="R452" s="72"/>
      <c r="S452" s="74"/>
      <c r="T452" s="75"/>
    </row>
    <row r="453" spans="1:20" x14ac:dyDescent="0.35">
      <c r="A453" s="17"/>
      <c r="B453" s="18"/>
      <c r="C453" s="13"/>
      <c r="D453" s="31"/>
      <c r="E453" s="24"/>
      <c r="F453" s="71"/>
      <c r="G453" s="72"/>
      <c r="H453" s="73"/>
      <c r="I453" s="72"/>
      <c r="J453" s="71"/>
      <c r="K453" s="72"/>
      <c r="L453" s="72"/>
      <c r="M453" s="72"/>
      <c r="N453" s="74"/>
      <c r="O453" s="71"/>
      <c r="P453" s="72"/>
      <c r="Q453" s="72"/>
      <c r="R453" s="72"/>
      <c r="S453" s="74"/>
      <c r="T453" s="75"/>
    </row>
    <row r="454" spans="1:20" x14ac:dyDescent="0.35">
      <c r="A454" s="17"/>
      <c r="B454" s="18"/>
      <c r="C454" s="13"/>
      <c r="D454" s="31"/>
      <c r="E454" s="24"/>
      <c r="F454" s="71"/>
      <c r="G454" s="72"/>
      <c r="H454" s="73"/>
      <c r="I454" s="72"/>
      <c r="J454" s="71"/>
      <c r="K454" s="72"/>
      <c r="L454" s="72"/>
      <c r="M454" s="72"/>
      <c r="N454" s="74"/>
      <c r="O454" s="71"/>
      <c r="P454" s="72"/>
      <c r="Q454" s="72"/>
      <c r="R454" s="72"/>
      <c r="S454" s="74"/>
      <c r="T454" s="75"/>
    </row>
    <row r="455" spans="1:20" x14ac:dyDescent="0.35">
      <c r="A455" s="17"/>
      <c r="B455" s="18"/>
      <c r="C455" s="13"/>
      <c r="D455" s="31"/>
      <c r="E455" s="24"/>
      <c r="F455" s="71"/>
      <c r="G455" s="72"/>
      <c r="H455" s="73"/>
      <c r="I455" s="72"/>
      <c r="J455" s="71"/>
      <c r="K455" s="72"/>
      <c r="L455" s="72"/>
      <c r="M455" s="72"/>
      <c r="N455" s="74"/>
      <c r="O455" s="71"/>
      <c r="P455" s="72"/>
      <c r="Q455" s="72"/>
      <c r="R455" s="72"/>
      <c r="S455" s="74"/>
      <c r="T455" s="75"/>
    </row>
    <row r="456" spans="1:20" x14ac:dyDescent="0.35">
      <c r="A456" s="17"/>
      <c r="B456" s="18"/>
      <c r="C456" s="13"/>
      <c r="D456" s="31"/>
      <c r="E456" s="24"/>
      <c r="F456" s="71"/>
      <c r="G456" s="72"/>
      <c r="H456" s="73"/>
      <c r="I456" s="72"/>
      <c r="J456" s="71"/>
      <c r="K456" s="72"/>
      <c r="L456" s="72"/>
      <c r="M456" s="72"/>
      <c r="N456" s="74"/>
      <c r="O456" s="71"/>
      <c r="P456" s="72"/>
      <c r="Q456" s="72"/>
      <c r="R456" s="72"/>
      <c r="S456" s="74"/>
      <c r="T456" s="75"/>
    </row>
    <row r="457" spans="1:20" x14ac:dyDescent="0.35">
      <c r="A457" s="17"/>
      <c r="B457" s="18"/>
      <c r="C457" s="13"/>
      <c r="D457" s="31"/>
      <c r="E457" s="24"/>
      <c r="F457" s="71"/>
      <c r="G457" s="72"/>
      <c r="H457" s="73"/>
      <c r="I457" s="72"/>
      <c r="J457" s="71"/>
      <c r="K457" s="72"/>
      <c r="L457" s="72"/>
      <c r="M457" s="72"/>
      <c r="N457" s="74"/>
      <c r="O457" s="71"/>
      <c r="P457" s="72"/>
      <c r="Q457" s="72"/>
      <c r="R457" s="72"/>
      <c r="S457" s="74"/>
      <c r="T457" s="75"/>
    </row>
    <row r="458" spans="1:20" x14ac:dyDescent="0.35">
      <c r="A458" s="17"/>
      <c r="B458" s="18"/>
      <c r="C458" s="13"/>
      <c r="D458" s="31"/>
      <c r="E458" s="24"/>
      <c r="F458" s="71"/>
      <c r="G458" s="72"/>
      <c r="H458" s="73"/>
      <c r="I458" s="72"/>
      <c r="J458" s="71"/>
      <c r="K458" s="72"/>
      <c r="L458" s="72"/>
      <c r="M458" s="72"/>
      <c r="N458" s="74"/>
      <c r="O458" s="71"/>
      <c r="P458" s="72"/>
      <c r="Q458" s="72"/>
      <c r="R458" s="72"/>
      <c r="S458" s="74"/>
      <c r="T458" s="75"/>
    </row>
    <row r="459" spans="1:20" x14ac:dyDescent="0.35">
      <c r="A459" s="17"/>
      <c r="B459" s="18"/>
      <c r="C459" s="13"/>
      <c r="D459" s="31"/>
      <c r="E459" s="24"/>
      <c r="F459" s="71"/>
      <c r="G459" s="72"/>
      <c r="H459" s="73"/>
      <c r="I459" s="72"/>
      <c r="J459" s="71"/>
      <c r="K459" s="72"/>
      <c r="L459" s="72"/>
      <c r="M459" s="72"/>
      <c r="N459" s="74"/>
      <c r="O459" s="71"/>
      <c r="P459" s="72"/>
      <c r="Q459" s="72"/>
      <c r="R459" s="72"/>
      <c r="S459" s="74"/>
      <c r="T459" s="75"/>
    </row>
    <row r="460" spans="1:20" x14ac:dyDescent="0.35">
      <c r="A460" s="17"/>
      <c r="B460" s="18"/>
      <c r="C460" s="13"/>
      <c r="D460" s="31"/>
      <c r="E460" s="24"/>
      <c r="F460" s="71"/>
      <c r="G460" s="72"/>
      <c r="H460" s="73"/>
      <c r="I460" s="72"/>
      <c r="J460" s="71"/>
      <c r="K460" s="72"/>
      <c r="L460" s="72"/>
      <c r="M460" s="72"/>
      <c r="N460" s="74"/>
      <c r="O460" s="71"/>
      <c r="P460" s="72"/>
      <c r="Q460" s="72"/>
      <c r="R460" s="72"/>
      <c r="S460" s="74"/>
      <c r="T460" s="75"/>
    </row>
    <row r="461" spans="1:20" x14ac:dyDescent="0.35">
      <c r="A461" s="17"/>
      <c r="B461" s="18"/>
      <c r="C461" s="13"/>
      <c r="D461" s="31"/>
      <c r="E461" s="24"/>
      <c r="F461" s="71"/>
      <c r="G461" s="72"/>
      <c r="H461" s="73"/>
      <c r="I461" s="72"/>
      <c r="J461" s="71"/>
      <c r="K461" s="72"/>
      <c r="L461" s="72"/>
      <c r="M461" s="72"/>
      <c r="N461" s="74"/>
      <c r="O461" s="71"/>
      <c r="P461" s="72"/>
      <c r="Q461" s="72"/>
      <c r="R461" s="72"/>
      <c r="S461" s="74"/>
      <c r="T461" s="75"/>
    </row>
    <row r="462" spans="1:20" x14ac:dyDescent="0.35">
      <c r="A462" s="17"/>
      <c r="B462" s="18"/>
      <c r="C462" s="13"/>
      <c r="D462" s="31"/>
      <c r="E462" s="24"/>
      <c r="F462" s="71"/>
      <c r="G462" s="72"/>
      <c r="H462" s="73"/>
      <c r="I462" s="72"/>
      <c r="J462" s="71"/>
      <c r="K462" s="72"/>
      <c r="L462" s="72"/>
      <c r="M462" s="72"/>
      <c r="N462" s="74"/>
      <c r="O462" s="71"/>
      <c r="P462" s="72"/>
      <c r="Q462" s="72"/>
      <c r="R462" s="72"/>
      <c r="S462" s="74"/>
      <c r="T462" s="75"/>
    </row>
    <row r="463" spans="1:20" x14ac:dyDescent="0.35">
      <c r="A463" s="17"/>
      <c r="B463" s="18"/>
      <c r="C463" s="13"/>
      <c r="D463" s="31"/>
      <c r="E463" s="24"/>
      <c r="F463" s="71"/>
      <c r="G463" s="72"/>
      <c r="H463" s="73"/>
      <c r="I463" s="72"/>
      <c r="J463" s="71"/>
      <c r="K463" s="72"/>
      <c r="L463" s="72"/>
      <c r="M463" s="72"/>
      <c r="N463" s="74"/>
      <c r="O463" s="71"/>
      <c r="P463" s="72"/>
      <c r="Q463" s="72"/>
      <c r="R463" s="72"/>
      <c r="S463" s="74"/>
      <c r="T463" s="75"/>
    </row>
    <row r="464" spans="1:20" x14ac:dyDescent="0.35">
      <c r="A464" s="17"/>
      <c r="B464" s="18"/>
      <c r="C464" s="13"/>
      <c r="D464" s="31"/>
      <c r="E464" s="24"/>
      <c r="F464" s="71"/>
      <c r="G464" s="72"/>
      <c r="H464" s="73"/>
      <c r="I464" s="72"/>
      <c r="J464" s="71"/>
      <c r="K464" s="72"/>
      <c r="L464" s="72"/>
      <c r="M464" s="72"/>
      <c r="N464" s="74"/>
      <c r="O464" s="71"/>
      <c r="P464" s="72"/>
      <c r="Q464" s="72"/>
      <c r="R464" s="72"/>
      <c r="S464" s="74"/>
      <c r="T464" s="75"/>
    </row>
    <row r="465" spans="1:20" x14ac:dyDescent="0.35">
      <c r="A465" s="17"/>
      <c r="B465" s="18"/>
      <c r="C465" s="13"/>
      <c r="D465" s="31"/>
      <c r="E465" s="24"/>
      <c r="F465" s="71"/>
      <c r="G465" s="72"/>
      <c r="H465" s="73"/>
      <c r="I465" s="72"/>
      <c r="J465" s="71"/>
      <c r="K465" s="72"/>
      <c r="L465" s="72"/>
      <c r="M465" s="72"/>
      <c r="N465" s="74"/>
      <c r="O465" s="71"/>
      <c r="P465" s="72"/>
      <c r="Q465" s="72"/>
      <c r="R465" s="72"/>
      <c r="S465" s="74"/>
      <c r="T465" s="75"/>
    </row>
    <row r="466" spans="1:20" x14ac:dyDescent="0.35">
      <c r="A466" s="17"/>
      <c r="B466" s="18"/>
      <c r="C466" s="13"/>
      <c r="D466" s="31"/>
      <c r="E466" s="24"/>
      <c r="F466" s="71"/>
      <c r="G466" s="72"/>
      <c r="H466" s="73"/>
      <c r="I466" s="72"/>
      <c r="J466" s="71"/>
      <c r="K466" s="72"/>
      <c r="L466" s="72"/>
      <c r="M466" s="72"/>
      <c r="N466" s="74"/>
      <c r="O466" s="71"/>
      <c r="P466" s="72"/>
      <c r="Q466" s="72"/>
      <c r="R466" s="72"/>
      <c r="S466" s="74"/>
      <c r="T466" s="75"/>
    </row>
    <row r="467" spans="1:20" x14ac:dyDescent="0.35">
      <c r="A467" s="17"/>
      <c r="B467" s="18"/>
      <c r="C467" s="13"/>
      <c r="D467" s="31"/>
      <c r="E467" s="24"/>
      <c r="F467" s="71"/>
      <c r="G467" s="72"/>
      <c r="H467" s="73"/>
      <c r="I467" s="72"/>
      <c r="J467" s="71"/>
      <c r="K467" s="72"/>
      <c r="L467" s="72"/>
      <c r="M467" s="72"/>
      <c r="N467" s="74"/>
      <c r="O467" s="71"/>
      <c r="P467" s="72"/>
      <c r="Q467" s="72"/>
      <c r="R467" s="72"/>
      <c r="S467" s="74"/>
      <c r="T467" s="75"/>
    </row>
    <row r="468" spans="1:20" x14ac:dyDescent="0.35">
      <c r="A468" s="17"/>
      <c r="B468" s="18"/>
      <c r="C468" s="13"/>
      <c r="D468" s="31"/>
      <c r="E468" s="24"/>
      <c r="F468" s="71"/>
      <c r="G468" s="72"/>
      <c r="H468" s="73"/>
      <c r="I468" s="72"/>
      <c r="J468" s="71"/>
      <c r="K468" s="72"/>
      <c r="L468" s="72"/>
      <c r="M468" s="72"/>
      <c r="N468" s="74"/>
      <c r="O468" s="71"/>
      <c r="P468" s="72"/>
      <c r="Q468" s="72"/>
      <c r="R468" s="72"/>
      <c r="S468" s="74"/>
      <c r="T468" s="75"/>
    </row>
    <row r="469" spans="1:20" x14ac:dyDescent="0.35">
      <c r="A469" s="17"/>
      <c r="B469" s="18"/>
      <c r="C469" s="13"/>
      <c r="D469" s="31"/>
      <c r="E469" s="24"/>
      <c r="F469" s="71"/>
      <c r="G469" s="72"/>
      <c r="H469" s="73"/>
      <c r="I469" s="72"/>
      <c r="J469" s="71"/>
      <c r="K469" s="72"/>
      <c r="L469" s="72"/>
      <c r="M469" s="72"/>
      <c r="N469" s="74"/>
      <c r="O469" s="71"/>
      <c r="P469" s="72"/>
      <c r="Q469" s="72"/>
      <c r="R469" s="72"/>
      <c r="S469" s="74"/>
      <c r="T469" s="75"/>
    </row>
    <row r="470" spans="1:20" x14ac:dyDescent="0.35">
      <c r="A470" s="17"/>
      <c r="B470" s="18"/>
      <c r="C470" s="13"/>
      <c r="D470" s="31"/>
      <c r="E470" s="24"/>
      <c r="F470" s="71"/>
      <c r="G470" s="72"/>
      <c r="H470" s="73"/>
      <c r="I470" s="72"/>
      <c r="J470" s="71"/>
      <c r="K470" s="72"/>
      <c r="L470" s="72"/>
      <c r="M470" s="72"/>
      <c r="N470" s="74"/>
      <c r="O470" s="71"/>
      <c r="P470" s="72"/>
      <c r="Q470" s="72"/>
      <c r="R470" s="72"/>
      <c r="S470" s="74"/>
      <c r="T470" s="75"/>
    </row>
    <row r="471" spans="1:20" x14ac:dyDescent="0.35">
      <c r="A471" s="17"/>
      <c r="B471" s="18"/>
      <c r="C471" s="13"/>
      <c r="D471" s="31"/>
      <c r="E471" s="24"/>
      <c r="F471" s="22"/>
      <c r="G471" s="23"/>
      <c r="H471" s="24"/>
      <c r="I471" s="23"/>
      <c r="J471" s="22"/>
      <c r="K471" s="23"/>
      <c r="L471" s="23"/>
      <c r="M471" s="23"/>
      <c r="N471" s="25"/>
      <c r="O471" s="22"/>
      <c r="P471" s="23"/>
      <c r="Q471" s="23"/>
      <c r="R471" s="23"/>
      <c r="S471" s="25"/>
      <c r="T471" s="26"/>
    </row>
    <row r="472" spans="1:20" x14ac:dyDescent="0.35">
      <c r="A472" s="17"/>
      <c r="B472" s="18"/>
      <c r="C472" s="13"/>
      <c r="D472" s="31"/>
      <c r="E472" s="24"/>
      <c r="F472" s="22"/>
      <c r="G472" s="23"/>
      <c r="H472" s="24"/>
      <c r="I472" s="23"/>
      <c r="J472" s="22"/>
      <c r="K472" s="23"/>
      <c r="L472" s="23"/>
      <c r="M472" s="23"/>
      <c r="N472" s="25"/>
      <c r="O472" s="22"/>
      <c r="P472" s="23"/>
      <c r="Q472" s="23"/>
      <c r="R472" s="23"/>
      <c r="S472" s="25"/>
      <c r="T472" s="26"/>
    </row>
  </sheetData>
  <sortState ref="A35:T61">
    <sortCondition ref="D35:D61"/>
  </sortState>
  <dataConsolidate/>
  <mergeCells count="16">
    <mergeCell ref="L1:M1"/>
    <mergeCell ref="L2:M2"/>
    <mergeCell ref="L3:M3"/>
    <mergeCell ref="I3:J3"/>
    <mergeCell ref="I10:J10"/>
    <mergeCell ref="AW24:AX24"/>
    <mergeCell ref="G29:H29"/>
    <mergeCell ref="AW4:AY4"/>
    <mergeCell ref="G13:I13"/>
    <mergeCell ref="G22:H22"/>
    <mergeCell ref="J13:L13"/>
    <mergeCell ref="AW21:AX21"/>
    <mergeCell ref="AW20:AY20"/>
    <mergeCell ref="G15:I15"/>
    <mergeCell ref="G17:I17"/>
    <mergeCell ref="J17:L17"/>
  </mergeCells>
  <dataValidations count="5">
    <dataValidation type="list" allowBlank="1" showInputMessage="1" showErrorMessage="1" sqref="L12 L14 L16">
      <formula1>$A$12:$A$13</formula1>
    </dataValidation>
    <dataValidation type="list" allowBlank="1" showInputMessage="1" showErrorMessage="1" sqref="W4 R4:U4 Y4:AP4 AR4">
      <formula1>$A$5:$A$37</formula1>
    </dataValidation>
    <dataValidation type="list" allowBlank="1" showInputMessage="1" showErrorMessage="1" sqref="D1">
      <formula1>$AX$10:$AX$18</formula1>
    </dataValidation>
    <dataValidation type="list" allowBlank="1" showInputMessage="1" showErrorMessage="1" sqref="K12 K14 K16">
      <formula1>$AZ$20:$BD$20</formula1>
    </dataValidation>
    <dataValidation type="list" allowBlank="1" showInputMessage="1" showErrorMessage="1" sqref="A35:A472">
      <formula1>BUFFS</formula1>
    </dataValidation>
  </dataValidation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N472"/>
  <sheetViews>
    <sheetView zoomScale="85" zoomScaleNormal="85" workbookViewId="0">
      <selection activeCell="B2" sqref="B2"/>
    </sheetView>
  </sheetViews>
  <sheetFormatPr defaultColWidth="9.109375" defaultRowHeight="18" x14ac:dyDescent="0.35"/>
  <cols>
    <col min="1" max="1" width="23.5546875" style="3" bestFit="1" customWidth="1"/>
    <col min="2" max="2" width="11.44140625" style="161" bestFit="1" customWidth="1"/>
    <col min="3" max="3" width="15" style="161" bestFit="1" customWidth="1"/>
    <col min="4" max="4" width="18.5546875" style="161" customWidth="1"/>
    <col min="5" max="5" width="12.88671875" style="161" bestFit="1" customWidth="1"/>
    <col min="6" max="6" width="20.33203125" style="161" bestFit="1" customWidth="1"/>
    <col min="7" max="7" width="28.109375" style="161" bestFit="1" customWidth="1"/>
    <col min="8" max="8" width="11" style="161" bestFit="1" customWidth="1"/>
    <col min="9" max="9" width="15" style="161" customWidth="1"/>
    <col min="10" max="10" width="20.88671875" style="161" customWidth="1"/>
    <col min="11" max="11" width="15.5546875" style="161" customWidth="1"/>
    <col min="12" max="12" width="17.5546875" style="161" customWidth="1"/>
    <col min="13" max="13" width="13.5546875" style="161" bestFit="1" customWidth="1"/>
    <col min="14" max="14" width="12.88671875" style="161" bestFit="1" customWidth="1"/>
    <col min="15" max="15" width="20.109375" style="161" bestFit="1" customWidth="1"/>
    <col min="16" max="16" width="14.109375" style="161" bestFit="1" customWidth="1"/>
    <col min="17" max="17" width="26.88671875" style="161" customWidth="1"/>
    <col min="18" max="18" width="26.88671875" style="161" bestFit="1" customWidth="1"/>
    <col min="19" max="19" width="18.88671875" style="161" bestFit="1" customWidth="1"/>
    <col min="20" max="20" width="18" style="161" bestFit="1" customWidth="1"/>
    <col min="21" max="21" width="22.109375" style="161" bestFit="1" customWidth="1"/>
    <col min="22" max="22" width="12.5546875" style="161" customWidth="1"/>
    <col min="23" max="23" width="25.6640625" style="161" customWidth="1"/>
    <col min="24" max="24" width="22.109375" style="161" bestFit="1" customWidth="1"/>
    <col min="25" max="25" width="26.88671875" style="161" bestFit="1" customWidth="1"/>
    <col min="26" max="26" width="28.109375" style="161" bestFit="1" customWidth="1"/>
    <col min="27" max="27" width="14.44140625" style="161" bestFit="1" customWidth="1"/>
    <col min="28" max="28" width="14.33203125" style="161" bestFit="1" customWidth="1"/>
    <col min="29" max="29" width="16" style="161" bestFit="1" customWidth="1"/>
    <col min="30" max="30" width="21.44140625" style="161" bestFit="1" customWidth="1"/>
    <col min="31" max="31" width="37.44140625" style="161" customWidth="1"/>
    <col min="32" max="32" width="17.33203125" style="161" bestFit="1" customWidth="1"/>
    <col min="33" max="33" width="14.33203125" style="161" bestFit="1" customWidth="1"/>
    <col min="34" max="34" width="19.109375" style="161" bestFit="1" customWidth="1"/>
    <col min="35" max="35" width="16.33203125" style="161" bestFit="1" customWidth="1"/>
    <col min="36" max="36" width="14.33203125" style="161" bestFit="1" customWidth="1"/>
    <col min="37" max="37" width="13.5546875" style="161" bestFit="1" customWidth="1"/>
    <col min="38" max="38" width="12" style="161" bestFit="1" customWidth="1"/>
    <col min="39" max="40" width="13.5546875" style="161" bestFit="1" customWidth="1"/>
    <col min="41" max="41" width="18.6640625" style="161" customWidth="1"/>
    <col min="42" max="42" width="9.33203125" style="161" bestFit="1" customWidth="1"/>
    <col min="43" max="43" width="14.5546875" style="161" bestFit="1" customWidth="1"/>
    <col min="44" max="44" width="23" style="161" bestFit="1" customWidth="1"/>
    <col min="45" max="51" width="9.109375" style="161"/>
    <col min="52" max="52" width="14.109375" style="161" bestFit="1" customWidth="1"/>
    <col min="53" max="53" width="15.6640625" style="161" bestFit="1" customWidth="1"/>
    <col min="54" max="54" width="15.33203125" style="161" bestFit="1" customWidth="1"/>
    <col min="55" max="55" width="26" style="161" bestFit="1" customWidth="1"/>
    <col min="56" max="56" width="16.109375" style="161" bestFit="1" customWidth="1"/>
    <col min="57" max="16384" width="9.109375" style="161"/>
  </cols>
  <sheetData>
    <row r="1" spans="1:66" ht="23.4" x14ac:dyDescent="0.45">
      <c r="A1" s="3" t="s">
        <v>39</v>
      </c>
      <c r="B1" s="157"/>
      <c r="C1" s="161" t="s">
        <v>88</v>
      </c>
      <c r="D1" s="86" t="s">
        <v>128</v>
      </c>
      <c r="G1" s="161">
        <f>6*15-135</f>
        <v>-45</v>
      </c>
      <c r="H1" s="164" t="s">
        <v>150</v>
      </c>
      <c r="L1" s="207"/>
      <c r="M1" s="207"/>
    </row>
    <row r="2" spans="1:66" x14ac:dyDescent="0.35">
      <c r="A2" s="3" t="s">
        <v>160</v>
      </c>
      <c r="L2" s="207"/>
      <c r="M2" s="207"/>
      <c r="AW2" s="50"/>
      <c r="AX2" s="51"/>
      <c r="AY2" s="51"/>
      <c r="AZ2" s="51"/>
      <c r="BA2" s="51"/>
      <c r="BB2" s="51"/>
      <c r="BC2" s="51"/>
      <c r="BD2" s="12"/>
      <c r="BE2" s="51"/>
      <c r="BF2" s="161" t="s">
        <v>111</v>
      </c>
      <c r="BG2" s="12"/>
      <c r="BH2" s="51"/>
      <c r="BI2" s="51"/>
      <c r="BJ2" s="51"/>
      <c r="BK2" s="51"/>
      <c r="BL2" s="51"/>
      <c r="BM2" s="51"/>
      <c r="BN2" s="52"/>
    </row>
    <row r="3" spans="1:66" x14ac:dyDescent="0.35">
      <c r="A3" s="3" t="s">
        <v>120</v>
      </c>
      <c r="B3" s="161">
        <f>109000+5000</f>
        <v>114000</v>
      </c>
      <c r="C3" s="161">
        <v>6750</v>
      </c>
      <c r="D3" s="161">
        <v>5000</v>
      </c>
      <c r="E3" s="161">
        <f>SUM(B3:D3)</f>
        <v>125750</v>
      </c>
      <c r="I3" s="207"/>
      <c r="J3" s="207"/>
      <c r="L3" s="207"/>
      <c r="M3" s="207"/>
      <c r="AW3" s="11" t="s">
        <v>81</v>
      </c>
      <c r="AX3" s="12"/>
      <c r="AY3" s="12"/>
      <c r="AZ3" s="12"/>
      <c r="BA3" s="12"/>
      <c r="BB3" s="12"/>
      <c r="BC3" s="12"/>
      <c r="BD3" s="12"/>
      <c r="BE3" s="12"/>
      <c r="BF3" s="161" t="s">
        <v>26</v>
      </c>
      <c r="BG3" s="12">
        <f>$B$28*(-5)</f>
        <v>0</v>
      </c>
      <c r="BH3" s="12"/>
      <c r="BI3" s="12"/>
      <c r="BJ3" s="12"/>
      <c r="BK3" s="12"/>
      <c r="BL3" s="12"/>
      <c r="BM3" s="12"/>
      <c r="BN3" s="13"/>
    </row>
    <row r="4" spans="1:66" x14ac:dyDescent="0.35">
      <c r="A4" s="3" t="s">
        <v>148</v>
      </c>
      <c r="B4" s="161">
        <v>16</v>
      </c>
      <c r="R4" s="95" t="s">
        <v>1</v>
      </c>
      <c r="S4" s="95" t="s">
        <v>2</v>
      </c>
      <c r="T4" s="95" t="s">
        <v>3</v>
      </c>
      <c r="U4" s="95" t="s">
        <v>5</v>
      </c>
      <c r="V4" s="95" t="s">
        <v>89</v>
      </c>
      <c r="W4" s="95" t="s">
        <v>6</v>
      </c>
      <c r="X4" s="95" t="s">
        <v>57</v>
      </c>
      <c r="Y4" s="95" t="s">
        <v>8</v>
      </c>
      <c r="Z4" s="95" t="s">
        <v>9</v>
      </c>
      <c r="AA4" s="95" t="s">
        <v>10</v>
      </c>
      <c r="AB4" s="95" t="s">
        <v>11</v>
      </c>
      <c r="AC4" s="95" t="s">
        <v>12</v>
      </c>
      <c r="AD4" s="95" t="s">
        <v>13</v>
      </c>
      <c r="AE4" s="95" t="s">
        <v>14</v>
      </c>
      <c r="AF4" s="95" t="s">
        <v>15</v>
      </c>
      <c r="AG4" s="95" t="s">
        <v>16</v>
      </c>
      <c r="AH4" s="95" t="s">
        <v>17</v>
      </c>
      <c r="AI4" s="95" t="s">
        <v>18</v>
      </c>
      <c r="AJ4" s="95" t="s">
        <v>19</v>
      </c>
      <c r="AK4" s="95" t="s">
        <v>20</v>
      </c>
      <c r="AL4" s="95" t="s">
        <v>21</v>
      </c>
      <c r="AM4" s="95" t="s">
        <v>22</v>
      </c>
      <c r="AN4" s="95" t="s">
        <v>23</v>
      </c>
      <c r="AO4" s="96" t="s">
        <v>24</v>
      </c>
      <c r="AP4" s="95" t="s">
        <v>25</v>
      </c>
      <c r="AQ4" s="95" t="s">
        <v>7</v>
      </c>
      <c r="AR4" s="95" t="s">
        <v>4</v>
      </c>
      <c r="AS4" s="155"/>
      <c r="AW4" s="197" t="s">
        <v>107</v>
      </c>
      <c r="AX4" s="198"/>
      <c r="AY4" s="198"/>
      <c r="AZ4" s="12">
        <v>0</v>
      </c>
      <c r="BA4" s="12" t="s">
        <v>108</v>
      </c>
      <c r="BB4" s="12"/>
      <c r="BC4" s="12"/>
      <c r="BE4" s="12"/>
      <c r="BF4" s="12" t="s">
        <v>123</v>
      </c>
      <c r="BG4" s="12">
        <f>$B$28*(-1)</f>
        <v>0</v>
      </c>
      <c r="BH4" s="12"/>
      <c r="BI4" s="12"/>
      <c r="BJ4" s="12"/>
      <c r="BK4" s="12"/>
      <c r="BL4" s="12"/>
      <c r="BM4" s="12"/>
      <c r="BN4" s="13"/>
    </row>
    <row r="5" spans="1:66" x14ac:dyDescent="0.35">
      <c r="C5" s="148" t="s">
        <v>117</v>
      </c>
      <c r="D5" s="98" t="s">
        <v>116</v>
      </c>
      <c r="F5" s="123" t="s">
        <v>118</v>
      </c>
      <c r="G5" s="124" t="s">
        <v>102</v>
      </c>
      <c r="H5" s="125" t="s">
        <v>112</v>
      </c>
      <c r="I5" s="122" t="s">
        <v>113</v>
      </c>
      <c r="O5" s="161" t="s">
        <v>161</v>
      </c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W5" s="11"/>
      <c r="AX5" s="12"/>
      <c r="AY5" s="12"/>
      <c r="AZ5" s="12">
        <v>1</v>
      </c>
      <c r="BA5" s="12" t="s">
        <v>109</v>
      </c>
      <c r="BB5" s="12"/>
      <c r="BC5" s="12"/>
      <c r="BF5" s="43" t="s">
        <v>30</v>
      </c>
      <c r="BG5" s="12">
        <f>$B$28*(-1)</f>
        <v>0</v>
      </c>
      <c r="BH5" s="12"/>
      <c r="BI5" s="12"/>
      <c r="BJ5" s="12"/>
      <c r="BK5" s="12"/>
      <c r="BL5" s="12"/>
      <c r="BM5" s="12"/>
      <c r="BN5" s="13"/>
    </row>
    <row r="6" spans="1:66" ht="33.6" x14ac:dyDescent="0.65">
      <c r="A6" s="116" t="s">
        <v>26</v>
      </c>
      <c r="B6" s="117">
        <f>SUM(C6:D6,R6:AR6,BG3)</f>
        <v>144</v>
      </c>
      <c r="C6" s="163">
        <f>C14*1*B4</f>
        <v>96</v>
      </c>
      <c r="D6" s="163">
        <v>48</v>
      </c>
      <c r="F6" s="86"/>
      <c r="G6" s="120">
        <v>0</v>
      </c>
      <c r="H6" s="121">
        <v>0</v>
      </c>
      <c r="I6" s="126">
        <v>0</v>
      </c>
      <c r="O6" s="161" t="s">
        <v>162</v>
      </c>
      <c r="R6" s="102">
        <v>0</v>
      </c>
      <c r="S6" s="102">
        <v>0</v>
      </c>
      <c r="T6" s="102">
        <v>0</v>
      </c>
      <c r="U6" s="102">
        <v>0</v>
      </c>
      <c r="V6" s="102">
        <v>0</v>
      </c>
      <c r="W6" s="102">
        <v>0</v>
      </c>
      <c r="X6" s="102">
        <v>0</v>
      </c>
      <c r="Y6" s="102">
        <v>0</v>
      </c>
      <c r="Z6" s="102">
        <v>0</v>
      </c>
      <c r="AA6" s="102">
        <v>0</v>
      </c>
      <c r="AB6" s="102">
        <v>0</v>
      </c>
      <c r="AC6" s="102">
        <v>0</v>
      </c>
      <c r="AD6" s="102">
        <v>0</v>
      </c>
      <c r="AE6" s="102">
        <v>0</v>
      </c>
      <c r="AF6" s="102">
        <v>0</v>
      </c>
      <c r="AG6" s="102">
        <v>0</v>
      </c>
      <c r="AH6" s="102">
        <v>0</v>
      </c>
      <c r="AI6" s="102">
        <v>0</v>
      </c>
      <c r="AJ6" s="102">
        <v>0</v>
      </c>
      <c r="AK6" s="102">
        <v>0</v>
      </c>
      <c r="AL6" s="102">
        <v>0</v>
      </c>
      <c r="AM6" s="102">
        <v>0</v>
      </c>
      <c r="AN6" s="102">
        <v>0</v>
      </c>
      <c r="AO6" s="102">
        <v>0</v>
      </c>
      <c r="AP6" s="102">
        <v>0</v>
      </c>
      <c r="AQ6" s="102">
        <v>0</v>
      </c>
      <c r="AR6" s="102">
        <v>0</v>
      </c>
      <c r="AW6" s="11"/>
      <c r="AX6" s="12"/>
      <c r="AY6" s="12"/>
      <c r="AZ6" s="12">
        <v>2</v>
      </c>
      <c r="BA6" s="12"/>
      <c r="BB6" s="12"/>
      <c r="BC6" s="12"/>
      <c r="BF6" s="43" t="s">
        <v>31</v>
      </c>
      <c r="BG6" s="12">
        <f>$B$28*(-1)</f>
        <v>0</v>
      </c>
      <c r="BH6" s="12"/>
      <c r="BI6" s="12"/>
      <c r="BJ6" s="12"/>
      <c r="BK6" s="12"/>
      <c r="BL6" s="12"/>
      <c r="BM6" s="12"/>
      <c r="BN6" s="13"/>
    </row>
    <row r="7" spans="1:66" ht="31.2" x14ac:dyDescent="0.6">
      <c r="A7" s="118" t="s">
        <v>28</v>
      </c>
      <c r="B7" s="119">
        <f>SUM(MIN(C13,G7),D7,R7:AR7,BA10,H30*6)</f>
        <v>34</v>
      </c>
      <c r="D7" s="163">
        <v>10</v>
      </c>
      <c r="F7" s="161" t="s">
        <v>119</v>
      </c>
      <c r="G7" s="163">
        <v>100</v>
      </c>
      <c r="O7" s="161" t="s">
        <v>163</v>
      </c>
      <c r="R7" s="142">
        <v>0</v>
      </c>
      <c r="S7" s="142">
        <v>0</v>
      </c>
      <c r="T7" s="142">
        <v>4</v>
      </c>
      <c r="U7" s="142">
        <v>0</v>
      </c>
      <c r="V7" s="142">
        <v>0</v>
      </c>
      <c r="W7" s="142">
        <v>0</v>
      </c>
      <c r="X7" s="142">
        <v>0</v>
      </c>
      <c r="Y7" s="142">
        <v>1</v>
      </c>
      <c r="Z7" s="142">
        <v>4</v>
      </c>
      <c r="AA7" s="142">
        <v>0</v>
      </c>
      <c r="AB7" s="142">
        <v>0</v>
      </c>
      <c r="AC7" s="142">
        <v>0</v>
      </c>
      <c r="AD7" s="142">
        <v>6</v>
      </c>
      <c r="AE7" s="142">
        <v>5</v>
      </c>
      <c r="AF7" s="142">
        <v>0</v>
      </c>
      <c r="AG7" s="142">
        <v>0</v>
      </c>
      <c r="AH7" s="142">
        <v>0</v>
      </c>
      <c r="AI7" s="142">
        <v>0</v>
      </c>
      <c r="AJ7" s="142">
        <v>1</v>
      </c>
      <c r="AK7" s="142">
        <v>0</v>
      </c>
      <c r="AL7" s="142">
        <v>0</v>
      </c>
      <c r="AM7" s="142">
        <v>0</v>
      </c>
      <c r="AN7" s="142">
        <v>0</v>
      </c>
      <c r="AO7" s="142">
        <v>0</v>
      </c>
      <c r="AP7" s="142">
        <v>0</v>
      </c>
      <c r="AQ7" s="142">
        <v>0</v>
      </c>
      <c r="AR7" s="142">
        <v>0</v>
      </c>
      <c r="AW7" s="11"/>
      <c r="AX7" s="12"/>
      <c r="AY7" s="12"/>
      <c r="AZ7" s="12"/>
      <c r="BA7" s="12"/>
      <c r="BB7" s="12"/>
      <c r="BC7" s="12"/>
      <c r="BE7" s="12"/>
      <c r="BF7" s="43" t="s">
        <v>124</v>
      </c>
      <c r="BG7" s="12">
        <f>$B$28*(-1)</f>
        <v>0</v>
      </c>
      <c r="BH7" s="12"/>
      <c r="BI7" s="12"/>
      <c r="BJ7" s="12"/>
      <c r="BK7" s="12"/>
      <c r="BL7" s="12"/>
      <c r="BM7" s="12"/>
      <c r="BN7" s="13"/>
    </row>
    <row r="8" spans="1:66" x14ac:dyDescent="0.35">
      <c r="A8" s="3" t="s">
        <v>78</v>
      </c>
      <c r="B8" s="161">
        <f>B7-T7-Y7-Z7-AD7-AE7-AJ7</f>
        <v>13</v>
      </c>
      <c r="O8" s="161" t="s">
        <v>164</v>
      </c>
      <c r="R8" s="97">
        <v>0</v>
      </c>
      <c r="S8" s="97">
        <v>0</v>
      </c>
      <c r="T8" s="97">
        <v>0</v>
      </c>
      <c r="U8" s="97">
        <v>0</v>
      </c>
      <c r="V8" s="97">
        <v>0</v>
      </c>
      <c r="W8" s="97">
        <v>0</v>
      </c>
      <c r="X8" s="97">
        <v>0</v>
      </c>
      <c r="Y8" s="97">
        <v>0</v>
      </c>
      <c r="Z8" s="97">
        <v>0</v>
      </c>
      <c r="AA8" s="97">
        <v>0</v>
      </c>
      <c r="AB8" s="97">
        <v>0</v>
      </c>
      <c r="AC8" s="97">
        <v>0</v>
      </c>
      <c r="AD8" s="97">
        <v>0</v>
      </c>
      <c r="AE8" s="97">
        <v>0</v>
      </c>
      <c r="AF8" s="97">
        <v>0</v>
      </c>
      <c r="AG8" s="97">
        <v>0</v>
      </c>
      <c r="AH8" s="97">
        <v>0</v>
      </c>
      <c r="AI8" s="97">
        <v>0</v>
      </c>
      <c r="AJ8" s="97">
        <v>0</v>
      </c>
      <c r="AK8" s="97">
        <v>0</v>
      </c>
      <c r="AL8" s="97">
        <v>0</v>
      </c>
      <c r="AM8" s="97">
        <v>0</v>
      </c>
      <c r="AN8" s="97">
        <v>0</v>
      </c>
      <c r="AO8" s="97">
        <v>0</v>
      </c>
      <c r="AP8" s="97">
        <v>0</v>
      </c>
      <c r="AQ8" s="97">
        <v>0</v>
      </c>
      <c r="AR8" s="97">
        <v>0</v>
      </c>
      <c r="AW8" s="11"/>
      <c r="AX8" s="12"/>
      <c r="AY8" s="12"/>
      <c r="AZ8" s="12"/>
      <c r="BA8" s="12"/>
      <c r="BB8" s="12"/>
      <c r="BC8" s="12"/>
      <c r="BE8" s="12"/>
      <c r="BF8" s="12"/>
      <c r="BG8" s="12"/>
      <c r="BH8" s="12"/>
      <c r="BI8" s="12"/>
      <c r="BJ8" s="12"/>
      <c r="BK8" s="12"/>
      <c r="BL8" s="12"/>
      <c r="BM8" s="12"/>
      <c r="BN8" s="13"/>
    </row>
    <row r="9" spans="1:66" x14ac:dyDescent="0.35">
      <c r="A9" s="3" t="s">
        <v>79</v>
      </c>
      <c r="B9" s="161">
        <f>B7-C13</f>
        <v>31</v>
      </c>
      <c r="O9" s="161" t="s">
        <v>165</v>
      </c>
      <c r="R9" s="97">
        <v>0</v>
      </c>
      <c r="S9" s="97">
        <v>0</v>
      </c>
      <c r="T9" s="97">
        <v>0</v>
      </c>
      <c r="U9" s="97">
        <v>0</v>
      </c>
      <c r="V9" s="97">
        <v>0</v>
      </c>
      <c r="W9" s="97">
        <v>0</v>
      </c>
      <c r="X9" s="97">
        <v>0</v>
      </c>
      <c r="Y9" s="97">
        <v>0</v>
      </c>
      <c r="Z9" s="97">
        <v>0</v>
      </c>
      <c r="AA9" s="97">
        <v>0</v>
      </c>
      <c r="AB9" s="97">
        <v>0</v>
      </c>
      <c r="AC9" s="97">
        <v>0</v>
      </c>
      <c r="AD9" s="97">
        <v>0</v>
      </c>
      <c r="AE9" s="97">
        <v>0</v>
      </c>
      <c r="AF9" s="97">
        <v>0</v>
      </c>
      <c r="AG9" s="97">
        <v>0</v>
      </c>
      <c r="AH9" s="97">
        <v>0</v>
      </c>
      <c r="AI9" s="97">
        <v>0</v>
      </c>
      <c r="AJ9" s="97">
        <v>0</v>
      </c>
      <c r="AK9" s="97">
        <v>0</v>
      </c>
      <c r="AL9" s="97">
        <v>0</v>
      </c>
      <c r="AM9" s="97">
        <v>0</v>
      </c>
      <c r="AN9" s="97">
        <v>0</v>
      </c>
      <c r="AO9" s="97">
        <v>0</v>
      </c>
      <c r="AP9" s="97">
        <v>0</v>
      </c>
      <c r="AQ9" s="97">
        <v>0</v>
      </c>
      <c r="AR9" s="97">
        <v>0</v>
      </c>
      <c r="AX9" s="158" t="s">
        <v>137</v>
      </c>
      <c r="AY9" s="158" t="s">
        <v>138</v>
      </c>
      <c r="AZ9" s="158" t="s">
        <v>139</v>
      </c>
      <c r="BA9" s="12"/>
      <c r="BB9" s="12"/>
      <c r="BC9" s="12"/>
      <c r="BE9" s="12"/>
      <c r="BF9" s="12"/>
      <c r="BG9" s="12"/>
      <c r="BH9" s="12"/>
      <c r="BI9" s="12"/>
      <c r="BJ9" s="12"/>
      <c r="BK9" s="12"/>
      <c r="BL9" s="12"/>
      <c r="BM9" s="12"/>
      <c r="BN9" s="13"/>
    </row>
    <row r="10" spans="1:66" x14ac:dyDescent="0.35">
      <c r="A10" s="3" t="s">
        <v>40</v>
      </c>
      <c r="B10" s="161">
        <f>SUM(C13,R10:AR10,C10)</f>
        <v>3</v>
      </c>
      <c r="C10" s="86"/>
      <c r="G10" s="91" t="s">
        <v>81</v>
      </c>
      <c r="H10" s="83">
        <v>10</v>
      </c>
      <c r="I10" s="208" t="s">
        <v>107</v>
      </c>
      <c r="J10" s="209"/>
      <c r="K10" s="84">
        <v>0</v>
      </c>
      <c r="O10" s="161" t="s">
        <v>166</v>
      </c>
      <c r="R10" s="143">
        <v>0</v>
      </c>
      <c r="S10" s="143">
        <v>0</v>
      </c>
      <c r="T10" s="143">
        <v>0</v>
      </c>
      <c r="U10" s="143">
        <v>0</v>
      </c>
      <c r="V10" s="143">
        <v>0</v>
      </c>
      <c r="W10" s="143">
        <v>0</v>
      </c>
      <c r="X10" s="143">
        <v>0</v>
      </c>
      <c r="Y10" s="143">
        <v>0</v>
      </c>
      <c r="Z10" s="143">
        <v>0</v>
      </c>
      <c r="AA10" s="143">
        <v>0</v>
      </c>
      <c r="AB10" s="143">
        <v>0</v>
      </c>
      <c r="AC10" s="143">
        <v>0</v>
      </c>
      <c r="AD10" s="143">
        <v>0</v>
      </c>
      <c r="AE10" s="143">
        <v>0</v>
      </c>
      <c r="AF10" s="143">
        <v>0</v>
      </c>
      <c r="AG10" s="143">
        <v>0</v>
      </c>
      <c r="AH10" s="143">
        <v>0</v>
      </c>
      <c r="AI10" s="143">
        <v>0</v>
      </c>
      <c r="AJ10" s="143">
        <v>0</v>
      </c>
      <c r="AK10" s="143">
        <v>0</v>
      </c>
      <c r="AL10" s="143">
        <v>0</v>
      </c>
      <c r="AM10" s="143">
        <v>0</v>
      </c>
      <c r="AN10" s="143">
        <v>0</v>
      </c>
      <c r="AO10" s="143">
        <v>0</v>
      </c>
      <c r="AP10" s="143">
        <v>0</v>
      </c>
      <c r="AQ10" s="143">
        <v>0</v>
      </c>
      <c r="AR10" s="143">
        <v>0</v>
      </c>
      <c r="AX10" s="163" t="s">
        <v>136</v>
      </c>
      <c r="AY10" s="163">
        <v>8</v>
      </c>
      <c r="AZ10" s="163">
        <v>-16</v>
      </c>
      <c r="BA10" s="153">
        <f>VLOOKUP($D$1,$AX$10:$AZ$18,2,0)</f>
        <v>0</v>
      </c>
      <c r="BB10" s="153">
        <f>VLOOKUP($D$1,$AX$10:$AZ$18,3,0)</f>
        <v>0</v>
      </c>
      <c r="BH10" s="12"/>
      <c r="BI10" s="12"/>
      <c r="BJ10" s="12"/>
      <c r="BK10" s="12"/>
      <c r="BL10" s="12"/>
      <c r="BM10" s="12"/>
      <c r="BN10" s="13"/>
    </row>
    <row r="11" spans="1:66" x14ac:dyDescent="0.35">
      <c r="B11" s="98" t="s">
        <v>122</v>
      </c>
      <c r="C11" s="98" t="s">
        <v>121</v>
      </c>
      <c r="D11" s="98" t="s">
        <v>116</v>
      </c>
      <c r="G11" s="166" t="s">
        <v>82</v>
      </c>
      <c r="H11" s="45" t="s">
        <v>84</v>
      </c>
      <c r="I11" s="4" t="s">
        <v>83</v>
      </c>
      <c r="J11" s="4" t="s">
        <v>93</v>
      </c>
      <c r="K11" s="44" t="s">
        <v>95</v>
      </c>
      <c r="L11" s="44" t="s">
        <v>94</v>
      </c>
      <c r="M11" s="44" t="s">
        <v>85</v>
      </c>
      <c r="N11" s="167" t="s">
        <v>153</v>
      </c>
      <c r="O11" s="167" t="s">
        <v>167</v>
      </c>
      <c r="R11" s="133">
        <v>0</v>
      </c>
      <c r="S11" s="133">
        <v>0</v>
      </c>
      <c r="T11" s="133">
        <v>0</v>
      </c>
      <c r="U11" s="133">
        <v>0</v>
      </c>
      <c r="V11" s="133">
        <v>0</v>
      </c>
      <c r="W11" s="133">
        <v>0</v>
      </c>
      <c r="X11" s="133">
        <v>0</v>
      </c>
      <c r="Y11" s="133">
        <v>4</v>
      </c>
      <c r="Z11" s="133">
        <v>0</v>
      </c>
      <c r="AA11" s="133">
        <v>0</v>
      </c>
      <c r="AB11" s="133">
        <v>0</v>
      </c>
      <c r="AC11" s="133">
        <v>3</v>
      </c>
      <c r="AD11" s="133">
        <v>0</v>
      </c>
      <c r="AE11" s="133">
        <v>0</v>
      </c>
      <c r="AF11" s="133">
        <v>0</v>
      </c>
      <c r="AG11" s="133">
        <v>0</v>
      </c>
      <c r="AH11" s="133">
        <v>0</v>
      </c>
      <c r="AI11" s="133">
        <v>0</v>
      </c>
      <c r="AJ11" s="133">
        <v>0</v>
      </c>
      <c r="AK11" s="133">
        <v>0</v>
      </c>
      <c r="AL11" s="133">
        <v>0</v>
      </c>
      <c r="AM11" s="133">
        <v>0</v>
      </c>
      <c r="AN11" s="133">
        <v>0</v>
      </c>
      <c r="AO11" s="133">
        <v>0</v>
      </c>
      <c r="AP11" s="133">
        <v>0</v>
      </c>
      <c r="AQ11" s="133">
        <v>0</v>
      </c>
      <c r="AR11" s="133">
        <v>0</v>
      </c>
      <c r="AX11" s="163" t="s">
        <v>125</v>
      </c>
      <c r="AY11" s="163">
        <v>4</v>
      </c>
      <c r="AZ11" s="163">
        <v>-12</v>
      </c>
      <c r="BH11" s="12"/>
      <c r="BI11" s="12"/>
      <c r="BJ11" s="12"/>
      <c r="BK11" s="12"/>
      <c r="BL11" s="12"/>
      <c r="BM11" s="12"/>
      <c r="BN11" s="13"/>
    </row>
    <row r="12" spans="1:66" ht="20.399999999999999" x14ac:dyDescent="0.35">
      <c r="A12" s="105" t="s">
        <v>72</v>
      </c>
      <c r="B12" s="129">
        <f t="shared" ref="B12:B17" si="0">SUM(D12,R12:AR12)</f>
        <v>12</v>
      </c>
      <c r="C12" s="130">
        <f t="shared" ref="C12:C17" si="1">ROUNDDOWN(B12/2,0)-5</f>
        <v>1</v>
      </c>
      <c r="D12" s="131">
        <v>12</v>
      </c>
      <c r="F12" s="3" t="s">
        <v>67</v>
      </c>
      <c r="G12" s="45">
        <f>SUM($B$23:$B$24,IF(L12="Strength",$C$12,$C$13),M12,$H$10*(-1))</f>
        <v>5</v>
      </c>
      <c r="H12" s="45" t="s">
        <v>80</v>
      </c>
      <c r="I12" s="45">
        <f>SUM(M12,N12,$B$25)</f>
        <v>23</v>
      </c>
      <c r="J12" s="45" t="s">
        <v>96</v>
      </c>
      <c r="K12" s="154" t="s">
        <v>105</v>
      </c>
      <c r="L12" s="85" t="s">
        <v>76</v>
      </c>
      <c r="M12" s="4">
        <f>SUM(H23*2,H24*(-2),H25*(2),J23*2,J24,J25,L23*2,H31*(-2))</f>
        <v>0</v>
      </c>
      <c r="N12" s="161">
        <f>SUM(IF(K12=$AZ$20,$AZ$24,IF(K12=$BA$20,$BA$24,IF(K12=$BB$20,$BB$24,IF(K12=$BC$20,$BC$24,IF(K12=$BD$20,$BD$24,0))))),IF(L12=$A$12,IF(K12=$AZ$20,$AZ$25,IF(K12=$BA$20,$BA$25,IF(K12=$BB$20,$BB$25,IF(K12=$BC$20,$BC$25,IF(K12=$BD$20,$BD$25,0))))),0))</f>
        <v>20</v>
      </c>
      <c r="O12" s="43" t="s">
        <v>168</v>
      </c>
      <c r="R12" s="134">
        <v>0</v>
      </c>
      <c r="S12" s="134">
        <v>0</v>
      </c>
      <c r="T12" s="134">
        <v>0</v>
      </c>
      <c r="U12" s="134">
        <v>0</v>
      </c>
      <c r="V12" s="134">
        <v>0</v>
      </c>
      <c r="W12" s="134">
        <v>0</v>
      </c>
      <c r="X12" s="134">
        <v>0</v>
      </c>
      <c r="Y12" s="134">
        <v>0</v>
      </c>
      <c r="Z12" s="134">
        <v>0</v>
      </c>
      <c r="AA12" s="134">
        <v>0</v>
      </c>
      <c r="AB12" s="134">
        <v>0</v>
      </c>
      <c r="AC12" s="134">
        <v>0</v>
      </c>
      <c r="AD12" s="134">
        <v>0</v>
      </c>
      <c r="AE12" s="134">
        <v>0</v>
      </c>
      <c r="AF12" s="134">
        <v>0</v>
      </c>
      <c r="AG12" s="134">
        <v>0</v>
      </c>
      <c r="AH12" s="134">
        <v>0</v>
      </c>
      <c r="AI12" s="134">
        <v>0</v>
      </c>
      <c r="AJ12" s="134">
        <v>0</v>
      </c>
      <c r="AK12" s="134">
        <v>0</v>
      </c>
      <c r="AL12" s="134">
        <v>0</v>
      </c>
      <c r="AM12" s="134">
        <v>0</v>
      </c>
      <c r="AN12" s="134">
        <v>0</v>
      </c>
      <c r="AO12" s="134">
        <v>0</v>
      </c>
      <c r="AP12" s="134">
        <v>0</v>
      </c>
      <c r="AQ12" s="134">
        <v>0</v>
      </c>
      <c r="AR12" s="134">
        <v>0</v>
      </c>
      <c r="AX12" s="163" t="s">
        <v>126</v>
      </c>
      <c r="AY12" s="163">
        <v>2</v>
      </c>
      <c r="AZ12" s="163">
        <v>-8</v>
      </c>
      <c r="BH12" s="12"/>
      <c r="BI12" s="12"/>
      <c r="BJ12" s="12"/>
      <c r="BK12" s="12"/>
      <c r="BL12" s="12"/>
      <c r="BM12" s="12"/>
      <c r="BN12" s="13"/>
    </row>
    <row r="13" spans="1:66" ht="20.399999999999999" x14ac:dyDescent="0.35">
      <c r="A13" s="106" t="s">
        <v>76</v>
      </c>
      <c r="B13" s="99">
        <f t="shared" si="0"/>
        <v>17</v>
      </c>
      <c r="C13" s="99">
        <f t="shared" si="1"/>
        <v>3</v>
      </c>
      <c r="D13" s="108">
        <v>17</v>
      </c>
      <c r="G13" s="210"/>
      <c r="H13" s="211"/>
      <c r="I13" s="212"/>
      <c r="J13" s="203"/>
      <c r="K13" s="204"/>
      <c r="L13" s="205"/>
      <c r="O13" s="43" t="s">
        <v>169</v>
      </c>
      <c r="R13" s="135">
        <v>0</v>
      </c>
      <c r="S13" s="135">
        <v>0</v>
      </c>
      <c r="T13" s="135">
        <v>0</v>
      </c>
      <c r="U13" s="135">
        <v>0</v>
      </c>
      <c r="V13" s="135">
        <v>0</v>
      </c>
      <c r="W13" s="135">
        <v>0</v>
      </c>
      <c r="X13" s="135">
        <v>0</v>
      </c>
      <c r="Y13" s="135"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5">
        <v>0</v>
      </c>
      <c r="AH13" s="135">
        <v>0</v>
      </c>
      <c r="AI13" s="135">
        <v>0</v>
      </c>
      <c r="AJ13" s="135">
        <v>0</v>
      </c>
      <c r="AK13" s="135">
        <v>0</v>
      </c>
      <c r="AL13" s="135">
        <v>0</v>
      </c>
      <c r="AM13" s="135">
        <v>0</v>
      </c>
      <c r="AN13" s="135">
        <v>0</v>
      </c>
      <c r="AO13" s="135">
        <v>0</v>
      </c>
      <c r="AP13" s="135">
        <v>0</v>
      </c>
      <c r="AQ13" s="135">
        <v>0</v>
      </c>
      <c r="AR13" s="135">
        <v>0</v>
      </c>
      <c r="AX13" s="163" t="s">
        <v>127</v>
      </c>
      <c r="AY13" s="163">
        <v>1</v>
      </c>
      <c r="AZ13" s="163">
        <v>-4</v>
      </c>
      <c r="BH13" s="12"/>
      <c r="BI13" s="12"/>
      <c r="BJ13" s="12"/>
      <c r="BK13" s="12"/>
      <c r="BL13" s="12"/>
      <c r="BM13" s="12"/>
      <c r="BN13" s="13"/>
    </row>
    <row r="14" spans="1:66" ht="20.399999999999999" x14ac:dyDescent="0.35">
      <c r="A14" s="127" t="s">
        <v>75</v>
      </c>
      <c r="B14" s="103">
        <f t="shared" si="0"/>
        <v>22</v>
      </c>
      <c r="C14" s="103">
        <f t="shared" si="1"/>
        <v>6</v>
      </c>
      <c r="D14" s="128">
        <v>18</v>
      </c>
      <c r="F14" s="3" t="s">
        <v>68</v>
      </c>
      <c r="G14" s="45">
        <f>SUM($B$23:$B$24,IF(L14="Strength",$C$12,$C$13),M14,$H$10*(-1))</f>
        <v>3</v>
      </c>
      <c r="H14" s="45" t="s">
        <v>144</v>
      </c>
      <c r="I14" s="45">
        <f>SUM(M14,N14,$B$25)</f>
        <v>4</v>
      </c>
      <c r="J14" s="45"/>
      <c r="K14" s="154" t="s">
        <v>97</v>
      </c>
      <c r="L14" s="85" t="s">
        <v>72</v>
      </c>
      <c r="M14" s="4"/>
      <c r="N14" s="161">
        <f>SUM(IF(K14=$AZ$20,$AZ$24,IF(K14=$BA$20,$BA$24,IF(K14=$BB$20,$BB$24,IF(K14=$BC$20,$BC$24,IF(K14=$BD$20,$BD$24,0))))),IF(L14=$A$12,IF(K14=$AZ$20,$AZ$25,IF(K14=$BA$20,$BA$25,IF(K14=$BB$20,$BB$25,IF(K14=$BC$20,$BC$25,IF(K14=$BD$20,$BD$25,0))))),0))</f>
        <v>1</v>
      </c>
      <c r="O14" s="43" t="s">
        <v>172</v>
      </c>
      <c r="R14" s="136">
        <v>0</v>
      </c>
      <c r="S14" s="136">
        <v>0</v>
      </c>
      <c r="T14" s="136">
        <v>0</v>
      </c>
      <c r="U14" s="136">
        <v>0</v>
      </c>
      <c r="V14" s="136">
        <v>2</v>
      </c>
      <c r="W14" s="136">
        <v>0</v>
      </c>
      <c r="X14" s="136">
        <v>0</v>
      </c>
      <c r="Y14" s="136">
        <v>0</v>
      </c>
      <c r="Z14" s="136">
        <v>0</v>
      </c>
      <c r="AA14" s="136">
        <v>2</v>
      </c>
      <c r="AB14" s="136">
        <v>0</v>
      </c>
      <c r="AC14" s="136">
        <v>0</v>
      </c>
      <c r="AD14" s="136">
        <v>0</v>
      </c>
      <c r="AE14" s="136">
        <v>0</v>
      </c>
      <c r="AF14" s="136">
        <v>0</v>
      </c>
      <c r="AG14" s="136">
        <v>0</v>
      </c>
      <c r="AH14" s="136">
        <v>0</v>
      </c>
      <c r="AI14" s="136">
        <v>0</v>
      </c>
      <c r="AJ14" s="136">
        <v>0</v>
      </c>
      <c r="AK14" s="136">
        <v>0</v>
      </c>
      <c r="AL14" s="136">
        <v>0</v>
      </c>
      <c r="AM14" s="136">
        <v>0</v>
      </c>
      <c r="AN14" s="136">
        <v>0</v>
      </c>
      <c r="AO14" s="136">
        <v>0</v>
      </c>
      <c r="AP14" s="136">
        <v>0</v>
      </c>
      <c r="AQ14" s="136">
        <v>0</v>
      </c>
      <c r="AR14" s="136">
        <v>0</v>
      </c>
      <c r="AX14" s="163" t="s">
        <v>128</v>
      </c>
      <c r="AY14" s="163">
        <v>0</v>
      </c>
      <c r="AZ14" s="163">
        <v>0</v>
      </c>
      <c r="BH14" s="12"/>
      <c r="BI14" s="12"/>
      <c r="BJ14" s="12"/>
      <c r="BK14" s="12"/>
      <c r="BL14" s="12"/>
      <c r="BM14" s="12"/>
      <c r="BN14" s="13"/>
    </row>
    <row r="15" spans="1:66" ht="20.399999999999999" x14ac:dyDescent="0.35">
      <c r="A15" s="109" t="s">
        <v>115</v>
      </c>
      <c r="B15" s="100">
        <f t="shared" si="0"/>
        <v>31</v>
      </c>
      <c r="C15" s="100">
        <f t="shared" si="1"/>
        <v>10</v>
      </c>
      <c r="D15" s="110">
        <v>23</v>
      </c>
      <c r="G15" s="45"/>
      <c r="H15" s="45"/>
      <c r="I15" s="45"/>
      <c r="J15" s="45"/>
      <c r="K15" s="4"/>
      <c r="L15" s="46"/>
      <c r="O15" s="43" t="s">
        <v>171</v>
      </c>
      <c r="R15" s="137">
        <v>0</v>
      </c>
      <c r="S15" s="137">
        <v>0</v>
      </c>
      <c r="T15" s="137">
        <v>0</v>
      </c>
      <c r="U15" s="137">
        <v>0</v>
      </c>
      <c r="V15" s="137">
        <v>6</v>
      </c>
      <c r="W15" s="137">
        <v>0</v>
      </c>
      <c r="X15" s="137">
        <v>0</v>
      </c>
      <c r="Y15" s="137">
        <v>0</v>
      </c>
      <c r="Z15" s="137">
        <v>0</v>
      </c>
      <c r="AA15" s="137">
        <v>2</v>
      </c>
      <c r="AB15" s="137">
        <v>0</v>
      </c>
      <c r="AC15" s="137">
        <v>0</v>
      </c>
      <c r="AD15" s="137">
        <v>0</v>
      </c>
      <c r="AE15" s="137">
        <v>0</v>
      </c>
      <c r="AF15" s="137">
        <v>0</v>
      </c>
      <c r="AG15" s="137">
        <v>0</v>
      </c>
      <c r="AH15" s="137">
        <v>0</v>
      </c>
      <c r="AI15" s="137">
        <v>0</v>
      </c>
      <c r="AJ15" s="137">
        <v>0</v>
      </c>
      <c r="AK15" s="137">
        <v>0</v>
      </c>
      <c r="AL15" s="137">
        <v>0</v>
      </c>
      <c r="AM15" s="137">
        <v>0</v>
      </c>
      <c r="AN15" s="137">
        <v>0</v>
      </c>
      <c r="AO15" s="137">
        <v>0</v>
      </c>
      <c r="AP15" s="137">
        <v>0</v>
      </c>
      <c r="AQ15" s="137">
        <v>0</v>
      </c>
      <c r="AR15" s="137">
        <v>0</v>
      </c>
      <c r="AX15" s="163" t="s">
        <v>129</v>
      </c>
      <c r="AY15" s="163" t="s">
        <v>130</v>
      </c>
      <c r="AZ15" s="163">
        <v>4</v>
      </c>
      <c r="BH15" s="12"/>
      <c r="BI15" s="12"/>
      <c r="BJ15" s="12"/>
      <c r="BK15" s="12"/>
      <c r="BL15" s="12"/>
      <c r="BM15" s="12"/>
      <c r="BN15" s="13"/>
    </row>
    <row r="16" spans="1:66" ht="20.399999999999999" x14ac:dyDescent="0.35">
      <c r="A16" s="111" t="s">
        <v>73</v>
      </c>
      <c r="B16" s="101">
        <f t="shared" si="0"/>
        <v>15</v>
      </c>
      <c r="C16" s="101">
        <f t="shared" si="1"/>
        <v>2</v>
      </c>
      <c r="D16" s="112">
        <v>15</v>
      </c>
      <c r="O16" s="43" t="s">
        <v>170</v>
      </c>
      <c r="R16" s="138">
        <v>0</v>
      </c>
      <c r="S16" s="138">
        <v>0</v>
      </c>
      <c r="T16" s="138">
        <v>0</v>
      </c>
      <c r="U16" s="138">
        <v>0</v>
      </c>
      <c r="V16" s="138">
        <v>0</v>
      </c>
      <c r="W16" s="138">
        <v>0</v>
      </c>
      <c r="X16" s="138">
        <v>0</v>
      </c>
      <c r="Y16" s="138">
        <v>0</v>
      </c>
      <c r="Z16" s="138">
        <v>0</v>
      </c>
      <c r="AA16" s="138">
        <v>0</v>
      </c>
      <c r="AB16" s="138">
        <v>0</v>
      </c>
      <c r="AC16" s="138">
        <v>0</v>
      </c>
      <c r="AD16" s="138">
        <v>0</v>
      </c>
      <c r="AE16" s="138">
        <v>0</v>
      </c>
      <c r="AF16" s="138">
        <v>0</v>
      </c>
      <c r="AG16" s="138">
        <v>0</v>
      </c>
      <c r="AH16" s="138">
        <v>0</v>
      </c>
      <c r="AI16" s="138">
        <v>0</v>
      </c>
      <c r="AJ16" s="138">
        <v>0</v>
      </c>
      <c r="AK16" s="138">
        <v>0</v>
      </c>
      <c r="AL16" s="138">
        <v>0</v>
      </c>
      <c r="AM16" s="138">
        <v>0</v>
      </c>
      <c r="AN16" s="138">
        <v>0</v>
      </c>
      <c r="AO16" s="138">
        <v>0</v>
      </c>
      <c r="AP16" s="138">
        <v>0</v>
      </c>
      <c r="AQ16" s="138">
        <v>0</v>
      </c>
      <c r="AR16" s="138">
        <v>0</v>
      </c>
      <c r="AX16" s="163" t="s">
        <v>131</v>
      </c>
      <c r="AY16" s="163" t="s">
        <v>132</v>
      </c>
      <c r="AZ16" s="163">
        <v>8</v>
      </c>
      <c r="BH16" s="12"/>
      <c r="BI16" s="12"/>
      <c r="BJ16" s="12"/>
      <c r="BK16" s="12"/>
      <c r="BL16" s="12"/>
      <c r="BM16" s="12"/>
      <c r="BN16" s="13"/>
    </row>
    <row r="17" spans="1:66" ht="20.399999999999999" x14ac:dyDescent="0.35">
      <c r="A17" s="113" t="s">
        <v>74</v>
      </c>
      <c r="B17" s="114">
        <f t="shared" si="0"/>
        <v>15</v>
      </c>
      <c r="C17" s="114">
        <f t="shared" si="1"/>
        <v>2</v>
      </c>
      <c r="D17" s="115">
        <v>15</v>
      </c>
      <c r="R17" s="139">
        <v>0</v>
      </c>
      <c r="S17" s="139">
        <v>0</v>
      </c>
      <c r="T17" s="139">
        <v>0</v>
      </c>
      <c r="U17" s="139">
        <v>0</v>
      </c>
      <c r="V17" s="139">
        <v>0</v>
      </c>
      <c r="W17" s="139">
        <v>0</v>
      </c>
      <c r="X17" s="139">
        <v>0</v>
      </c>
      <c r="Y17" s="139">
        <v>0</v>
      </c>
      <c r="Z17" s="139">
        <v>0</v>
      </c>
      <c r="AA17" s="139">
        <v>0</v>
      </c>
      <c r="AB17" s="139">
        <v>0</v>
      </c>
      <c r="AC17" s="139">
        <v>0</v>
      </c>
      <c r="AD17" s="139">
        <v>0</v>
      </c>
      <c r="AE17" s="139">
        <v>0</v>
      </c>
      <c r="AF17" s="139">
        <v>0</v>
      </c>
      <c r="AG17" s="139">
        <v>0</v>
      </c>
      <c r="AH17" s="139">
        <v>0</v>
      </c>
      <c r="AI17" s="139">
        <v>0</v>
      </c>
      <c r="AJ17" s="139">
        <v>0</v>
      </c>
      <c r="AK17" s="139">
        <v>0</v>
      </c>
      <c r="AL17" s="139">
        <v>0</v>
      </c>
      <c r="AM17" s="139">
        <v>0</v>
      </c>
      <c r="AN17" s="139">
        <v>0</v>
      </c>
      <c r="AO17" s="139">
        <v>0</v>
      </c>
      <c r="AP17" s="139">
        <v>0</v>
      </c>
      <c r="AQ17" s="139">
        <v>0</v>
      </c>
      <c r="AR17" s="139">
        <v>0</v>
      </c>
      <c r="AX17" s="163" t="s">
        <v>133</v>
      </c>
      <c r="AY17" s="163" t="s">
        <v>134</v>
      </c>
      <c r="AZ17" s="163">
        <v>12</v>
      </c>
      <c r="BH17" s="12"/>
      <c r="BI17" s="12"/>
      <c r="BJ17" s="12"/>
      <c r="BK17" s="12"/>
      <c r="BL17" s="12"/>
      <c r="BM17" s="12"/>
      <c r="BN17" s="13"/>
    </row>
    <row r="18" spans="1:66" x14ac:dyDescent="0.35">
      <c r="B18" s="45" t="s">
        <v>122</v>
      </c>
      <c r="C18" s="45" t="s">
        <v>116</v>
      </c>
      <c r="R18" s="133">
        <v>0</v>
      </c>
      <c r="S18" s="133">
        <v>0</v>
      </c>
      <c r="T18" s="133">
        <v>0</v>
      </c>
      <c r="U18" s="133">
        <v>0</v>
      </c>
      <c r="V18" s="133">
        <v>0</v>
      </c>
      <c r="W18" s="133">
        <v>0</v>
      </c>
      <c r="X18" s="133">
        <v>0</v>
      </c>
      <c r="Y18" s="133">
        <v>4</v>
      </c>
      <c r="Z18" s="133">
        <v>0</v>
      </c>
      <c r="AA18" s="133">
        <v>0</v>
      </c>
      <c r="AB18" s="133">
        <v>0</v>
      </c>
      <c r="AC18" s="133">
        <v>3</v>
      </c>
      <c r="AD18" s="133">
        <v>0</v>
      </c>
      <c r="AE18" s="133">
        <v>0</v>
      </c>
      <c r="AF18" s="133">
        <v>0</v>
      </c>
      <c r="AG18" s="133">
        <v>0</v>
      </c>
      <c r="AH18" s="133">
        <v>0</v>
      </c>
      <c r="AI18" s="133">
        <v>0</v>
      </c>
      <c r="AJ18" s="133">
        <v>0</v>
      </c>
      <c r="AK18" s="133">
        <v>0</v>
      </c>
      <c r="AL18" s="133">
        <v>0</v>
      </c>
      <c r="AM18" s="133">
        <v>0</v>
      </c>
      <c r="AN18" s="133">
        <v>0</v>
      </c>
      <c r="AO18" s="133">
        <v>0</v>
      </c>
      <c r="AP18" s="133">
        <v>0</v>
      </c>
      <c r="AQ18" s="133">
        <v>0</v>
      </c>
      <c r="AR18" s="133">
        <v>0</v>
      </c>
      <c r="AX18" s="163" t="s">
        <v>140</v>
      </c>
      <c r="AY18" s="163" t="s">
        <v>135</v>
      </c>
      <c r="AZ18" s="163">
        <v>16</v>
      </c>
      <c r="BH18" s="12"/>
      <c r="BI18" s="12"/>
      <c r="BJ18" s="12"/>
      <c r="BK18" s="12"/>
      <c r="BL18" s="12"/>
      <c r="BM18" s="12"/>
      <c r="BN18" s="13"/>
    </row>
    <row r="19" spans="1:66" ht="17.399999999999999" x14ac:dyDescent="0.3">
      <c r="A19" s="132" t="s">
        <v>29</v>
      </c>
      <c r="B19" s="149">
        <f>SUM(C14,C19,R19:AR19,BG4)</f>
        <v>25</v>
      </c>
      <c r="C19" s="94">
        <v>5</v>
      </c>
      <c r="R19" s="136">
        <v>0</v>
      </c>
      <c r="S19" s="136">
        <v>0</v>
      </c>
      <c r="T19" s="136">
        <v>0</v>
      </c>
      <c r="U19" s="136">
        <v>0</v>
      </c>
      <c r="V19" s="136">
        <v>4</v>
      </c>
      <c r="W19" s="136">
        <v>0</v>
      </c>
      <c r="X19" s="136">
        <v>0</v>
      </c>
      <c r="Y19" s="136">
        <v>0</v>
      </c>
      <c r="Z19" s="136">
        <v>0</v>
      </c>
      <c r="AA19" s="136">
        <v>0</v>
      </c>
      <c r="AB19" s="136">
        <v>2</v>
      </c>
      <c r="AC19" s="136">
        <v>4</v>
      </c>
      <c r="AD19" s="136">
        <v>0</v>
      </c>
      <c r="AE19" s="136">
        <v>0</v>
      </c>
      <c r="AF19" s="136">
        <v>0</v>
      </c>
      <c r="AG19" s="136">
        <v>0</v>
      </c>
      <c r="AH19" s="136">
        <v>0</v>
      </c>
      <c r="AI19" s="136">
        <v>4</v>
      </c>
      <c r="AJ19" s="136">
        <v>0</v>
      </c>
      <c r="AK19" s="136">
        <v>0</v>
      </c>
      <c r="AL19" s="136">
        <v>0</v>
      </c>
      <c r="AM19" s="136">
        <v>0</v>
      </c>
      <c r="AN19" s="136">
        <v>0</v>
      </c>
      <c r="AO19" s="136">
        <v>0</v>
      </c>
      <c r="AP19" s="136">
        <v>0</v>
      </c>
      <c r="AQ19" s="136">
        <v>0</v>
      </c>
      <c r="AR19" s="136">
        <v>0</v>
      </c>
      <c r="AW19" s="11"/>
      <c r="AX19" s="12"/>
      <c r="AY19" s="12"/>
      <c r="AZ19" s="12"/>
      <c r="BA19" s="12"/>
      <c r="BB19" s="12"/>
      <c r="BC19" s="12"/>
      <c r="BE19" s="12"/>
      <c r="BF19" s="12"/>
      <c r="BG19" s="12"/>
      <c r="BH19" s="12"/>
      <c r="BI19" s="12"/>
      <c r="BJ19" s="12"/>
      <c r="BK19" s="12"/>
      <c r="BL19" s="12"/>
      <c r="BM19" s="12"/>
      <c r="BN19" s="13"/>
    </row>
    <row r="20" spans="1:66" ht="17.399999999999999" x14ac:dyDescent="0.3">
      <c r="A20" s="106" t="s">
        <v>30</v>
      </c>
      <c r="B20" s="104">
        <f>SUM(C13,C20,R20:AR20,BG5)</f>
        <v>22</v>
      </c>
      <c r="C20" s="156">
        <v>5</v>
      </c>
      <c r="H20" s="49"/>
      <c r="R20" s="140">
        <v>0</v>
      </c>
      <c r="S20" s="140">
        <v>0</v>
      </c>
      <c r="T20" s="140">
        <v>0</v>
      </c>
      <c r="U20" s="140">
        <v>0</v>
      </c>
      <c r="V20" s="140">
        <v>4</v>
      </c>
      <c r="W20" s="140">
        <v>0</v>
      </c>
      <c r="X20" s="140">
        <v>0</v>
      </c>
      <c r="Y20" s="140">
        <v>0</v>
      </c>
      <c r="Z20" s="140">
        <v>0</v>
      </c>
      <c r="AA20" s="140">
        <v>0</v>
      </c>
      <c r="AB20" s="140">
        <v>2</v>
      </c>
      <c r="AC20" s="140">
        <v>4</v>
      </c>
      <c r="AD20" s="140">
        <v>0</v>
      </c>
      <c r="AE20" s="140">
        <v>0</v>
      </c>
      <c r="AF20" s="140">
        <v>0</v>
      </c>
      <c r="AG20" s="140">
        <v>0</v>
      </c>
      <c r="AH20" s="140">
        <v>0</v>
      </c>
      <c r="AI20" s="140">
        <v>4</v>
      </c>
      <c r="AJ20" s="140">
        <v>0</v>
      </c>
      <c r="AK20" s="140">
        <v>0</v>
      </c>
      <c r="AL20" s="140">
        <v>0</v>
      </c>
      <c r="AM20" s="140">
        <v>0</v>
      </c>
      <c r="AN20" s="140">
        <v>0</v>
      </c>
      <c r="AO20" s="140">
        <v>0</v>
      </c>
      <c r="AP20" s="140">
        <v>0</v>
      </c>
      <c r="AQ20" s="140">
        <v>0</v>
      </c>
      <c r="AR20" s="140">
        <v>0</v>
      </c>
      <c r="AW20" s="206" t="s">
        <v>155</v>
      </c>
      <c r="AX20" s="206"/>
      <c r="AY20" s="206"/>
      <c r="AZ20" s="123" t="s">
        <v>97</v>
      </c>
      <c r="BA20" s="123" t="s">
        <v>152</v>
      </c>
      <c r="BB20" s="123" t="s">
        <v>106</v>
      </c>
      <c r="BC20" s="165" t="s">
        <v>151</v>
      </c>
      <c r="BD20" s="123" t="s">
        <v>105</v>
      </c>
      <c r="BE20" s="12"/>
      <c r="BF20" s="12"/>
      <c r="BG20" s="12"/>
      <c r="BH20" s="12"/>
      <c r="BI20" s="12"/>
      <c r="BJ20" s="12"/>
      <c r="BK20" s="12"/>
      <c r="BL20" s="12"/>
      <c r="BM20" s="12"/>
      <c r="BN20" s="13"/>
    </row>
    <row r="21" spans="1:66" ht="17.399999999999999" x14ac:dyDescent="0.3">
      <c r="A21" s="107" t="s">
        <v>31</v>
      </c>
      <c r="B21" s="150">
        <f>SUM(C21,C16,R21:AR21,BG6)</f>
        <v>29</v>
      </c>
      <c r="C21" s="162">
        <v>13</v>
      </c>
      <c r="R21" s="141">
        <v>0</v>
      </c>
      <c r="S21" s="141">
        <v>0</v>
      </c>
      <c r="T21" s="141">
        <v>0</v>
      </c>
      <c r="U21" s="141">
        <v>0</v>
      </c>
      <c r="V21" s="141">
        <v>4</v>
      </c>
      <c r="W21" s="141">
        <v>0</v>
      </c>
      <c r="X21" s="141">
        <v>0</v>
      </c>
      <c r="Y21" s="141">
        <v>0</v>
      </c>
      <c r="Z21" s="141">
        <v>0</v>
      </c>
      <c r="AA21" s="141">
        <v>0</v>
      </c>
      <c r="AB21" s="141">
        <v>2</v>
      </c>
      <c r="AC21" s="141">
        <v>4</v>
      </c>
      <c r="AD21" s="141">
        <v>0</v>
      </c>
      <c r="AE21" s="141">
        <v>0</v>
      </c>
      <c r="AF21" s="141">
        <v>0</v>
      </c>
      <c r="AG21" s="141">
        <v>0</v>
      </c>
      <c r="AH21" s="141">
        <v>0</v>
      </c>
      <c r="AI21" s="141">
        <v>4</v>
      </c>
      <c r="AJ21" s="141">
        <v>0</v>
      </c>
      <c r="AK21" s="141">
        <v>0</v>
      </c>
      <c r="AL21" s="141">
        <v>0</v>
      </c>
      <c r="AM21" s="141">
        <v>0</v>
      </c>
      <c r="AN21" s="141">
        <v>0</v>
      </c>
      <c r="AO21" s="141">
        <v>0</v>
      </c>
      <c r="AP21" s="141">
        <v>0</v>
      </c>
      <c r="AQ21" s="141">
        <v>0</v>
      </c>
      <c r="AR21" s="141">
        <v>0</v>
      </c>
      <c r="AW21" s="198" t="s">
        <v>142</v>
      </c>
      <c r="AX21" s="198"/>
      <c r="AY21" s="12">
        <f>SUM($H$10)</f>
        <v>10</v>
      </c>
      <c r="AZ21" s="12">
        <v>0</v>
      </c>
      <c r="BA21" s="12">
        <v>0</v>
      </c>
      <c r="BB21" s="12">
        <f>AY21</f>
        <v>10</v>
      </c>
      <c r="BC21" s="12">
        <f>AY21</f>
        <v>10</v>
      </c>
      <c r="BD21" s="161">
        <f>AY21*2</f>
        <v>20</v>
      </c>
      <c r="BE21" s="12"/>
      <c r="BF21" s="12"/>
      <c r="BG21" s="12"/>
      <c r="BH21" s="12"/>
      <c r="BI21" s="12"/>
      <c r="BJ21" s="12"/>
      <c r="BK21" s="12"/>
      <c r="BL21" s="12"/>
      <c r="BM21" s="12"/>
      <c r="BN21" s="13"/>
    </row>
    <row r="22" spans="1:66" x14ac:dyDescent="0.35">
      <c r="B22" s="159" t="s">
        <v>122</v>
      </c>
      <c r="C22" s="160" t="s">
        <v>116</v>
      </c>
      <c r="G22" s="199" t="s">
        <v>114</v>
      </c>
      <c r="H22" s="199"/>
      <c r="R22" s="133">
        <v>0</v>
      </c>
      <c r="S22" s="133">
        <v>0</v>
      </c>
      <c r="T22" s="133">
        <v>0</v>
      </c>
      <c r="U22" s="133">
        <v>0</v>
      </c>
      <c r="V22" s="133">
        <v>0</v>
      </c>
      <c r="W22" s="133">
        <v>0</v>
      </c>
      <c r="X22" s="133">
        <v>0</v>
      </c>
      <c r="Y22" s="133">
        <v>4</v>
      </c>
      <c r="Z22" s="133">
        <v>0</v>
      </c>
      <c r="AA22" s="133">
        <v>0</v>
      </c>
      <c r="AB22" s="133">
        <v>0</v>
      </c>
      <c r="AC22" s="133">
        <v>3</v>
      </c>
      <c r="AD22" s="133">
        <v>0</v>
      </c>
      <c r="AE22" s="133">
        <v>0</v>
      </c>
      <c r="AF22" s="133">
        <v>0</v>
      </c>
      <c r="AG22" s="133">
        <v>0</v>
      </c>
      <c r="AH22" s="133">
        <v>0</v>
      </c>
      <c r="AI22" s="133">
        <v>0</v>
      </c>
      <c r="AJ22" s="133">
        <v>0</v>
      </c>
      <c r="AK22" s="133">
        <v>0</v>
      </c>
      <c r="AL22" s="133">
        <v>0</v>
      </c>
      <c r="AM22" s="133">
        <v>0</v>
      </c>
      <c r="AN22" s="133">
        <v>0</v>
      </c>
      <c r="AO22" s="133">
        <v>0</v>
      </c>
      <c r="AP22" s="133">
        <v>0</v>
      </c>
      <c r="AQ22" s="133">
        <v>0</v>
      </c>
      <c r="AR22" s="133">
        <v>0</v>
      </c>
      <c r="AW22" s="11"/>
      <c r="AX22" s="12"/>
      <c r="AY22" s="12"/>
      <c r="BE22" s="12"/>
      <c r="BF22" s="12"/>
      <c r="BG22" s="12"/>
      <c r="BH22" s="12"/>
      <c r="BI22" s="12"/>
      <c r="BJ22" s="12"/>
      <c r="BK22" s="12"/>
      <c r="BL22" s="12"/>
      <c r="BM22" s="12"/>
      <c r="BN22" s="13"/>
    </row>
    <row r="23" spans="1:66" ht="14.4" x14ac:dyDescent="0.3">
      <c r="A23" s="151" t="s">
        <v>71</v>
      </c>
      <c r="B23" s="51">
        <f>SUM(C23,B29,R23:AR23)</f>
        <v>6</v>
      </c>
      <c r="C23" s="52">
        <v>6</v>
      </c>
      <c r="G23" s="79" t="s">
        <v>99</v>
      </c>
      <c r="H23" s="82">
        <v>0</v>
      </c>
      <c r="I23" s="50" t="s">
        <v>98</v>
      </c>
      <c r="J23" s="87">
        <v>0</v>
      </c>
      <c r="K23" s="79" t="s">
        <v>110</v>
      </c>
      <c r="L23" s="82">
        <v>0</v>
      </c>
      <c r="R23" s="145">
        <v>0</v>
      </c>
      <c r="S23" s="145">
        <v>0</v>
      </c>
      <c r="T23" s="145">
        <v>0</v>
      </c>
      <c r="U23" s="145">
        <v>0</v>
      </c>
      <c r="V23" s="145">
        <v>0</v>
      </c>
      <c r="W23" s="145">
        <v>0</v>
      </c>
      <c r="X23" s="145">
        <v>0</v>
      </c>
      <c r="Y23" s="145">
        <v>0</v>
      </c>
      <c r="Z23" s="145">
        <v>0</v>
      </c>
      <c r="AA23" s="145">
        <v>0</v>
      </c>
      <c r="AB23" s="145">
        <v>0</v>
      </c>
      <c r="AC23" s="145">
        <v>0</v>
      </c>
      <c r="AD23" s="145">
        <v>0</v>
      </c>
      <c r="AE23" s="145">
        <v>0</v>
      </c>
      <c r="AF23" s="145">
        <v>0</v>
      </c>
      <c r="AG23" s="145">
        <v>0</v>
      </c>
      <c r="AH23" s="145">
        <v>0</v>
      </c>
      <c r="AI23" s="145">
        <v>0</v>
      </c>
      <c r="AJ23" s="145">
        <v>0</v>
      </c>
      <c r="AK23" s="145">
        <v>0</v>
      </c>
      <c r="AL23" s="145">
        <v>0</v>
      </c>
      <c r="AM23" s="145">
        <v>0</v>
      </c>
      <c r="AN23" s="145">
        <v>0</v>
      </c>
      <c r="AO23" s="145">
        <v>0</v>
      </c>
      <c r="AP23" s="145">
        <v>0</v>
      </c>
      <c r="AQ23" s="145">
        <v>0</v>
      </c>
      <c r="AR23" s="145">
        <v>0</v>
      </c>
      <c r="AW23" s="11"/>
      <c r="AX23" s="12"/>
      <c r="AY23" s="12"/>
      <c r="AZ23" s="12"/>
      <c r="BA23" s="12"/>
      <c r="BB23" s="12"/>
      <c r="BC23" s="12"/>
      <c r="BE23" s="12"/>
      <c r="BF23" s="12"/>
      <c r="BG23" s="12"/>
      <c r="BH23" s="12"/>
      <c r="BI23" s="12"/>
      <c r="BJ23" s="12"/>
      <c r="BK23" s="12"/>
      <c r="BL23" s="12"/>
      <c r="BM23" s="12"/>
      <c r="BN23" s="13"/>
    </row>
    <row r="24" spans="1:66" ht="17.399999999999999" x14ac:dyDescent="0.3">
      <c r="A24" s="146" t="s">
        <v>46</v>
      </c>
      <c r="B24" s="12">
        <f>SUM(B23,R24:AR24,BG7,BA10)</f>
        <v>6</v>
      </c>
      <c r="C24" s="13"/>
      <c r="G24" s="79" t="s">
        <v>100</v>
      </c>
      <c r="H24" s="82">
        <v>0</v>
      </c>
      <c r="I24" s="11" t="s">
        <v>103</v>
      </c>
      <c r="J24" s="88">
        <v>0</v>
      </c>
      <c r="R24" s="143">
        <v>0</v>
      </c>
      <c r="S24" s="143">
        <v>0</v>
      </c>
      <c r="T24" s="143">
        <v>0</v>
      </c>
      <c r="U24" s="143">
        <v>0</v>
      </c>
      <c r="V24" s="143">
        <v>0</v>
      </c>
      <c r="W24" s="143">
        <v>0</v>
      </c>
      <c r="X24" s="143">
        <v>0</v>
      </c>
      <c r="Y24" s="143">
        <v>0</v>
      </c>
      <c r="Z24" s="143">
        <v>0</v>
      </c>
      <c r="AA24" s="143">
        <v>0</v>
      </c>
      <c r="AB24" s="143">
        <v>0</v>
      </c>
      <c r="AC24" s="143">
        <v>0</v>
      </c>
      <c r="AD24" s="143">
        <v>0</v>
      </c>
      <c r="AE24" s="143">
        <v>0</v>
      </c>
      <c r="AF24" s="143">
        <v>0</v>
      </c>
      <c r="AG24" s="143">
        <v>0</v>
      </c>
      <c r="AH24" s="143">
        <v>0</v>
      </c>
      <c r="AI24" s="143">
        <v>0</v>
      </c>
      <c r="AJ24" s="143">
        <v>0</v>
      </c>
      <c r="AK24" s="143">
        <v>0</v>
      </c>
      <c r="AL24" s="143">
        <v>0</v>
      </c>
      <c r="AM24" s="143">
        <v>0</v>
      </c>
      <c r="AN24" s="143">
        <v>0</v>
      </c>
      <c r="AO24" s="143">
        <v>0</v>
      </c>
      <c r="AP24" s="143">
        <v>0</v>
      </c>
      <c r="AQ24" s="143">
        <v>0</v>
      </c>
      <c r="AR24" s="143">
        <v>0</v>
      </c>
      <c r="AW24" s="197" t="s">
        <v>143</v>
      </c>
      <c r="AX24" s="198"/>
      <c r="AY24" s="12">
        <f>$K$10+1</f>
        <v>1</v>
      </c>
      <c r="AZ24" s="12">
        <f>AZ21*$AY$24</f>
        <v>0</v>
      </c>
      <c r="BA24" s="12">
        <f>BA21*$AY$24</f>
        <v>0</v>
      </c>
      <c r="BB24" s="12">
        <f>BB21*$AY$24</f>
        <v>10</v>
      </c>
      <c r="BC24" s="12">
        <f>BC21*$AY$24</f>
        <v>10</v>
      </c>
      <c r="BD24" s="12">
        <f>BD21*$AY$24</f>
        <v>20</v>
      </c>
      <c r="BE24" s="43">
        <f>IF($K$12=$AZ$20,AZ24,IF($K$12=$BA$20,BA24,IF($K$12=$BB$20,BB24,IF($K$12=$BC$20,BC24,IF($K$12=$BD$20,BD24,0)))))</f>
        <v>20</v>
      </c>
      <c r="BF24" s="12"/>
      <c r="BG24" s="12"/>
      <c r="BH24" s="12"/>
      <c r="BI24" s="12"/>
      <c r="BJ24" s="12"/>
      <c r="BK24" s="12"/>
      <c r="BL24" s="12"/>
      <c r="BM24" s="12"/>
      <c r="BN24" s="13"/>
    </row>
    <row r="25" spans="1:66" ht="14.4" x14ac:dyDescent="0.3">
      <c r="A25" s="152" t="s">
        <v>70</v>
      </c>
      <c r="B25" s="12">
        <f>SUM(R25:AR25)</f>
        <v>3</v>
      </c>
      <c r="C25" s="13"/>
      <c r="G25" s="79" t="s">
        <v>101</v>
      </c>
      <c r="H25" s="82">
        <v>0</v>
      </c>
      <c r="I25" s="90" t="s">
        <v>104</v>
      </c>
      <c r="J25" s="89">
        <v>0</v>
      </c>
      <c r="R25" s="145">
        <v>0</v>
      </c>
      <c r="S25" s="145">
        <v>0</v>
      </c>
      <c r="T25" s="145">
        <v>0</v>
      </c>
      <c r="U25" s="145">
        <v>0</v>
      </c>
      <c r="V25" s="145">
        <v>0</v>
      </c>
      <c r="W25" s="145">
        <v>0</v>
      </c>
      <c r="X25" s="145">
        <v>0</v>
      </c>
      <c r="Y25" s="145">
        <v>0</v>
      </c>
      <c r="Z25" s="145">
        <v>0</v>
      </c>
      <c r="AA25" s="145">
        <v>0</v>
      </c>
      <c r="AB25" s="145">
        <v>0</v>
      </c>
      <c r="AC25" s="145">
        <v>3</v>
      </c>
      <c r="AD25" s="145">
        <v>0</v>
      </c>
      <c r="AE25" s="145">
        <v>0</v>
      </c>
      <c r="AF25" s="145">
        <v>0</v>
      </c>
      <c r="AG25" s="145">
        <v>0</v>
      </c>
      <c r="AH25" s="145">
        <v>0</v>
      </c>
      <c r="AI25" s="145">
        <v>0</v>
      </c>
      <c r="AJ25" s="145">
        <v>0</v>
      </c>
      <c r="AK25" s="145">
        <v>0</v>
      </c>
      <c r="AL25" s="145">
        <v>0</v>
      </c>
      <c r="AM25" s="145">
        <v>0</v>
      </c>
      <c r="AN25" s="145">
        <v>0</v>
      </c>
      <c r="AO25" s="145">
        <v>0</v>
      </c>
      <c r="AP25" s="145">
        <v>0</v>
      </c>
      <c r="AQ25" s="145">
        <v>0</v>
      </c>
      <c r="AR25" s="145">
        <v>0</v>
      </c>
      <c r="AW25" s="11"/>
      <c r="AX25" s="12" t="s">
        <v>154</v>
      </c>
      <c r="AY25" s="12"/>
      <c r="AZ25" s="12">
        <f>$C$12</f>
        <v>1</v>
      </c>
      <c r="BA25" s="12">
        <f>ROUNDDOWN($C$12*0.5,0)</f>
        <v>0</v>
      </c>
      <c r="BB25" s="12">
        <f>$C$12</f>
        <v>1</v>
      </c>
      <c r="BC25" s="12">
        <f>ROUNDDOWN($C$12*0.5,0)</f>
        <v>0</v>
      </c>
      <c r="BD25" s="12">
        <f>ROUNDDOWN($C$12*1.5,0)</f>
        <v>1</v>
      </c>
      <c r="BE25" s="43">
        <f>IF(L12=A12,IF($K$12=$AZ$20,AZ25,IF($K$12=$BA$20,BA25,IF($K$12=$BB$20,BB25,IF($K$12=$BC$20,BC25,IF($K$12=$BD$20,BD25,0))))),0)</f>
        <v>0</v>
      </c>
      <c r="BF25" s="12"/>
      <c r="BG25" s="12"/>
      <c r="BH25" s="12"/>
      <c r="BI25" s="12"/>
      <c r="BJ25" s="12"/>
      <c r="BK25" s="12"/>
      <c r="BL25" s="12"/>
      <c r="BM25" s="12"/>
      <c r="BN25" s="13"/>
    </row>
    <row r="26" spans="1:66" x14ac:dyDescent="0.35">
      <c r="A26" s="147" t="s">
        <v>77</v>
      </c>
      <c r="B26" s="54">
        <f>SUM(B23,C12,BB10,R26:AR26)</f>
        <v>7</v>
      </c>
      <c r="C26" s="55"/>
      <c r="R26" s="144">
        <v>0</v>
      </c>
      <c r="S26" s="144">
        <v>0</v>
      </c>
      <c r="T26" s="144">
        <v>0</v>
      </c>
      <c r="U26" s="144">
        <v>0</v>
      </c>
      <c r="V26" s="144">
        <v>0</v>
      </c>
      <c r="W26" s="144">
        <v>0</v>
      </c>
      <c r="X26" s="144">
        <v>0</v>
      </c>
      <c r="Y26" s="144">
        <v>0</v>
      </c>
      <c r="Z26" s="144">
        <v>0</v>
      </c>
      <c r="AA26" s="144">
        <v>0</v>
      </c>
      <c r="AB26" s="144">
        <v>0</v>
      </c>
      <c r="AC26" s="144">
        <v>0</v>
      </c>
      <c r="AD26" s="144">
        <v>0</v>
      </c>
      <c r="AE26" s="144">
        <v>0</v>
      </c>
      <c r="AF26" s="144">
        <v>0</v>
      </c>
      <c r="AG26" s="144">
        <v>0</v>
      </c>
      <c r="AH26" s="144">
        <v>0</v>
      </c>
      <c r="AI26" s="144">
        <v>0</v>
      </c>
      <c r="AJ26" s="144">
        <v>0</v>
      </c>
      <c r="AK26" s="144">
        <v>0</v>
      </c>
      <c r="AL26" s="144">
        <v>0</v>
      </c>
      <c r="AM26" s="144">
        <v>0</v>
      </c>
      <c r="AN26" s="144">
        <v>0</v>
      </c>
      <c r="AO26" s="144">
        <v>0</v>
      </c>
      <c r="AP26" s="144">
        <v>0</v>
      </c>
      <c r="AQ26" s="144">
        <v>0</v>
      </c>
      <c r="AR26" s="144">
        <v>0</v>
      </c>
      <c r="AW26" s="11"/>
      <c r="AX26" s="12"/>
      <c r="AY26" s="12"/>
      <c r="AZ26" s="12"/>
      <c r="BA26" s="12"/>
      <c r="BB26" s="12"/>
      <c r="BC26" s="43"/>
      <c r="BD26" s="43"/>
      <c r="BE26" s="43" t="e">
        <f>if</f>
        <v>#NAME?</v>
      </c>
      <c r="BF26" s="12"/>
      <c r="BG26" s="12"/>
      <c r="BH26" s="12"/>
      <c r="BI26" s="12"/>
      <c r="BJ26" s="12"/>
      <c r="BK26" s="12"/>
      <c r="BL26" s="12"/>
      <c r="BM26" s="12"/>
      <c r="BN26" s="13"/>
    </row>
    <row r="27" spans="1:66" x14ac:dyDescent="0.35">
      <c r="AW27" s="53"/>
      <c r="AX27" s="54"/>
      <c r="AY27" s="54"/>
      <c r="AZ27" s="54"/>
      <c r="BA27" s="54"/>
      <c r="BB27" s="54"/>
      <c r="BC27" s="54"/>
      <c r="BE27" s="54"/>
      <c r="BF27" s="54"/>
      <c r="BG27" s="54"/>
      <c r="BH27" s="54"/>
      <c r="BI27" s="54"/>
      <c r="BJ27" s="54"/>
      <c r="BK27" s="54"/>
      <c r="BL27" s="54"/>
      <c r="BM27" s="54"/>
      <c r="BN27" s="55"/>
    </row>
    <row r="28" spans="1:66" ht="14.4" x14ac:dyDescent="0.3">
      <c r="A28" s="4" t="s">
        <v>86</v>
      </c>
      <c r="B28" s="77">
        <v>0</v>
      </c>
    </row>
    <row r="29" spans="1:66" ht="14.4" x14ac:dyDescent="0.3">
      <c r="A29" s="4" t="s">
        <v>87</v>
      </c>
      <c r="B29" s="78">
        <v>0</v>
      </c>
      <c r="G29" s="199" t="s">
        <v>145</v>
      </c>
      <c r="H29" s="199"/>
    </row>
    <row r="30" spans="1:66" ht="14.4" x14ac:dyDescent="0.3">
      <c r="A30" s="4" t="s">
        <v>141</v>
      </c>
      <c r="B30" s="78">
        <v>0</v>
      </c>
      <c r="G30" s="79" t="s">
        <v>146</v>
      </c>
      <c r="H30" s="82">
        <v>0</v>
      </c>
    </row>
    <row r="31" spans="1:66" s="1" customFormat="1" ht="14.4" x14ac:dyDescent="0.3">
      <c r="G31" s="79" t="s">
        <v>147</v>
      </c>
      <c r="H31" s="82">
        <v>0</v>
      </c>
      <c r="I31" s="161"/>
      <c r="J31" s="161"/>
      <c r="K31" s="161"/>
      <c r="L31" s="161"/>
      <c r="M31" s="161"/>
      <c r="N31" s="161"/>
      <c r="O31" s="161"/>
      <c r="P31" s="161"/>
      <c r="Q31" s="161"/>
      <c r="R31" s="161"/>
      <c r="S31" s="161"/>
      <c r="T31" s="161"/>
      <c r="U31" s="161"/>
      <c r="V31" s="161"/>
      <c r="W31" s="161"/>
      <c r="X31" s="161"/>
      <c r="Y31" s="161"/>
      <c r="Z31" s="161"/>
      <c r="AA31" s="161"/>
      <c r="AB31" s="161"/>
      <c r="AC31" s="161"/>
      <c r="AD31" s="161"/>
      <c r="AE31" s="161"/>
      <c r="AF31" s="161"/>
      <c r="AG31" s="161"/>
    </row>
    <row r="33" spans="1:27" x14ac:dyDescent="0.35">
      <c r="A33" s="3" t="s">
        <v>64</v>
      </c>
      <c r="B33" s="161">
        <f>COUNTA(A35:A81)</f>
        <v>20</v>
      </c>
    </row>
    <row r="34" spans="1:27" x14ac:dyDescent="0.35">
      <c r="A34" s="3" t="s">
        <v>43</v>
      </c>
      <c r="B34" s="19" t="s">
        <v>55</v>
      </c>
      <c r="C34" s="30" t="s">
        <v>69</v>
      </c>
      <c r="D34" s="32" t="s">
        <v>63</v>
      </c>
      <c r="E34" s="21" t="s">
        <v>59</v>
      </c>
      <c r="F34" s="58" t="s">
        <v>44</v>
      </c>
      <c r="G34" s="59" t="s">
        <v>50</v>
      </c>
      <c r="H34" s="60" t="s">
        <v>51</v>
      </c>
      <c r="I34" s="61" t="s">
        <v>58</v>
      </c>
      <c r="J34" s="62" t="s">
        <v>47</v>
      </c>
      <c r="K34" s="59" t="s">
        <v>50</v>
      </c>
      <c r="L34" s="60" t="s">
        <v>51</v>
      </c>
      <c r="M34" s="61" t="s">
        <v>58</v>
      </c>
      <c r="N34" s="63" t="s">
        <v>59</v>
      </c>
      <c r="O34" s="62" t="s">
        <v>47</v>
      </c>
      <c r="P34" s="59" t="s">
        <v>50</v>
      </c>
      <c r="Q34" s="60" t="s">
        <v>51</v>
      </c>
      <c r="R34" s="61" t="s">
        <v>58</v>
      </c>
      <c r="S34" s="63" t="s">
        <v>59</v>
      </c>
      <c r="T34" s="64" t="s">
        <v>66</v>
      </c>
      <c r="W34" s="1"/>
      <c r="X34" s="1"/>
      <c r="Y34" s="1"/>
      <c r="Z34" s="1"/>
      <c r="AA34" s="1"/>
    </row>
    <row r="35" spans="1:27" x14ac:dyDescent="0.35">
      <c r="A35" s="17" t="s">
        <v>92</v>
      </c>
      <c r="B35" s="80">
        <v>4</v>
      </c>
      <c r="C35" s="180">
        <v>9987</v>
      </c>
      <c r="D35" s="31">
        <f>IFERROR(VLOOKUP(A35,BUFFS!$H$5:$AF$195,8,),"")</f>
        <v>0</v>
      </c>
      <c r="E35" s="24">
        <f>IFERROR(SUM(H35,ROUNDDOWN(MIN(B35,T$35)*I35,0)),"")</f>
        <v>4</v>
      </c>
      <c r="F35" s="65" t="str">
        <f>IFERROR(VLOOKUP(A35,BUFFS!$H$5:$AF$195,5,),"")</f>
        <v>FORT</v>
      </c>
      <c r="G35" s="66" t="str">
        <f>IFERROR(VLOOKUP(A35,BUFFS!$H$5:$AF$195,6,),"")</f>
        <v>Enhancement</v>
      </c>
      <c r="H35" s="67">
        <f>IFERROR(VLOOKUP(A35,BUFFS!$H$5:$AF$195,7,),"")</f>
        <v>0</v>
      </c>
      <c r="I35" s="66">
        <f>IFERROR(VLOOKUP(A35,BUFFS!$H$5:$AF$195,9,),"")</f>
        <v>1</v>
      </c>
      <c r="J35" s="65" t="str">
        <f>IFERROR(VLOOKUP(A35,BUFFS!$H$5:$AF$195,10,),"")</f>
        <v>REF</v>
      </c>
      <c r="K35" s="66" t="str">
        <f>IFERROR(VLOOKUP(A35,BUFFS!$H$5:$AF$195,11,),"")</f>
        <v>Enhancement</v>
      </c>
      <c r="L35" s="66">
        <f>IFERROR(VLOOKUP(A35,BUFFS!$H$5:$AF$195,12,),"")</f>
        <v>0</v>
      </c>
      <c r="M35" s="66">
        <f>IFERROR(VLOOKUP(A35,BUFFS!$H$5:$AF$195,14,),"")</f>
        <v>1</v>
      </c>
      <c r="N35" s="68">
        <f>IFERROR(SUM(L35,ROUNDDOWN(MIN(B35,T$35)*M35,0)),"")</f>
        <v>4</v>
      </c>
      <c r="O35" s="65" t="str">
        <f>IFERROR(VLOOKUP(A35,BUFFS!$H$5:$AF$195,15,),"")</f>
        <v>WILL</v>
      </c>
      <c r="P35" s="66" t="str">
        <f>IFERROR(VLOOKUP(A35,BUFFS!$H$5:$AF$195,16,),"")</f>
        <v>Enhancement</v>
      </c>
      <c r="Q35" s="66">
        <f>IFERROR(VLOOKUP(A35,BUFFS!$H$5:$AF$195,17,),"")</f>
        <v>0</v>
      </c>
      <c r="R35" s="66">
        <f>IFERROR(VLOOKUP(A35,BUFFS!$H$5:$AF$195,19,),"")</f>
        <v>1</v>
      </c>
      <c r="S35" s="69">
        <f>IFERROR(SUM(Q35,ROUNDDOWN(MIN(B35,T$35)*R35,0)),"")</f>
        <v>4</v>
      </c>
      <c r="T35" s="70">
        <f>IFERROR(VLOOKUP(A35,BUFFS!$H$5:$AF$195,20,),"")</f>
        <v>100</v>
      </c>
    </row>
    <row r="36" spans="1:27" x14ac:dyDescent="0.35">
      <c r="A36" s="17" t="s">
        <v>90</v>
      </c>
      <c r="B36" s="80">
        <v>0</v>
      </c>
      <c r="C36" s="180">
        <v>9987</v>
      </c>
      <c r="D36" s="31">
        <f>IFERROR(VLOOKUP(A36,BUFFS!$H$5:$AF$195,8,),"")</f>
        <v>0</v>
      </c>
      <c r="E36" s="24">
        <f>IFERROR(SUM(H36,ROUNDDOWN(MIN(B36,T$35)*I36,0)),"")</f>
        <v>0</v>
      </c>
      <c r="F36" s="65" t="str">
        <f>IFERROR(VLOOKUP(A36,BUFFS!$H$5:$AF$195,5,),"")</f>
        <v>AC</v>
      </c>
      <c r="G36" s="66" t="str">
        <f>IFERROR(VLOOKUP(A36,BUFFS!$H$5:$AF$195,6,),"")</f>
        <v xml:space="preserve">Armor Bonus </v>
      </c>
      <c r="H36" s="67">
        <f>IFERROR(VLOOKUP(A36,BUFFS!$H$5:$AF$195,7,),"")</f>
        <v>0</v>
      </c>
      <c r="I36" s="66">
        <f>IFERROR(VLOOKUP(A36,BUFFS!$H$5:$AF$195,9,),"")</f>
        <v>1</v>
      </c>
      <c r="J36" s="65">
        <f>IFERROR(VLOOKUP(A36,BUFFS!$H$5:$AF$195,10,),"")</f>
        <v>0</v>
      </c>
      <c r="K36" s="66">
        <f>IFERROR(VLOOKUP(A36,BUFFS!$H$5:$AF$195,11,),"")</f>
        <v>0</v>
      </c>
      <c r="L36" s="66">
        <f>IFERROR(VLOOKUP(A36,BUFFS!$H$5:$AF$195,12,),"")</f>
        <v>0</v>
      </c>
      <c r="M36" s="66">
        <f>IFERROR(VLOOKUP(A36,BUFFS!$H$5:$AF$195,14,),"")</f>
        <v>0</v>
      </c>
      <c r="N36" s="68">
        <f>IFERROR(SUM(L36,ROUNDDOWN(MIN(B36,T$35)*M36,0)),"")</f>
        <v>0</v>
      </c>
      <c r="O36" s="65">
        <f>IFERROR(VLOOKUP(A36,BUFFS!$H$5:$AF$195,15,),"")</f>
        <v>0</v>
      </c>
      <c r="P36" s="66">
        <f>IFERROR(VLOOKUP(A36,BUFFS!$H$5:$AF$195,16,),"")</f>
        <v>0</v>
      </c>
      <c r="Q36" s="66">
        <f>IFERROR(VLOOKUP(A36,BUFFS!$H$5:$AF$195,17,),"")</f>
        <v>0</v>
      </c>
      <c r="R36" s="66">
        <f>IFERROR(VLOOKUP(A36,BUFFS!$H$5:$AF$195,19,),"")</f>
        <v>0</v>
      </c>
      <c r="S36" s="69">
        <f>IFERROR(SUM(Q36,ROUNDDOWN(MIN(B36,T$35)*R36,0)),"")</f>
        <v>0</v>
      </c>
      <c r="T36" s="70">
        <f>IFERROR(VLOOKUP(A36,BUFFS!$H$5:$AF$195,20,),"")</f>
        <v>100</v>
      </c>
    </row>
    <row r="37" spans="1:27" x14ac:dyDescent="0.35">
      <c r="A37" s="17" t="s">
        <v>91</v>
      </c>
      <c r="B37" s="80">
        <v>1</v>
      </c>
      <c r="C37" s="180">
        <v>9987</v>
      </c>
      <c r="D37" s="31">
        <f>IFERROR(VLOOKUP(A37,BUFFS!$H$5:$AF$195,8,),"")</f>
        <v>0</v>
      </c>
      <c r="E37" s="24">
        <f>IFERROR(SUM(H37,ROUNDDOWN(MIN(B37,T$35)*I37,0)),"")</f>
        <v>1</v>
      </c>
      <c r="F37" s="65" t="str">
        <f>IFERROR(VLOOKUP(A37,BUFFS!$H$5:$AF$195,5,),"")</f>
        <v>AC</v>
      </c>
      <c r="G37" s="66" t="str">
        <f>IFERROR(VLOOKUP(A37,BUFFS!$H$5:$AF$195,6,),"")</f>
        <v xml:space="preserve">Shield Bonus </v>
      </c>
      <c r="H37" s="67">
        <f>IFERROR(VLOOKUP(A37,BUFFS!$H$5:$AF$195,7,),"")</f>
        <v>0</v>
      </c>
      <c r="I37" s="66">
        <f>IFERROR(VLOOKUP(A37,BUFFS!$H$5:$AF$195,9,),"")</f>
        <v>1</v>
      </c>
      <c r="J37" s="65">
        <f>IFERROR(VLOOKUP(A37,BUFFS!$H$5:$AF$195,10,),"")</f>
        <v>0</v>
      </c>
      <c r="K37" s="66">
        <f>IFERROR(VLOOKUP(A37,BUFFS!$H$5:$AF$195,11,),"")</f>
        <v>0</v>
      </c>
      <c r="L37" s="66">
        <f>IFERROR(VLOOKUP(A37,BUFFS!$H$5:$AF$195,12,),"")</f>
        <v>0</v>
      </c>
      <c r="M37" s="66">
        <f>IFERROR(VLOOKUP(A37,BUFFS!$H$5:$AF$195,14,),"")</f>
        <v>0</v>
      </c>
      <c r="N37" s="68">
        <f>IFERROR(SUM(L37,ROUNDDOWN(MIN(B37,T$35)*M37,0)),"")</f>
        <v>0</v>
      </c>
      <c r="O37" s="65">
        <f>IFERROR(VLOOKUP(A37,BUFFS!$H$5:$AF$195,15,),"")</f>
        <v>0</v>
      </c>
      <c r="P37" s="66">
        <f>IFERROR(VLOOKUP(A37,BUFFS!$H$5:$AF$195,16,),"")</f>
        <v>0</v>
      </c>
      <c r="Q37" s="66">
        <f>IFERROR(VLOOKUP(A37,BUFFS!$H$5:$AF$195,17,),"")</f>
        <v>0</v>
      </c>
      <c r="R37" s="66">
        <f>IFERROR(VLOOKUP(A37,BUFFS!$H$5:$AF$195,19,),"")</f>
        <v>0</v>
      </c>
      <c r="S37" s="69">
        <f>IFERROR(SUM(Q37,ROUNDDOWN(MIN(B37,T$35)*R37,0)),"")</f>
        <v>0</v>
      </c>
      <c r="T37" s="70">
        <f>IFERROR(VLOOKUP(A37,BUFFS!$H$5:$AF$195,20,),"")</f>
        <v>100</v>
      </c>
    </row>
    <row r="38" spans="1:27" x14ac:dyDescent="0.35">
      <c r="A38" s="17" t="s">
        <v>158</v>
      </c>
      <c r="B38" s="80">
        <v>0</v>
      </c>
      <c r="C38" s="180">
        <v>9987</v>
      </c>
      <c r="D38" s="31">
        <f>IFERROR(VLOOKUP(A38,BUFFS!$H$5:$AF$195,8,),"")</f>
        <v>0</v>
      </c>
      <c r="E38" s="24">
        <f>IFERROR(SUM(H38,ROUNDDOWN(MIN(B38,T$35)*I38,0)),"")</f>
        <v>0</v>
      </c>
      <c r="F38" s="65" t="str">
        <f>IFERROR(VLOOKUP(A38,BUFFS!$H$5:$AF$195,5,),"")</f>
        <v>AC</v>
      </c>
      <c r="G38" s="66" t="str">
        <f>IFERROR(VLOOKUP(A38,BUFFS!$H$5:$AF$195,6,),"")</f>
        <v xml:space="preserve">Enhancement Armor Bonus </v>
      </c>
      <c r="H38" s="67">
        <f>IFERROR(VLOOKUP(A38,BUFFS!$H$5:$AF$195,7,),"")</f>
        <v>0</v>
      </c>
      <c r="I38" s="66">
        <f>IFERROR(VLOOKUP(A38,BUFFS!$H$5:$AF$195,9,),"")</f>
        <v>1</v>
      </c>
      <c r="J38" s="65">
        <f>IFERROR(VLOOKUP(A38,BUFFS!$H$5:$AF$195,10,),"")</f>
        <v>0</v>
      </c>
      <c r="K38" s="66">
        <f>IFERROR(VLOOKUP(A38,BUFFS!$H$5:$AF$195,11,),"")</f>
        <v>0</v>
      </c>
      <c r="L38" s="66">
        <f>IFERROR(VLOOKUP(A38,BUFFS!$H$5:$AF$195,12,),"")</f>
        <v>0</v>
      </c>
      <c r="M38" s="66">
        <f>IFERROR(VLOOKUP(A38,BUFFS!$H$5:$AF$195,14,),"")</f>
        <v>0</v>
      </c>
      <c r="N38" s="68">
        <f>IFERROR(SUM(L38,ROUNDDOWN(MIN(B38,T$35)*M38,0)),"")</f>
        <v>0</v>
      </c>
      <c r="O38" s="65">
        <f>IFERROR(VLOOKUP(A38,BUFFS!$H$5:$AF$195,15,),"")</f>
        <v>0</v>
      </c>
      <c r="P38" s="66">
        <f>IFERROR(VLOOKUP(A38,BUFFS!$H$5:$AF$195,16,),"")</f>
        <v>0</v>
      </c>
      <c r="Q38" s="66">
        <f>IFERROR(VLOOKUP(A38,BUFFS!$H$5:$AF$195,17,),"")</f>
        <v>0</v>
      </c>
      <c r="R38" s="66">
        <f>IFERROR(VLOOKUP(A38,BUFFS!$H$5:$AF$195,19,),"")</f>
        <v>0</v>
      </c>
      <c r="S38" s="69">
        <f>IFERROR(SUM(Q38,ROUNDDOWN(MIN(B38,T$35)*R38,0)),"")</f>
        <v>0</v>
      </c>
      <c r="T38" s="70">
        <f>IFERROR(VLOOKUP(A38,BUFFS!$H$5:$AF$195,20,),"")</f>
        <v>100</v>
      </c>
    </row>
    <row r="39" spans="1:27" x14ac:dyDescent="0.35">
      <c r="A39" s="17" t="s">
        <v>159</v>
      </c>
      <c r="B39" s="80">
        <v>1</v>
      </c>
      <c r="C39" s="180">
        <v>9987</v>
      </c>
      <c r="D39" s="31">
        <f>IFERROR(VLOOKUP(A39,BUFFS!$H$5:$AF$195,8,),"")</f>
        <v>0</v>
      </c>
      <c r="E39" s="24">
        <f>IFERROR(SUM(H39,ROUNDDOWN(MIN(B39,T$35)*I39,0)),"")</f>
        <v>1</v>
      </c>
      <c r="F39" s="65" t="str">
        <f>IFERROR(VLOOKUP(A39,BUFFS!$H$5:$AF$195,5,),"")</f>
        <v>AC</v>
      </c>
      <c r="G39" s="66" t="str">
        <f>IFERROR(VLOOKUP(A39,BUFFS!$H$5:$AF$195,6,),"")</f>
        <v>Enhancement Shield Bonus</v>
      </c>
      <c r="H39" s="67">
        <f>IFERROR(VLOOKUP(A39,BUFFS!$H$5:$AF$195,7,),"")</f>
        <v>0</v>
      </c>
      <c r="I39" s="66">
        <f>IFERROR(VLOOKUP(A39,BUFFS!$H$5:$AF$195,9,),"")</f>
        <v>1</v>
      </c>
      <c r="J39" s="65">
        <f>IFERROR(VLOOKUP(A39,BUFFS!$H$5:$AF$195,10,),"")</f>
        <v>0</v>
      </c>
      <c r="K39" s="66">
        <f>IFERROR(VLOOKUP(A39,BUFFS!$H$5:$AF$195,11,),"")</f>
        <v>0</v>
      </c>
      <c r="L39" s="66">
        <f>IFERROR(VLOOKUP(A39,BUFFS!$H$5:$AF$195,12,),"")</f>
        <v>0</v>
      </c>
      <c r="M39" s="66">
        <f>IFERROR(VLOOKUP(A39,BUFFS!$H$5:$AF$195,14,),"")</f>
        <v>0</v>
      </c>
      <c r="N39" s="68">
        <f>IFERROR(SUM(L39,ROUNDDOWN(MIN(B39,T$35)*M39,0)),"")</f>
        <v>0</v>
      </c>
      <c r="O39" s="65">
        <f>IFERROR(VLOOKUP(A39,BUFFS!$H$5:$AF$195,15,),"")</f>
        <v>0</v>
      </c>
      <c r="P39" s="66">
        <f>IFERROR(VLOOKUP(A39,BUFFS!$H$5:$AF$195,16,),"")</f>
        <v>0</v>
      </c>
      <c r="Q39" s="66">
        <f>IFERROR(VLOOKUP(A39,BUFFS!$H$5:$AF$195,17,),"")</f>
        <v>0</v>
      </c>
      <c r="R39" s="66">
        <f>IFERROR(VLOOKUP(A39,BUFFS!$H$5:$AF$195,19,),"")</f>
        <v>0</v>
      </c>
      <c r="S39" s="69">
        <f>IFERROR(SUM(Q39,ROUNDDOWN(MIN(B39,T$35)*R39,0)),"")</f>
        <v>0</v>
      </c>
      <c r="T39" s="70">
        <f>IFERROR(VLOOKUP(A39,BUFFS!$H$5:$AF$195,20,),"")</f>
        <v>100</v>
      </c>
    </row>
    <row r="40" spans="1:27" x14ac:dyDescent="0.35">
      <c r="A40" s="17" t="s">
        <v>173</v>
      </c>
      <c r="B40" s="80">
        <v>6</v>
      </c>
      <c r="C40" s="180">
        <v>9987</v>
      </c>
      <c r="D40" s="31">
        <f>IFERROR(VLOOKUP(A40,BUFFS!$H$5:$AF$195,8,),"")</f>
        <v>0</v>
      </c>
      <c r="E40" s="24">
        <f>IFERROR(SUM(H40,ROUNDDOWN(MIN(B40,T$35)*I40,0)),"")</f>
        <v>6</v>
      </c>
      <c r="F40" s="65" t="str">
        <f>IFERROR(VLOOKUP(A40,BUFFS!$H$5:$AF$195,5,),"")</f>
        <v>Intelligence</v>
      </c>
      <c r="G40" s="66" t="str">
        <f>IFERROR(VLOOKUP(A40,BUFFS!$H$5:$AF$195,6,),"")</f>
        <v>Enhancement</v>
      </c>
      <c r="H40" s="67">
        <f>IFERROR(VLOOKUP(A40,BUFFS!$H$5:$AF$195,7,),"")</f>
        <v>0</v>
      </c>
      <c r="I40" s="66">
        <f>IFERROR(VLOOKUP(A40,BUFFS!$H$5:$AF$195,9,),"")</f>
        <v>1</v>
      </c>
      <c r="J40" s="65">
        <f>IFERROR(VLOOKUP(A40,BUFFS!$H$5:$AF$195,10,),"")</f>
        <v>0</v>
      </c>
      <c r="K40" s="66">
        <f>IFERROR(VLOOKUP(A40,BUFFS!$H$5:$AF$195,11,),"")</f>
        <v>0</v>
      </c>
      <c r="L40" s="66">
        <f>IFERROR(VLOOKUP(A40,BUFFS!$H$5:$AF$195,12,),"")</f>
        <v>0</v>
      </c>
      <c r="M40" s="66">
        <f>IFERROR(VLOOKUP(A40,BUFFS!$H$5:$AF$195,14,),"")</f>
        <v>0</v>
      </c>
      <c r="N40" s="68">
        <f>IFERROR(SUM(L40,ROUNDDOWN(MIN(B40,T$35)*M40,0)),"")</f>
        <v>0</v>
      </c>
      <c r="O40" s="65">
        <f>IFERROR(VLOOKUP(A40,BUFFS!$H$5:$AF$195,15,),"")</f>
        <v>0</v>
      </c>
      <c r="P40" s="66">
        <f>IFERROR(VLOOKUP(A40,BUFFS!$H$5:$AF$195,16,),"")</f>
        <v>0</v>
      </c>
      <c r="Q40" s="66">
        <f>IFERROR(VLOOKUP(A40,BUFFS!$H$5:$AF$195,17,),"")</f>
        <v>0</v>
      </c>
      <c r="R40" s="66">
        <f>IFERROR(VLOOKUP(A40,BUFFS!$H$5:$AF$195,19,),"")</f>
        <v>0</v>
      </c>
      <c r="S40" s="69">
        <f>IFERROR(SUM(Q40,ROUNDDOWN(MIN(B40,T$35)*R40,0)),"")</f>
        <v>0</v>
      </c>
      <c r="T40" s="70">
        <f>IFERROR(VLOOKUP(A40,BUFFS!$H$5:$AF$195,20,),"")</f>
        <v>100</v>
      </c>
    </row>
    <row r="41" spans="1:27" x14ac:dyDescent="0.35">
      <c r="A41" s="17" t="s">
        <v>175</v>
      </c>
      <c r="B41" s="80">
        <v>2</v>
      </c>
      <c r="C41" s="180">
        <v>9987</v>
      </c>
      <c r="D41" s="31">
        <f>IFERROR(VLOOKUP(A41,BUFFS!$H$5:$AF$195,8,),"")</f>
        <v>0</v>
      </c>
      <c r="E41" s="24">
        <f>IFERROR(SUM(H41,ROUNDDOWN(MIN(B41,T$35)*I41,0)),"")</f>
        <v>2</v>
      </c>
      <c r="F41" s="65" t="str">
        <f>IFERROR(VLOOKUP(A41,BUFFS!$H$5:$AF$195,5,),"")</f>
        <v>Constitution</v>
      </c>
      <c r="G41" s="66" t="str">
        <f>IFERROR(VLOOKUP(A41,BUFFS!$H$5:$AF$195,6,),"")</f>
        <v xml:space="preserve">Insight Bonus </v>
      </c>
      <c r="H41" s="67">
        <f>IFERROR(VLOOKUP(A41,BUFFS!$H$5:$AF$195,7,),"")</f>
        <v>0</v>
      </c>
      <c r="I41" s="66">
        <f>IFERROR(VLOOKUP(A41,BUFFS!$H$5:$AF$195,9,),"")</f>
        <v>1</v>
      </c>
      <c r="J41" s="65">
        <f>IFERROR(VLOOKUP(A41,BUFFS!$H$5:$AF$195,10,),"")</f>
        <v>0</v>
      </c>
      <c r="K41" s="66">
        <f>IFERROR(VLOOKUP(A41,BUFFS!$H$5:$AF$195,11,),"")</f>
        <v>0</v>
      </c>
      <c r="L41" s="66">
        <f>IFERROR(VLOOKUP(A41,BUFFS!$H$5:$AF$195,12,),"")</f>
        <v>0</v>
      </c>
      <c r="M41" s="66">
        <f>IFERROR(VLOOKUP(A41,BUFFS!$H$5:$AF$195,14,),"")</f>
        <v>0</v>
      </c>
      <c r="N41" s="68">
        <f>IFERROR(SUM(L41,ROUNDDOWN(MIN(B41,T$35)*M41,0)),"")</f>
        <v>0</v>
      </c>
      <c r="O41" s="65">
        <f>IFERROR(VLOOKUP(A41,BUFFS!$H$5:$AF$195,15,),"")</f>
        <v>0</v>
      </c>
      <c r="P41" s="66">
        <f>IFERROR(VLOOKUP(A41,BUFFS!$H$5:$AF$195,16,),"")</f>
        <v>0</v>
      </c>
      <c r="Q41" s="66">
        <f>IFERROR(VLOOKUP(A41,BUFFS!$H$5:$AF$195,17,),"")</f>
        <v>0</v>
      </c>
      <c r="R41" s="66">
        <f>IFERROR(VLOOKUP(A41,BUFFS!$H$5:$AF$195,19,),"")</f>
        <v>0</v>
      </c>
      <c r="S41" s="69">
        <f>IFERROR(SUM(Q41,ROUNDDOWN(MIN(B41,T$35)*R41,0)),"")</f>
        <v>0</v>
      </c>
      <c r="T41" s="70">
        <f>IFERROR(VLOOKUP(A41,BUFFS!$H$5:$AF$195,20,),"")</f>
        <v>100</v>
      </c>
    </row>
    <row r="42" spans="1:27" x14ac:dyDescent="0.35">
      <c r="A42" s="17" t="s">
        <v>174</v>
      </c>
      <c r="B42" s="80">
        <v>2</v>
      </c>
      <c r="C42" s="180">
        <v>99987</v>
      </c>
      <c r="D42" s="31">
        <f>IFERROR(VLOOKUP(A42,BUFFS!$H$5:$AF$195,8,),"")</f>
        <v>0</v>
      </c>
      <c r="E42" s="24">
        <f>IFERROR(SUM(H42,ROUNDDOWN(MIN(B42,T$35)*I42,0)),"")</f>
        <v>2</v>
      </c>
      <c r="F42" s="65" t="str">
        <f>IFERROR(VLOOKUP(A42,BUFFS!$H$5:$AF$195,5,),"")</f>
        <v>Intelligence</v>
      </c>
      <c r="G42" s="66" t="str">
        <f>IFERROR(VLOOKUP(A42,BUFFS!$H$5:$AF$195,6,),"")</f>
        <v xml:space="preserve">Insight Bonus </v>
      </c>
      <c r="H42" s="67">
        <f>IFERROR(VLOOKUP(A42,BUFFS!$H$5:$AF$195,7,),"")</f>
        <v>0</v>
      </c>
      <c r="I42" s="66">
        <f>IFERROR(VLOOKUP(A42,BUFFS!$H$5:$AF$195,9,),"")</f>
        <v>1</v>
      </c>
      <c r="J42" s="65">
        <f>IFERROR(VLOOKUP(A42,BUFFS!$H$5:$AF$195,10,),"")</f>
        <v>0</v>
      </c>
      <c r="K42" s="66">
        <f>IFERROR(VLOOKUP(A42,BUFFS!$H$5:$AF$195,11,),"")</f>
        <v>0</v>
      </c>
      <c r="L42" s="66">
        <f>IFERROR(VLOOKUP(A42,BUFFS!$H$5:$AF$195,12,),"")</f>
        <v>0</v>
      </c>
      <c r="M42" s="66">
        <f>IFERROR(VLOOKUP(A42,BUFFS!$H$5:$AF$195,14,),"")</f>
        <v>0</v>
      </c>
      <c r="N42" s="68">
        <f>IFERROR(SUM(L42,ROUNDDOWN(MIN(B42,T$35)*M42,0)),"")</f>
        <v>0</v>
      </c>
      <c r="O42" s="65">
        <f>IFERROR(VLOOKUP(A42,BUFFS!$H$5:$AF$195,15,),"")</f>
        <v>0</v>
      </c>
      <c r="P42" s="66">
        <f>IFERROR(VLOOKUP(A42,BUFFS!$H$5:$AF$195,16,),"")</f>
        <v>0</v>
      </c>
      <c r="Q42" s="66">
        <f>IFERROR(VLOOKUP(A42,BUFFS!$H$5:$AF$195,17,),"")</f>
        <v>0</v>
      </c>
      <c r="R42" s="66">
        <f>IFERROR(VLOOKUP(A42,BUFFS!$H$5:$AF$195,19,),"")</f>
        <v>0</v>
      </c>
      <c r="S42" s="69">
        <f>IFERROR(SUM(Q42,ROUNDDOWN(MIN(B42,T$35)*R42,0)),"")</f>
        <v>0</v>
      </c>
      <c r="T42" s="70">
        <f>IFERROR(VLOOKUP(A42,BUFFS!$H$5:$AF$195,20,),"")</f>
        <v>100</v>
      </c>
    </row>
    <row r="43" spans="1:27" x14ac:dyDescent="0.35">
      <c r="A43" s="17" t="s">
        <v>176</v>
      </c>
      <c r="B43" s="80">
        <v>2</v>
      </c>
      <c r="C43" s="180">
        <v>9987</v>
      </c>
      <c r="D43" s="31">
        <f>IFERROR(VLOOKUP(A43,BUFFS!$H$5:$AF$195,8,),"")</f>
        <v>0</v>
      </c>
      <c r="E43" s="24">
        <f>IFERROR(SUM(H43,ROUNDDOWN(MIN(B43,T$35)*I43,0)),"")</f>
        <v>2</v>
      </c>
      <c r="F43" s="65" t="str">
        <f>IFERROR(VLOOKUP(A43,BUFFS!$H$5:$AF$195,5,),"")</f>
        <v>Constitution</v>
      </c>
      <c r="G43" s="66" t="str">
        <f>IFERROR(VLOOKUP(A43,BUFFS!$H$5:$AF$195,6,),"")</f>
        <v>Enhancement</v>
      </c>
      <c r="H43" s="67">
        <f>IFERROR(VLOOKUP(A43,BUFFS!$H$5:$AF$195,7,),"")</f>
        <v>0</v>
      </c>
      <c r="I43" s="66">
        <f>IFERROR(VLOOKUP(A43,BUFFS!$H$5:$AF$195,9,),"")</f>
        <v>1</v>
      </c>
      <c r="J43" s="65">
        <f>IFERROR(VLOOKUP(A43,BUFFS!$H$5:$AF$195,10,),"")</f>
        <v>0</v>
      </c>
      <c r="K43" s="66">
        <f>IFERROR(VLOOKUP(A43,BUFFS!$H$5:$AF$195,11,),"")</f>
        <v>0</v>
      </c>
      <c r="L43" s="66">
        <f>IFERROR(VLOOKUP(A43,BUFFS!$H$5:$AF$195,12,),"")</f>
        <v>0</v>
      </c>
      <c r="M43" s="66">
        <f>IFERROR(VLOOKUP(A43,BUFFS!$H$5:$AF$195,14,),"")</f>
        <v>0</v>
      </c>
      <c r="N43" s="68">
        <f>IFERROR(SUM(L43,ROUNDDOWN(MIN(B43,T$35)*M43,0)),"")</f>
        <v>0</v>
      </c>
      <c r="O43" s="65">
        <f>IFERROR(VLOOKUP(A43,BUFFS!$H$5:$AF$195,15,),"")</f>
        <v>0</v>
      </c>
      <c r="P43" s="66">
        <f>IFERROR(VLOOKUP(A43,BUFFS!$H$5:$AF$195,16,),"")</f>
        <v>0</v>
      </c>
      <c r="Q43" s="66">
        <f>IFERROR(VLOOKUP(A43,BUFFS!$H$5:$AF$195,17,),"")</f>
        <v>0</v>
      </c>
      <c r="R43" s="66">
        <f>IFERROR(VLOOKUP(A43,BUFFS!$H$5:$AF$195,19,),"")</f>
        <v>0</v>
      </c>
      <c r="S43" s="69">
        <f>IFERROR(SUM(Q43,ROUNDDOWN(MIN(B43,T$35)*R43,0)),"")</f>
        <v>0</v>
      </c>
      <c r="T43" s="70">
        <f>IFERROR(VLOOKUP(A43,BUFFS!$H$5:$AF$195,20,),"")</f>
        <v>100</v>
      </c>
    </row>
    <row r="44" spans="1:27" x14ac:dyDescent="0.35">
      <c r="A44" s="17" t="s">
        <v>321</v>
      </c>
      <c r="B44" s="80">
        <v>16</v>
      </c>
      <c r="C44" s="81">
        <v>15</v>
      </c>
      <c r="D44" s="31">
        <f>IFERROR(VLOOKUP(A44,BUFFS!$H$5:$AF$195,8,),"")</f>
        <v>0</v>
      </c>
      <c r="E44" s="24">
        <f>IFERROR(SUM(H44,ROUNDDOWN(MIN(B44,T$35)*I44,0)),"")</f>
        <v>3</v>
      </c>
      <c r="F44" s="65"/>
      <c r="G44" s="66" t="str">
        <f>IFERROR(VLOOKUP(A44,BUFFS!$H$5:$AF$195,6,),"")</f>
        <v xml:space="preserve">Morale Modifier </v>
      </c>
      <c r="H44" s="67">
        <f>IFERROR(VLOOKUP(A44,BUFFS!$H$5:$AF$195,7,),"")</f>
        <v>3</v>
      </c>
      <c r="I44" s="66">
        <f>IFERROR(VLOOKUP(A44,BUFFS!$H$5:$AF$195,9,),"")</f>
        <v>0</v>
      </c>
      <c r="J44" s="65" t="str">
        <f>IFERROR(VLOOKUP(A44,BUFFS!$H$5:$AF$195,10,),"")</f>
        <v>damage</v>
      </c>
      <c r="K44" s="66" t="str">
        <f>IFERROR(VLOOKUP(A44,BUFFS!$H$5:$AF$195,11,),"")</f>
        <v xml:space="preserve">Morale Modifier </v>
      </c>
      <c r="L44" s="66">
        <f>IFERROR(VLOOKUP(A44,BUFFS!$H$5:$AF$195,12,),"")</f>
        <v>3</v>
      </c>
      <c r="M44" s="66">
        <f>IFERROR(VLOOKUP(A44,BUFFS!$H$5:$AF$195,14,),"")</f>
        <v>0</v>
      </c>
      <c r="N44" s="68">
        <f>IFERROR(SUM(L44,ROUNDDOWN(MIN(B44,T$35)*M44,0)),"")</f>
        <v>3</v>
      </c>
      <c r="O44" s="65">
        <f>IFERROR(VLOOKUP(A44,BUFFS!$H$5:$AF$195,15,),"")</f>
        <v>0</v>
      </c>
      <c r="P44" s="66">
        <f>IFERROR(VLOOKUP(A44,BUFFS!$H$5:$AF$195,16,),"")</f>
        <v>0</v>
      </c>
      <c r="Q44" s="66">
        <f>IFERROR(VLOOKUP(A44,BUFFS!$H$5:$AF$195,17,),"")</f>
        <v>0</v>
      </c>
      <c r="R44" s="66">
        <f>IFERROR(VLOOKUP(A44,BUFFS!$H$5:$AF$195,19,),"")</f>
        <v>0</v>
      </c>
      <c r="S44" s="69">
        <f>IFERROR(SUM(Q44,ROUNDDOWN(MIN(B44,T$35)*R44,0)),"")</f>
        <v>0</v>
      </c>
      <c r="T44" s="70">
        <f>IFERROR(VLOOKUP(A44,BUFFS!$H$5:$AF$195,20,),"")</f>
        <v>100</v>
      </c>
    </row>
    <row r="45" spans="1:27" x14ac:dyDescent="0.35">
      <c r="A45" s="17" t="s">
        <v>192</v>
      </c>
      <c r="B45" s="80">
        <v>17</v>
      </c>
      <c r="C45" s="177" t="s">
        <v>303</v>
      </c>
      <c r="D45" s="31">
        <f>IFERROR(VLOOKUP(A45,BUFFS!$H$5:$AF$195,8,),"")</f>
        <v>1</v>
      </c>
      <c r="E45" s="24">
        <f>IFERROR(SUM(H45,ROUNDDOWN(MIN(B45,T$35)*I45,0)),"")</f>
        <v>4</v>
      </c>
      <c r="F45" s="65" t="str">
        <f>IFERROR(VLOOKUP(A45,BUFFS!$H$5:$AF$195,5,),"")</f>
        <v>AC</v>
      </c>
      <c r="G45" s="66" t="str">
        <f>IFERROR(VLOOKUP(A45,BUFFS!$H$5:$AF$195,6,),"")</f>
        <v xml:space="preserve">Armor Bonus </v>
      </c>
      <c r="H45" s="67">
        <f>IFERROR(VLOOKUP(A45,BUFFS!$H$5:$AF$195,7,),"")</f>
        <v>4</v>
      </c>
      <c r="I45" s="66">
        <f>IFERROR(VLOOKUP(A45,BUFFS!$H$5:$AF$195,9,),"")</f>
        <v>0</v>
      </c>
      <c r="J45" s="65">
        <f>IFERROR(VLOOKUP(A45,BUFFS!$H$5:$AF$195,10,),"")</f>
        <v>0</v>
      </c>
      <c r="K45" s="66">
        <f>IFERROR(VLOOKUP(A45,BUFFS!$H$5:$AF$195,11,),"")</f>
        <v>0</v>
      </c>
      <c r="L45" s="66">
        <f>IFERROR(VLOOKUP(A45,BUFFS!$H$5:$AF$195,12,),"")</f>
        <v>0</v>
      </c>
      <c r="M45" s="66">
        <f>IFERROR(VLOOKUP(A45,BUFFS!$H$5:$AF$195,14,),"")</f>
        <v>0</v>
      </c>
      <c r="N45" s="68">
        <f>IFERROR(SUM(L45,ROUNDDOWN(MIN(B45,T$35)*M45,0)),"")</f>
        <v>0</v>
      </c>
      <c r="O45" s="65">
        <f>IFERROR(VLOOKUP(A45,BUFFS!$H$5:$AF$195,15,),"")</f>
        <v>0</v>
      </c>
      <c r="P45" s="66">
        <f>IFERROR(VLOOKUP(A45,BUFFS!$H$5:$AF$195,16,),"")</f>
        <v>0</v>
      </c>
      <c r="Q45" s="66">
        <f>IFERROR(VLOOKUP(A45,BUFFS!$H$5:$AF$195,17,),"")</f>
        <v>0</v>
      </c>
      <c r="R45" s="66">
        <f>IFERROR(VLOOKUP(A45,BUFFS!$H$5:$AF$195,19,),"")</f>
        <v>0</v>
      </c>
      <c r="S45" s="69">
        <f>IFERROR(SUM(Q45,ROUNDDOWN(MIN(B45,T$35)*R45,0)),"")</f>
        <v>0</v>
      </c>
      <c r="T45" s="70">
        <f>IFERROR(VLOOKUP(A45,BUFFS!$H$5:$AF$195,20,),"")</f>
        <v>100</v>
      </c>
    </row>
    <row r="46" spans="1:27" x14ac:dyDescent="0.35">
      <c r="A46" s="17" t="s">
        <v>226</v>
      </c>
      <c r="B46" s="80">
        <v>17</v>
      </c>
      <c r="C46" s="178">
        <v>99988</v>
      </c>
      <c r="D46" s="31">
        <f>IFERROR(VLOOKUP(A46,BUFFS!$H$5:$AF$195,8,),"")</f>
        <v>2</v>
      </c>
      <c r="E46" s="24">
        <f>IFERROR(SUM(H46,ROUNDDOWN(MIN(B46,T$35)*I46,0)),"")</f>
        <v>4</v>
      </c>
      <c r="F46" s="65" t="str">
        <f>IFERROR(VLOOKUP(A46,BUFFS!$H$5:$AF$195,5,),"")</f>
        <v>FORT</v>
      </c>
      <c r="G46" s="66" t="str">
        <f>IFERROR(VLOOKUP(A46,BUFFS!$H$5:$AF$195,6,),"")</f>
        <v>Sacred Modifier</v>
      </c>
      <c r="H46" s="67">
        <f>IFERROR(VLOOKUP(A46,BUFFS!$H$5:$AF$195,7,),"")</f>
        <v>4</v>
      </c>
      <c r="I46" s="66">
        <f>IFERROR(VLOOKUP(A46,BUFFS!$H$5:$AF$195,9,),"")</f>
        <v>0</v>
      </c>
      <c r="J46" s="65" t="str">
        <f>IFERROR(VLOOKUP(A46,BUFFS!$H$5:$AF$195,10,),"")</f>
        <v>REF</v>
      </c>
      <c r="K46" s="66" t="str">
        <f>IFERROR(VLOOKUP(A46,BUFFS!$H$5:$AF$195,11,),"")</f>
        <v>Sacred Modifier</v>
      </c>
      <c r="L46" s="66">
        <f>IFERROR(VLOOKUP(A46,BUFFS!$H$5:$AF$195,12,),"")</f>
        <v>4</v>
      </c>
      <c r="M46" s="66">
        <f>IFERROR(VLOOKUP(A46,BUFFS!$H$5:$AF$195,14,),"")</f>
        <v>0</v>
      </c>
      <c r="N46" s="68">
        <f>IFERROR(SUM(L46,ROUNDDOWN(MIN(B46,T$35)*M46,0)),"")</f>
        <v>4</v>
      </c>
      <c r="O46" s="65" t="str">
        <f>IFERROR(VLOOKUP(A46,BUFFS!$H$5:$AF$195,15,),"")</f>
        <v>WILL</v>
      </c>
      <c r="P46" s="66" t="str">
        <f>IFERROR(VLOOKUP(A46,BUFFS!$H$5:$AF$195,16,),"")</f>
        <v>Sacred Modifier</v>
      </c>
      <c r="Q46" s="66">
        <f>IFERROR(VLOOKUP(A46,BUFFS!$H$5:$AF$195,17,),"")</f>
        <v>4</v>
      </c>
      <c r="R46" s="66">
        <f>IFERROR(VLOOKUP(A46,BUFFS!$H$5:$AF$195,19,),"")</f>
        <v>0</v>
      </c>
      <c r="S46" s="69">
        <f>IFERROR(SUM(Q46,ROUNDDOWN(MIN(B46,T$35)*R46,0)),"")</f>
        <v>4</v>
      </c>
      <c r="T46" s="70">
        <f>IFERROR(VLOOKUP(A46,BUFFS!$H$5:$AF$195,20,),"")</f>
        <v>100</v>
      </c>
    </row>
    <row r="47" spans="1:27" x14ac:dyDescent="0.35">
      <c r="A47" s="17" t="s">
        <v>295</v>
      </c>
      <c r="B47" s="80">
        <v>17</v>
      </c>
      <c r="C47" s="180">
        <v>149</v>
      </c>
      <c r="D47" s="31">
        <f>IFERROR(VLOOKUP(A47,BUFFS!$H$5:$AF$195,8,),"")</f>
        <v>2</v>
      </c>
      <c r="E47" s="24">
        <f>IFERROR(SUM(H47,ROUNDDOWN(MIN(B47,T$35)*I47,0)),"")</f>
        <v>2</v>
      </c>
      <c r="F47" s="65" t="str">
        <f>IFERROR(VLOOKUP(A47,BUFFS!$H$5:$AF$195,5,),"")</f>
        <v>FORT</v>
      </c>
      <c r="G47" s="66" t="str">
        <f>IFERROR(VLOOKUP(A47,BUFFS!$H$5:$AF$195,6,),"")</f>
        <v xml:space="preserve">Luck Modifier </v>
      </c>
      <c r="H47" s="67">
        <f>IFERROR(VLOOKUP(A47,BUFFS!$H$5:$AF$195,7,),"")</f>
        <v>2</v>
      </c>
      <c r="I47" s="66">
        <f>IFERROR(VLOOKUP(A47,BUFFS!$H$5:$AF$195,9,),"")</f>
        <v>0</v>
      </c>
      <c r="J47" s="65" t="str">
        <f>IFERROR(VLOOKUP(A47,BUFFS!$H$5:$AF$195,10,),"")</f>
        <v>REF</v>
      </c>
      <c r="K47" s="66" t="str">
        <f>IFERROR(VLOOKUP(A47,BUFFS!$H$5:$AF$195,11,),"")</f>
        <v xml:space="preserve">Luck Modifier </v>
      </c>
      <c r="L47" s="66">
        <f>IFERROR(VLOOKUP(A47,BUFFS!$H$5:$AF$195,12,),"")</f>
        <v>2</v>
      </c>
      <c r="M47" s="66">
        <f>IFERROR(VLOOKUP(A47,BUFFS!$H$5:$AF$195,14,),"")</f>
        <v>0</v>
      </c>
      <c r="N47" s="68">
        <f>IFERROR(SUM(L47,ROUNDDOWN(MIN(B47,T$35)*M47,0)),"")</f>
        <v>2</v>
      </c>
      <c r="O47" s="65" t="str">
        <f>IFERROR(VLOOKUP(A47,BUFFS!$H$5:$AF$195,15,),"")</f>
        <v>WILL</v>
      </c>
      <c r="P47" s="66" t="str">
        <f>IFERROR(VLOOKUP(A47,BUFFS!$H$5:$AF$195,16,),"")</f>
        <v xml:space="preserve">Luck Modifier </v>
      </c>
      <c r="Q47" s="66">
        <f>IFERROR(VLOOKUP(A47,BUFFS!$H$5:$AF$195,17,),"")</f>
        <v>2</v>
      </c>
      <c r="R47" s="66">
        <f>IFERROR(VLOOKUP(A47,BUFFS!$H$5:$AF$195,19,),"")</f>
        <v>0</v>
      </c>
      <c r="S47" s="69">
        <f>IFERROR(SUM(Q47,ROUNDDOWN(MIN(B47,T$35)*R47,0)),"")</f>
        <v>2</v>
      </c>
      <c r="T47" s="70">
        <f>IFERROR(VLOOKUP(A47,BUFFS!$H$5:$AF$195,20,),"")</f>
        <v>100</v>
      </c>
    </row>
    <row r="48" spans="1:27" x14ac:dyDescent="0.35">
      <c r="A48" s="17" t="s">
        <v>200</v>
      </c>
      <c r="B48" s="80">
        <v>17</v>
      </c>
      <c r="C48" s="177" t="s">
        <v>304</v>
      </c>
      <c r="D48" s="31">
        <f>IFERROR(VLOOKUP(A48,BUFFS!$H$5:$AF$195,8,),"")</f>
        <v>2</v>
      </c>
      <c r="E48" s="24">
        <f>IFERROR(SUM(H48,ROUNDDOWN(MIN(B48,T$35)*I48,0)),"")</f>
        <v>0</v>
      </c>
      <c r="F48" s="65">
        <f>IFERROR(VLOOKUP(A48,BUFFS!$H$5:$AF$195,5,),"")</f>
        <v>0</v>
      </c>
      <c r="G48" s="66">
        <f>IFERROR(VLOOKUP(A48,BUFFS!$H$5:$AF$195,6,),"")</f>
        <v>0</v>
      </c>
      <c r="H48" s="67">
        <f>IFERROR(VLOOKUP(A48,BUFFS!$H$5:$AF$195,7,),"")</f>
        <v>0</v>
      </c>
      <c r="I48" s="66">
        <f>IFERROR(VLOOKUP(A48,BUFFS!$H$5:$AF$195,9,),"")</f>
        <v>0</v>
      </c>
      <c r="J48" s="65">
        <f>IFERROR(VLOOKUP(A48,BUFFS!$H$5:$AF$195,10,),"")</f>
        <v>0</v>
      </c>
      <c r="K48" s="66">
        <f>IFERROR(VLOOKUP(A48,BUFFS!$H$5:$AF$195,11,),"")</f>
        <v>0</v>
      </c>
      <c r="L48" s="66">
        <f>IFERROR(VLOOKUP(A48,BUFFS!$H$5:$AF$195,12,),"")</f>
        <v>0</v>
      </c>
      <c r="M48" s="66">
        <f>IFERROR(VLOOKUP(A48,BUFFS!$H$5:$AF$195,14,),"")</f>
        <v>0</v>
      </c>
      <c r="N48" s="68">
        <f>IFERROR(SUM(L48,ROUNDDOWN(MIN(B48,T$35)*M48,0)),"")</f>
        <v>0</v>
      </c>
      <c r="O48" s="65">
        <f>IFERROR(VLOOKUP(A48,BUFFS!$H$5:$AF$195,15,),"")</f>
        <v>0</v>
      </c>
      <c r="P48" s="66">
        <f>IFERROR(VLOOKUP(A48,BUFFS!$H$5:$AF$195,16,),"")</f>
        <v>0</v>
      </c>
      <c r="Q48" s="66">
        <f>IFERROR(VLOOKUP(A48,BUFFS!$H$5:$AF$195,17,),"")</f>
        <v>0</v>
      </c>
      <c r="R48" s="66">
        <f>IFERROR(VLOOKUP(A48,BUFFS!$H$5:$AF$195,19,),"")</f>
        <v>0</v>
      </c>
      <c r="S48" s="69">
        <f>IFERROR(SUM(Q48,ROUNDDOWN(MIN(B48,T$35)*R48,0)),"")</f>
        <v>0</v>
      </c>
      <c r="T48" s="70">
        <f>IFERROR(VLOOKUP(A48,BUFFS!$H$5:$AF$195,20,),"")</f>
        <v>100</v>
      </c>
    </row>
    <row r="49" spans="1:20" x14ac:dyDescent="0.35">
      <c r="A49" s="17" t="s">
        <v>194</v>
      </c>
      <c r="B49" s="80">
        <v>17</v>
      </c>
      <c r="C49" s="180">
        <v>9000</v>
      </c>
      <c r="D49" s="31">
        <f>IFERROR(VLOOKUP(A49,BUFFS!$H$5:$AF$195,8,),"")</f>
        <v>2</v>
      </c>
      <c r="E49" s="24">
        <f>IFERROR(SUM(H49,ROUNDDOWN(MIN(B49,T$35)*I49,0)),"")</f>
        <v>6</v>
      </c>
      <c r="F49" s="65" t="str">
        <f>IFERROR(VLOOKUP(A49,BUFFS!$H$5:$AF$195,5,),"")</f>
        <v>AC</v>
      </c>
      <c r="G49" s="66" t="str">
        <f>IFERROR(VLOOKUP(A49,BUFFS!$H$5:$AF$195,6,),"")</f>
        <v xml:space="preserve">Natural Armor Bonus </v>
      </c>
      <c r="H49" s="67">
        <f>IFERROR(VLOOKUP(A49,BUFFS!$H$5:$AF$195,7,),"")</f>
        <v>6</v>
      </c>
      <c r="I49" s="66">
        <f>IFERROR(VLOOKUP(A49,BUFFS!$H$5:$AF$195,9,),"")</f>
        <v>0</v>
      </c>
      <c r="J49" s="65">
        <f>IFERROR(VLOOKUP(A49,BUFFS!$H$5:$AF$195,10,),"")</f>
        <v>0</v>
      </c>
      <c r="K49" s="66">
        <f>IFERROR(VLOOKUP(A49,BUFFS!$H$5:$AF$195,11,),"")</f>
        <v>0</v>
      </c>
      <c r="L49" s="66">
        <f>IFERROR(VLOOKUP(A49,BUFFS!$H$5:$AF$195,12,),"")</f>
        <v>0</v>
      </c>
      <c r="M49" s="66">
        <f>IFERROR(VLOOKUP(A49,BUFFS!$H$5:$AF$195,14,),"")</f>
        <v>0</v>
      </c>
      <c r="N49" s="68">
        <f>IFERROR(SUM(L49,ROUNDDOWN(MIN(B49,T$35)*M49,0)),"")</f>
        <v>0</v>
      </c>
      <c r="O49" s="65">
        <f>IFERROR(VLOOKUP(A49,BUFFS!$H$5:$AF$195,15,),"")</f>
        <v>0</v>
      </c>
      <c r="P49" s="66">
        <f>IFERROR(VLOOKUP(A49,BUFFS!$H$5:$AF$195,16,),"")</f>
        <v>0</v>
      </c>
      <c r="Q49" s="66">
        <f>IFERROR(VLOOKUP(A49,BUFFS!$H$5:$AF$195,17,),"")</f>
        <v>0</v>
      </c>
      <c r="R49" s="66">
        <f>IFERROR(VLOOKUP(A49,BUFFS!$H$5:$AF$195,19,),"")</f>
        <v>0</v>
      </c>
      <c r="S49" s="69">
        <f>IFERROR(SUM(Q49,ROUNDDOWN(MIN(B49,T$35)*R49,0)),"")</f>
        <v>0</v>
      </c>
      <c r="T49" s="70">
        <f>IFERROR(VLOOKUP(A49,BUFFS!$H$5:$AF$195,20,),"")</f>
        <v>100</v>
      </c>
    </row>
    <row r="50" spans="1:20" x14ac:dyDescent="0.35">
      <c r="A50" s="17" t="s">
        <v>308</v>
      </c>
      <c r="B50" s="80">
        <v>17</v>
      </c>
      <c r="C50" s="180">
        <v>1590</v>
      </c>
      <c r="D50" s="31">
        <f>IFERROR(VLOOKUP(A50,BUFFS!$H$5:$AF$195,8,),"")</f>
        <v>3</v>
      </c>
      <c r="E50" s="24">
        <f>IFERROR(SUM(H50,ROUNDDOWN(MIN(B50,T$35)*I50,0)),"")</f>
        <v>5</v>
      </c>
      <c r="F50" s="65" t="str">
        <f>IFERROR(VLOOKUP(A50,BUFFS!$H$5:$AF$195,5,),"")</f>
        <v>AC</v>
      </c>
      <c r="G50" s="66" t="str">
        <f>IFERROR(VLOOKUP(A50,BUFFS!$H$5:$AF$195,6,),"")</f>
        <v>Enhancement to Natural Armor Bonus</v>
      </c>
      <c r="H50" s="67">
        <f>IFERROR(VLOOKUP(A50,BUFFS!$H$5:$AF$195,7,),"")</f>
        <v>0</v>
      </c>
      <c r="I50" s="66">
        <f>IFERROR(VLOOKUP(A50,BUFFS!$H$5:$AF$195,9,),"")</f>
        <v>0.33329999999999999</v>
      </c>
      <c r="J50" s="65">
        <f>IFERROR(VLOOKUP(A50,BUFFS!$H$5:$AF$195,10,),"")</f>
        <v>0</v>
      </c>
      <c r="K50" s="66">
        <f>IFERROR(VLOOKUP(A50,BUFFS!$H$5:$AF$195,11,),"")</f>
        <v>0</v>
      </c>
      <c r="L50" s="66">
        <f>IFERROR(VLOOKUP(A50,BUFFS!$H$5:$AF$195,12,),"")</f>
        <v>0</v>
      </c>
      <c r="M50" s="66">
        <f>IFERROR(VLOOKUP(A50,BUFFS!$H$5:$AF$195,14,),"")</f>
        <v>0</v>
      </c>
      <c r="N50" s="68">
        <f>IFERROR(SUM(L50,ROUNDDOWN(MIN(B50,T$35)*M50,0)),"")</f>
        <v>0</v>
      </c>
      <c r="O50" s="65">
        <f>IFERROR(VLOOKUP(A50,BUFFS!$H$5:$AF$195,15,),"")</f>
        <v>0</v>
      </c>
      <c r="P50" s="66">
        <f>IFERROR(VLOOKUP(A50,BUFFS!$H$5:$AF$195,16,),"")</f>
        <v>0</v>
      </c>
      <c r="Q50" s="66">
        <f>IFERROR(VLOOKUP(A50,BUFFS!$H$5:$AF$195,17,),"")</f>
        <v>0</v>
      </c>
      <c r="R50" s="66">
        <f>IFERROR(VLOOKUP(A50,BUFFS!$H$5:$AF$195,19,),"")</f>
        <v>0</v>
      </c>
      <c r="S50" s="69">
        <f>IFERROR(SUM(Q50,ROUNDDOWN(MIN(B50,T$35)*R50,0)),"")</f>
        <v>0</v>
      </c>
      <c r="T50" s="70">
        <f>IFERROR(VLOOKUP(A50,BUFFS!$H$5:$AF$195,20,),"")</f>
        <v>12</v>
      </c>
    </row>
    <row r="51" spans="1:20" x14ac:dyDescent="0.35">
      <c r="A51" s="17" t="s">
        <v>290</v>
      </c>
      <c r="B51" s="80">
        <v>17</v>
      </c>
      <c r="C51" s="179" t="s">
        <v>300</v>
      </c>
      <c r="D51" s="31">
        <f>IFERROR(VLOOKUP(A51,BUFFS!$H$5:$AF$195,8,),"")</f>
        <v>3</v>
      </c>
      <c r="E51" s="24">
        <f>IFERROR(SUM(H51,ROUNDDOWN(MIN(B51,T$35)*I51,0)),"")</f>
        <v>4</v>
      </c>
      <c r="F51" s="65" t="str">
        <f>IFERROR(VLOOKUP(A51,BUFFS!$H$5:$AF$195,5,),"")</f>
        <v>FORT</v>
      </c>
      <c r="G51" s="66" t="str">
        <f>IFERROR(VLOOKUP(A51,BUFFS!$H$5:$AF$195,6,),"")</f>
        <v xml:space="preserve">Morale Modifier </v>
      </c>
      <c r="H51" s="67">
        <f>IFERROR(VLOOKUP(A51,BUFFS!$H$5:$AF$195,7,),"")</f>
        <v>2</v>
      </c>
      <c r="I51" s="66">
        <f>IFERROR(VLOOKUP(A51,BUFFS!$H$5:$AF$195,9,),"")</f>
        <v>0.16666666666666666</v>
      </c>
      <c r="J51" s="65" t="str">
        <f>IFERROR(VLOOKUP(A51,BUFFS!$H$5:$AF$195,10,),"")</f>
        <v>REF</v>
      </c>
      <c r="K51" s="66" t="str">
        <f>IFERROR(VLOOKUP(A51,BUFFS!$H$5:$AF$195,11,),"")</f>
        <v xml:space="preserve">Morale Modifier </v>
      </c>
      <c r="L51" s="66">
        <f>IFERROR(VLOOKUP(A51,BUFFS!$H$5:$AF$195,12,),"")</f>
        <v>2</v>
      </c>
      <c r="M51" s="66">
        <f>IFERROR(VLOOKUP(A51,BUFFS!$H$5:$AF$195,14,),"")</f>
        <v>0.16666666666666666</v>
      </c>
      <c r="N51" s="68">
        <f>IFERROR(SUM(L51,ROUNDDOWN(MIN(B51,T$35)*M51,0)),"")</f>
        <v>4</v>
      </c>
      <c r="O51" s="65" t="str">
        <f>IFERROR(VLOOKUP(A51,BUFFS!$H$5:$AF$195,15,),"")</f>
        <v>WILL</v>
      </c>
      <c r="P51" s="66" t="str">
        <f>IFERROR(VLOOKUP(A51,BUFFS!$H$5:$AF$195,16,),"")</f>
        <v xml:space="preserve">Morale Modifier </v>
      </c>
      <c r="Q51" s="66">
        <f>IFERROR(VLOOKUP(A51,BUFFS!$H$5:$AF$195,17,),"")</f>
        <v>2</v>
      </c>
      <c r="R51" s="66">
        <f>IFERROR(VLOOKUP(A51,BUFFS!$H$5:$AF$195,19,),"")</f>
        <v>0.16666666666666666</v>
      </c>
      <c r="S51" s="69">
        <f>IFERROR(SUM(Q51,ROUNDDOWN(MIN(B51,T$35)*R51,0)),"")</f>
        <v>4</v>
      </c>
      <c r="T51" s="70">
        <f>IFERROR(VLOOKUP(A51,BUFFS!$H$5:$AF$195,20,),"")</f>
        <v>100</v>
      </c>
    </row>
    <row r="52" spans="1:20" x14ac:dyDescent="0.35">
      <c r="A52" s="17" t="s">
        <v>61</v>
      </c>
      <c r="B52" s="80">
        <v>17</v>
      </c>
      <c r="C52" s="180">
        <v>900</v>
      </c>
      <c r="D52" s="31">
        <f>IFERROR(VLOOKUP(A52,BUFFS!$H$5:$AF$195,8,),"")</f>
        <v>3</v>
      </c>
      <c r="E52" s="24">
        <f>IFERROR(SUM(H52,ROUNDDOWN(MIN(B52,T$35)*I52,0)),"")</f>
        <v>4</v>
      </c>
      <c r="F52" s="65" t="str">
        <f>IFERROR(VLOOKUP(A52,BUFFS!$H$5:$AF$195,5,),"")</f>
        <v>AC</v>
      </c>
      <c r="G52" s="66" t="str">
        <f>IFERROR(VLOOKUP(A52,BUFFS!$H$5:$AF$195,6,),"")</f>
        <v xml:space="preserve">Enhancement Armor Bonus </v>
      </c>
      <c r="H52" s="67">
        <f>IFERROR(VLOOKUP(A52,BUFFS!$H$5:$AF$195,7,),"")</f>
        <v>0</v>
      </c>
      <c r="I52" s="66">
        <f>IFERROR(VLOOKUP(A52,BUFFS!$H$5:$AF$195,9,),"")</f>
        <v>0.25</v>
      </c>
      <c r="J52" s="65">
        <f>IFERROR(VLOOKUP(A52,BUFFS!$H$5:$AF$195,10,),"")</f>
        <v>0</v>
      </c>
      <c r="K52" s="66">
        <f>IFERROR(VLOOKUP(A52,BUFFS!$H$5:$AF$195,11,),"")</f>
        <v>0</v>
      </c>
      <c r="L52" s="66">
        <f>IFERROR(VLOOKUP(A52,BUFFS!$H$5:$AF$195,12,),"")</f>
        <v>0</v>
      </c>
      <c r="M52" s="66">
        <f>IFERROR(VLOOKUP(A52,BUFFS!$H$5:$AF$195,14,),"")</f>
        <v>0</v>
      </c>
      <c r="N52" s="68">
        <f>IFERROR(SUM(L52,ROUNDDOWN(MIN(B52,T$35)*M52,0)),"")</f>
        <v>0</v>
      </c>
      <c r="O52" s="65">
        <f>IFERROR(VLOOKUP(A52,BUFFS!$H$5:$AF$195,15,),"")</f>
        <v>0</v>
      </c>
      <c r="P52" s="66">
        <f>IFERROR(VLOOKUP(A52,BUFFS!$H$5:$AF$195,16,),"")</f>
        <v>0</v>
      </c>
      <c r="Q52" s="66">
        <f>IFERROR(VLOOKUP(A52,BUFFS!$H$5:$AF$195,17,),"")</f>
        <v>0</v>
      </c>
      <c r="R52" s="66">
        <f>IFERROR(VLOOKUP(A52,BUFFS!$H$5:$AF$195,19,),"")</f>
        <v>0</v>
      </c>
      <c r="S52" s="69">
        <f>IFERROR(SUM(Q52,ROUNDDOWN(MIN(B52,T$35)*R52,0)),"")</f>
        <v>0</v>
      </c>
      <c r="T52" s="70">
        <f>IFERROR(VLOOKUP(A52,BUFFS!$H$5:$AF$195,20,),"")</f>
        <v>20</v>
      </c>
    </row>
    <row r="53" spans="1:20" x14ac:dyDescent="0.35">
      <c r="A53" s="17" t="s">
        <v>60</v>
      </c>
      <c r="B53" s="80">
        <v>17</v>
      </c>
      <c r="C53" s="81">
        <v>900</v>
      </c>
      <c r="D53" s="31">
        <f>IFERROR(VLOOKUP(A53,BUFFS!$H$5:$AF$195,8,),"")</f>
        <v>3</v>
      </c>
      <c r="E53" s="24">
        <f>IFERROR(SUM(H53,ROUNDDOWN(MIN(B53,T$35)*I53,0)),"")</f>
        <v>4</v>
      </c>
      <c r="F53" s="65"/>
      <c r="G53" s="66" t="str">
        <f>IFERROR(VLOOKUP(A53,BUFFS!$H$5:$AF$195,6,),"")</f>
        <v>Enhancement Shield Bonus</v>
      </c>
      <c r="H53" s="67">
        <f>IFERROR(VLOOKUP(A53,BUFFS!$H$5:$AF$195,7,),"")</f>
        <v>0</v>
      </c>
      <c r="I53" s="66">
        <f>IFERROR(VLOOKUP(A53,BUFFS!$H$5:$AF$195,9,),"")</f>
        <v>0.25</v>
      </c>
      <c r="J53" s="65">
        <f>IFERROR(VLOOKUP(A53,BUFFS!$H$5:$AF$195,10,),"")</f>
        <v>0</v>
      </c>
      <c r="K53" s="66">
        <f>IFERROR(VLOOKUP(A53,BUFFS!$H$5:$AF$195,11,),"")</f>
        <v>0</v>
      </c>
      <c r="L53" s="66">
        <f>IFERROR(VLOOKUP(A53,BUFFS!$H$5:$AF$195,12,),"")</f>
        <v>0</v>
      </c>
      <c r="M53" s="66">
        <f>IFERROR(VLOOKUP(A53,BUFFS!$H$5:$AF$195,14,),"")</f>
        <v>0</v>
      </c>
      <c r="N53" s="68">
        <f>IFERROR(SUM(L53,ROUNDDOWN(MIN(B53,T$35)*M53,0)),"")</f>
        <v>0</v>
      </c>
      <c r="O53" s="65">
        <f>IFERROR(VLOOKUP(A53,BUFFS!$H$5:$AF$195,15,),"")</f>
        <v>0</v>
      </c>
      <c r="P53" s="66">
        <f>IFERROR(VLOOKUP(A53,BUFFS!$H$5:$AF$195,16,),"")</f>
        <v>0</v>
      </c>
      <c r="Q53" s="66">
        <f>IFERROR(VLOOKUP(A53,BUFFS!$H$5:$AF$195,17,),"")</f>
        <v>0</v>
      </c>
      <c r="R53" s="66">
        <f>IFERROR(VLOOKUP(A53,BUFFS!$H$5:$AF$195,19,),"")</f>
        <v>0</v>
      </c>
      <c r="S53" s="69">
        <f>IFERROR(SUM(Q53,ROUNDDOWN(MIN(B53,T$35)*R53,0)),"")</f>
        <v>0</v>
      </c>
      <c r="T53" s="70">
        <f>IFERROR(VLOOKUP(A53,BUFFS!$H$5:$AF$195,20,),"")</f>
        <v>20</v>
      </c>
    </row>
    <row r="54" spans="1:20" x14ac:dyDescent="0.35">
      <c r="A54" s="17" t="s">
        <v>244</v>
      </c>
      <c r="B54" s="80">
        <v>17</v>
      </c>
      <c r="C54" s="180">
        <v>1688</v>
      </c>
      <c r="D54" s="31">
        <f>IFERROR(VLOOKUP(A54,BUFFS!$H$5:$AF$195,8,),"")</f>
        <v>7</v>
      </c>
      <c r="E54" s="24">
        <f>IFERROR(SUM(H54,ROUNDDOWN(MIN(B54,T$35)*I54,0)),"")</f>
        <v>0</v>
      </c>
      <c r="F54" s="65">
        <f>IFERROR(VLOOKUP(A54,BUFFS!$H$5:$AF$195,5,),"")</f>
        <v>0</v>
      </c>
      <c r="G54" s="66">
        <f>IFERROR(VLOOKUP(A54,BUFFS!$H$5:$AF$195,6,),"")</f>
        <v>0</v>
      </c>
      <c r="H54" s="67">
        <f>IFERROR(VLOOKUP(A54,BUFFS!$H$5:$AF$195,7,),"")</f>
        <v>0</v>
      </c>
      <c r="I54" s="66">
        <f>IFERROR(VLOOKUP(A54,BUFFS!$H$5:$AF$195,9,),"")</f>
        <v>0</v>
      </c>
      <c r="J54" s="65">
        <f>IFERROR(VLOOKUP(A54,BUFFS!$H$5:$AF$195,10,),"")</f>
        <v>0</v>
      </c>
      <c r="K54" s="66">
        <f>IFERROR(VLOOKUP(A54,BUFFS!$H$5:$AF$195,11,),"")</f>
        <v>0</v>
      </c>
      <c r="L54" s="66">
        <f>IFERROR(VLOOKUP(A54,BUFFS!$H$5:$AF$195,12,),"")</f>
        <v>0</v>
      </c>
      <c r="M54" s="66">
        <f>IFERROR(VLOOKUP(A54,BUFFS!$H$5:$AF$195,14,),"")</f>
        <v>0</v>
      </c>
      <c r="N54" s="68">
        <f>IFERROR(SUM(L54,ROUNDDOWN(MIN(B54,T$35)*M54,0)),"")</f>
        <v>0</v>
      </c>
      <c r="O54" s="65">
        <f>IFERROR(VLOOKUP(A54,BUFFS!$H$5:$AF$195,15,),"")</f>
        <v>0</v>
      </c>
      <c r="P54" s="66">
        <f>IFERROR(VLOOKUP(A54,BUFFS!$H$5:$AF$195,16,),"")</f>
        <v>0</v>
      </c>
      <c r="Q54" s="66">
        <f>IFERROR(VLOOKUP(A54,BUFFS!$H$5:$AF$195,17,),"")</f>
        <v>0</v>
      </c>
      <c r="R54" s="66">
        <f>IFERROR(VLOOKUP(A54,BUFFS!$H$5:$AF$195,19,),"")</f>
        <v>0</v>
      </c>
      <c r="S54" s="69">
        <f>IFERROR(SUM(Q54,ROUNDDOWN(MIN(B54,T$35)*R54,0)),"")</f>
        <v>0</v>
      </c>
      <c r="T54" s="70">
        <f>IFERROR(VLOOKUP(A54,BUFFS!$H$5:$AF$195,20,),"")</f>
        <v>100</v>
      </c>
    </row>
    <row r="55" spans="1:20" x14ac:dyDescent="0.35">
      <c r="A55" s="17"/>
      <c r="B55" s="80">
        <v>21</v>
      </c>
      <c r="C55" s="180">
        <v>1590</v>
      </c>
      <c r="D55" s="31" t="str">
        <f>IFERROR(VLOOKUP(A55,BUFFS!$H$5:$AF$195,8,),"")</f>
        <v/>
      </c>
      <c r="E55" s="24" t="str">
        <f>IFERROR(SUM(H55,ROUNDDOWN(MIN(B55,T$35)*I55,0)),"")</f>
        <v/>
      </c>
      <c r="F55" s="65" t="str">
        <f>IFERROR(VLOOKUP(A55,BUFFS!$H$5:$AF$195,5,),"")</f>
        <v/>
      </c>
      <c r="G55" s="66" t="str">
        <f>IFERROR(VLOOKUP(A55,BUFFS!$H$5:$AF$195,6,),"")</f>
        <v/>
      </c>
      <c r="H55" s="67" t="str">
        <f>IFERROR(VLOOKUP(A55,BUFFS!$H$5:$AF$195,7,),"")</f>
        <v/>
      </c>
      <c r="I55" s="66" t="str">
        <f>IFERROR(VLOOKUP(A55,BUFFS!$H$5:$AF$195,9,),"")</f>
        <v/>
      </c>
      <c r="J55" s="65" t="str">
        <f>IFERROR(VLOOKUP(A55,BUFFS!$H$5:$AF$195,10,),"")</f>
        <v/>
      </c>
      <c r="K55" s="66" t="str">
        <f>IFERROR(VLOOKUP(A55,BUFFS!$H$5:$AF$195,11,),"")</f>
        <v/>
      </c>
      <c r="L55" s="66" t="str">
        <f>IFERROR(VLOOKUP(A55,BUFFS!$H$5:$AF$195,12,),"")</f>
        <v/>
      </c>
      <c r="M55" s="66" t="str">
        <f>IFERROR(VLOOKUP(A55,BUFFS!$H$5:$AF$195,14,),"")</f>
        <v/>
      </c>
      <c r="N55" s="68" t="str">
        <f>IFERROR(SUM(L55,ROUNDDOWN(MIN(B55,T$35)*M55,0)),"")</f>
        <v/>
      </c>
      <c r="O55" s="65" t="str">
        <f>IFERROR(VLOOKUP(A55,BUFFS!$H$5:$AF$195,15,),"")</f>
        <v/>
      </c>
      <c r="P55" s="66" t="str">
        <f>IFERROR(VLOOKUP(A55,BUFFS!$H$5:$AF$195,16,),"")</f>
        <v/>
      </c>
      <c r="Q55" s="66" t="str">
        <f>IFERROR(VLOOKUP(A55,BUFFS!$H$5:$AF$195,17,),"")</f>
        <v/>
      </c>
      <c r="R55" s="66" t="str">
        <f>IFERROR(VLOOKUP(A55,BUFFS!$H$5:$AF$195,19,),"")</f>
        <v/>
      </c>
      <c r="S55" s="69" t="str">
        <f>IFERROR(SUM(Q55,ROUNDDOWN(MIN(B55,T$35)*R55,0)),"")</f>
        <v/>
      </c>
      <c r="T55" s="70" t="str">
        <f>IFERROR(VLOOKUP(A55,BUFFS!$H$5:$AF$195,20,),"")</f>
        <v/>
      </c>
    </row>
    <row r="56" spans="1:20" x14ac:dyDescent="0.35">
      <c r="A56" s="17"/>
      <c r="B56" s="80"/>
      <c r="C56" s="180"/>
      <c r="D56" s="31" t="str">
        <f>IFERROR(VLOOKUP(A56,BUFFS!$H$5:$AF$195,8,),"")</f>
        <v/>
      </c>
      <c r="E56" s="24" t="str">
        <f>IFERROR(SUM(H56,ROUNDDOWN(MIN(B56,T$35)*I56,0)),"")</f>
        <v/>
      </c>
      <c r="F56" s="65" t="str">
        <f>IFERROR(VLOOKUP(A56,BUFFS!$H$5:$AF$195,5,),"")</f>
        <v/>
      </c>
      <c r="G56" s="66" t="str">
        <f>IFERROR(VLOOKUP(A56,BUFFS!$H$5:$AF$195,6,),"")</f>
        <v/>
      </c>
      <c r="H56" s="67" t="str">
        <f>IFERROR(VLOOKUP(A56,BUFFS!$H$5:$AF$195,7,),"")</f>
        <v/>
      </c>
      <c r="I56" s="66" t="str">
        <f>IFERROR(VLOOKUP(A56,BUFFS!$H$5:$AF$195,9,),"")</f>
        <v/>
      </c>
      <c r="J56" s="65" t="str">
        <f>IFERROR(VLOOKUP(A56,BUFFS!$H$5:$AF$195,10,),"")</f>
        <v/>
      </c>
      <c r="K56" s="66" t="str">
        <f>IFERROR(VLOOKUP(A56,BUFFS!$H$5:$AF$195,11,),"")</f>
        <v/>
      </c>
      <c r="L56" s="66" t="str">
        <f>IFERROR(VLOOKUP(A56,BUFFS!$H$5:$AF$195,12,),"")</f>
        <v/>
      </c>
      <c r="M56" s="66" t="str">
        <f>IFERROR(VLOOKUP(A56,BUFFS!$H$5:$AF$195,14,),"")</f>
        <v/>
      </c>
      <c r="N56" s="68" t="str">
        <f>IFERROR(SUM(L56,ROUNDDOWN(MIN(B56,T$35)*M56,0)),"")</f>
        <v/>
      </c>
      <c r="O56" s="65" t="str">
        <f>IFERROR(VLOOKUP(A56,BUFFS!$H$5:$AF$195,15,),"")</f>
        <v/>
      </c>
      <c r="P56" s="66" t="str">
        <f>IFERROR(VLOOKUP(A56,BUFFS!$H$5:$AF$195,16,),"")</f>
        <v/>
      </c>
      <c r="Q56" s="66" t="str">
        <f>IFERROR(VLOOKUP(A56,BUFFS!$H$5:$AF$195,17,),"")</f>
        <v/>
      </c>
      <c r="R56" s="66" t="str">
        <f>IFERROR(VLOOKUP(A56,BUFFS!$H$5:$AF$195,19,),"")</f>
        <v/>
      </c>
      <c r="S56" s="69" t="str">
        <f>IFERROR(SUM(Q56,ROUNDDOWN(MIN(B56,T$35)*R56,0)),"")</f>
        <v/>
      </c>
      <c r="T56" s="70" t="str">
        <f>IFERROR(VLOOKUP(A56,BUFFS!$H$5:$AF$195,20,),"")</f>
        <v/>
      </c>
    </row>
    <row r="57" spans="1:20" x14ac:dyDescent="0.35">
      <c r="A57" s="17"/>
      <c r="B57" s="80"/>
      <c r="C57" s="180"/>
      <c r="D57" s="31" t="str">
        <f>IFERROR(VLOOKUP(A57,BUFFS!$H$5:$AF$195,8,),"")</f>
        <v/>
      </c>
      <c r="E57" s="24" t="str">
        <f t="shared" ref="E57:E58" si="2">IFERROR(SUM(H57,ROUNDDOWN(MIN(B57,T$35)*I57,0)),"")</f>
        <v/>
      </c>
      <c r="F57" s="65" t="str">
        <f>IFERROR(VLOOKUP(A57,BUFFS!$H$5:$AF$195,5,),"")</f>
        <v/>
      </c>
      <c r="G57" s="66" t="str">
        <f>IFERROR(VLOOKUP(A57,BUFFS!$H$5:$AF$195,6,),"")</f>
        <v/>
      </c>
      <c r="H57" s="67" t="str">
        <f>IFERROR(VLOOKUP(A57,BUFFS!$H$5:$AF$195,7,),"")</f>
        <v/>
      </c>
      <c r="I57" s="66" t="str">
        <f>IFERROR(VLOOKUP(A57,BUFFS!$H$5:$AF$195,9,),"")</f>
        <v/>
      </c>
      <c r="J57" s="65" t="str">
        <f>IFERROR(VLOOKUP(A57,BUFFS!$H$5:$AF$195,10,),"")</f>
        <v/>
      </c>
      <c r="K57" s="66" t="str">
        <f>IFERROR(VLOOKUP(A57,BUFFS!$H$5:$AF$195,11,),"")</f>
        <v/>
      </c>
      <c r="L57" s="66" t="str">
        <f>IFERROR(VLOOKUP(A57,BUFFS!$H$5:$AF$195,12,),"")</f>
        <v/>
      </c>
      <c r="M57" s="66" t="str">
        <f>IFERROR(VLOOKUP(A57,BUFFS!$H$5:$AF$195,14,),"")</f>
        <v/>
      </c>
      <c r="N57" s="68" t="str">
        <f t="shared" ref="N57:N58" si="3">IFERROR(SUM(L57,ROUNDDOWN(MIN(B57,T$35)*M57,0)),"")</f>
        <v/>
      </c>
      <c r="O57" s="65" t="str">
        <f>IFERROR(VLOOKUP(A57,BUFFS!$H$5:$AF$195,15,),"")</f>
        <v/>
      </c>
      <c r="P57" s="66" t="str">
        <f>IFERROR(VLOOKUP(A57,BUFFS!$H$5:$AF$195,16,),"")</f>
        <v/>
      </c>
      <c r="Q57" s="66" t="str">
        <f>IFERROR(VLOOKUP(A57,BUFFS!$H$5:$AF$195,17,),"")</f>
        <v/>
      </c>
      <c r="R57" s="66" t="str">
        <f>IFERROR(VLOOKUP(A57,BUFFS!$H$5:$AF$195,19,),"")</f>
        <v/>
      </c>
      <c r="S57" s="69" t="str">
        <f t="shared" ref="S57:S58" si="4">IFERROR(SUM(Q57,ROUNDDOWN(MIN(B57,T$35)*R57,0)),"")</f>
        <v/>
      </c>
      <c r="T57" s="70" t="str">
        <f>IFERROR(VLOOKUP(A57,BUFFS!$H$5:$AF$195,20,),"")</f>
        <v/>
      </c>
    </row>
    <row r="58" spans="1:20" x14ac:dyDescent="0.35">
      <c r="A58" s="17"/>
      <c r="B58" s="80"/>
      <c r="C58" s="81"/>
      <c r="D58" s="31"/>
      <c r="E58" s="24" t="str">
        <f t="shared" si="2"/>
        <v/>
      </c>
      <c r="F58" s="71"/>
      <c r="G58" s="66" t="str">
        <f>IFERROR(VLOOKUP(A58,BUFFS!$H$5:$AF$195,6,),"")</f>
        <v/>
      </c>
      <c r="H58" s="67" t="str">
        <f>IFERROR(VLOOKUP(A58,BUFFS!$H$5:$AF$195,7,),"")</f>
        <v/>
      </c>
      <c r="I58" s="66" t="str">
        <f>IFERROR(VLOOKUP(A58,BUFFS!$H$5:$AF$195,9,),"")</f>
        <v/>
      </c>
      <c r="J58" s="65" t="str">
        <f>IFERROR(VLOOKUP(A58,BUFFS!$H$5:$AF$195,10,),"")</f>
        <v/>
      </c>
      <c r="K58" s="66" t="str">
        <f>IFERROR(VLOOKUP(A58,BUFFS!$H$5:$AF$195,11,),"")</f>
        <v/>
      </c>
      <c r="L58" s="66" t="str">
        <f>IFERROR(VLOOKUP(A58,BUFFS!$H$5:$AF$195,12,),"")</f>
        <v/>
      </c>
      <c r="M58" s="66" t="str">
        <f>IFERROR(VLOOKUP(A58,BUFFS!$H$5:$AF$195,14,),"")</f>
        <v/>
      </c>
      <c r="N58" s="68" t="str">
        <f t="shared" si="3"/>
        <v/>
      </c>
      <c r="O58" s="65" t="str">
        <f>IFERROR(VLOOKUP(A58,BUFFS!$H$5:$AF$195,15,),"")</f>
        <v/>
      </c>
      <c r="P58" s="66" t="str">
        <f>IFERROR(VLOOKUP(A58,BUFFS!$H$5:$AF$195,16,),"")</f>
        <v/>
      </c>
      <c r="Q58" s="66" t="str">
        <f>IFERROR(VLOOKUP(A58,BUFFS!$H$5:$AF$195,17,),"")</f>
        <v/>
      </c>
      <c r="R58" s="66" t="str">
        <f>IFERROR(VLOOKUP(A58,BUFFS!$H$5:$AF$195,19,),"")</f>
        <v/>
      </c>
      <c r="S58" s="69" t="str">
        <f t="shared" si="4"/>
        <v/>
      </c>
      <c r="T58" s="70" t="str">
        <f>IFERROR(VLOOKUP(A58,BUFFS!$H$5:$AF$195,20,),"")</f>
        <v/>
      </c>
    </row>
    <row r="59" spans="1:20" x14ac:dyDescent="0.35">
      <c r="A59" s="17"/>
      <c r="B59" s="80"/>
      <c r="C59" s="81"/>
      <c r="D59" s="31"/>
      <c r="E59" s="24"/>
      <c r="F59" s="71"/>
      <c r="G59" s="66" t="str">
        <f>IFERROR(VLOOKUP(A59,BUFFS!$H$5:$AF$195,6,),"")</f>
        <v/>
      </c>
      <c r="H59" s="67" t="str">
        <f>IFERROR(VLOOKUP(A59,BUFFS!$H$5:$AF$195,7,),"")</f>
        <v/>
      </c>
      <c r="I59" s="66" t="str">
        <f>IFERROR(VLOOKUP(A59,BUFFS!$H$5:$AF$195,9,),"")</f>
        <v/>
      </c>
      <c r="J59" s="65" t="str">
        <f>IFERROR(VLOOKUP(A59,BUFFS!$H$5:$AF$195,10,),"")</f>
        <v/>
      </c>
      <c r="K59" s="66" t="str">
        <f>IFERROR(VLOOKUP(A59,BUFFS!$H$5:$AF$195,11,),"")</f>
        <v/>
      </c>
      <c r="L59" s="66" t="str">
        <f>IFERROR(VLOOKUP(A59,BUFFS!$H$5:$AF$195,12,),"")</f>
        <v/>
      </c>
      <c r="M59" s="66" t="str">
        <f>IFERROR(VLOOKUP(A59,BUFFS!$H$5:$AF$195,14,),"")</f>
        <v/>
      </c>
      <c r="N59" s="68" t="str">
        <f t="shared" ref="N59:N95" si="5">IFERROR(SUM(L59,ROUNDDOWN(MIN(B59,T$35)*M59,0)),"")</f>
        <v/>
      </c>
      <c r="O59" s="65" t="str">
        <f>IFERROR(VLOOKUP(A59,BUFFS!$H$5:$AF$195,15,),"")</f>
        <v/>
      </c>
      <c r="P59" s="66" t="str">
        <f>IFERROR(VLOOKUP(A59,BUFFS!$H$5:$AF$195,16,),"")</f>
        <v/>
      </c>
      <c r="Q59" s="66" t="str">
        <f>IFERROR(VLOOKUP(A59,BUFFS!$H$5:$AF$195,17,),"")</f>
        <v/>
      </c>
      <c r="R59" s="66" t="str">
        <f>IFERROR(VLOOKUP(A59,BUFFS!$H$5:$AF$195,19,),"")</f>
        <v/>
      </c>
      <c r="S59" s="69" t="str">
        <f t="shared" ref="S59:S99" si="6">IFERROR(SUM(Q59,ROUNDDOWN(MIN(B59,T$35)*R59,0)),"")</f>
        <v/>
      </c>
      <c r="T59" s="70" t="str">
        <f>IFERROR(VLOOKUP(A59,BUFFS!$H$5:$AF$195,20,),"")</f>
        <v/>
      </c>
    </row>
    <row r="60" spans="1:20" x14ac:dyDescent="0.35">
      <c r="A60" s="17"/>
      <c r="B60" s="80"/>
      <c r="C60" s="81"/>
      <c r="D60" s="31"/>
      <c r="E60" s="24"/>
      <c r="F60" s="71"/>
      <c r="G60" s="66" t="str">
        <f>IFERROR(VLOOKUP(A60,BUFFS!$H$5:$AF$195,6,),"")</f>
        <v/>
      </c>
      <c r="H60" s="67" t="str">
        <f>IFERROR(VLOOKUP(A60,BUFFS!$H$5:$AF$195,7,),"")</f>
        <v/>
      </c>
      <c r="I60" s="66" t="str">
        <f>IFERROR(VLOOKUP(A60,BUFFS!$H$5:$AF$195,9,),"")</f>
        <v/>
      </c>
      <c r="J60" s="65" t="str">
        <f>IFERROR(VLOOKUP(A60,BUFFS!$H$5:$AF$195,10,),"")</f>
        <v/>
      </c>
      <c r="K60" s="66" t="str">
        <f>IFERROR(VLOOKUP(A60,BUFFS!$H$5:$AF$195,11,),"")</f>
        <v/>
      </c>
      <c r="L60" s="66" t="str">
        <f>IFERROR(VLOOKUP(A60,BUFFS!$H$5:$AF$195,12,),"")</f>
        <v/>
      </c>
      <c r="M60" s="66" t="str">
        <f>IFERROR(VLOOKUP(A60,BUFFS!$H$5:$AF$195,14,),"")</f>
        <v/>
      </c>
      <c r="N60" s="68" t="str">
        <f t="shared" si="5"/>
        <v/>
      </c>
      <c r="O60" s="65" t="str">
        <f>IFERROR(VLOOKUP(A60,BUFFS!$H$5:$AF$195,15,),"")</f>
        <v/>
      </c>
      <c r="P60" s="66" t="str">
        <f>IFERROR(VLOOKUP(A60,BUFFS!$H$5:$AF$195,16,),"")</f>
        <v/>
      </c>
      <c r="Q60" s="66" t="str">
        <f>IFERROR(VLOOKUP(A60,BUFFS!$H$5:$AF$195,17,),"")</f>
        <v/>
      </c>
      <c r="R60" s="66" t="str">
        <f>IFERROR(VLOOKUP(A60,BUFFS!$H$5:$AF$195,19,),"")</f>
        <v/>
      </c>
      <c r="S60" s="69" t="str">
        <f t="shared" si="6"/>
        <v/>
      </c>
      <c r="T60" s="70" t="str">
        <f>IFERROR(VLOOKUP(A60,BUFFS!$H$5:$AF$195,20,),"")</f>
        <v/>
      </c>
    </row>
    <row r="61" spans="1:20" x14ac:dyDescent="0.35">
      <c r="A61" s="17"/>
      <c r="B61" s="80"/>
      <c r="C61" s="81"/>
      <c r="D61" s="31"/>
      <c r="E61" s="24"/>
      <c r="F61" s="71"/>
      <c r="G61" s="66" t="str">
        <f>IFERROR(VLOOKUP(A61,BUFFS!$H$5:$AF$195,6,),"")</f>
        <v/>
      </c>
      <c r="H61" s="67" t="str">
        <f>IFERROR(VLOOKUP(A61,BUFFS!$H$5:$AF$195,7,),"")</f>
        <v/>
      </c>
      <c r="I61" s="66" t="str">
        <f>IFERROR(VLOOKUP(A61,BUFFS!$H$5:$AF$195,9,),"")</f>
        <v/>
      </c>
      <c r="J61" s="65" t="str">
        <f>IFERROR(VLOOKUP(A61,BUFFS!$H$5:$AF$195,10,),"")</f>
        <v/>
      </c>
      <c r="K61" s="66" t="str">
        <f>IFERROR(VLOOKUP(A61,BUFFS!$H$5:$AF$195,11,),"")</f>
        <v/>
      </c>
      <c r="L61" s="66" t="str">
        <f>IFERROR(VLOOKUP(A61,BUFFS!$H$5:$AF$195,12,),"")</f>
        <v/>
      </c>
      <c r="M61" s="66" t="str">
        <f>IFERROR(VLOOKUP(A61,BUFFS!$H$5:$AF$195,14,),"")</f>
        <v/>
      </c>
      <c r="N61" s="68" t="str">
        <f t="shared" si="5"/>
        <v/>
      </c>
      <c r="O61" s="65" t="str">
        <f>IFERROR(VLOOKUP(A61,BUFFS!$H$5:$AF$195,15,),"")</f>
        <v/>
      </c>
      <c r="P61" s="66" t="str">
        <f>IFERROR(VLOOKUP(A61,BUFFS!$H$5:$AF$195,16,),"")</f>
        <v/>
      </c>
      <c r="Q61" s="66" t="str">
        <f>IFERROR(VLOOKUP(A61,BUFFS!$H$5:$AF$195,17,),"")</f>
        <v/>
      </c>
      <c r="R61" s="66" t="str">
        <f>IFERROR(VLOOKUP(A61,BUFFS!$H$5:$AF$195,19,),"")</f>
        <v/>
      </c>
      <c r="S61" s="69" t="str">
        <f t="shared" si="6"/>
        <v/>
      </c>
      <c r="T61" s="70" t="str">
        <f>IFERROR(VLOOKUP(A61,BUFFS!$H$5:$AF$195,20,),"")</f>
        <v/>
      </c>
    </row>
    <row r="62" spans="1:20" x14ac:dyDescent="0.35">
      <c r="A62" s="17"/>
      <c r="B62" s="80"/>
      <c r="C62" s="81"/>
      <c r="D62" s="31"/>
      <c r="E62" s="24"/>
      <c r="F62" s="71"/>
      <c r="G62" s="66" t="str">
        <f>IFERROR(VLOOKUP(A62,BUFFS!$H$5:$AF$195,6,),"")</f>
        <v/>
      </c>
      <c r="H62" s="67" t="str">
        <f>IFERROR(VLOOKUP(A62,BUFFS!$H$5:$AF$195,7,),"")</f>
        <v/>
      </c>
      <c r="I62" s="66" t="str">
        <f>IFERROR(VLOOKUP(A62,BUFFS!$H$5:$AF$195,9,),"")</f>
        <v/>
      </c>
      <c r="J62" s="65" t="str">
        <f>IFERROR(VLOOKUP(A62,BUFFS!$H$5:$AF$195,10,),"")</f>
        <v/>
      </c>
      <c r="K62" s="66" t="str">
        <f>IFERROR(VLOOKUP(A62,BUFFS!$H$5:$AF$195,11,),"")</f>
        <v/>
      </c>
      <c r="L62" s="66" t="str">
        <f>IFERROR(VLOOKUP(A62,BUFFS!$H$5:$AF$195,12,),"")</f>
        <v/>
      </c>
      <c r="M62" s="66" t="str">
        <f>IFERROR(VLOOKUP(A62,BUFFS!$H$5:$AF$195,14,),"")</f>
        <v/>
      </c>
      <c r="N62" s="68" t="str">
        <f t="shared" si="5"/>
        <v/>
      </c>
      <c r="O62" s="65" t="str">
        <f>IFERROR(VLOOKUP(A62,BUFFS!$H$5:$AF$195,15,),"")</f>
        <v/>
      </c>
      <c r="P62" s="66" t="str">
        <f>IFERROR(VLOOKUP(A62,BUFFS!$H$5:$AF$195,16,),"")</f>
        <v/>
      </c>
      <c r="Q62" s="66" t="str">
        <f>IFERROR(VLOOKUP(A62,BUFFS!$H$5:$AF$195,17,),"")</f>
        <v/>
      </c>
      <c r="R62" s="66" t="str">
        <f>IFERROR(VLOOKUP(A62,BUFFS!$H$5:$AF$195,19,),"")</f>
        <v/>
      </c>
      <c r="S62" s="69" t="str">
        <f t="shared" si="6"/>
        <v/>
      </c>
      <c r="T62" s="70" t="str">
        <f>IFERROR(VLOOKUP(A62,BUFFS!$H$5:$AF$195,20,),"")</f>
        <v/>
      </c>
    </row>
    <row r="63" spans="1:20" x14ac:dyDescent="0.35">
      <c r="A63" s="17"/>
      <c r="B63" s="80"/>
      <c r="C63" s="81"/>
      <c r="D63" s="31"/>
      <c r="E63" s="24"/>
      <c r="F63" s="71"/>
      <c r="G63" s="66" t="str">
        <f>IFERROR(VLOOKUP(A63,BUFFS!$H$5:$AF$195,6,),"")</f>
        <v/>
      </c>
      <c r="H63" s="67" t="str">
        <f>IFERROR(VLOOKUP(A63,BUFFS!$H$5:$AF$195,7,),"")</f>
        <v/>
      </c>
      <c r="I63" s="66" t="str">
        <f>IFERROR(VLOOKUP(A63,BUFFS!$H$5:$AF$195,9,),"")</f>
        <v/>
      </c>
      <c r="J63" s="65" t="str">
        <f>IFERROR(VLOOKUP(A63,BUFFS!$H$5:$AF$195,10,),"")</f>
        <v/>
      </c>
      <c r="K63" s="66" t="str">
        <f>IFERROR(VLOOKUP(A63,BUFFS!$H$5:$AF$195,11,),"")</f>
        <v/>
      </c>
      <c r="L63" s="66" t="str">
        <f>IFERROR(VLOOKUP(A63,BUFFS!$H$5:$AF$195,12,),"")</f>
        <v/>
      </c>
      <c r="M63" s="66" t="str">
        <f>IFERROR(VLOOKUP(A63,BUFFS!$H$5:$AF$195,14,),"")</f>
        <v/>
      </c>
      <c r="N63" s="68" t="str">
        <f t="shared" si="5"/>
        <v/>
      </c>
      <c r="O63" s="65" t="str">
        <f>IFERROR(VLOOKUP(A63,BUFFS!$H$5:$AF$195,15,),"")</f>
        <v/>
      </c>
      <c r="P63" s="66" t="str">
        <f>IFERROR(VLOOKUP(A63,BUFFS!$H$5:$AF$195,16,),"")</f>
        <v/>
      </c>
      <c r="Q63" s="66" t="str">
        <f>IFERROR(VLOOKUP(A63,BUFFS!$H$5:$AF$195,17,),"")</f>
        <v/>
      </c>
      <c r="R63" s="66" t="str">
        <f>IFERROR(VLOOKUP(A63,BUFFS!$H$5:$AF$195,19,),"")</f>
        <v/>
      </c>
      <c r="S63" s="69" t="str">
        <f t="shared" si="6"/>
        <v/>
      </c>
      <c r="T63" s="70" t="str">
        <f>IFERROR(VLOOKUP(A63,BUFFS!$H$5:$AF$195,20,),"")</f>
        <v/>
      </c>
    </row>
    <row r="64" spans="1:20" x14ac:dyDescent="0.35">
      <c r="A64" s="17"/>
      <c r="B64" s="80"/>
      <c r="C64" s="81"/>
      <c r="D64" s="31"/>
      <c r="E64" s="24"/>
      <c r="F64" s="71"/>
      <c r="G64" s="66" t="str">
        <f>IFERROR(VLOOKUP(A64,BUFFS!$H$5:$AF$195,6,),"")</f>
        <v/>
      </c>
      <c r="H64" s="67" t="str">
        <f>IFERROR(VLOOKUP(A64,BUFFS!$H$5:$AF$195,7,),"")</f>
        <v/>
      </c>
      <c r="I64" s="66" t="str">
        <f>IFERROR(VLOOKUP(A64,BUFFS!$H$5:$AF$195,9,),"")</f>
        <v/>
      </c>
      <c r="J64" s="65" t="str">
        <f>IFERROR(VLOOKUP(A64,BUFFS!$H$5:$AF$195,10,),"")</f>
        <v/>
      </c>
      <c r="K64" s="66" t="str">
        <f>IFERROR(VLOOKUP(A64,BUFFS!$H$5:$AF$195,11,),"")</f>
        <v/>
      </c>
      <c r="L64" s="66" t="str">
        <f>IFERROR(VLOOKUP(A64,BUFFS!$H$5:$AF$195,12,),"")</f>
        <v/>
      </c>
      <c r="M64" s="66" t="str">
        <f>IFERROR(VLOOKUP(A64,BUFFS!$H$5:$AF$195,14,),"")</f>
        <v/>
      </c>
      <c r="N64" s="68" t="str">
        <f t="shared" si="5"/>
        <v/>
      </c>
      <c r="O64" s="65" t="str">
        <f>IFERROR(VLOOKUP(A64,BUFFS!$H$5:$AF$195,15,),"")</f>
        <v/>
      </c>
      <c r="P64" s="66" t="str">
        <f>IFERROR(VLOOKUP(A64,BUFFS!$H$5:$AF$195,16,),"")</f>
        <v/>
      </c>
      <c r="Q64" s="66" t="str">
        <f>IFERROR(VLOOKUP(A64,BUFFS!$H$5:$AF$195,17,),"")</f>
        <v/>
      </c>
      <c r="R64" s="66" t="str">
        <f>IFERROR(VLOOKUP(A64,BUFFS!$H$5:$AF$195,19,),"")</f>
        <v/>
      </c>
      <c r="S64" s="69" t="str">
        <f t="shared" si="6"/>
        <v/>
      </c>
      <c r="T64" s="70" t="str">
        <f>IFERROR(VLOOKUP(A64,BUFFS!$H$5:$AF$195,20,),"")</f>
        <v/>
      </c>
    </row>
    <row r="65" spans="1:20" x14ac:dyDescent="0.35">
      <c r="A65" s="17"/>
      <c r="B65" s="80"/>
      <c r="C65" s="81"/>
      <c r="D65" s="31"/>
      <c r="E65" s="24"/>
      <c r="F65" s="71"/>
      <c r="G65" s="66" t="str">
        <f>IFERROR(VLOOKUP(A65,BUFFS!$H$5:$AF$195,6,),"")</f>
        <v/>
      </c>
      <c r="H65" s="67" t="str">
        <f>IFERROR(VLOOKUP(A65,BUFFS!$H$5:$AF$195,7,),"")</f>
        <v/>
      </c>
      <c r="I65" s="66" t="str">
        <f>IFERROR(VLOOKUP(A65,BUFFS!$H$5:$AF$195,9,),"")</f>
        <v/>
      </c>
      <c r="J65" s="65" t="str">
        <f>IFERROR(VLOOKUP(A65,BUFFS!$H$5:$AF$195,10,),"")</f>
        <v/>
      </c>
      <c r="K65" s="66" t="str">
        <f>IFERROR(VLOOKUP(A65,BUFFS!$H$5:$AF$195,11,),"")</f>
        <v/>
      </c>
      <c r="L65" s="66" t="str">
        <f>IFERROR(VLOOKUP(A65,BUFFS!$H$5:$AF$195,12,),"")</f>
        <v/>
      </c>
      <c r="M65" s="66" t="str">
        <f>IFERROR(VLOOKUP(A65,BUFFS!$H$5:$AF$195,14,),"")</f>
        <v/>
      </c>
      <c r="N65" s="68" t="str">
        <f t="shared" si="5"/>
        <v/>
      </c>
      <c r="O65" s="65" t="str">
        <f>IFERROR(VLOOKUP(A65,BUFFS!$H$5:$AF$195,15,),"")</f>
        <v/>
      </c>
      <c r="P65" s="66" t="str">
        <f>IFERROR(VLOOKUP(A65,BUFFS!$H$5:$AF$195,16,),"")</f>
        <v/>
      </c>
      <c r="Q65" s="66" t="str">
        <f>IFERROR(VLOOKUP(A65,BUFFS!$H$5:$AF$195,17,),"")</f>
        <v/>
      </c>
      <c r="R65" s="66" t="str">
        <f>IFERROR(VLOOKUP(A65,BUFFS!$H$5:$AF$195,19,),"")</f>
        <v/>
      </c>
      <c r="S65" s="69" t="str">
        <f t="shared" si="6"/>
        <v/>
      </c>
      <c r="T65" s="70" t="str">
        <f>IFERROR(VLOOKUP(A65,BUFFS!$H$5:$AF$195,20,),"")</f>
        <v/>
      </c>
    </row>
    <row r="66" spans="1:20" x14ac:dyDescent="0.35">
      <c r="A66" s="17"/>
      <c r="B66" s="80"/>
      <c r="C66" s="81"/>
      <c r="D66" s="31"/>
      <c r="E66" s="24"/>
      <c r="F66" s="71"/>
      <c r="G66" s="66" t="str">
        <f>IFERROR(VLOOKUP(A66,BUFFS!$H$5:$AF$195,6,),"")</f>
        <v/>
      </c>
      <c r="H66" s="67" t="str">
        <f>IFERROR(VLOOKUP(A66,BUFFS!$H$5:$AF$195,7,),"")</f>
        <v/>
      </c>
      <c r="I66" s="66" t="str">
        <f>IFERROR(VLOOKUP(A66,BUFFS!$H$5:$AF$195,9,),"")</f>
        <v/>
      </c>
      <c r="J66" s="65" t="str">
        <f>IFERROR(VLOOKUP(A66,BUFFS!$H$5:$AF$195,10,),"")</f>
        <v/>
      </c>
      <c r="K66" s="66" t="str">
        <f>IFERROR(VLOOKUP(A66,BUFFS!$H$5:$AF$195,11,),"")</f>
        <v/>
      </c>
      <c r="L66" s="66" t="str">
        <f>IFERROR(VLOOKUP(A66,BUFFS!$H$5:$AF$195,12,),"")</f>
        <v/>
      </c>
      <c r="M66" s="66" t="str">
        <f>IFERROR(VLOOKUP(A66,BUFFS!$H$5:$AF$195,14,),"")</f>
        <v/>
      </c>
      <c r="N66" s="68" t="str">
        <f t="shared" si="5"/>
        <v/>
      </c>
      <c r="O66" s="65" t="str">
        <f>IFERROR(VLOOKUP(A66,BUFFS!$H$5:$AF$195,15,),"")</f>
        <v/>
      </c>
      <c r="P66" s="66" t="str">
        <f>IFERROR(VLOOKUP(A66,BUFFS!$H$5:$AF$195,16,),"")</f>
        <v/>
      </c>
      <c r="Q66" s="66" t="str">
        <f>IFERROR(VLOOKUP(A66,BUFFS!$H$5:$AF$195,17,),"")</f>
        <v/>
      </c>
      <c r="R66" s="66" t="str">
        <f>IFERROR(VLOOKUP(A66,BUFFS!$H$5:$AF$195,19,),"")</f>
        <v/>
      </c>
      <c r="S66" s="69" t="str">
        <f t="shared" si="6"/>
        <v/>
      </c>
      <c r="T66" s="70" t="str">
        <f>IFERROR(VLOOKUP(A66,BUFFS!$H$5:$AF$195,20,),"")</f>
        <v/>
      </c>
    </row>
    <row r="67" spans="1:20" x14ac:dyDescent="0.35">
      <c r="A67" s="17"/>
      <c r="B67" s="80"/>
      <c r="C67" s="81"/>
      <c r="D67" s="31"/>
      <c r="E67" s="24"/>
      <c r="F67" s="71"/>
      <c r="G67" s="66" t="str">
        <f>IFERROR(VLOOKUP(A67,BUFFS!$H$5:$AF$195,6,),"")</f>
        <v/>
      </c>
      <c r="H67" s="67" t="str">
        <f>IFERROR(VLOOKUP(A67,BUFFS!$H$5:$AF$195,7,),"")</f>
        <v/>
      </c>
      <c r="I67" s="66" t="str">
        <f>IFERROR(VLOOKUP(A67,BUFFS!$H$5:$AF$195,9,),"")</f>
        <v/>
      </c>
      <c r="J67" s="65" t="str">
        <f>IFERROR(VLOOKUP(A67,BUFFS!$H$5:$AF$195,10,),"")</f>
        <v/>
      </c>
      <c r="K67" s="66" t="str">
        <f>IFERROR(VLOOKUP(A67,BUFFS!$H$5:$AF$195,11,),"")</f>
        <v/>
      </c>
      <c r="L67" s="66" t="str">
        <f>IFERROR(VLOOKUP(A67,BUFFS!$H$5:$AF$195,12,),"")</f>
        <v/>
      </c>
      <c r="M67" s="66" t="str">
        <f>IFERROR(VLOOKUP(A67,BUFFS!$H$5:$AF$195,14,),"")</f>
        <v/>
      </c>
      <c r="N67" s="68" t="str">
        <f t="shared" si="5"/>
        <v/>
      </c>
      <c r="O67" s="65" t="str">
        <f>IFERROR(VLOOKUP(A67,BUFFS!$H$5:$AF$195,15,),"")</f>
        <v/>
      </c>
      <c r="P67" s="66" t="str">
        <f>IFERROR(VLOOKUP(A67,BUFFS!$H$5:$AF$195,16,),"")</f>
        <v/>
      </c>
      <c r="Q67" s="66" t="str">
        <f>IFERROR(VLOOKUP(A67,BUFFS!$H$5:$AF$195,17,),"")</f>
        <v/>
      </c>
      <c r="R67" s="66" t="str">
        <f>IFERROR(VLOOKUP(A67,BUFFS!$H$5:$AF$195,19,),"")</f>
        <v/>
      </c>
      <c r="S67" s="69" t="str">
        <f t="shared" si="6"/>
        <v/>
      </c>
      <c r="T67" s="70" t="str">
        <f>IFERROR(VLOOKUP(A67,BUFFS!$H$5:$AF$195,20,),"")</f>
        <v/>
      </c>
    </row>
    <row r="68" spans="1:20" x14ac:dyDescent="0.35">
      <c r="A68" s="17"/>
      <c r="B68" s="80"/>
      <c r="C68" s="81"/>
      <c r="D68" s="31"/>
      <c r="E68" s="24"/>
      <c r="F68" s="71"/>
      <c r="G68" s="66" t="str">
        <f>IFERROR(VLOOKUP(A68,BUFFS!$H$5:$AF$195,6,),"")</f>
        <v/>
      </c>
      <c r="H68" s="67" t="str">
        <f>IFERROR(VLOOKUP(A68,BUFFS!$H$5:$AF$195,7,),"")</f>
        <v/>
      </c>
      <c r="I68" s="66" t="str">
        <f>IFERROR(VLOOKUP(A68,BUFFS!$H$5:$AF$195,9,),"")</f>
        <v/>
      </c>
      <c r="J68" s="65" t="str">
        <f>IFERROR(VLOOKUP(A68,BUFFS!$H$5:$AF$195,10,),"")</f>
        <v/>
      </c>
      <c r="K68" s="66" t="str">
        <f>IFERROR(VLOOKUP(A68,BUFFS!$H$5:$AF$195,11,),"")</f>
        <v/>
      </c>
      <c r="L68" s="66" t="str">
        <f>IFERROR(VLOOKUP(A68,BUFFS!$H$5:$AF$195,12,),"")</f>
        <v/>
      </c>
      <c r="M68" s="66" t="str">
        <f>IFERROR(VLOOKUP(A68,BUFFS!$H$5:$AF$195,14,),"")</f>
        <v/>
      </c>
      <c r="N68" s="68" t="str">
        <f t="shared" si="5"/>
        <v/>
      </c>
      <c r="O68" s="65" t="str">
        <f>IFERROR(VLOOKUP(A68,BUFFS!$H$5:$AF$195,15,),"")</f>
        <v/>
      </c>
      <c r="P68" s="66" t="str">
        <f>IFERROR(VLOOKUP(A68,BUFFS!$H$5:$AF$195,16,),"")</f>
        <v/>
      </c>
      <c r="Q68" s="66" t="str">
        <f>IFERROR(VLOOKUP(A68,BUFFS!$H$5:$AF$195,17,),"")</f>
        <v/>
      </c>
      <c r="R68" s="66" t="str">
        <f>IFERROR(VLOOKUP(A68,BUFFS!$H$5:$AF$195,19,),"")</f>
        <v/>
      </c>
      <c r="S68" s="69" t="str">
        <f t="shared" si="6"/>
        <v/>
      </c>
      <c r="T68" s="70" t="str">
        <f>IFERROR(VLOOKUP(A68,BUFFS!$H$5:$AF$195,20,),"")</f>
        <v/>
      </c>
    </row>
    <row r="69" spans="1:20" x14ac:dyDescent="0.35">
      <c r="A69" s="17"/>
      <c r="B69" s="80"/>
      <c r="C69" s="81"/>
      <c r="D69" s="31"/>
      <c r="E69" s="24"/>
      <c r="F69" s="71"/>
      <c r="G69" s="66" t="str">
        <f>IFERROR(VLOOKUP(A69,BUFFS!$H$5:$AF$195,6,),"")</f>
        <v/>
      </c>
      <c r="H69" s="67" t="str">
        <f>IFERROR(VLOOKUP(A69,BUFFS!$H$5:$AF$195,7,),"")</f>
        <v/>
      </c>
      <c r="I69" s="66" t="str">
        <f>IFERROR(VLOOKUP(A69,BUFFS!$H$5:$AF$195,9,),"")</f>
        <v/>
      </c>
      <c r="J69" s="65" t="str">
        <f>IFERROR(VLOOKUP(A69,BUFFS!$H$5:$AF$195,10,),"")</f>
        <v/>
      </c>
      <c r="K69" s="66" t="str">
        <f>IFERROR(VLOOKUP(A69,BUFFS!$H$5:$AF$195,11,),"")</f>
        <v/>
      </c>
      <c r="L69" s="66" t="str">
        <f>IFERROR(VLOOKUP(A69,BUFFS!$H$5:$AF$195,12,),"")</f>
        <v/>
      </c>
      <c r="M69" s="66" t="str">
        <f>IFERROR(VLOOKUP(A69,BUFFS!$H$5:$AF$195,14,),"")</f>
        <v/>
      </c>
      <c r="N69" s="68" t="str">
        <f t="shared" si="5"/>
        <v/>
      </c>
      <c r="O69" s="65" t="str">
        <f>IFERROR(VLOOKUP(A69,BUFFS!$H$5:$AF$195,15,),"")</f>
        <v/>
      </c>
      <c r="P69" s="66" t="str">
        <f>IFERROR(VLOOKUP(A69,BUFFS!$H$5:$AF$195,16,),"")</f>
        <v/>
      </c>
      <c r="Q69" s="66" t="str">
        <f>IFERROR(VLOOKUP(A69,BUFFS!$H$5:$AF$195,17,),"")</f>
        <v/>
      </c>
      <c r="R69" s="66" t="str">
        <f>IFERROR(VLOOKUP(A69,BUFFS!$H$5:$AF$195,19,),"")</f>
        <v/>
      </c>
      <c r="S69" s="69" t="str">
        <f t="shared" si="6"/>
        <v/>
      </c>
      <c r="T69" s="70" t="str">
        <f>IFERROR(VLOOKUP(A69,BUFFS!$H$5:$AF$195,20,),"")</f>
        <v/>
      </c>
    </row>
    <row r="70" spans="1:20" x14ac:dyDescent="0.35">
      <c r="A70" s="17"/>
      <c r="B70" s="80"/>
      <c r="C70" s="81"/>
      <c r="D70" s="31"/>
      <c r="E70" s="24"/>
      <c r="F70" s="71"/>
      <c r="G70" s="66" t="str">
        <f>IFERROR(VLOOKUP(A70,BUFFS!$H$5:$AF$195,6,),"")</f>
        <v/>
      </c>
      <c r="H70" s="67" t="str">
        <f>IFERROR(VLOOKUP(A70,BUFFS!$H$5:$AF$195,7,),"")</f>
        <v/>
      </c>
      <c r="I70" s="66" t="str">
        <f>IFERROR(VLOOKUP(A70,BUFFS!$H$5:$AF$195,9,),"")</f>
        <v/>
      </c>
      <c r="J70" s="65" t="str">
        <f>IFERROR(VLOOKUP(A70,BUFFS!$H$5:$AF$195,10,),"")</f>
        <v/>
      </c>
      <c r="K70" s="66" t="str">
        <f>IFERROR(VLOOKUP(A70,BUFFS!$H$5:$AF$195,11,),"")</f>
        <v/>
      </c>
      <c r="L70" s="66" t="str">
        <f>IFERROR(VLOOKUP(A70,BUFFS!$H$5:$AF$195,12,),"")</f>
        <v/>
      </c>
      <c r="M70" s="66" t="str">
        <f>IFERROR(VLOOKUP(A70,BUFFS!$H$5:$AF$195,14,),"")</f>
        <v/>
      </c>
      <c r="N70" s="68" t="str">
        <f t="shared" si="5"/>
        <v/>
      </c>
      <c r="O70" s="65" t="str">
        <f>IFERROR(VLOOKUP(A70,BUFFS!$H$5:$AF$195,15,),"")</f>
        <v/>
      </c>
      <c r="P70" s="66" t="str">
        <f>IFERROR(VLOOKUP(A70,BUFFS!$H$5:$AF$195,16,),"")</f>
        <v/>
      </c>
      <c r="Q70" s="66" t="str">
        <f>IFERROR(VLOOKUP(A70,BUFFS!$H$5:$AF$195,17,),"")</f>
        <v/>
      </c>
      <c r="R70" s="66" t="str">
        <f>IFERROR(VLOOKUP(A70,BUFFS!$H$5:$AF$195,19,),"")</f>
        <v/>
      </c>
      <c r="S70" s="69" t="str">
        <f t="shared" si="6"/>
        <v/>
      </c>
      <c r="T70" s="70" t="str">
        <f>IFERROR(VLOOKUP(A70,BUFFS!$H$5:$AF$195,20,),"")</f>
        <v/>
      </c>
    </row>
    <row r="71" spans="1:20" x14ac:dyDescent="0.35">
      <c r="A71" s="17"/>
      <c r="B71" s="80"/>
      <c r="C71" s="81"/>
      <c r="D71" s="31"/>
      <c r="E71" s="24"/>
      <c r="F71" s="71"/>
      <c r="G71" s="66" t="str">
        <f>IFERROR(VLOOKUP(A71,BUFFS!$H$5:$AF$195,6,),"")</f>
        <v/>
      </c>
      <c r="H71" s="67" t="str">
        <f>IFERROR(VLOOKUP(A71,BUFFS!$H$5:$AF$195,7,),"")</f>
        <v/>
      </c>
      <c r="I71" s="66" t="str">
        <f>IFERROR(VLOOKUP(A71,BUFFS!$H$5:$AF$195,9,),"")</f>
        <v/>
      </c>
      <c r="J71" s="65" t="str">
        <f>IFERROR(VLOOKUP(A71,BUFFS!$H$5:$AF$195,10,),"")</f>
        <v/>
      </c>
      <c r="K71" s="66" t="str">
        <f>IFERROR(VLOOKUP(A71,BUFFS!$H$5:$AF$195,11,),"")</f>
        <v/>
      </c>
      <c r="L71" s="66" t="str">
        <f>IFERROR(VLOOKUP(A71,BUFFS!$H$5:$AF$195,12,),"")</f>
        <v/>
      </c>
      <c r="M71" s="66" t="str">
        <f>IFERROR(VLOOKUP(A71,BUFFS!$H$5:$AF$195,14,),"")</f>
        <v/>
      </c>
      <c r="N71" s="68" t="str">
        <f t="shared" si="5"/>
        <v/>
      </c>
      <c r="O71" s="65" t="str">
        <f>IFERROR(VLOOKUP(A71,BUFFS!$H$5:$AF$195,15,),"")</f>
        <v/>
      </c>
      <c r="P71" s="66" t="str">
        <f>IFERROR(VLOOKUP(A71,BUFFS!$H$5:$AF$195,16,),"")</f>
        <v/>
      </c>
      <c r="Q71" s="66" t="str">
        <f>IFERROR(VLOOKUP(A71,BUFFS!$H$5:$AF$195,17,),"")</f>
        <v/>
      </c>
      <c r="R71" s="66" t="str">
        <f>IFERROR(VLOOKUP(A71,BUFFS!$H$5:$AF$195,19,),"")</f>
        <v/>
      </c>
      <c r="S71" s="69" t="str">
        <f t="shared" si="6"/>
        <v/>
      </c>
      <c r="T71" s="70" t="str">
        <f>IFERROR(VLOOKUP(A71,BUFFS!$H$5:$AF$195,20,),"")</f>
        <v/>
      </c>
    </row>
    <row r="72" spans="1:20" x14ac:dyDescent="0.35">
      <c r="A72" s="17"/>
      <c r="B72" s="80"/>
      <c r="C72" s="81"/>
      <c r="D72" s="31"/>
      <c r="E72" s="24"/>
      <c r="F72" s="71"/>
      <c r="G72" s="66" t="str">
        <f>IFERROR(VLOOKUP(A72,BUFFS!$H$5:$AF$195,6,),"")</f>
        <v/>
      </c>
      <c r="H72" s="67" t="str">
        <f>IFERROR(VLOOKUP(A72,BUFFS!$H$5:$AF$195,7,),"")</f>
        <v/>
      </c>
      <c r="I72" s="66" t="str">
        <f>IFERROR(VLOOKUP(A72,BUFFS!$H$5:$AF$195,9,),"")</f>
        <v/>
      </c>
      <c r="J72" s="65" t="str">
        <f>IFERROR(VLOOKUP(A72,BUFFS!$H$5:$AF$195,10,),"")</f>
        <v/>
      </c>
      <c r="K72" s="66" t="str">
        <f>IFERROR(VLOOKUP(A72,BUFFS!$H$5:$AF$195,11,),"")</f>
        <v/>
      </c>
      <c r="L72" s="66" t="str">
        <f>IFERROR(VLOOKUP(A72,BUFFS!$H$5:$AF$195,12,),"")</f>
        <v/>
      </c>
      <c r="M72" s="66" t="str">
        <f>IFERROR(VLOOKUP(A72,BUFFS!$H$5:$AF$195,14,),"")</f>
        <v/>
      </c>
      <c r="N72" s="68" t="str">
        <f t="shared" si="5"/>
        <v/>
      </c>
      <c r="O72" s="65" t="str">
        <f>IFERROR(VLOOKUP(A72,BUFFS!$H$5:$AF$195,15,),"")</f>
        <v/>
      </c>
      <c r="P72" s="66" t="str">
        <f>IFERROR(VLOOKUP(A72,BUFFS!$H$5:$AF$195,16,),"")</f>
        <v/>
      </c>
      <c r="Q72" s="66" t="str">
        <f>IFERROR(VLOOKUP(A72,BUFFS!$H$5:$AF$195,17,),"")</f>
        <v/>
      </c>
      <c r="R72" s="66" t="str">
        <f>IFERROR(VLOOKUP(A72,BUFFS!$H$5:$AF$195,19,),"")</f>
        <v/>
      </c>
      <c r="S72" s="69" t="str">
        <f t="shared" si="6"/>
        <v/>
      </c>
      <c r="T72" s="70" t="str">
        <f>IFERROR(VLOOKUP(A72,BUFFS!$H$5:$AF$195,20,),"")</f>
        <v/>
      </c>
    </row>
    <row r="73" spans="1:20" x14ac:dyDescent="0.35">
      <c r="A73" s="17"/>
      <c r="B73" s="80"/>
      <c r="C73" s="81"/>
      <c r="D73" s="31"/>
      <c r="E73" s="24"/>
      <c r="F73" s="71"/>
      <c r="G73" s="66" t="str">
        <f>IFERROR(VLOOKUP(A73,BUFFS!$H$5:$AF$195,6,),"")</f>
        <v/>
      </c>
      <c r="H73" s="67" t="str">
        <f>IFERROR(VLOOKUP(A73,BUFFS!$H$5:$AF$195,7,),"")</f>
        <v/>
      </c>
      <c r="I73" s="66" t="str">
        <f>IFERROR(VLOOKUP(A73,BUFFS!$H$5:$AF$195,9,),"")</f>
        <v/>
      </c>
      <c r="J73" s="65" t="str">
        <f>IFERROR(VLOOKUP(A73,BUFFS!$H$5:$AF$195,10,),"")</f>
        <v/>
      </c>
      <c r="K73" s="66" t="str">
        <f>IFERROR(VLOOKUP(A73,BUFFS!$H$5:$AF$195,11,),"")</f>
        <v/>
      </c>
      <c r="L73" s="66" t="str">
        <f>IFERROR(VLOOKUP(A73,BUFFS!$H$5:$AF$195,12,),"")</f>
        <v/>
      </c>
      <c r="M73" s="66" t="str">
        <f>IFERROR(VLOOKUP(A73,BUFFS!$H$5:$AF$195,14,),"")</f>
        <v/>
      </c>
      <c r="N73" s="68" t="str">
        <f t="shared" si="5"/>
        <v/>
      </c>
      <c r="O73" s="65" t="str">
        <f>IFERROR(VLOOKUP(A73,BUFFS!$H$5:$AF$195,15,),"")</f>
        <v/>
      </c>
      <c r="P73" s="66" t="str">
        <f>IFERROR(VLOOKUP(A73,BUFFS!$H$5:$AF$195,16,),"")</f>
        <v/>
      </c>
      <c r="Q73" s="66" t="str">
        <f>IFERROR(VLOOKUP(A73,BUFFS!$H$5:$AF$195,17,),"")</f>
        <v/>
      </c>
      <c r="R73" s="66" t="str">
        <f>IFERROR(VLOOKUP(A73,BUFFS!$H$5:$AF$195,19,),"")</f>
        <v/>
      </c>
      <c r="S73" s="69" t="str">
        <f t="shared" si="6"/>
        <v/>
      </c>
      <c r="T73" s="70" t="str">
        <f>IFERROR(VLOOKUP(A73,BUFFS!$H$5:$AF$195,20,),"")</f>
        <v/>
      </c>
    </row>
    <row r="74" spans="1:20" x14ac:dyDescent="0.35">
      <c r="A74" s="17"/>
      <c r="B74" s="80"/>
      <c r="C74" s="81"/>
      <c r="D74" s="31"/>
      <c r="E74" s="24"/>
      <c r="F74" s="71"/>
      <c r="G74" s="66" t="str">
        <f>IFERROR(VLOOKUP(A74,BUFFS!$H$5:$AF$195,6,),"")</f>
        <v/>
      </c>
      <c r="H74" s="67" t="str">
        <f>IFERROR(VLOOKUP(A74,BUFFS!$H$5:$AF$195,7,),"")</f>
        <v/>
      </c>
      <c r="I74" s="66" t="str">
        <f>IFERROR(VLOOKUP(A74,BUFFS!$H$5:$AF$195,9,),"")</f>
        <v/>
      </c>
      <c r="J74" s="65" t="str">
        <f>IFERROR(VLOOKUP(A74,BUFFS!$H$5:$AF$195,10,),"")</f>
        <v/>
      </c>
      <c r="K74" s="66" t="str">
        <f>IFERROR(VLOOKUP(A74,BUFFS!$H$5:$AF$195,11,),"")</f>
        <v/>
      </c>
      <c r="L74" s="66" t="str">
        <f>IFERROR(VLOOKUP(A74,BUFFS!$H$5:$AF$195,12,),"")</f>
        <v/>
      </c>
      <c r="M74" s="66" t="str">
        <f>IFERROR(VLOOKUP(A74,BUFFS!$H$5:$AF$195,14,),"")</f>
        <v/>
      </c>
      <c r="N74" s="68" t="str">
        <f t="shared" si="5"/>
        <v/>
      </c>
      <c r="O74" s="65" t="str">
        <f>IFERROR(VLOOKUP(A74,BUFFS!$H$5:$AF$195,15,),"")</f>
        <v/>
      </c>
      <c r="P74" s="66" t="str">
        <f>IFERROR(VLOOKUP(A74,BUFFS!$H$5:$AF$195,16,),"")</f>
        <v/>
      </c>
      <c r="Q74" s="66" t="str">
        <f>IFERROR(VLOOKUP(A74,BUFFS!$H$5:$AF$195,17,),"")</f>
        <v/>
      </c>
      <c r="R74" s="66" t="str">
        <f>IFERROR(VLOOKUP(A74,BUFFS!$H$5:$AF$195,19,),"")</f>
        <v/>
      </c>
      <c r="S74" s="69" t="str">
        <f t="shared" si="6"/>
        <v/>
      </c>
      <c r="T74" s="70" t="str">
        <f>IFERROR(VLOOKUP(A74,BUFFS!$H$5:$AF$195,20,),"")</f>
        <v/>
      </c>
    </row>
    <row r="75" spans="1:20" x14ac:dyDescent="0.35">
      <c r="A75" s="17"/>
      <c r="B75" s="80"/>
      <c r="C75" s="81"/>
      <c r="D75" s="31"/>
      <c r="E75" s="24"/>
      <c r="F75" s="71"/>
      <c r="G75" s="66" t="str">
        <f>IFERROR(VLOOKUP(A75,BUFFS!$H$5:$AF$195,6,),"")</f>
        <v/>
      </c>
      <c r="H75" s="67" t="str">
        <f>IFERROR(VLOOKUP(A75,BUFFS!$H$5:$AF$195,7,),"")</f>
        <v/>
      </c>
      <c r="I75" s="66" t="str">
        <f>IFERROR(VLOOKUP(A75,BUFFS!$H$5:$AF$195,9,),"")</f>
        <v/>
      </c>
      <c r="J75" s="65" t="str">
        <f>IFERROR(VLOOKUP(A75,BUFFS!$H$5:$AF$195,10,),"")</f>
        <v/>
      </c>
      <c r="K75" s="66" t="str">
        <f>IFERROR(VLOOKUP(A75,BUFFS!$H$5:$AF$195,11,),"")</f>
        <v/>
      </c>
      <c r="L75" s="66" t="str">
        <f>IFERROR(VLOOKUP(A75,BUFFS!$H$5:$AF$195,12,),"")</f>
        <v/>
      </c>
      <c r="M75" s="66" t="str">
        <f>IFERROR(VLOOKUP(A75,BUFFS!$H$5:$AF$195,14,),"")</f>
        <v/>
      </c>
      <c r="N75" s="68" t="str">
        <f t="shared" si="5"/>
        <v/>
      </c>
      <c r="O75" s="65" t="str">
        <f>IFERROR(VLOOKUP(A75,BUFFS!$H$5:$AF$195,15,),"")</f>
        <v/>
      </c>
      <c r="P75" s="66" t="str">
        <f>IFERROR(VLOOKUP(A75,BUFFS!$H$5:$AF$195,16,),"")</f>
        <v/>
      </c>
      <c r="Q75" s="66" t="str">
        <f>IFERROR(VLOOKUP(A75,BUFFS!$H$5:$AF$195,17,),"")</f>
        <v/>
      </c>
      <c r="R75" s="66" t="str">
        <f>IFERROR(VLOOKUP(A75,BUFFS!$H$5:$AF$195,19,),"")</f>
        <v/>
      </c>
      <c r="S75" s="69" t="str">
        <f t="shared" si="6"/>
        <v/>
      </c>
      <c r="T75" s="70" t="str">
        <f>IFERROR(VLOOKUP(A75,BUFFS!$H$5:$AF$195,20,),"")</f>
        <v/>
      </c>
    </row>
    <row r="76" spans="1:20" x14ac:dyDescent="0.35">
      <c r="A76" s="17"/>
      <c r="B76" s="80"/>
      <c r="C76" s="81"/>
      <c r="D76" s="31"/>
      <c r="E76" s="24"/>
      <c r="F76" s="71"/>
      <c r="G76" s="66" t="str">
        <f>IFERROR(VLOOKUP(A76,BUFFS!$H$5:$AF$195,6,),"")</f>
        <v/>
      </c>
      <c r="H76" s="67" t="str">
        <f>IFERROR(VLOOKUP(A76,BUFFS!$H$5:$AF$195,7,),"")</f>
        <v/>
      </c>
      <c r="I76" s="66" t="str">
        <f>IFERROR(VLOOKUP(A76,BUFFS!$H$5:$AF$195,9,),"")</f>
        <v/>
      </c>
      <c r="J76" s="65" t="str">
        <f>IFERROR(VLOOKUP(A76,BUFFS!$H$5:$AF$195,10,),"")</f>
        <v/>
      </c>
      <c r="K76" s="66" t="str">
        <f>IFERROR(VLOOKUP(A76,BUFFS!$H$5:$AF$195,11,),"")</f>
        <v/>
      </c>
      <c r="L76" s="66" t="str">
        <f>IFERROR(VLOOKUP(A76,BUFFS!$H$5:$AF$195,12,),"")</f>
        <v/>
      </c>
      <c r="M76" s="66" t="str">
        <f>IFERROR(VLOOKUP(A76,BUFFS!$H$5:$AF$195,14,),"")</f>
        <v/>
      </c>
      <c r="N76" s="68" t="str">
        <f t="shared" si="5"/>
        <v/>
      </c>
      <c r="O76" s="65" t="str">
        <f>IFERROR(VLOOKUP(A76,BUFFS!$H$5:$AF$195,15,),"")</f>
        <v/>
      </c>
      <c r="P76" s="66" t="str">
        <f>IFERROR(VLOOKUP(A76,BUFFS!$H$5:$AF$195,16,),"")</f>
        <v/>
      </c>
      <c r="Q76" s="66" t="str">
        <f>IFERROR(VLOOKUP(A76,BUFFS!$H$5:$AF$195,17,),"")</f>
        <v/>
      </c>
      <c r="R76" s="66" t="str">
        <f>IFERROR(VLOOKUP(A76,BUFFS!$H$5:$AF$195,19,),"")</f>
        <v/>
      </c>
      <c r="S76" s="69" t="str">
        <f t="shared" si="6"/>
        <v/>
      </c>
      <c r="T76" s="70" t="str">
        <f>IFERROR(VLOOKUP(A76,BUFFS!$H$5:$AF$195,20,),"")</f>
        <v/>
      </c>
    </row>
    <row r="77" spans="1:20" x14ac:dyDescent="0.35">
      <c r="A77" s="17"/>
      <c r="B77" s="80"/>
      <c r="C77" s="81"/>
      <c r="D77" s="31"/>
      <c r="E77" s="24"/>
      <c r="F77" s="71"/>
      <c r="G77" s="66" t="str">
        <f>IFERROR(VLOOKUP(A77,BUFFS!$H$5:$AF$195,6,),"")</f>
        <v/>
      </c>
      <c r="H77" s="67" t="str">
        <f>IFERROR(VLOOKUP(A77,BUFFS!$H$5:$AF$195,7,),"")</f>
        <v/>
      </c>
      <c r="I77" s="66" t="str">
        <f>IFERROR(VLOOKUP(A77,BUFFS!$H$5:$AF$195,9,),"")</f>
        <v/>
      </c>
      <c r="J77" s="65" t="str">
        <f>IFERROR(VLOOKUP(A77,BUFFS!$H$5:$AF$195,10,),"")</f>
        <v/>
      </c>
      <c r="K77" s="66" t="str">
        <f>IFERROR(VLOOKUP(A77,BUFFS!$H$5:$AF$195,11,),"")</f>
        <v/>
      </c>
      <c r="L77" s="66" t="str">
        <f>IFERROR(VLOOKUP(A77,BUFFS!$H$5:$AF$195,12,),"")</f>
        <v/>
      </c>
      <c r="M77" s="66" t="str">
        <f>IFERROR(VLOOKUP(A77,BUFFS!$H$5:$AF$195,14,),"")</f>
        <v/>
      </c>
      <c r="N77" s="68" t="str">
        <f t="shared" si="5"/>
        <v/>
      </c>
      <c r="O77" s="65" t="str">
        <f>IFERROR(VLOOKUP(A77,BUFFS!$H$5:$AF$195,15,),"")</f>
        <v/>
      </c>
      <c r="P77" s="66" t="str">
        <f>IFERROR(VLOOKUP(A77,BUFFS!$H$5:$AF$195,16,),"")</f>
        <v/>
      </c>
      <c r="Q77" s="66" t="str">
        <f>IFERROR(VLOOKUP(A77,BUFFS!$H$5:$AF$195,17,),"")</f>
        <v/>
      </c>
      <c r="R77" s="66" t="str">
        <f>IFERROR(VLOOKUP(A77,BUFFS!$H$5:$AF$195,19,),"")</f>
        <v/>
      </c>
      <c r="S77" s="69" t="str">
        <f t="shared" si="6"/>
        <v/>
      </c>
      <c r="T77" s="70" t="str">
        <f>IFERROR(VLOOKUP(A77,BUFFS!$H$5:$AF$195,20,),"")</f>
        <v/>
      </c>
    </row>
    <row r="78" spans="1:20" x14ac:dyDescent="0.35">
      <c r="A78" s="17"/>
      <c r="B78" s="80"/>
      <c r="C78" s="81"/>
      <c r="D78" s="31"/>
      <c r="E78" s="24"/>
      <c r="F78" s="71"/>
      <c r="G78" s="66" t="str">
        <f>IFERROR(VLOOKUP(A78,BUFFS!$H$5:$AF$195,6,),"")</f>
        <v/>
      </c>
      <c r="H78" s="67" t="str">
        <f>IFERROR(VLOOKUP(A78,BUFFS!$H$5:$AF$195,7,),"")</f>
        <v/>
      </c>
      <c r="I78" s="66" t="str">
        <f>IFERROR(VLOOKUP(A78,BUFFS!$H$5:$AF$195,9,),"")</f>
        <v/>
      </c>
      <c r="J78" s="65" t="str">
        <f>IFERROR(VLOOKUP(A78,BUFFS!$H$5:$AF$195,10,),"")</f>
        <v/>
      </c>
      <c r="K78" s="66" t="str">
        <f>IFERROR(VLOOKUP(A78,BUFFS!$H$5:$AF$195,11,),"")</f>
        <v/>
      </c>
      <c r="L78" s="66" t="str">
        <f>IFERROR(VLOOKUP(A78,BUFFS!$H$5:$AF$195,12,),"")</f>
        <v/>
      </c>
      <c r="M78" s="66" t="str">
        <f>IFERROR(VLOOKUP(A78,BUFFS!$H$5:$AF$195,14,),"")</f>
        <v/>
      </c>
      <c r="N78" s="68" t="str">
        <f t="shared" si="5"/>
        <v/>
      </c>
      <c r="O78" s="65" t="str">
        <f>IFERROR(VLOOKUP(A78,BUFFS!$H$5:$AF$195,15,),"")</f>
        <v/>
      </c>
      <c r="P78" s="66" t="str">
        <f>IFERROR(VLOOKUP(A78,BUFFS!$H$5:$AF$195,16,),"")</f>
        <v/>
      </c>
      <c r="Q78" s="66" t="str">
        <f>IFERROR(VLOOKUP(A78,BUFFS!$H$5:$AF$195,17,),"")</f>
        <v/>
      </c>
      <c r="R78" s="66" t="str">
        <f>IFERROR(VLOOKUP(A78,BUFFS!$H$5:$AF$195,19,),"")</f>
        <v/>
      </c>
      <c r="S78" s="69" t="str">
        <f t="shared" si="6"/>
        <v/>
      </c>
      <c r="T78" s="70" t="str">
        <f>IFERROR(VLOOKUP(A78,BUFFS!$H$5:$AF$195,20,),"")</f>
        <v/>
      </c>
    </row>
    <row r="79" spans="1:20" x14ac:dyDescent="0.35">
      <c r="A79" s="17"/>
      <c r="B79" s="80"/>
      <c r="C79" s="81"/>
      <c r="D79" s="31"/>
      <c r="E79" s="24"/>
      <c r="F79" s="71"/>
      <c r="G79" s="66" t="str">
        <f>IFERROR(VLOOKUP(A79,BUFFS!$H$5:$AF$195,6,),"")</f>
        <v/>
      </c>
      <c r="H79" s="67" t="str">
        <f>IFERROR(VLOOKUP(A79,BUFFS!$H$5:$AF$195,7,),"")</f>
        <v/>
      </c>
      <c r="I79" s="66" t="str">
        <f>IFERROR(VLOOKUP(A79,BUFFS!$H$5:$AF$195,9,),"")</f>
        <v/>
      </c>
      <c r="J79" s="65" t="str">
        <f>IFERROR(VLOOKUP(A79,BUFFS!$H$5:$AF$195,10,),"")</f>
        <v/>
      </c>
      <c r="K79" s="66" t="str">
        <f>IFERROR(VLOOKUP(A79,BUFFS!$H$5:$AF$195,11,),"")</f>
        <v/>
      </c>
      <c r="L79" s="66" t="str">
        <f>IFERROR(VLOOKUP(A79,BUFFS!$H$5:$AF$195,12,),"")</f>
        <v/>
      </c>
      <c r="M79" s="66" t="str">
        <f>IFERROR(VLOOKUP(A79,BUFFS!$H$5:$AF$195,14,),"")</f>
        <v/>
      </c>
      <c r="N79" s="68" t="str">
        <f t="shared" si="5"/>
        <v/>
      </c>
      <c r="O79" s="65" t="str">
        <f>IFERROR(VLOOKUP(A79,BUFFS!$H$5:$AF$195,15,),"")</f>
        <v/>
      </c>
      <c r="P79" s="66" t="str">
        <f>IFERROR(VLOOKUP(A79,BUFFS!$H$5:$AF$195,16,),"")</f>
        <v/>
      </c>
      <c r="Q79" s="66" t="str">
        <f>IFERROR(VLOOKUP(A79,BUFFS!$H$5:$AF$195,17,),"")</f>
        <v/>
      </c>
      <c r="R79" s="66" t="str">
        <f>IFERROR(VLOOKUP(A79,BUFFS!$H$5:$AF$195,19,),"")</f>
        <v/>
      </c>
      <c r="S79" s="69" t="str">
        <f t="shared" si="6"/>
        <v/>
      </c>
      <c r="T79" s="70" t="str">
        <f>IFERROR(VLOOKUP(A79,BUFFS!$H$5:$AF$195,20,),"")</f>
        <v/>
      </c>
    </row>
    <row r="80" spans="1:20" x14ac:dyDescent="0.35">
      <c r="A80" s="17"/>
      <c r="B80" s="80"/>
      <c r="C80" s="81"/>
      <c r="D80" s="31"/>
      <c r="E80" s="24"/>
      <c r="F80" s="71"/>
      <c r="G80" s="66" t="str">
        <f>IFERROR(VLOOKUP(A80,BUFFS!$H$5:$AF$195,6,),"")</f>
        <v/>
      </c>
      <c r="H80" s="67" t="str">
        <f>IFERROR(VLOOKUP(A80,BUFFS!$H$5:$AF$195,7,),"")</f>
        <v/>
      </c>
      <c r="I80" s="66" t="str">
        <f>IFERROR(VLOOKUP(A80,BUFFS!$H$5:$AF$195,9,),"")</f>
        <v/>
      </c>
      <c r="J80" s="65" t="str">
        <f>IFERROR(VLOOKUP(A80,BUFFS!$H$5:$AF$195,10,),"")</f>
        <v/>
      </c>
      <c r="K80" s="66" t="str">
        <f>IFERROR(VLOOKUP(A80,BUFFS!$H$5:$AF$195,11,),"")</f>
        <v/>
      </c>
      <c r="L80" s="66" t="str">
        <f>IFERROR(VLOOKUP(A80,BUFFS!$H$5:$AF$195,12,),"")</f>
        <v/>
      </c>
      <c r="M80" s="66" t="str">
        <f>IFERROR(VLOOKUP(A80,BUFFS!$H$5:$AF$195,14,),"")</f>
        <v/>
      </c>
      <c r="N80" s="68" t="str">
        <f t="shared" si="5"/>
        <v/>
      </c>
      <c r="O80" s="65" t="str">
        <f>IFERROR(VLOOKUP(A80,BUFFS!$H$5:$AF$195,15,),"")</f>
        <v/>
      </c>
      <c r="P80" s="66" t="str">
        <f>IFERROR(VLOOKUP(A80,BUFFS!$H$5:$AF$195,16,),"")</f>
        <v/>
      </c>
      <c r="Q80" s="66" t="str">
        <f>IFERROR(VLOOKUP(A80,BUFFS!$H$5:$AF$195,17,),"")</f>
        <v/>
      </c>
      <c r="R80" s="66" t="str">
        <f>IFERROR(VLOOKUP(A80,BUFFS!$H$5:$AF$195,19,),"")</f>
        <v/>
      </c>
      <c r="S80" s="69" t="str">
        <f t="shared" si="6"/>
        <v/>
      </c>
      <c r="T80" s="70" t="str">
        <f>IFERROR(VLOOKUP(A80,BUFFS!$H$5:$AF$195,20,),"")</f>
        <v/>
      </c>
    </row>
    <row r="81" spans="1:20" x14ac:dyDescent="0.35">
      <c r="A81" s="17"/>
      <c r="B81" s="80"/>
      <c r="C81" s="81"/>
      <c r="D81" s="31"/>
      <c r="E81" s="24"/>
      <c r="F81" s="71"/>
      <c r="G81" s="66" t="str">
        <f>IFERROR(VLOOKUP(A81,BUFFS!$H$5:$AF$195,6,),"")</f>
        <v/>
      </c>
      <c r="H81" s="67" t="str">
        <f>IFERROR(VLOOKUP(A81,BUFFS!$H$5:$AF$195,7,),"")</f>
        <v/>
      </c>
      <c r="I81" s="66" t="str">
        <f>IFERROR(VLOOKUP(A81,BUFFS!$H$5:$AF$195,9,),"")</f>
        <v/>
      </c>
      <c r="J81" s="65" t="str">
        <f>IFERROR(VLOOKUP(A81,BUFFS!$H$5:$AF$195,10,),"")</f>
        <v/>
      </c>
      <c r="K81" s="66" t="str">
        <f>IFERROR(VLOOKUP(A81,BUFFS!$H$5:$AF$195,11,),"")</f>
        <v/>
      </c>
      <c r="L81" s="66" t="str">
        <f>IFERROR(VLOOKUP(A81,BUFFS!$H$5:$AF$195,12,),"")</f>
        <v/>
      </c>
      <c r="M81" s="66" t="str">
        <f>IFERROR(VLOOKUP(A81,BUFFS!$H$5:$AF$195,14,),"")</f>
        <v/>
      </c>
      <c r="N81" s="68" t="str">
        <f t="shared" si="5"/>
        <v/>
      </c>
      <c r="O81" s="65" t="str">
        <f>IFERROR(VLOOKUP(A81,BUFFS!$H$5:$AF$195,15,),"")</f>
        <v/>
      </c>
      <c r="P81" s="66" t="str">
        <f>IFERROR(VLOOKUP(A81,BUFFS!$H$5:$AF$195,16,),"")</f>
        <v/>
      </c>
      <c r="Q81" s="66" t="str">
        <f>IFERROR(VLOOKUP(A81,BUFFS!$H$5:$AF$195,17,),"")</f>
        <v/>
      </c>
      <c r="R81" s="66" t="str">
        <f>IFERROR(VLOOKUP(A81,BUFFS!$H$5:$AF$195,19,),"")</f>
        <v/>
      </c>
      <c r="S81" s="69" t="str">
        <f t="shared" si="6"/>
        <v/>
      </c>
      <c r="T81" s="70" t="str">
        <f>IFERROR(VLOOKUP(A81,BUFFS!$H$5:$AF$195,20,),"")</f>
        <v/>
      </c>
    </row>
    <row r="82" spans="1:20" x14ac:dyDescent="0.35">
      <c r="A82" s="17"/>
      <c r="B82" s="18"/>
      <c r="C82" s="13"/>
      <c r="D82" s="31"/>
      <c r="E82" s="24"/>
      <c r="F82" s="71"/>
      <c r="G82" s="66" t="str">
        <f>IFERROR(VLOOKUP(A82,BUFFS!$H$5:$AF$195,6,),"")</f>
        <v/>
      </c>
      <c r="H82" s="67" t="str">
        <f>IFERROR(VLOOKUP(A82,BUFFS!$H$5:$AF$195,7,),"")</f>
        <v/>
      </c>
      <c r="I82" s="66" t="str">
        <f>IFERROR(VLOOKUP(A82,BUFFS!$H$5:$AF$195,9,),"")</f>
        <v/>
      </c>
      <c r="J82" s="65" t="str">
        <f>IFERROR(VLOOKUP(A82,BUFFS!$H$5:$AF$195,10,),"")</f>
        <v/>
      </c>
      <c r="K82" s="66" t="str">
        <f>IFERROR(VLOOKUP(A82,BUFFS!$H$5:$AF$195,11,),"")</f>
        <v/>
      </c>
      <c r="L82" s="66" t="str">
        <f>IFERROR(VLOOKUP(A82,BUFFS!$H$5:$AF$195,12,),"")</f>
        <v/>
      </c>
      <c r="M82" s="66" t="str">
        <f>IFERROR(VLOOKUP(A82,BUFFS!$H$5:$AF$195,14,),"")</f>
        <v/>
      </c>
      <c r="N82" s="68" t="str">
        <f t="shared" si="5"/>
        <v/>
      </c>
      <c r="O82" s="65" t="str">
        <f>IFERROR(VLOOKUP(A82,BUFFS!$H$5:$AF$195,15,),"")</f>
        <v/>
      </c>
      <c r="P82" s="66" t="str">
        <f>IFERROR(VLOOKUP(A82,BUFFS!$H$5:$AF$195,16,),"")</f>
        <v/>
      </c>
      <c r="Q82" s="66" t="str">
        <f>IFERROR(VLOOKUP(A82,BUFFS!$H$5:$AF$195,17,),"")</f>
        <v/>
      </c>
      <c r="R82" s="66" t="str">
        <f>IFERROR(VLOOKUP(A82,BUFFS!$H$5:$AF$195,19,),"")</f>
        <v/>
      </c>
      <c r="S82" s="69" t="str">
        <f t="shared" si="6"/>
        <v/>
      </c>
      <c r="T82" s="70" t="str">
        <f>IFERROR(VLOOKUP(A82,BUFFS!$H$5:$AF$195,20,),"")</f>
        <v/>
      </c>
    </row>
    <row r="83" spans="1:20" x14ac:dyDescent="0.35">
      <c r="A83" s="17"/>
      <c r="B83" s="18"/>
      <c r="C83" s="13"/>
      <c r="D83" s="31"/>
      <c r="E83" s="24"/>
      <c r="F83" s="71"/>
      <c r="G83" s="66" t="str">
        <f>IFERROR(VLOOKUP(A83,BUFFS!$H$5:$AF$195,6,),"")</f>
        <v/>
      </c>
      <c r="H83" s="67" t="str">
        <f>IFERROR(VLOOKUP(A83,BUFFS!$H$5:$AF$195,7,),"")</f>
        <v/>
      </c>
      <c r="I83" s="66" t="str">
        <f>IFERROR(VLOOKUP(A83,BUFFS!$H$5:$AF$195,9,),"")</f>
        <v/>
      </c>
      <c r="J83" s="65" t="str">
        <f>IFERROR(VLOOKUP(A83,BUFFS!$H$5:$AF$195,10,),"")</f>
        <v/>
      </c>
      <c r="K83" s="66" t="str">
        <f>IFERROR(VLOOKUP(A83,BUFFS!$H$5:$AF$195,11,),"")</f>
        <v/>
      </c>
      <c r="L83" s="66" t="str">
        <f>IFERROR(VLOOKUP(A83,BUFFS!$H$5:$AF$195,12,),"")</f>
        <v/>
      </c>
      <c r="M83" s="66" t="str">
        <f>IFERROR(VLOOKUP(A83,BUFFS!$H$5:$AF$195,14,),"")</f>
        <v/>
      </c>
      <c r="N83" s="68" t="str">
        <f t="shared" si="5"/>
        <v/>
      </c>
      <c r="O83" s="65" t="str">
        <f>IFERROR(VLOOKUP(A83,BUFFS!$H$5:$AF$195,15,),"")</f>
        <v/>
      </c>
      <c r="P83" s="66" t="str">
        <f>IFERROR(VLOOKUP(A83,BUFFS!$H$5:$AF$195,16,),"")</f>
        <v/>
      </c>
      <c r="Q83" s="66" t="str">
        <f>IFERROR(VLOOKUP(A83,BUFFS!$H$5:$AF$195,17,),"")</f>
        <v/>
      </c>
      <c r="R83" s="66" t="str">
        <f>IFERROR(VLOOKUP(A83,BUFFS!$H$5:$AF$195,19,),"")</f>
        <v/>
      </c>
      <c r="S83" s="69" t="str">
        <f t="shared" si="6"/>
        <v/>
      </c>
      <c r="T83" s="70" t="str">
        <f>IFERROR(VLOOKUP(A83,BUFFS!$H$5:$AF$195,20,),"")</f>
        <v/>
      </c>
    </row>
    <row r="84" spans="1:20" x14ac:dyDescent="0.35">
      <c r="A84" s="17"/>
      <c r="B84" s="18"/>
      <c r="C84" s="13"/>
      <c r="D84" s="31"/>
      <c r="E84" s="24"/>
      <c r="F84" s="71"/>
      <c r="G84" s="66" t="str">
        <f>IFERROR(VLOOKUP(A84,BUFFS!$H$5:$AF$195,6,),"")</f>
        <v/>
      </c>
      <c r="H84" s="67" t="str">
        <f>IFERROR(VLOOKUP(A84,BUFFS!$H$5:$AF$195,7,),"")</f>
        <v/>
      </c>
      <c r="I84" s="66" t="str">
        <f>IFERROR(VLOOKUP(A84,BUFFS!$H$5:$AF$195,9,),"")</f>
        <v/>
      </c>
      <c r="J84" s="65" t="str">
        <f>IFERROR(VLOOKUP(A84,BUFFS!$H$5:$AF$195,10,),"")</f>
        <v/>
      </c>
      <c r="K84" s="66" t="str">
        <f>IFERROR(VLOOKUP(A84,BUFFS!$H$5:$AF$195,11,),"")</f>
        <v/>
      </c>
      <c r="L84" s="66" t="str">
        <f>IFERROR(VLOOKUP(A84,BUFFS!$H$5:$AF$195,12,),"")</f>
        <v/>
      </c>
      <c r="M84" s="66" t="str">
        <f>IFERROR(VLOOKUP(A84,BUFFS!$H$5:$AF$195,14,),"")</f>
        <v/>
      </c>
      <c r="N84" s="68" t="str">
        <f t="shared" si="5"/>
        <v/>
      </c>
      <c r="O84" s="65" t="str">
        <f>IFERROR(VLOOKUP(A84,BUFFS!$H$5:$AF$195,15,),"")</f>
        <v/>
      </c>
      <c r="P84" s="66" t="str">
        <f>IFERROR(VLOOKUP(A84,BUFFS!$H$5:$AF$195,16,),"")</f>
        <v/>
      </c>
      <c r="Q84" s="66" t="str">
        <f>IFERROR(VLOOKUP(A84,BUFFS!$H$5:$AF$195,17,),"")</f>
        <v/>
      </c>
      <c r="R84" s="66" t="str">
        <f>IFERROR(VLOOKUP(A84,BUFFS!$H$5:$AF$195,19,),"")</f>
        <v/>
      </c>
      <c r="S84" s="69" t="str">
        <f t="shared" si="6"/>
        <v/>
      </c>
      <c r="T84" s="70" t="str">
        <f>IFERROR(VLOOKUP(A84,BUFFS!$H$5:$AF$195,20,),"")</f>
        <v/>
      </c>
    </row>
    <row r="85" spans="1:20" x14ac:dyDescent="0.35">
      <c r="A85" s="17"/>
      <c r="B85" s="18"/>
      <c r="C85" s="13"/>
      <c r="D85" s="31"/>
      <c r="E85" s="24"/>
      <c r="F85" s="71"/>
      <c r="G85" s="66" t="str">
        <f>IFERROR(VLOOKUP(A85,BUFFS!$H$5:$AF$195,6,),"")</f>
        <v/>
      </c>
      <c r="H85" s="67" t="str">
        <f>IFERROR(VLOOKUP(A85,BUFFS!$H$5:$AF$195,7,),"")</f>
        <v/>
      </c>
      <c r="I85" s="66" t="str">
        <f>IFERROR(VLOOKUP(A85,BUFFS!$H$5:$AF$195,9,),"")</f>
        <v/>
      </c>
      <c r="J85" s="65" t="str">
        <f>IFERROR(VLOOKUP(A85,BUFFS!$H$5:$AF$195,10,),"")</f>
        <v/>
      </c>
      <c r="K85" s="66" t="str">
        <f>IFERROR(VLOOKUP(A85,BUFFS!$H$5:$AF$195,11,),"")</f>
        <v/>
      </c>
      <c r="L85" s="66" t="str">
        <f>IFERROR(VLOOKUP(A85,BUFFS!$H$5:$AF$195,12,),"")</f>
        <v/>
      </c>
      <c r="M85" s="66" t="str">
        <f>IFERROR(VLOOKUP(A85,BUFFS!$H$5:$AF$195,14,),"")</f>
        <v/>
      </c>
      <c r="N85" s="68" t="str">
        <f t="shared" si="5"/>
        <v/>
      </c>
      <c r="O85" s="65" t="str">
        <f>IFERROR(VLOOKUP(A85,BUFFS!$H$5:$AF$195,15,),"")</f>
        <v/>
      </c>
      <c r="P85" s="66" t="str">
        <f>IFERROR(VLOOKUP(A85,BUFFS!$H$5:$AF$195,16,),"")</f>
        <v/>
      </c>
      <c r="Q85" s="66" t="str">
        <f>IFERROR(VLOOKUP(A85,BUFFS!$H$5:$AF$195,17,),"")</f>
        <v/>
      </c>
      <c r="R85" s="66" t="str">
        <f>IFERROR(VLOOKUP(A85,BUFFS!$H$5:$AF$195,19,),"")</f>
        <v/>
      </c>
      <c r="S85" s="69" t="str">
        <f t="shared" si="6"/>
        <v/>
      </c>
      <c r="T85" s="70" t="str">
        <f>IFERROR(VLOOKUP(A85,BUFFS!$H$5:$AF$195,20,),"")</f>
        <v/>
      </c>
    </row>
    <row r="86" spans="1:20" x14ac:dyDescent="0.35">
      <c r="A86" s="17"/>
      <c r="B86" s="18"/>
      <c r="C86" s="13"/>
      <c r="D86" s="31"/>
      <c r="E86" s="24"/>
      <c r="F86" s="71"/>
      <c r="G86" s="66" t="str">
        <f>IFERROR(VLOOKUP(A86,BUFFS!$H$5:$AF$195,6,),"")</f>
        <v/>
      </c>
      <c r="H86" s="67" t="str">
        <f>IFERROR(VLOOKUP(A86,BUFFS!$H$5:$AF$195,7,),"")</f>
        <v/>
      </c>
      <c r="I86" s="66" t="str">
        <f>IFERROR(VLOOKUP(A86,BUFFS!$H$5:$AF$195,9,),"")</f>
        <v/>
      </c>
      <c r="J86" s="65" t="str">
        <f>IFERROR(VLOOKUP(A86,BUFFS!$H$5:$AF$195,10,),"")</f>
        <v/>
      </c>
      <c r="K86" s="66" t="str">
        <f>IFERROR(VLOOKUP(A86,BUFFS!$H$5:$AF$195,11,),"")</f>
        <v/>
      </c>
      <c r="L86" s="66" t="str">
        <f>IFERROR(VLOOKUP(A86,BUFFS!$H$5:$AF$195,12,),"")</f>
        <v/>
      </c>
      <c r="M86" s="66" t="str">
        <f>IFERROR(VLOOKUP(A86,BUFFS!$H$5:$AF$195,14,),"")</f>
        <v/>
      </c>
      <c r="N86" s="68" t="str">
        <f t="shared" si="5"/>
        <v/>
      </c>
      <c r="O86" s="65" t="str">
        <f>IFERROR(VLOOKUP(A86,BUFFS!$H$5:$AF$195,15,),"")</f>
        <v/>
      </c>
      <c r="P86" s="66" t="str">
        <f>IFERROR(VLOOKUP(A86,BUFFS!$H$5:$AF$195,16,),"")</f>
        <v/>
      </c>
      <c r="Q86" s="66" t="str">
        <f>IFERROR(VLOOKUP(A86,BUFFS!$H$5:$AF$195,17,),"")</f>
        <v/>
      </c>
      <c r="R86" s="66" t="str">
        <f>IFERROR(VLOOKUP(A86,BUFFS!$H$5:$AF$195,19,),"")</f>
        <v/>
      </c>
      <c r="S86" s="69" t="str">
        <f t="shared" si="6"/>
        <v/>
      </c>
      <c r="T86" s="70" t="str">
        <f>IFERROR(VLOOKUP(A86,BUFFS!$H$5:$AF$195,20,),"")</f>
        <v/>
      </c>
    </row>
    <row r="87" spans="1:20" x14ac:dyDescent="0.35">
      <c r="A87" s="17"/>
      <c r="B87" s="18"/>
      <c r="C87" s="13"/>
      <c r="D87" s="31"/>
      <c r="E87" s="24"/>
      <c r="F87" s="71"/>
      <c r="G87" s="66" t="str">
        <f>IFERROR(VLOOKUP(A87,BUFFS!$H$5:$AF$195,6,),"")</f>
        <v/>
      </c>
      <c r="H87" s="67" t="str">
        <f>IFERROR(VLOOKUP(A87,BUFFS!$H$5:$AF$195,7,),"")</f>
        <v/>
      </c>
      <c r="I87" s="66" t="str">
        <f>IFERROR(VLOOKUP(A87,BUFFS!$H$5:$AF$195,9,),"")</f>
        <v/>
      </c>
      <c r="J87" s="65" t="str">
        <f>IFERROR(VLOOKUP(A87,BUFFS!$H$5:$AF$195,10,),"")</f>
        <v/>
      </c>
      <c r="K87" s="66" t="str">
        <f>IFERROR(VLOOKUP(A87,BUFFS!$H$5:$AF$195,11,),"")</f>
        <v/>
      </c>
      <c r="L87" s="66" t="str">
        <f>IFERROR(VLOOKUP(A87,BUFFS!$H$5:$AF$195,12,),"")</f>
        <v/>
      </c>
      <c r="M87" s="66" t="str">
        <f>IFERROR(VLOOKUP(A87,BUFFS!$H$5:$AF$195,14,),"")</f>
        <v/>
      </c>
      <c r="N87" s="68" t="str">
        <f t="shared" si="5"/>
        <v/>
      </c>
      <c r="O87" s="65" t="str">
        <f>IFERROR(VLOOKUP(A87,BUFFS!$H$5:$AF$195,15,),"")</f>
        <v/>
      </c>
      <c r="P87" s="66" t="str">
        <f>IFERROR(VLOOKUP(A87,BUFFS!$H$5:$AF$195,16,),"")</f>
        <v/>
      </c>
      <c r="Q87" s="66" t="str">
        <f>IFERROR(VLOOKUP(A87,BUFFS!$H$5:$AF$195,17,),"")</f>
        <v/>
      </c>
      <c r="R87" s="66" t="str">
        <f>IFERROR(VLOOKUP(A87,BUFFS!$H$5:$AF$195,19,),"")</f>
        <v/>
      </c>
      <c r="S87" s="69" t="str">
        <f t="shared" si="6"/>
        <v/>
      </c>
      <c r="T87" s="70" t="str">
        <f>IFERROR(VLOOKUP(A87,BUFFS!$H$5:$AF$195,20,),"")</f>
        <v/>
      </c>
    </row>
    <row r="88" spans="1:20" x14ac:dyDescent="0.35">
      <c r="A88" s="17"/>
      <c r="B88" s="18"/>
      <c r="C88" s="13"/>
      <c r="D88" s="31"/>
      <c r="E88" s="24"/>
      <c r="F88" s="71"/>
      <c r="G88" s="66" t="str">
        <f>IFERROR(VLOOKUP(A88,BUFFS!$H$5:$AF$195,6,),"")</f>
        <v/>
      </c>
      <c r="H88" s="67" t="str">
        <f>IFERROR(VLOOKUP(A88,BUFFS!$H$5:$AF$195,7,),"")</f>
        <v/>
      </c>
      <c r="I88" s="66" t="str">
        <f>IFERROR(VLOOKUP(A88,BUFFS!$H$5:$AF$195,9,),"")</f>
        <v/>
      </c>
      <c r="J88" s="65" t="str">
        <f>IFERROR(VLOOKUP(A88,BUFFS!$H$5:$AF$195,10,),"")</f>
        <v/>
      </c>
      <c r="K88" s="66" t="str">
        <f>IFERROR(VLOOKUP(A88,BUFFS!$H$5:$AF$195,11,),"")</f>
        <v/>
      </c>
      <c r="L88" s="66" t="str">
        <f>IFERROR(VLOOKUP(A88,BUFFS!$H$5:$AF$195,12,),"")</f>
        <v/>
      </c>
      <c r="M88" s="66" t="str">
        <f>IFERROR(VLOOKUP(A88,BUFFS!$H$5:$AF$195,14,),"")</f>
        <v/>
      </c>
      <c r="N88" s="68" t="str">
        <f t="shared" si="5"/>
        <v/>
      </c>
      <c r="O88" s="65" t="str">
        <f>IFERROR(VLOOKUP(A88,BUFFS!$H$5:$AF$195,15,),"")</f>
        <v/>
      </c>
      <c r="P88" s="66" t="str">
        <f>IFERROR(VLOOKUP(A88,BUFFS!$H$5:$AF$195,16,),"")</f>
        <v/>
      </c>
      <c r="Q88" s="66" t="str">
        <f>IFERROR(VLOOKUP(A88,BUFFS!$H$5:$AF$195,17,),"")</f>
        <v/>
      </c>
      <c r="R88" s="66" t="str">
        <f>IFERROR(VLOOKUP(A88,BUFFS!$H$5:$AF$195,19,),"")</f>
        <v/>
      </c>
      <c r="S88" s="69" t="str">
        <f t="shared" si="6"/>
        <v/>
      </c>
      <c r="T88" s="70" t="str">
        <f>IFERROR(VLOOKUP(A88,BUFFS!$H$5:$AF$195,20,),"")</f>
        <v/>
      </c>
    </row>
    <row r="89" spans="1:20" x14ac:dyDescent="0.35">
      <c r="A89" s="17"/>
      <c r="B89" s="18"/>
      <c r="C89" s="13"/>
      <c r="D89" s="31"/>
      <c r="E89" s="24"/>
      <c r="F89" s="71"/>
      <c r="G89" s="66" t="str">
        <f>IFERROR(VLOOKUP(A89,BUFFS!$H$5:$AF$195,6,),"")</f>
        <v/>
      </c>
      <c r="H89" s="67" t="str">
        <f>IFERROR(VLOOKUP(A89,BUFFS!$H$5:$AF$195,7,),"")</f>
        <v/>
      </c>
      <c r="I89" s="66" t="str">
        <f>IFERROR(VLOOKUP(A89,BUFFS!$H$5:$AF$195,9,),"")</f>
        <v/>
      </c>
      <c r="J89" s="65" t="str">
        <f>IFERROR(VLOOKUP(A89,BUFFS!$H$5:$AF$195,10,),"")</f>
        <v/>
      </c>
      <c r="K89" s="66" t="str">
        <f>IFERROR(VLOOKUP(A89,BUFFS!$H$5:$AF$195,11,),"")</f>
        <v/>
      </c>
      <c r="L89" s="66" t="str">
        <f>IFERROR(VLOOKUP(A89,BUFFS!$H$5:$AF$195,12,),"")</f>
        <v/>
      </c>
      <c r="M89" s="66" t="str">
        <f>IFERROR(VLOOKUP(A89,BUFFS!$H$5:$AF$195,14,),"")</f>
        <v/>
      </c>
      <c r="N89" s="68" t="str">
        <f t="shared" si="5"/>
        <v/>
      </c>
      <c r="O89" s="65" t="str">
        <f>IFERROR(VLOOKUP(A89,BUFFS!$H$5:$AF$195,15,),"")</f>
        <v/>
      </c>
      <c r="P89" s="66" t="str">
        <f>IFERROR(VLOOKUP(A89,BUFFS!$H$5:$AF$195,16,),"")</f>
        <v/>
      </c>
      <c r="Q89" s="66" t="str">
        <f>IFERROR(VLOOKUP(A89,BUFFS!$H$5:$AF$195,17,),"")</f>
        <v/>
      </c>
      <c r="R89" s="66" t="str">
        <f>IFERROR(VLOOKUP(A89,BUFFS!$H$5:$AF$195,19,),"")</f>
        <v/>
      </c>
      <c r="S89" s="69" t="str">
        <f t="shared" si="6"/>
        <v/>
      </c>
      <c r="T89" s="70" t="str">
        <f>IFERROR(VLOOKUP(A89,BUFFS!$H$5:$AF$195,20,),"")</f>
        <v/>
      </c>
    </row>
    <row r="90" spans="1:20" x14ac:dyDescent="0.35">
      <c r="A90" s="17"/>
      <c r="B90" s="18"/>
      <c r="C90" s="13"/>
      <c r="D90" s="31"/>
      <c r="E90" s="24"/>
      <c r="F90" s="71"/>
      <c r="G90" s="66" t="str">
        <f>IFERROR(VLOOKUP(A90,BUFFS!$H$5:$AF$195,6,),"")</f>
        <v/>
      </c>
      <c r="H90" s="67" t="str">
        <f>IFERROR(VLOOKUP(A90,BUFFS!$H$5:$AF$195,7,),"")</f>
        <v/>
      </c>
      <c r="I90" s="66" t="str">
        <f>IFERROR(VLOOKUP(A90,BUFFS!$H$5:$AF$195,9,),"")</f>
        <v/>
      </c>
      <c r="J90" s="65" t="str">
        <f>IFERROR(VLOOKUP(A90,BUFFS!$H$5:$AF$195,10,),"")</f>
        <v/>
      </c>
      <c r="K90" s="66" t="str">
        <f>IFERROR(VLOOKUP(A90,BUFFS!$H$5:$AF$195,11,),"")</f>
        <v/>
      </c>
      <c r="L90" s="66" t="str">
        <f>IFERROR(VLOOKUP(A90,BUFFS!$H$5:$AF$195,12,),"")</f>
        <v/>
      </c>
      <c r="M90" s="66" t="str">
        <f>IFERROR(VLOOKUP(A90,BUFFS!$H$5:$AF$195,14,),"")</f>
        <v/>
      </c>
      <c r="N90" s="68" t="str">
        <f t="shared" si="5"/>
        <v/>
      </c>
      <c r="O90" s="65" t="str">
        <f>IFERROR(VLOOKUP(A90,BUFFS!$H$5:$AF$195,15,),"")</f>
        <v/>
      </c>
      <c r="P90" s="66" t="str">
        <f>IFERROR(VLOOKUP(A90,BUFFS!$H$5:$AF$195,16,),"")</f>
        <v/>
      </c>
      <c r="Q90" s="66" t="str">
        <f>IFERROR(VLOOKUP(A90,BUFFS!$H$5:$AF$195,17,),"")</f>
        <v/>
      </c>
      <c r="R90" s="66" t="str">
        <f>IFERROR(VLOOKUP(A90,BUFFS!$H$5:$AF$195,19,),"")</f>
        <v/>
      </c>
      <c r="S90" s="69" t="str">
        <f t="shared" si="6"/>
        <v/>
      </c>
      <c r="T90" s="70" t="str">
        <f>IFERROR(VLOOKUP(A90,BUFFS!$H$5:$AF$195,20,),"")</f>
        <v/>
      </c>
    </row>
    <row r="91" spans="1:20" x14ac:dyDescent="0.35">
      <c r="A91" s="17"/>
      <c r="B91" s="18"/>
      <c r="C91" s="13"/>
      <c r="D91" s="31"/>
      <c r="E91" s="24"/>
      <c r="F91" s="71"/>
      <c r="G91" s="66" t="str">
        <f>IFERROR(VLOOKUP(A91,BUFFS!$H$5:$AF$195,6,),"")</f>
        <v/>
      </c>
      <c r="H91" s="67" t="str">
        <f>IFERROR(VLOOKUP(A91,BUFFS!$H$5:$AF$195,7,),"")</f>
        <v/>
      </c>
      <c r="I91" s="66" t="str">
        <f>IFERROR(VLOOKUP(A91,BUFFS!$H$5:$AF$195,9,),"")</f>
        <v/>
      </c>
      <c r="J91" s="65" t="str">
        <f>IFERROR(VLOOKUP(A91,BUFFS!$H$5:$AF$195,10,),"")</f>
        <v/>
      </c>
      <c r="K91" s="66" t="str">
        <f>IFERROR(VLOOKUP(A91,BUFFS!$H$5:$AF$195,11,),"")</f>
        <v/>
      </c>
      <c r="L91" s="66" t="str">
        <f>IFERROR(VLOOKUP(A91,BUFFS!$H$5:$AF$195,12,),"")</f>
        <v/>
      </c>
      <c r="M91" s="66" t="str">
        <f>IFERROR(VLOOKUP(A91,BUFFS!$H$5:$AF$195,14,),"")</f>
        <v/>
      </c>
      <c r="N91" s="68" t="str">
        <f t="shared" si="5"/>
        <v/>
      </c>
      <c r="O91" s="65" t="str">
        <f>IFERROR(VLOOKUP(A91,BUFFS!$H$5:$AF$195,15,),"")</f>
        <v/>
      </c>
      <c r="P91" s="66" t="str">
        <f>IFERROR(VLOOKUP(A91,BUFFS!$H$5:$AF$195,16,),"")</f>
        <v/>
      </c>
      <c r="Q91" s="66" t="str">
        <f>IFERROR(VLOOKUP(A91,BUFFS!$H$5:$AF$195,17,),"")</f>
        <v/>
      </c>
      <c r="R91" s="66" t="str">
        <f>IFERROR(VLOOKUP(A91,BUFFS!$H$5:$AF$195,19,),"")</f>
        <v/>
      </c>
      <c r="S91" s="69" t="str">
        <f t="shared" si="6"/>
        <v/>
      </c>
      <c r="T91" s="70" t="str">
        <f>IFERROR(VLOOKUP(A91,BUFFS!$H$5:$AF$195,20,),"")</f>
        <v/>
      </c>
    </row>
    <row r="92" spans="1:20" x14ac:dyDescent="0.35">
      <c r="A92" s="17"/>
      <c r="B92" s="18"/>
      <c r="C92" s="13"/>
      <c r="D92" s="31"/>
      <c r="E92" s="24"/>
      <c r="F92" s="71"/>
      <c r="G92" s="66" t="str">
        <f>IFERROR(VLOOKUP(A92,BUFFS!$H$5:$AF$195,6,),"")</f>
        <v/>
      </c>
      <c r="H92" s="67" t="str">
        <f>IFERROR(VLOOKUP(A92,BUFFS!$H$5:$AF$195,7,),"")</f>
        <v/>
      </c>
      <c r="I92" s="66" t="str">
        <f>IFERROR(VLOOKUP(A92,BUFFS!$H$5:$AF$195,9,),"")</f>
        <v/>
      </c>
      <c r="J92" s="65" t="str">
        <f>IFERROR(VLOOKUP(A92,BUFFS!$H$5:$AF$195,10,),"")</f>
        <v/>
      </c>
      <c r="K92" s="66" t="str">
        <f>IFERROR(VLOOKUP(A92,BUFFS!$H$5:$AF$195,11,),"")</f>
        <v/>
      </c>
      <c r="L92" s="72"/>
      <c r="M92" s="66" t="str">
        <f>IFERROR(VLOOKUP(A92,BUFFS!$H$5:$AF$195,14,),"")</f>
        <v/>
      </c>
      <c r="N92" s="68" t="str">
        <f t="shared" si="5"/>
        <v/>
      </c>
      <c r="O92" s="65" t="str">
        <f>IFERROR(VLOOKUP(A92,BUFFS!$H$5:$AF$195,15,),"")</f>
        <v/>
      </c>
      <c r="P92" s="66" t="str">
        <f>IFERROR(VLOOKUP(A92,BUFFS!$H$5:$AF$195,16,),"")</f>
        <v/>
      </c>
      <c r="Q92" s="66" t="str">
        <f>IFERROR(VLOOKUP(A92,BUFFS!$H$5:$AF$195,17,),"")</f>
        <v/>
      </c>
      <c r="R92" s="66" t="str">
        <f>IFERROR(VLOOKUP(A92,BUFFS!$H$5:$AF$195,19,),"")</f>
        <v/>
      </c>
      <c r="S92" s="69" t="str">
        <f t="shared" si="6"/>
        <v/>
      </c>
      <c r="T92" s="70" t="str">
        <f>IFERROR(VLOOKUP(A92,BUFFS!$H$5:$AF$195,20,),"")</f>
        <v/>
      </c>
    </row>
    <row r="93" spans="1:20" x14ac:dyDescent="0.35">
      <c r="A93" s="17"/>
      <c r="B93" s="18"/>
      <c r="C93" s="13"/>
      <c r="D93" s="31"/>
      <c r="E93" s="24"/>
      <c r="F93" s="71"/>
      <c r="G93" s="66" t="str">
        <f>IFERROR(VLOOKUP(A93,BUFFS!$H$5:$AF$195,6,),"")</f>
        <v/>
      </c>
      <c r="H93" s="67" t="str">
        <f>IFERROR(VLOOKUP(A93,BUFFS!$H$5:$AF$195,7,),"")</f>
        <v/>
      </c>
      <c r="I93" s="66" t="str">
        <f>IFERROR(VLOOKUP(A93,BUFFS!$H$5:$AF$195,9,),"")</f>
        <v/>
      </c>
      <c r="J93" s="65" t="str">
        <f>IFERROR(VLOOKUP(A93,BUFFS!$H$5:$AF$195,10,),"")</f>
        <v/>
      </c>
      <c r="K93" s="66" t="str">
        <f>IFERROR(VLOOKUP(A93,BUFFS!$H$5:$AF$195,11,),"")</f>
        <v/>
      </c>
      <c r="L93" s="72"/>
      <c r="M93" s="66" t="str">
        <f>IFERROR(VLOOKUP(A93,BUFFS!$H$5:$AF$195,14,),"")</f>
        <v/>
      </c>
      <c r="N93" s="68" t="str">
        <f t="shared" si="5"/>
        <v/>
      </c>
      <c r="O93" s="65" t="str">
        <f>IFERROR(VLOOKUP(A93,BUFFS!$H$5:$AF$195,15,),"")</f>
        <v/>
      </c>
      <c r="P93" s="66" t="str">
        <f>IFERROR(VLOOKUP(A93,BUFFS!$H$5:$AF$195,16,),"")</f>
        <v/>
      </c>
      <c r="Q93" s="66" t="str">
        <f>IFERROR(VLOOKUP(A93,BUFFS!$H$5:$AF$195,17,),"")</f>
        <v/>
      </c>
      <c r="R93" s="66" t="str">
        <f>IFERROR(VLOOKUP(A93,BUFFS!$H$5:$AF$195,19,),"")</f>
        <v/>
      </c>
      <c r="S93" s="69" t="str">
        <f t="shared" si="6"/>
        <v/>
      </c>
      <c r="T93" s="70" t="str">
        <f>IFERROR(VLOOKUP(A93,BUFFS!$H$5:$AF$195,20,),"")</f>
        <v/>
      </c>
    </row>
    <row r="94" spans="1:20" x14ac:dyDescent="0.35">
      <c r="A94" s="17"/>
      <c r="B94" s="18"/>
      <c r="C94" s="13"/>
      <c r="D94" s="31"/>
      <c r="E94" s="24"/>
      <c r="F94" s="71"/>
      <c r="G94" s="66" t="str">
        <f>IFERROR(VLOOKUP(A94,BUFFS!$H$5:$AF$195,6,),"")</f>
        <v/>
      </c>
      <c r="H94" s="67" t="str">
        <f>IFERROR(VLOOKUP(A94,BUFFS!$H$5:$AF$195,7,),"")</f>
        <v/>
      </c>
      <c r="I94" s="66" t="str">
        <f>IFERROR(VLOOKUP(A94,BUFFS!$H$5:$AF$195,9,),"")</f>
        <v/>
      </c>
      <c r="J94" s="65" t="str">
        <f>IFERROR(VLOOKUP(A94,BUFFS!$H$5:$AF$195,10,),"")</f>
        <v/>
      </c>
      <c r="K94" s="66" t="str">
        <f>IFERROR(VLOOKUP(A94,BUFFS!$H$5:$AF$195,11,),"")</f>
        <v/>
      </c>
      <c r="L94" s="72"/>
      <c r="M94" s="66" t="str">
        <f>IFERROR(VLOOKUP(A94,BUFFS!$H$5:$AF$195,14,),"")</f>
        <v/>
      </c>
      <c r="N94" s="68" t="str">
        <f t="shared" si="5"/>
        <v/>
      </c>
      <c r="O94" s="65" t="str">
        <f>IFERROR(VLOOKUP(A94,BUFFS!$H$5:$AF$195,15,),"")</f>
        <v/>
      </c>
      <c r="P94" s="66" t="str">
        <f>IFERROR(VLOOKUP(A94,BUFFS!$H$5:$AF$195,16,),"")</f>
        <v/>
      </c>
      <c r="Q94" s="66" t="str">
        <f>IFERROR(VLOOKUP(A94,BUFFS!$H$5:$AF$195,17,),"")</f>
        <v/>
      </c>
      <c r="R94" s="66" t="str">
        <f>IFERROR(VLOOKUP(A94,BUFFS!$H$5:$AF$195,19,),"")</f>
        <v/>
      </c>
      <c r="S94" s="69" t="str">
        <f t="shared" si="6"/>
        <v/>
      </c>
      <c r="T94" s="70" t="str">
        <f>IFERROR(VLOOKUP(A94,BUFFS!$H$5:$AF$195,20,),"")</f>
        <v/>
      </c>
    </row>
    <row r="95" spans="1:20" x14ac:dyDescent="0.35">
      <c r="A95" s="17"/>
      <c r="B95" s="18"/>
      <c r="C95" s="13"/>
      <c r="D95" s="31"/>
      <c r="E95" s="24"/>
      <c r="F95" s="71"/>
      <c r="G95" s="66" t="str">
        <f>IFERROR(VLOOKUP(A95,BUFFS!$H$5:$AF$195,6,),"")</f>
        <v/>
      </c>
      <c r="H95" s="67" t="str">
        <f>IFERROR(VLOOKUP(A95,BUFFS!$H$5:$AF$195,7,),"")</f>
        <v/>
      </c>
      <c r="I95" s="66" t="str">
        <f>IFERROR(VLOOKUP(A95,BUFFS!$H$5:$AF$195,9,),"")</f>
        <v/>
      </c>
      <c r="J95" s="65" t="str">
        <f>IFERROR(VLOOKUP(A95,BUFFS!$H$5:$AF$195,10,),"")</f>
        <v/>
      </c>
      <c r="K95" s="66" t="str">
        <f>IFERROR(VLOOKUP(A95,BUFFS!$H$5:$AF$195,11,),"")</f>
        <v/>
      </c>
      <c r="L95" s="72"/>
      <c r="M95" s="66" t="str">
        <f>IFERROR(VLOOKUP(A95,BUFFS!$H$5:$AF$195,14,),"")</f>
        <v/>
      </c>
      <c r="N95" s="68" t="str">
        <f t="shared" si="5"/>
        <v/>
      </c>
      <c r="O95" s="65" t="str">
        <f>IFERROR(VLOOKUP(A95,BUFFS!$H$5:$AF$195,15,),"")</f>
        <v/>
      </c>
      <c r="P95" s="66" t="str">
        <f>IFERROR(VLOOKUP(A95,BUFFS!$H$5:$AF$195,16,),"")</f>
        <v/>
      </c>
      <c r="Q95" s="66" t="str">
        <f>IFERROR(VLOOKUP(A95,BUFFS!$H$5:$AF$195,17,),"")</f>
        <v/>
      </c>
      <c r="R95" s="66" t="str">
        <f>IFERROR(VLOOKUP(A95,BUFFS!$H$5:$AF$195,19,),"")</f>
        <v/>
      </c>
      <c r="S95" s="69" t="str">
        <f t="shared" si="6"/>
        <v/>
      </c>
      <c r="T95" s="70" t="str">
        <f>IFERROR(VLOOKUP(A95,BUFFS!$H$5:$AF$195,20,),"")</f>
        <v/>
      </c>
    </row>
    <row r="96" spans="1:20" x14ac:dyDescent="0.35">
      <c r="A96" s="17"/>
      <c r="B96" s="18"/>
      <c r="C96" s="13"/>
      <c r="D96" s="31"/>
      <c r="E96" s="24"/>
      <c r="F96" s="71"/>
      <c r="G96" s="66" t="str">
        <f>IFERROR(VLOOKUP(A96,BUFFS!$H$5:$AF$195,6,),"")</f>
        <v/>
      </c>
      <c r="H96" s="67" t="str">
        <f>IFERROR(VLOOKUP(A96,BUFFS!$H$5:$AF$195,7,),"")</f>
        <v/>
      </c>
      <c r="I96" s="66" t="str">
        <f>IFERROR(VLOOKUP(A96,BUFFS!$H$5:$AF$195,9,),"")</f>
        <v/>
      </c>
      <c r="J96" s="65" t="str">
        <f>IFERROR(VLOOKUP(A96,BUFFS!$H$5:$AF$195,10,),"")</f>
        <v/>
      </c>
      <c r="K96" s="66" t="str">
        <f>IFERROR(VLOOKUP(A96,BUFFS!$H$5:$AF$195,11,),"")</f>
        <v/>
      </c>
      <c r="L96" s="72"/>
      <c r="M96" s="66" t="str">
        <f>IFERROR(VLOOKUP(A96,BUFFS!$H$5:$AF$195,14,),"")</f>
        <v/>
      </c>
      <c r="N96" s="74"/>
      <c r="O96" s="65" t="str">
        <f>IFERROR(VLOOKUP(A96,BUFFS!$H$5:$AF$195,15,),"")</f>
        <v/>
      </c>
      <c r="P96" s="66" t="str">
        <f>IFERROR(VLOOKUP(A96,BUFFS!$H$5:$AF$195,16,),"")</f>
        <v/>
      </c>
      <c r="Q96" s="66" t="str">
        <f>IFERROR(VLOOKUP(A96,BUFFS!$H$5:$AF$195,17,),"")</f>
        <v/>
      </c>
      <c r="R96" s="66" t="str">
        <f>IFERROR(VLOOKUP(A96,BUFFS!$H$5:$AF$195,19,),"")</f>
        <v/>
      </c>
      <c r="S96" s="69" t="str">
        <f t="shared" si="6"/>
        <v/>
      </c>
      <c r="T96" s="70" t="str">
        <f>IFERROR(VLOOKUP(A96,BUFFS!$H$5:$AF$195,20,),"")</f>
        <v/>
      </c>
    </row>
    <row r="97" spans="1:20" x14ac:dyDescent="0.35">
      <c r="A97" s="17"/>
      <c r="B97" s="18"/>
      <c r="C97" s="13"/>
      <c r="D97" s="31"/>
      <c r="E97" s="24"/>
      <c r="F97" s="71"/>
      <c r="G97" s="66" t="str">
        <f>IFERROR(VLOOKUP(A97,BUFFS!$H$5:$AF$195,6,),"")</f>
        <v/>
      </c>
      <c r="H97" s="67" t="str">
        <f>IFERROR(VLOOKUP(A97,BUFFS!$H$5:$AF$195,7,),"")</f>
        <v/>
      </c>
      <c r="I97" s="66" t="str">
        <f>IFERROR(VLOOKUP(A97,BUFFS!$H$5:$AF$195,9,),"")</f>
        <v/>
      </c>
      <c r="J97" s="65" t="str">
        <f>IFERROR(VLOOKUP(A97,BUFFS!$H$5:$AF$195,10,),"")</f>
        <v/>
      </c>
      <c r="K97" s="66" t="str">
        <f>IFERROR(VLOOKUP(A97,BUFFS!$H$5:$AF$195,11,),"")</f>
        <v/>
      </c>
      <c r="L97" s="72"/>
      <c r="M97" s="66" t="str">
        <f>IFERROR(VLOOKUP(A97,BUFFS!$H$5:$AF$195,14,),"")</f>
        <v/>
      </c>
      <c r="N97" s="74"/>
      <c r="O97" s="65" t="str">
        <f>IFERROR(VLOOKUP(A97,BUFFS!$H$5:$AF$195,15,),"")</f>
        <v/>
      </c>
      <c r="P97" s="66" t="str">
        <f>IFERROR(VLOOKUP(A97,BUFFS!$H$5:$AF$195,16,),"")</f>
        <v/>
      </c>
      <c r="Q97" s="66" t="str">
        <f>IFERROR(VLOOKUP(A97,BUFFS!$H$5:$AF$195,17,),"")</f>
        <v/>
      </c>
      <c r="R97" s="66" t="str">
        <f>IFERROR(VLOOKUP(A97,BUFFS!$H$5:$AF$195,19,),"")</f>
        <v/>
      </c>
      <c r="S97" s="69" t="str">
        <f t="shared" si="6"/>
        <v/>
      </c>
      <c r="T97" s="70" t="str">
        <f>IFERROR(VLOOKUP(A97,BUFFS!$H$5:$AF$195,20,),"")</f>
        <v/>
      </c>
    </row>
    <row r="98" spans="1:20" x14ac:dyDescent="0.35">
      <c r="A98" s="17"/>
      <c r="B98" s="18"/>
      <c r="C98" s="13"/>
      <c r="D98" s="31"/>
      <c r="E98" s="24"/>
      <c r="F98" s="71"/>
      <c r="G98" s="66" t="str">
        <f>IFERROR(VLOOKUP(A98,BUFFS!$H$5:$AF$195,6,),"")</f>
        <v/>
      </c>
      <c r="H98" s="67" t="str">
        <f>IFERROR(VLOOKUP(A98,BUFFS!$H$5:$AF$195,7,),"")</f>
        <v/>
      </c>
      <c r="I98" s="66" t="str">
        <f>IFERROR(VLOOKUP(A98,BUFFS!$H$5:$AF$195,9,),"")</f>
        <v/>
      </c>
      <c r="J98" s="65" t="str">
        <f>IFERROR(VLOOKUP(A98,BUFFS!$H$5:$AF$195,10,),"")</f>
        <v/>
      </c>
      <c r="K98" s="66" t="str">
        <f>IFERROR(VLOOKUP(A98,BUFFS!$H$5:$AF$195,11,),"")</f>
        <v/>
      </c>
      <c r="L98" s="72"/>
      <c r="M98" s="66" t="str">
        <f>IFERROR(VLOOKUP(A98,BUFFS!$H$5:$AF$195,14,),"")</f>
        <v/>
      </c>
      <c r="N98" s="74"/>
      <c r="O98" s="65" t="str">
        <f>IFERROR(VLOOKUP(A98,BUFFS!$H$5:$AF$195,15,),"")</f>
        <v/>
      </c>
      <c r="P98" s="66" t="str">
        <f>IFERROR(VLOOKUP(A98,BUFFS!$H$5:$AF$195,16,),"")</f>
        <v/>
      </c>
      <c r="Q98" s="66" t="str">
        <f>IFERROR(VLOOKUP(A98,BUFFS!$H$5:$AF$195,17,),"")</f>
        <v/>
      </c>
      <c r="R98" s="66" t="str">
        <f>IFERROR(VLOOKUP(A98,BUFFS!$H$5:$AF$195,19,),"")</f>
        <v/>
      </c>
      <c r="S98" s="69" t="str">
        <f t="shared" si="6"/>
        <v/>
      </c>
      <c r="T98" s="70" t="str">
        <f>IFERROR(VLOOKUP(A98,BUFFS!$H$5:$AF$195,20,),"")</f>
        <v/>
      </c>
    </row>
    <row r="99" spans="1:20" x14ac:dyDescent="0.35">
      <c r="A99" s="17"/>
      <c r="B99" s="18"/>
      <c r="C99" s="13"/>
      <c r="D99" s="31"/>
      <c r="E99" s="24"/>
      <c r="F99" s="71"/>
      <c r="G99" s="66" t="str">
        <f>IFERROR(VLOOKUP(A99,BUFFS!$H$5:$AF$195,6,),"")</f>
        <v/>
      </c>
      <c r="H99" s="67" t="str">
        <f>IFERROR(VLOOKUP(A99,BUFFS!$H$5:$AF$195,7,),"")</f>
        <v/>
      </c>
      <c r="I99" s="66" t="str">
        <f>IFERROR(VLOOKUP(A99,BUFFS!$H$5:$AF$195,9,),"")</f>
        <v/>
      </c>
      <c r="J99" s="65" t="str">
        <f>IFERROR(VLOOKUP(A99,BUFFS!$H$5:$AF$195,10,),"")</f>
        <v/>
      </c>
      <c r="K99" s="66" t="str">
        <f>IFERROR(VLOOKUP(A99,BUFFS!$H$5:$AF$195,11,),"")</f>
        <v/>
      </c>
      <c r="L99" s="72"/>
      <c r="M99" s="66" t="str">
        <f>IFERROR(VLOOKUP(A99,BUFFS!$H$5:$AF$195,14,),"")</f>
        <v/>
      </c>
      <c r="N99" s="74"/>
      <c r="O99" s="65" t="str">
        <f>IFERROR(VLOOKUP(A99,BUFFS!$H$5:$AF$195,15,),"")</f>
        <v/>
      </c>
      <c r="P99" s="66" t="str">
        <f>IFERROR(VLOOKUP(A99,BUFFS!$H$5:$AF$195,16,),"")</f>
        <v/>
      </c>
      <c r="Q99" s="66" t="str">
        <f>IFERROR(VLOOKUP(A99,BUFFS!$H$5:$AF$195,17,),"")</f>
        <v/>
      </c>
      <c r="R99" s="66" t="str">
        <f>IFERROR(VLOOKUP(A99,BUFFS!$H$5:$AF$195,19,),"")</f>
        <v/>
      </c>
      <c r="S99" s="69" t="str">
        <f t="shared" si="6"/>
        <v/>
      </c>
      <c r="T99" s="70" t="str">
        <f>IFERROR(VLOOKUP(A99,BUFFS!$H$5:$AF$195,20,),"")</f>
        <v/>
      </c>
    </row>
    <row r="100" spans="1:20" x14ac:dyDescent="0.35">
      <c r="A100" s="17"/>
      <c r="B100" s="18"/>
      <c r="C100" s="13"/>
      <c r="D100" s="31"/>
      <c r="E100" s="24"/>
      <c r="F100" s="71"/>
      <c r="G100" s="66" t="str">
        <f>IFERROR(VLOOKUP(A100,BUFFS!$H$5:$AF$195,6,),"")</f>
        <v/>
      </c>
      <c r="H100" s="67" t="str">
        <f>IFERROR(VLOOKUP(A100,BUFFS!$H$5:$AF$195,7,),"")</f>
        <v/>
      </c>
      <c r="I100" s="66" t="str">
        <f>IFERROR(VLOOKUP(A100,BUFFS!$H$5:$AF$195,9,),"")</f>
        <v/>
      </c>
      <c r="J100" s="65" t="str">
        <f>IFERROR(VLOOKUP(A100,BUFFS!$H$5:$AF$195,10,),"")</f>
        <v/>
      </c>
      <c r="K100" s="66" t="str">
        <f>IFERROR(VLOOKUP(A100,BUFFS!$H$5:$AF$195,11,),"")</f>
        <v/>
      </c>
      <c r="L100" s="72"/>
      <c r="M100" s="66" t="str">
        <f>IFERROR(VLOOKUP(A100,BUFFS!$H$5:$AF$195,14,),"")</f>
        <v/>
      </c>
      <c r="N100" s="74"/>
      <c r="O100" s="65" t="str">
        <f>IFERROR(VLOOKUP(A100,BUFFS!$H$5:$AF$195,15,),"")</f>
        <v/>
      </c>
      <c r="P100" s="66" t="str">
        <f>IFERROR(VLOOKUP(A100,BUFFS!$H$5:$AF$195,16,),"")</f>
        <v/>
      </c>
      <c r="Q100" s="66" t="str">
        <f>IFERROR(VLOOKUP(A100,BUFFS!$H$5:$AF$195,17,),"")</f>
        <v/>
      </c>
      <c r="R100" s="66" t="str">
        <f>IFERROR(VLOOKUP(A100,BUFFS!$H$5:$AF$195,19,),"")</f>
        <v/>
      </c>
      <c r="S100" s="69" t="str">
        <f t="shared" ref="S100:S147" si="7">IFERROR(SUM(Q100,ROUNDDOWN(MIN(B100,T$35)*R100,0)),"")</f>
        <v/>
      </c>
      <c r="T100" s="70" t="str">
        <f>IFERROR(VLOOKUP(A100,BUFFS!$H$5:$AF$195,20,),"")</f>
        <v/>
      </c>
    </row>
    <row r="101" spans="1:20" x14ac:dyDescent="0.35">
      <c r="A101" s="17"/>
      <c r="B101" s="18"/>
      <c r="C101" s="13"/>
      <c r="D101" s="31"/>
      <c r="E101" s="24"/>
      <c r="F101" s="71"/>
      <c r="G101" s="66" t="str">
        <f>IFERROR(VLOOKUP(A101,BUFFS!$H$5:$AF$195,6,),"")</f>
        <v/>
      </c>
      <c r="H101" s="67" t="str">
        <f>IFERROR(VLOOKUP(A101,BUFFS!$H$5:$AF$195,7,),"")</f>
        <v/>
      </c>
      <c r="I101" s="66" t="str">
        <f>IFERROR(VLOOKUP(A101,BUFFS!$H$5:$AF$195,9,),"")</f>
        <v/>
      </c>
      <c r="J101" s="65" t="str">
        <f>IFERROR(VLOOKUP(A101,BUFFS!$H$5:$AF$195,10,),"")</f>
        <v/>
      </c>
      <c r="K101" s="66" t="str">
        <f>IFERROR(VLOOKUP(A101,BUFFS!$H$5:$AF$195,11,),"")</f>
        <v/>
      </c>
      <c r="L101" s="72"/>
      <c r="M101" s="66" t="str">
        <f>IFERROR(VLOOKUP(A101,BUFFS!$H$5:$AF$195,14,),"")</f>
        <v/>
      </c>
      <c r="N101" s="74"/>
      <c r="O101" s="65" t="str">
        <f>IFERROR(VLOOKUP(A101,BUFFS!$H$5:$AF$195,15,),"")</f>
        <v/>
      </c>
      <c r="P101" s="66" t="str">
        <f>IFERROR(VLOOKUP(A101,BUFFS!$H$5:$AF$195,16,),"")</f>
        <v/>
      </c>
      <c r="Q101" s="66" t="str">
        <f>IFERROR(VLOOKUP(A101,BUFFS!$H$5:$AF$195,17,),"")</f>
        <v/>
      </c>
      <c r="R101" s="66" t="str">
        <f>IFERROR(VLOOKUP(A101,BUFFS!$H$5:$AF$195,19,),"")</f>
        <v/>
      </c>
      <c r="S101" s="69" t="str">
        <f t="shared" si="7"/>
        <v/>
      </c>
      <c r="T101" s="70" t="str">
        <f>IFERROR(VLOOKUP(A101,BUFFS!$H$5:$AF$195,20,),"")</f>
        <v/>
      </c>
    </row>
    <row r="102" spans="1:20" x14ac:dyDescent="0.35">
      <c r="A102" s="17"/>
      <c r="B102" s="18"/>
      <c r="C102" s="13"/>
      <c r="D102" s="31"/>
      <c r="E102" s="24"/>
      <c r="F102" s="71"/>
      <c r="G102" s="66" t="str">
        <f>IFERROR(VLOOKUP(A102,BUFFS!$H$5:$AF$195,6,),"")</f>
        <v/>
      </c>
      <c r="H102" s="67" t="str">
        <f>IFERROR(VLOOKUP(A102,BUFFS!$H$5:$AF$195,7,),"")</f>
        <v/>
      </c>
      <c r="I102" s="66" t="str">
        <f>IFERROR(VLOOKUP(A102,BUFFS!$H$5:$AF$195,9,),"")</f>
        <v/>
      </c>
      <c r="J102" s="65" t="str">
        <f>IFERROR(VLOOKUP(A102,BUFFS!$H$5:$AF$195,10,),"")</f>
        <v/>
      </c>
      <c r="K102" s="66" t="str">
        <f>IFERROR(VLOOKUP(A102,BUFFS!$H$5:$AF$195,11,),"")</f>
        <v/>
      </c>
      <c r="L102" s="72"/>
      <c r="M102" s="66" t="str">
        <f>IFERROR(VLOOKUP(A102,BUFFS!$H$5:$AF$195,14,),"")</f>
        <v/>
      </c>
      <c r="N102" s="74"/>
      <c r="O102" s="65" t="str">
        <f>IFERROR(VLOOKUP(A102,BUFFS!$H$5:$AF$195,15,),"")</f>
        <v/>
      </c>
      <c r="P102" s="66" t="str">
        <f>IFERROR(VLOOKUP(A102,BUFFS!$H$5:$AF$195,16,),"")</f>
        <v/>
      </c>
      <c r="Q102" s="66" t="str">
        <f>IFERROR(VLOOKUP(A102,BUFFS!$H$5:$AF$195,17,),"")</f>
        <v/>
      </c>
      <c r="R102" s="66" t="str">
        <f>IFERROR(VLOOKUP(A102,BUFFS!$H$5:$AF$195,19,),"")</f>
        <v/>
      </c>
      <c r="S102" s="69" t="str">
        <f t="shared" si="7"/>
        <v/>
      </c>
      <c r="T102" s="70" t="str">
        <f>IFERROR(VLOOKUP(A102,BUFFS!$H$5:$AF$195,20,),"")</f>
        <v/>
      </c>
    </row>
    <row r="103" spans="1:20" x14ac:dyDescent="0.35">
      <c r="A103" s="17"/>
      <c r="B103" s="18"/>
      <c r="C103" s="13"/>
      <c r="D103" s="31"/>
      <c r="E103" s="24"/>
      <c r="F103" s="71"/>
      <c r="G103" s="66" t="str">
        <f>IFERROR(VLOOKUP(A103,BUFFS!$H$5:$AF$195,6,),"")</f>
        <v/>
      </c>
      <c r="H103" s="67" t="str">
        <f>IFERROR(VLOOKUP(A103,BUFFS!$H$5:$AF$195,7,),"")</f>
        <v/>
      </c>
      <c r="I103" s="66" t="str">
        <f>IFERROR(VLOOKUP(A103,BUFFS!$H$5:$AF$195,9,),"")</f>
        <v/>
      </c>
      <c r="J103" s="65" t="str">
        <f>IFERROR(VLOOKUP(A103,BUFFS!$H$5:$AF$195,10,),"")</f>
        <v/>
      </c>
      <c r="K103" s="66" t="str">
        <f>IFERROR(VLOOKUP(A103,BUFFS!$H$5:$AF$195,11,),"")</f>
        <v/>
      </c>
      <c r="L103" s="72"/>
      <c r="M103" s="66" t="str">
        <f>IFERROR(VLOOKUP(A103,BUFFS!$H$5:$AF$195,14,),"")</f>
        <v/>
      </c>
      <c r="N103" s="74"/>
      <c r="O103" s="65" t="str">
        <f>IFERROR(VLOOKUP(A103,BUFFS!$H$5:$AF$195,15,),"")</f>
        <v/>
      </c>
      <c r="P103" s="66" t="str">
        <f>IFERROR(VLOOKUP(A103,BUFFS!$H$5:$AF$195,16,),"")</f>
        <v/>
      </c>
      <c r="Q103" s="66" t="str">
        <f>IFERROR(VLOOKUP(A103,BUFFS!$H$5:$AF$195,17,),"")</f>
        <v/>
      </c>
      <c r="R103" s="66" t="str">
        <f>IFERROR(VLOOKUP(A103,BUFFS!$H$5:$AF$195,19,),"")</f>
        <v/>
      </c>
      <c r="S103" s="69" t="str">
        <f t="shared" si="7"/>
        <v/>
      </c>
      <c r="T103" s="70" t="str">
        <f>IFERROR(VLOOKUP(A103,BUFFS!$H$5:$AF$195,20,),"")</f>
        <v/>
      </c>
    </row>
    <row r="104" spans="1:20" x14ac:dyDescent="0.35">
      <c r="A104" s="17"/>
      <c r="B104" s="18"/>
      <c r="C104" s="13"/>
      <c r="D104" s="31"/>
      <c r="E104" s="24"/>
      <c r="F104" s="71"/>
      <c r="G104" s="66" t="str">
        <f>IFERROR(VLOOKUP(A104,BUFFS!$H$5:$AF$195,6,),"")</f>
        <v/>
      </c>
      <c r="H104" s="67" t="str">
        <f>IFERROR(VLOOKUP(A104,BUFFS!$H$5:$AF$195,7,),"")</f>
        <v/>
      </c>
      <c r="I104" s="66" t="str">
        <f>IFERROR(VLOOKUP(A104,BUFFS!$H$5:$AF$195,9,),"")</f>
        <v/>
      </c>
      <c r="J104" s="65" t="str">
        <f>IFERROR(VLOOKUP(A104,BUFFS!$H$5:$AF$195,10,),"")</f>
        <v/>
      </c>
      <c r="K104" s="66" t="str">
        <f>IFERROR(VLOOKUP(A104,BUFFS!$H$5:$AF$195,11,),"")</f>
        <v/>
      </c>
      <c r="L104" s="72"/>
      <c r="M104" s="66" t="str">
        <f>IFERROR(VLOOKUP(A104,BUFFS!$H$5:$AF$195,14,),"")</f>
        <v/>
      </c>
      <c r="N104" s="74"/>
      <c r="O104" s="65" t="str">
        <f>IFERROR(VLOOKUP(A104,BUFFS!$H$5:$AF$195,15,),"")</f>
        <v/>
      </c>
      <c r="P104" s="66" t="str">
        <f>IFERROR(VLOOKUP(A104,BUFFS!$H$5:$AF$195,16,),"")</f>
        <v/>
      </c>
      <c r="Q104" s="66" t="str">
        <f>IFERROR(VLOOKUP(A104,BUFFS!$H$5:$AF$195,17,),"")</f>
        <v/>
      </c>
      <c r="R104" s="66" t="str">
        <f>IFERROR(VLOOKUP(A104,BUFFS!$H$5:$AF$195,19,),"")</f>
        <v/>
      </c>
      <c r="S104" s="69" t="str">
        <f t="shared" si="7"/>
        <v/>
      </c>
      <c r="T104" s="70" t="str">
        <f>IFERROR(VLOOKUP(A104,BUFFS!$H$5:$AF$195,20,),"")</f>
        <v/>
      </c>
    </row>
    <row r="105" spans="1:20" x14ac:dyDescent="0.35">
      <c r="A105" s="17"/>
      <c r="B105" s="18"/>
      <c r="C105" s="13"/>
      <c r="D105" s="31"/>
      <c r="E105" s="24"/>
      <c r="F105" s="71"/>
      <c r="G105" s="66" t="str">
        <f>IFERROR(VLOOKUP(A105,BUFFS!$H$5:$AF$195,6,),"")</f>
        <v/>
      </c>
      <c r="H105" s="67" t="str">
        <f>IFERROR(VLOOKUP(A105,BUFFS!$H$5:$AF$195,7,),"")</f>
        <v/>
      </c>
      <c r="I105" s="66" t="str">
        <f>IFERROR(VLOOKUP(A105,BUFFS!$H$5:$AF$195,9,),"")</f>
        <v/>
      </c>
      <c r="J105" s="65" t="str">
        <f>IFERROR(VLOOKUP(A105,BUFFS!$H$5:$AF$195,10,),"")</f>
        <v/>
      </c>
      <c r="K105" s="66" t="str">
        <f>IFERROR(VLOOKUP(A105,BUFFS!$H$5:$AF$195,11,),"")</f>
        <v/>
      </c>
      <c r="L105" s="72"/>
      <c r="M105" s="66" t="str">
        <f>IFERROR(VLOOKUP(A105,BUFFS!$H$5:$AF$195,14,),"")</f>
        <v/>
      </c>
      <c r="N105" s="74"/>
      <c r="O105" s="65" t="str">
        <f>IFERROR(VLOOKUP(A105,BUFFS!$H$5:$AF$195,15,),"")</f>
        <v/>
      </c>
      <c r="P105" s="66" t="str">
        <f>IFERROR(VLOOKUP(A105,BUFFS!$H$5:$AF$195,16,),"")</f>
        <v/>
      </c>
      <c r="Q105" s="66" t="str">
        <f>IFERROR(VLOOKUP(A105,BUFFS!$H$5:$AF$195,17,),"")</f>
        <v/>
      </c>
      <c r="R105" s="66" t="str">
        <f>IFERROR(VLOOKUP(A105,BUFFS!$H$5:$AF$195,19,),"")</f>
        <v/>
      </c>
      <c r="S105" s="69" t="str">
        <f t="shared" si="7"/>
        <v/>
      </c>
      <c r="T105" s="70" t="str">
        <f>IFERROR(VLOOKUP(A105,BUFFS!$H$5:$AF$195,20,),"")</f>
        <v/>
      </c>
    </row>
    <row r="106" spans="1:20" x14ac:dyDescent="0.35">
      <c r="A106" s="17"/>
      <c r="B106" s="18"/>
      <c r="C106" s="13"/>
      <c r="D106" s="31"/>
      <c r="E106" s="24"/>
      <c r="F106" s="71"/>
      <c r="G106" s="66" t="str">
        <f>IFERROR(VLOOKUP(A106,BUFFS!$H$5:$AF$195,6,),"")</f>
        <v/>
      </c>
      <c r="H106" s="67" t="str">
        <f>IFERROR(VLOOKUP(A106,BUFFS!$H$5:$AF$195,7,),"")</f>
        <v/>
      </c>
      <c r="I106" s="66" t="str">
        <f>IFERROR(VLOOKUP(A106,BUFFS!$H$5:$AF$195,9,),"")</f>
        <v/>
      </c>
      <c r="J106" s="65" t="str">
        <f>IFERROR(VLOOKUP(A106,BUFFS!$H$5:$AF$195,10,),"")</f>
        <v/>
      </c>
      <c r="K106" s="66" t="str">
        <f>IFERROR(VLOOKUP(A106,BUFFS!$H$5:$AF$195,11,),"")</f>
        <v/>
      </c>
      <c r="L106" s="72"/>
      <c r="M106" s="66" t="str">
        <f>IFERROR(VLOOKUP(A106,BUFFS!$H$5:$AF$195,14,),"")</f>
        <v/>
      </c>
      <c r="N106" s="74"/>
      <c r="O106" s="65" t="str">
        <f>IFERROR(VLOOKUP(A106,BUFFS!$H$5:$AF$195,15,),"")</f>
        <v/>
      </c>
      <c r="P106" s="66" t="str">
        <f>IFERROR(VLOOKUP(A106,BUFFS!$H$5:$AF$195,16,),"")</f>
        <v/>
      </c>
      <c r="Q106" s="66" t="str">
        <f>IFERROR(VLOOKUP(A106,BUFFS!$H$5:$AF$195,17,),"")</f>
        <v/>
      </c>
      <c r="R106" s="66" t="str">
        <f>IFERROR(VLOOKUP(A106,BUFFS!$H$5:$AF$195,19,),"")</f>
        <v/>
      </c>
      <c r="S106" s="69" t="str">
        <f t="shared" si="7"/>
        <v/>
      </c>
      <c r="T106" s="70" t="str">
        <f>IFERROR(VLOOKUP(A106,BUFFS!$H$5:$AF$195,20,),"")</f>
        <v/>
      </c>
    </row>
    <row r="107" spans="1:20" x14ac:dyDescent="0.35">
      <c r="A107" s="17"/>
      <c r="B107" s="18"/>
      <c r="C107" s="13"/>
      <c r="D107" s="31"/>
      <c r="E107" s="24"/>
      <c r="F107" s="71"/>
      <c r="G107" s="66" t="str">
        <f>IFERROR(VLOOKUP(A107,BUFFS!$H$5:$AF$195,6,),"")</f>
        <v/>
      </c>
      <c r="H107" s="67" t="str">
        <f>IFERROR(VLOOKUP(A107,BUFFS!$H$5:$AF$195,7,),"")</f>
        <v/>
      </c>
      <c r="I107" s="66" t="str">
        <f>IFERROR(VLOOKUP(A107,BUFFS!$H$5:$AF$195,9,),"")</f>
        <v/>
      </c>
      <c r="J107" s="65" t="str">
        <f>IFERROR(VLOOKUP(A107,BUFFS!$H$5:$AF$195,10,),"")</f>
        <v/>
      </c>
      <c r="K107" s="66" t="str">
        <f>IFERROR(VLOOKUP(A107,BUFFS!$H$5:$AF$195,11,),"")</f>
        <v/>
      </c>
      <c r="L107" s="72"/>
      <c r="M107" s="66" t="str">
        <f>IFERROR(VLOOKUP(A107,BUFFS!$H$5:$AF$195,14,),"")</f>
        <v/>
      </c>
      <c r="N107" s="74"/>
      <c r="O107" s="65" t="str">
        <f>IFERROR(VLOOKUP(A107,BUFFS!$H$5:$AF$195,15,),"")</f>
        <v/>
      </c>
      <c r="P107" s="66" t="str">
        <f>IFERROR(VLOOKUP(A107,BUFFS!$H$5:$AF$195,16,),"")</f>
        <v/>
      </c>
      <c r="Q107" s="66" t="str">
        <f>IFERROR(VLOOKUP(A107,BUFFS!$H$5:$AF$195,17,),"")</f>
        <v/>
      </c>
      <c r="R107" s="66" t="str">
        <f>IFERROR(VLOOKUP(A107,BUFFS!$H$5:$AF$195,19,),"")</f>
        <v/>
      </c>
      <c r="S107" s="69" t="str">
        <f t="shared" si="7"/>
        <v/>
      </c>
      <c r="T107" s="70" t="str">
        <f>IFERROR(VLOOKUP(A107,BUFFS!$H$5:$AF$195,20,),"")</f>
        <v/>
      </c>
    </row>
    <row r="108" spans="1:20" x14ac:dyDescent="0.35">
      <c r="A108" s="17"/>
      <c r="B108" s="18"/>
      <c r="C108" s="13"/>
      <c r="D108" s="31"/>
      <c r="E108" s="24"/>
      <c r="F108" s="71"/>
      <c r="G108" s="66" t="str">
        <f>IFERROR(VLOOKUP(A108,BUFFS!$H$5:$AF$195,6,),"")</f>
        <v/>
      </c>
      <c r="H108" s="67" t="str">
        <f>IFERROR(VLOOKUP(A108,BUFFS!$H$5:$AF$195,7,),"")</f>
        <v/>
      </c>
      <c r="I108" s="66" t="str">
        <f>IFERROR(VLOOKUP(A108,BUFFS!$H$5:$AF$195,9,),"")</f>
        <v/>
      </c>
      <c r="J108" s="65" t="str">
        <f>IFERROR(VLOOKUP(A108,BUFFS!$H$5:$AF$195,10,),"")</f>
        <v/>
      </c>
      <c r="K108" s="66" t="str">
        <f>IFERROR(VLOOKUP(A108,BUFFS!$H$5:$AF$195,11,),"")</f>
        <v/>
      </c>
      <c r="L108" s="72"/>
      <c r="M108" s="66" t="str">
        <f>IFERROR(VLOOKUP(A108,BUFFS!$H$5:$AF$195,14,),"")</f>
        <v/>
      </c>
      <c r="N108" s="74"/>
      <c r="O108" s="65" t="str">
        <f>IFERROR(VLOOKUP(A108,BUFFS!$H$5:$AF$195,15,),"")</f>
        <v/>
      </c>
      <c r="P108" s="66" t="str">
        <f>IFERROR(VLOOKUP(A108,BUFFS!$H$5:$AF$195,16,),"")</f>
        <v/>
      </c>
      <c r="Q108" s="66" t="str">
        <f>IFERROR(VLOOKUP(A108,BUFFS!$H$5:$AF$195,17,),"")</f>
        <v/>
      </c>
      <c r="R108" s="66" t="str">
        <f>IFERROR(VLOOKUP(A108,BUFFS!$H$5:$AF$195,19,),"")</f>
        <v/>
      </c>
      <c r="S108" s="69" t="str">
        <f t="shared" si="7"/>
        <v/>
      </c>
      <c r="T108" s="70" t="str">
        <f>IFERROR(VLOOKUP(A108,BUFFS!$H$5:$AF$195,20,),"")</f>
        <v/>
      </c>
    </row>
    <row r="109" spans="1:20" x14ac:dyDescent="0.35">
      <c r="A109" s="17"/>
      <c r="B109" s="18"/>
      <c r="C109" s="13"/>
      <c r="D109" s="31"/>
      <c r="E109" s="24"/>
      <c r="F109" s="71"/>
      <c r="G109" s="66" t="str">
        <f>IFERROR(VLOOKUP(A109,BUFFS!$H$5:$AF$195,6,),"")</f>
        <v/>
      </c>
      <c r="H109" s="67" t="str">
        <f>IFERROR(VLOOKUP(A109,BUFFS!$H$5:$AF$195,7,),"")</f>
        <v/>
      </c>
      <c r="I109" s="66" t="str">
        <f>IFERROR(VLOOKUP(A109,BUFFS!$H$5:$AF$195,9,),"")</f>
        <v/>
      </c>
      <c r="J109" s="65" t="str">
        <f>IFERROR(VLOOKUP(A109,BUFFS!$H$5:$AF$195,10,),"")</f>
        <v/>
      </c>
      <c r="K109" s="66" t="str">
        <f>IFERROR(VLOOKUP(A109,BUFFS!$H$5:$AF$195,11,),"")</f>
        <v/>
      </c>
      <c r="L109" s="72"/>
      <c r="M109" s="66" t="str">
        <f>IFERROR(VLOOKUP(A109,BUFFS!$H$5:$AF$195,14,),"")</f>
        <v/>
      </c>
      <c r="N109" s="74"/>
      <c r="O109" s="65" t="str">
        <f>IFERROR(VLOOKUP(A109,BUFFS!$H$5:$AF$195,15,),"")</f>
        <v/>
      </c>
      <c r="P109" s="66" t="str">
        <f>IFERROR(VLOOKUP(A109,BUFFS!$H$5:$AF$195,16,),"")</f>
        <v/>
      </c>
      <c r="Q109" s="66" t="str">
        <f>IFERROR(VLOOKUP(A109,BUFFS!$H$5:$AF$195,17,),"")</f>
        <v/>
      </c>
      <c r="R109" s="66" t="str">
        <f>IFERROR(VLOOKUP(A109,BUFFS!$H$5:$AF$195,19,),"")</f>
        <v/>
      </c>
      <c r="S109" s="69" t="str">
        <f t="shared" si="7"/>
        <v/>
      </c>
      <c r="T109" s="70" t="str">
        <f>IFERROR(VLOOKUP(A109,BUFFS!$H$5:$AF$195,20,),"")</f>
        <v/>
      </c>
    </row>
    <row r="110" spans="1:20" x14ac:dyDescent="0.35">
      <c r="A110" s="17"/>
      <c r="B110" s="18"/>
      <c r="C110" s="13"/>
      <c r="D110" s="31"/>
      <c r="E110" s="24"/>
      <c r="F110" s="71"/>
      <c r="G110" s="66" t="str">
        <f>IFERROR(VLOOKUP(A110,BUFFS!$H$5:$AF$195,6,),"")</f>
        <v/>
      </c>
      <c r="H110" s="67" t="str">
        <f>IFERROR(VLOOKUP(A110,BUFFS!$H$5:$AF$195,7,),"")</f>
        <v/>
      </c>
      <c r="I110" s="66" t="str">
        <f>IFERROR(VLOOKUP(A110,BUFFS!$H$5:$AF$195,9,),"")</f>
        <v/>
      </c>
      <c r="J110" s="65" t="str">
        <f>IFERROR(VLOOKUP(A110,BUFFS!$H$5:$AF$195,10,),"")</f>
        <v/>
      </c>
      <c r="K110" s="66" t="str">
        <f>IFERROR(VLOOKUP(A110,BUFFS!$H$5:$AF$195,11,),"")</f>
        <v/>
      </c>
      <c r="L110" s="72"/>
      <c r="M110" s="66" t="str">
        <f>IFERROR(VLOOKUP(A110,BUFFS!$H$5:$AF$195,14,),"")</f>
        <v/>
      </c>
      <c r="N110" s="74"/>
      <c r="O110" s="65" t="str">
        <f>IFERROR(VLOOKUP(A110,BUFFS!$H$5:$AF$195,15,),"")</f>
        <v/>
      </c>
      <c r="P110" s="66" t="str">
        <f>IFERROR(VLOOKUP(A110,BUFFS!$H$5:$AF$195,16,),"")</f>
        <v/>
      </c>
      <c r="Q110" s="66" t="str">
        <f>IFERROR(VLOOKUP(A110,BUFFS!$H$5:$AF$195,17,),"")</f>
        <v/>
      </c>
      <c r="R110" s="66" t="str">
        <f>IFERROR(VLOOKUP(A110,BUFFS!$H$5:$AF$195,19,),"")</f>
        <v/>
      </c>
      <c r="S110" s="69" t="str">
        <f t="shared" si="7"/>
        <v/>
      </c>
      <c r="T110" s="70" t="str">
        <f>IFERROR(VLOOKUP(A110,BUFFS!$H$5:$AF$195,20,),"")</f>
        <v/>
      </c>
    </row>
    <row r="111" spans="1:20" x14ac:dyDescent="0.35">
      <c r="A111" s="17"/>
      <c r="B111" s="18"/>
      <c r="C111" s="13"/>
      <c r="D111" s="31"/>
      <c r="E111" s="24"/>
      <c r="F111" s="71"/>
      <c r="G111" s="66" t="str">
        <f>IFERROR(VLOOKUP(A111,BUFFS!$H$5:$AF$195,6,),"")</f>
        <v/>
      </c>
      <c r="H111" s="67" t="str">
        <f>IFERROR(VLOOKUP(A111,BUFFS!$H$5:$AF$195,7,),"")</f>
        <v/>
      </c>
      <c r="I111" s="66" t="str">
        <f>IFERROR(VLOOKUP(A111,BUFFS!$H$5:$AF$195,9,),"")</f>
        <v/>
      </c>
      <c r="J111" s="65" t="str">
        <f>IFERROR(VLOOKUP(A111,BUFFS!$H$5:$AF$195,10,),"")</f>
        <v/>
      </c>
      <c r="K111" s="66" t="str">
        <f>IFERROR(VLOOKUP(A111,BUFFS!$H$5:$AF$195,11,),"")</f>
        <v/>
      </c>
      <c r="L111" s="72"/>
      <c r="M111" s="66" t="str">
        <f>IFERROR(VLOOKUP(A111,BUFFS!$H$5:$AF$195,14,),"")</f>
        <v/>
      </c>
      <c r="N111" s="74"/>
      <c r="O111" s="65" t="str">
        <f>IFERROR(VLOOKUP(A111,BUFFS!$H$5:$AF$195,15,),"")</f>
        <v/>
      </c>
      <c r="P111" s="66" t="str">
        <f>IFERROR(VLOOKUP(A111,BUFFS!$H$5:$AF$195,16,),"")</f>
        <v/>
      </c>
      <c r="Q111" s="66" t="str">
        <f>IFERROR(VLOOKUP(A111,BUFFS!$H$5:$AF$195,17,),"")</f>
        <v/>
      </c>
      <c r="R111" s="66" t="str">
        <f>IFERROR(VLOOKUP(A111,BUFFS!$H$5:$AF$195,19,),"")</f>
        <v/>
      </c>
      <c r="S111" s="69" t="str">
        <f t="shared" si="7"/>
        <v/>
      </c>
      <c r="T111" s="70" t="str">
        <f>IFERROR(VLOOKUP(A111,BUFFS!$H$5:$AF$195,20,),"")</f>
        <v/>
      </c>
    </row>
    <row r="112" spans="1:20" x14ac:dyDescent="0.35">
      <c r="A112" s="17"/>
      <c r="B112" s="18"/>
      <c r="C112" s="13"/>
      <c r="D112" s="31"/>
      <c r="E112" s="24"/>
      <c r="F112" s="71"/>
      <c r="G112" s="66" t="str">
        <f>IFERROR(VLOOKUP(A112,BUFFS!$H$5:$AF$195,6,),"")</f>
        <v/>
      </c>
      <c r="H112" s="67" t="str">
        <f>IFERROR(VLOOKUP(A112,BUFFS!$H$5:$AF$195,7,),"")</f>
        <v/>
      </c>
      <c r="I112" s="66" t="str">
        <f>IFERROR(VLOOKUP(A112,BUFFS!$H$5:$AF$195,9,),"")</f>
        <v/>
      </c>
      <c r="J112" s="65" t="str">
        <f>IFERROR(VLOOKUP(A112,BUFFS!$H$5:$AF$195,10,),"")</f>
        <v/>
      </c>
      <c r="K112" s="66" t="str">
        <f>IFERROR(VLOOKUP(A112,BUFFS!$H$5:$AF$195,11,),"")</f>
        <v/>
      </c>
      <c r="L112" s="72"/>
      <c r="M112" s="66" t="str">
        <f>IFERROR(VLOOKUP(A112,BUFFS!$H$5:$AF$195,14,),"")</f>
        <v/>
      </c>
      <c r="N112" s="74"/>
      <c r="O112" s="65" t="str">
        <f>IFERROR(VLOOKUP(A112,BUFFS!$H$5:$AF$195,15,),"")</f>
        <v/>
      </c>
      <c r="P112" s="66" t="str">
        <f>IFERROR(VLOOKUP(A112,BUFFS!$H$5:$AF$195,16,),"")</f>
        <v/>
      </c>
      <c r="Q112" s="66" t="str">
        <f>IFERROR(VLOOKUP(A112,BUFFS!$H$5:$AF$195,17,),"")</f>
        <v/>
      </c>
      <c r="R112" s="66" t="str">
        <f>IFERROR(VLOOKUP(A112,BUFFS!$H$5:$AF$195,19,),"")</f>
        <v/>
      </c>
      <c r="S112" s="69" t="str">
        <f t="shared" si="7"/>
        <v/>
      </c>
      <c r="T112" s="70" t="str">
        <f>IFERROR(VLOOKUP(A112,BUFFS!$H$5:$AF$195,20,),"")</f>
        <v/>
      </c>
    </row>
    <row r="113" spans="1:20" x14ac:dyDescent="0.35">
      <c r="A113" s="17"/>
      <c r="B113" s="18"/>
      <c r="C113" s="13"/>
      <c r="D113" s="31"/>
      <c r="E113" s="24"/>
      <c r="F113" s="71"/>
      <c r="G113" s="66" t="str">
        <f>IFERROR(VLOOKUP(A113,BUFFS!$H$5:$AF$195,6,),"")</f>
        <v/>
      </c>
      <c r="H113" s="67" t="str">
        <f>IFERROR(VLOOKUP(A113,BUFFS!$H$5:$AF$195,7,),"")</f>
        <v/>
      </c>
      <c r="I113" s="66" t="str">
        <f>IFERROR(VLOOKUP(A113,BUFFS!$H$5:$AF$195,9,),"")</f>
        <v/>
      </c>
      <c r="J113" s="65" t="str">
        <f>IFERROR(VLOOKUP(A113,BUFFS!$H$5:$AF$195,10,),"")</f>
        <v/>
      </c>
      <c r="K113" s="66" t="str">
        <f>IFERROR(VLOOKUP(A113,BUFFS!$H$5:$AF$195,11,),"")</f>
        <v/>
      </c>
      <c r="L113" s="72"/>
      <c r="M113" s="66" t="str">
        <f>IFERROR(VLOOKUP(A113,BUFFS!$H$5:$AF$195,14,),"")</f>
        <v/>
      </c>
      <c r="N113" s="74"/>
      <c r="O113" s="65" t="str">
        <f>IFERROR(VLOOKUP(A113,BUFFS!$H$5:$AF$195,15,),"")</f>
        <v/>
      </c>
      <c r="P113" s="66" t="str">
        <f>IFERROR(VLOOKUP(A113,BUFFS!$H$5:$AF$195,16,),"")</f>
        <v/>
      </c>
      <c r="Q113" s="66" t="str">
        <f>IFERROR(VLOOKUP(A113,BUFFS!$H$5:$AF$195,17,),"")</f>
        <v/>
      </c>
      <c r="R113" s="66" t="str">
        <f>IFERROR(VLOOKUP(A113,BUFFS!$H$5:$AF$195,19,),"")</f>
        <v/>
      </c>
      <c r="S113" s="69" t="str">
        <f t="shared" si="7"/>
        <v/>
      </c>
      <c r="T113" s="70" t="str">
        <f>IFERROR(VLOOKUP(A113,BUFFS!$H$5:$AF$195,20,),"")</f>
        <v/>
      </c>
    </row>
    <row r="114" spans="1:20" x14ac:dyDescent="0.35">
      <c r="A114" s="17"/>
      <c r="B114" s="18"/>
      <c r="C114" s="13"/>
      <c r="D114" s="31"/>
      <c r="E114" s="24"/>
      <c r="F114" s="71"/>
      <c r="G114" s="66" t="str">
        <f>IFERROR(VLOOKUP(A114,BUFFS!$H$5:$AF$195,6,),"")</f>
        <v/>
      </c>
      <c r="H114" s="67" t="str">
        <f>IFERROR(VLOOKUP(A114,BUFFS!$H$5:$AF$195,7,),"")</f>
        <v/>
      </c>
      <c r="I114" s="66" t="str">
        <f>IFERROR(VLOOKUP(A114,BUFFS!$H$5:$AF$195,9,),"")</f>
        <v/>
      </c>
      <c r="J114" s="65" t="str">
        <f>IFERROR(VLOOKUP(A114,BUFFS!$H$5:$AF$195,10,),"")</f>
        <v/>
      </c>
      <c r="K114" s="66" t="str">
        <f>IFERROR(VLOOKUP(A114,BUFFS!$H$5:$AF$195,11,),"")</f>
        <v/>
      </c>
      <c r="L114" s="72"/>
      <c r="M114" s="66" t="str">
        <f>IFERROR(VLOOKUP(A114,BUFFS!$H$5:$AF$195,14,),"")</f>
        <v/>
      </c>
      <c r="N114" s="74"/>
      <c r="O114" s="65" t="str">
        <f>IFERROR(VLOOKUP(A114,BUFFS!$H$5:$AF$195,15,),"")</f>
        <v/>
      </c>
      <c r="P114" s="66" t="str">
        <f>IFERROR(VLOOKUP(A114,BUFFS!$H$5:$AF$195,16,),"")</f>
        <v/>
      </c>
      <c r="Q114" s="66" t="str">
        <f>IFERROR(VLOOKUP(A114,BUFFS!$H$5:$AF$195,17,),"")</f>
        <v/>
      </c>
      <c r="R114" s="66" t="str">
        <f>IFERROR(VLOOKUP(A114,BUFFS!$H$5:$AF$195,19,),"")</f>
        <v/>
      </c>
      <c r="S114" s="69" t="str">
        <f t="shared" si="7"/>
        <v/>
      </c>
      <c r="T114" s="70" t="str">
        <f>IFERROR(VLOOKUP(A114,BUFFS!$H$5:$AF$195,20,),"")</f>
        <v/>
      </c>
    </row>
    <row r="115" spans="1:20" x14ac:dyDescent="0.35">
      <c r="A115" s="17"/>
      <c r="B115" s="18"/>
      <c r="C115" s="13"/>
      <c r="D115" s="31"/>
      <c r="E115" s="24"/>
      <c r="F115" s="71"/>
      <c r="G115" s="66" t="str">
        <f>IFERROR(VLOOKUP(A115,BUFFS!$H$5:$AF$195,6,),"")</f>
        <v/>
      </c>
      <c r="H115" s="67" t="str">
        <f>IFERROR(VLOOKUP(A115,BUFFS!$H$5:$AF$195,7,),"")</f>
        <v/>
      </c>
      <c r="I115" s="66" t="str">
        <f>IFERROR(VLOOKUP(A115,BUFFS!$H$5:$AF$195,9,),"")</f>
        <v/>
      </c>
      <c r="J115" s="65" t="str">
        <f>IFERROR(VLOOKUP(A115,BUFFS!$H$5:$AF$195,10,),"")</f>
        <v/>
      </c>
      <c r="K115" s="66" t="str">
        <f>IFERROR(VLOOKUP(A115,BUFFS!$H$5:$AF$195,11,),"")</f>
        <v/>
      </c>
      <c r="L115" s="72"/>
      <c r="M115" s="66" t="str">
        <f>IFERROR(VLOOKUP(A115,BUFFS!$H$5:$AF$195,14,),"")</f>
        <v/>
      </c>
      <c r="N115" s="74"/>
      <c r="O115" s="65" t="str">
        <f>IFERROR(VLOOKUP(A115,BUFFS!$H$5:$AF$195,15,),"")</f>
        <v/>
      </c>
      <c r="P115" s="66" t="str">
        <f>IFERROR(VLOOKUP(A115,BUFFS!$H$5:$AF$195,16,),"")</f>
        <v/>
      </c>
      <c r="Q115" s="66" t="str">
        <f>IFERROR(VLOOKUP(A115,BUFFS!$H$5:$AF$195,17,),"")</f>
        <v/>
      </c>
      <c r="R115" s="66" t="str">
        <f>IFERROR(VLOOKUP(A115,BUFFS!$H$5:$AF$195,19,),"")</f>
        <v/>
      </c>
      <c r="S115" s="69" t="str">
        <f t="shared" si="7"/>
        <v/>
      </c>
      <c r="T115" s="70" t="str">
        <f>IFERROR(VLOOKUP(A115,BUFFS!$H$5:$AF$195,20,),"")</f>
        <v/>
      </c>
    </row>
    <row r="116" spans="1:20" x14ac:dyDescent="0.35">
      <c r="A116" s="17"/>
      <c r="B116" s="18"/>
      <c r="C116" s="13"/>
      <c r="D116" s="31"/>
      <c r="E116" s="24"/>
      <c r="F116" s="71"/>
      <c r="G116" s="66" t="str">
        <f>IFERROR(VLOOKUP(A116,BUFFS!$H$5:$AF$195,6,),"")</f>
        <v/>
      </c>
      <c r="H116" s="67" t="str">
        <f>IFERROR(VLOOKUP(A116,BUFFS!$H$5:$AF$195,7,),"")</f>
        <v/>
      </c>
      <c r="I116" s="66" t="str">
        <f>IFERROR(VLOOKUP(A116,BUFFS!$H$5:$AF$195,9,),"")</f>
        <v/>
      </c>
      <c r="J116" s="65" t="str">
        <f>IFERROR(VLOOKUP(A116,BUFFS!$H$5:$AF$195,10,),"")</f>
        <v/>
      </c>
      <c r="K116" s="66" t="str">
        <f>IFERROR(VLOOKUP(A116,BUFFS!$H$5:$AF$195,11,),"")</f>
        <v/>
      </c>
      <c r="L116" s="72"/>
      <c r="M116" s="66" t="str">
        <f>IFERROR(VLOOKUP(A116,BUFFS!$H$5:$AF$195,14,),"")</f>
        <v/>
      </c>
      <c r="N116" s="74"/>
      <c r="O116" s="65" t="str">
        <f>IFERROR(VLOOKUP(A116,BUFFS!$H$5:$AF$195,15,),"")</f>
        <v/>
      </c>
      <c r="P116" s="66" t="str">
        <f>IFERROR(VLOOKUP(A116,BUFFS!$H$5:$AF$195,16,),"")</f>
        <v/>
      </c>
      <c r="Q116" s="66" t="str">
        <f>IFERROR(VLOOKUP(A116,BUFFS!$H$5:$AF$195,17,),"")</f>
        <v/>
      </c>
      <c r="R116" s="66" t="str">
        <f>IFERROR(VLOOKUP(A116,BUFFS!$H$5:$AF$195,19,),"")</f>
        <v/>
      </c>
      <c r="S116" s="69" t="str">
        <f t="shared" si="7"/>
        <v/>
      </c>
      <c r="T116" s="70" t="str">
        <f>IFERROR(VLOOKUP(A116,BUFFS!$H$5:$AF$195,20,),"")</f>
        <v/>
      </c>
    </row>
    <row r="117" spans="1:20" x14ac:dyDescent="0.35">
      <c r="A117" s="17"/>
      <c r="B117" s="18"/>
      <c r="C117" s="13"/>
      <c r="D117" s="31"/>
      <c r="E117" s="24"/>
      <c r="F117" s="71"/>
      <c r="G117" s="66" t="str">
        <f>IFERROR(VLOOKUP(A117,BUFFS!$H$5:$AF$195,6,),"")</f>
        <v/>
      </c>
      <c r="H117" s="67" t="str">
        <f>IFERROR(VLOOKUP(A117,BUFFS!$H$5:$AF$195,7,),"")</f>
        <v/>
      </c>
      <c r="I117" s="66" t="str">
        <f>IFERROR(VLOOKUP(A117,BUFFS!$H$5:$AF$195,9,),"")</f>
        <v/>
      </c>
      <c r="J117" s="65" t="str">
        <f>IFERROR(VLOOKUP(A117,BUFFS!$H$5:$AF$195,10,),"")</f>
        <v/>
      </c>
      <c r="K117" s="66" t="str">
        <f>IFERROR(VLOOKUP(A117,BUFFS!$H$5:$AF$195,11,),"")</f>
        <v/>
      </c>
      <c r="L117" s="72"/>
      <c r="M117" s="66" t="str">
        <f>IFERROR(VLOOKUP(A117,BUFFS!$H$5:$AF$195,14,),"")</f>
        <v/>
      </c>
      <c r="N117" s="74"/>
      <c r="O117" s="65" t="str">
        <f>IFERROR(VLOOKUP(A117,BUFFS!$H$5:$AF$195,15,),"")</f>
        <v/>
      </c>
      <c r="P117" s="66" t="str">
        <f>IFERROR(VLOOKUP(A117,BUFFS!$H$5:$AF$195,16,),"")</f>
        <v/>
      </c>
      <c r="Q117" s="66" t="str">
        <f>IFERROR(VLOOKUP(A117,BUFFS!$H$5:$AF$195,17,),"")</f>
        <v/>
      </c>
      <c r="R117" s="66" t="str">
        <f>IFERROR(VLOOKUP(A117,BUFFS!$H$5:$AF$195,19,),"")</f>
        <v/>
      </c>
      <c r="S117" s="69" t="str">
        <f t="shared" si="7"/>
        <v/>
      </c>
      <c r="T117" s="70" t="str">
        <f>IFERROR(VLOOKUP(A117,BUFFS!$H$5:$AF$195,20,),"")</f>
        <v/>
      </c>
    </row>
    <row r="118" spans="1:20" x14ac:dyDescent="0.35">
      <c r="A118" s="17"/>
      <c r="B118" s="18"/>
      <c r="C118" s="13"/>
      <c r="D118" s="31"/>
      <c r="E118" s="24"/>
      <c r="F118" s="71"/>
      <c r="G118" s="66" t="str">
        <f>IFERROR(VLOOKUP(A118,BUFFS!$H$5:$AF$195,6,),"")</f>
        <v/>
      </c>
      <c r="H118" s="67" t="str">
        <f>IFERROR(VLOOKUP(A118,BUFFS!$H$5:$AF$195,7,),"")</f>
        <v/>
      </c>
      <c r="I118" s="66" t="str">
        <f>IFERROR(VLOOKUP(A118,BUFFS!$H$5:$AF$195,9,),"")</f>
        <v/>
      </c>
      <c r="J118" s="65" t="str">
        <f>IFERROR(VLOOKUP(A118,BUFFS!$H$5:$AF$195,10,),"")</f>
        <v/>
      </c>
      <c r="K118" s="66" t="str">
        <f>IFERROR(VLOOKUP(A118,BUFFS!$H$5:$AF$195,11,),"")</f>
        <v/>
      </c>
      <c r="L118" s="72"/>
      <c r="M118" s="66" t="str">
        <f>IFERROR(VLOOKUP(A118,BUFFS!$H$5:$AF$195,14,),"")</f>
        <v/>
      </c>
      <c r="N118" s="74"/>
      <c r="O118" s="65" t="str">
        <f>IFERROR(VLOOKUP(A118,BUFFS!$H$5:$AF$195,15,),"")</f>
        <v/>
      </c>
      <c r="P118" s="66" t="str">
        <f>IFERROR(VLOOKUP(A118,BUFFS!$H$5:$AF$195,16,),"")</f>
        <v/>
      </c>
      <c r="Q118" s="66" t="str">
        <f>IFERROR(VLOOKUP(A118,BUFFS!$H$5:$AF$195,17,),"")</f>
        <v/>
      </c>
      <c r="R118" s="66" t="str">
        <f>IFERROR(VLOOKUP(A118,BUFFS!$H$5:$AF$195,19,),"")</f>
        <v/>
      </c>
      <c r="S118" s="69" t="str">
        <f t="shared" si="7"/>
        <v/>
      </c>
      <c r="T118" s="70" t="str">
        <f>IFERROR(VLOOKUP(A118,BUFFS!$H$5:$AF$195,20,),"")</f>
        <v/>
      </c>
    </row>
    <row r="119" spans="1:20" x14ac:dyDescent="0.35">
      <c r="A119" s="17"/>
      <c r="B119" s="18"/>
      <c r="C119" s="13"/>
      <c r="D119" s="31"/>
      <c r="E119" s="24"/>
      <c r="F119" s="71"/>
      <c r="G119" s="66" t="str">
        <f>IFERROR(VLOOKUP(A119,BUFFS!$H$5:$AF$195,6,),"")</f>
        <v/>
      </c>
      <c r="H119" s="67" t="str">
        <f>IFERROR(VLOOKUP(A119,BUFFS!$H$5:$AF$195,7,),"")</f>
        <v/>
      </c>
      <c r="I119" s="66" t="str">
        <f>IFERROR(VLOOKUP(A119,BUFFS!$H$5:$AF$195,9,),"")</f>
        <v/>
      </c>
      <c r="J119" s="65" t="str">
        <f>IFERROR(VLOOKUP(A119,BUFFS!$H$5:$AF$195,10,),"")</f>
        <v/>
      </c>
      <c r="K119" s="66" t="str">
        <f>IFERROR(VLOOKUP(A119,BUFFS!$H$5:$AF$195,11,),"")</f>
        <v/>
      </c>
      <c r="L119" s="72"/>
      <c r="M119" s="66" t="str">
        <f>IFERROR(VLOOKUP(A119,BUFFS!$H$5:$AF$195,14,),"")</f>
        <v/>
      </c>
      <c r="N119" s="74"/>
      <c r="O119" s="65" t="str">
        <f>IFERROR(VLOOKUP(A119,BUFFS!$H$5:$AF$195,15,),"")</f>
        <v/>
      </c>
      <c r="P119" s="66" t="str">
        <f>IFERROR(VLOOKUP(A119,BUFFS!$H$5:$AF$195,16,),"")</f>
        <v/>
      </c>
      <c r="Q119" s="66" t="str">
        <f>IFERROR(VLOOKUP(A119,BUFFS!$H$5:$AF$195,17,),"")</f>
        <v/>
      </c>
      <c r="R119" s="66" t="str">
        <f>IFERROR(VLOOKUP(A119,BUFFS!$H$5:$AF$195,19,),"")</f>
        <v/>
      </c>
      <c r="S119" s="69" t="str">
        <f t="shared" si="7"/>
        <v/>
      </c>
      <c r="T119" s="70" t="str">
        <f>IFERROR(VLOOKUP(A119,BUFFS!$H$5:$AF$195,20,),"")</f>
        <v/>
      </c>
    </row>
    <row r="120" spans="1:20" x14ac:dyDescent="0.35">
      <c r="A120" s="17"/>
      <c r="B120" s="18"/>
      <c r="C120" s="13"/>
      <c r="D120" s="31"/>
      <c r="E120" s="24"/>
      <c r="F120" s="71"/>
      <c r="G120" s="66" t="str">
        <f>IFERROR(VLOOKUP(A120,BUFFS!$H$5:$AF$195,6,),"")</f>
        <v/>
      </c>
      <c r="H120" s="67" t="str">
        <f>IFERROR(VLOOKUP(A120,BUFFS!$H$5:$AF$195,7,),"")</f>
        <v/>
      </c>
      <c r="I120" s="66" t="str">
        <f>IFERROR(VLOOKUP(A120,BUFFS!$H$5:$AF$195,9,),"")</f>
        <v/>
      </c>
      <c r="J120" s="65" t="str">
        <f>IFERROR(VLOOKUP(A120,BUFFS!$H$5:$AF$195,10,),"")</f>
        <v/>
      </c>
      <c r="K120" s="66" t="str">
        <f>IFERROR(VLOOKUP(A120,BUFFS!$H$5:$AF$195,11,),"")</f>
        <v/>
      </c>
      <c r="L120" s="72"/>
      <c r="M120" s="66" t="str">
        <f>IFERROR(VLOOKUP(A120,BUFFS!$H$5:$AF$195,14,),"")</f>
        <v/>
      </c>
      <c r="N120" s="74"/>
      <c r="O120" s="65" t="str">
        <f>IFERROR(VLOOKUP(A120,BUFFS!$H$5:$AF$195,15,),"")</f>
        <v/>
      </c>
      <c r="P120" s="66" t="str">
        <f>IFERROR(VLOOKUP(A120,BUFFS!$H$5:$AF$195,16,),"")</f>
        <v/>
      </c>
      <c r="Q120" s="66" t="str">
        <f>IFERROR(VLOOKUP(A120,BUFFS!$H$5:$AF$195,17,),"")</f>
        <v/>
      </c>
      <c r="R120" s="66" t="str">
        <f>IFERROR(VLOOKUP(A120,BUFFS!$H$5:$AF$195,19,),"")</f>
        <v/>
      </c>
      <c r="S120" s="69" t="str">
        <f t="shared" si="7"/>
        <v/>
      </c>
      <c r="T120" s="70" t="str">
        <f>IFERROR(VLOOKUP(A120,BUFFS!$H$5:$AF$195,20,),"")</f>
        <v/>
      </c>
    </row>
    <row r="121" spans="1:20" x14ac:dyDescent="0.35">
      <c r="A121" s="17"/>
      <c r="B121" s="18"/>
      <c r="C121" s="13"/>
      <c r="D121" s="31"/>
      <c r="E121" s="24"/>
      <c r="F121" s="71"/>
      <c r="G121" s="66" t="str">
        <f>IFERROR(VLOOKUP(A121,BUFFS!$H$5:$AF$195,6,),"")</f>
        <v/>
      </c>
      <c r="H121" s="67" t="str">
        <f>IFERROR(VLOOKUP(A121,BUFFS!$H$5:$AF$195,7,),"")</f>
        <v/>
      </c>
      <c r="I121" s="66" t="str">
        <f>IFERROR(VLOOKUP(A121,BUFFS!$H$5:$AF$195,9,),"")</f>
        <v/>
      </c>
      <c r="J121" s="65" t="str">
        <f>IFERROR(VLOOKUP(A121,BUFFS!$H$5:$AF$195,10,),"")</f>
        <v/>
      </c>
      <c r="K121" s="66" t="str">
        <f>IFERROR(VLOOKUP(A121,BUFFS!$H$5:$AF$195,11,),"")</f>
        <v/>
      </c>
      <c r="L121" s="72"/>
      <c r="M121" s="66" t="str">
        <f>IFERROR(VLOOKUP(A121,BUFFS!$H$5:$AF$195,14,),"")</f>
        <v/>
      </c>
      <c r="N121" s="74"/>
      <c r="O121" s="65" t="str">
        <f>IFERROR(VLOOKUP(A121,BUFFS!$H$5:$AF$195,15,),"")</f>
        <v/>
      </c>
      <c r="P121" s="66" t="str">
        <f>IFERROR(VLOOKUP(A121,BUFFS!$H$5:$AF$195,16,),"")</f>
        <v/>
      </c>
      <c r="Q121" s="66" t="str">
        <f>IFERROR(VLOOKUP(A121,BUFFS!$H$5:$AF$195,17,),"")</f>
        <v/>
      </c>
      <c r="R121" s="66" t="str">
        <f>IFERROR(VLOOKUP(A121,BUFFS!$H$5:$AF$195,19,),"")</f>
        <v/>
      </c>
      <c r="S121" s="69" t="str">
        <f t="shared" si="7"/>
        <v/>
      </c>
      <c r="T121" s="70" t="str">
        <f>IFERROR(VLOOKUP(A121,BUFFS!$H$5:$AF$195,20,),"")</f>
        <v/>
      </c>
    </row>
    <row r="122" spans="1:20" x14ac:dyDescent="0.35">
      <c r="A122" s="17"/>
      <c r="B122" s="18"/>
      <c r="C122" s="13"/>
      <c r="D122" s="31"/>
      <c r="E122" s="24"/>
      <c r="F122" s="71"/>
      <c r="G122" s="66" t="str">
        <f>IFERROR(VLOOKUP(A122,BUFFS!$H$5:$AF$195,6,),"")</f>
        <v/>
      </c>
      <c r="H122" s="67" t="str">
        <f>IFERROR(VLOOKUP(A122,BUFFS!$H$5:$AF$195,7,),"")</f>
        <v/>
      </c>
      <c r="I122" s="66" t="str">
        <f>IFERROR(VLOOKUP(A122,BUFFS!$H$5:$AF$195,9,),"")</f>
        <v/>
      </c>
      <c r="J122" s="65" t="str">
        <f>IFERROR(VLOOKUP(A122,BUFFS!$H$5:$AF$195,10,),"")</f>
        <v/>
      </c>
      <c r="K122" s="66" t="str">
        <f>IFERROR(VLOOKUP(A122,BUFFS!$H$5:$AF$195,11,),"")</f>
        <v/>
      </c>
      <c r="L122" s="72"/>
      <c r="M122" s="66" t="str">
        <f>IFERROR(VLOOKUP(A122,BUFFS!$H$5:$AF$195,14,),"")</f>
        <v/>
      </c>
      <c r="N122" s="74"/>
      <c r="O122" s="65" t="str">
        <f>IFERROR(VLOOKUP(A122,BUFFS!$H$5:$AF$195,15,),"")</f>
        <v/>
      </c>
      <c r="P122" s="66" t="str">
        <f>IFERROR(VLOOKUP(A122,BUFFS!$H$5:$AF$195,16,),"")</f>
        <v/>
      </c>
      <c r="Q122" s="66" t="str">
        <f>IFERROR(VLOOKUP(A122,BUFFS!$H$5:$AF$195,17,),"")</f>
        <v/>
      </c>
      <c r="R122" s="66" t="str">
        <f>IFERROR(VLOOKUP(A122,BUFFS!$H$5:$AF$195,19,),"")</f>
        <v/>
      </c>
      <c r="S122" s="69" t="str">
        <f t="shared" si="7"/>
        <v/>
      </c>
      <c r="T122" s="70" t="str">
        <f>IFERROR(VLOOKUP(A122,BUFFS!$H$5:$AF$195,20,),"")</f>
        <v/>
      </c>
    </row>
    <row r="123" spans="1:20" x14ac:dyDescent="0.35">
      <c r="A123" s="17"/>
      <c r="B123" s="18"/>
      <c r="C123" s="13"/>
      <c r="D123" s="31"/>
      <c r="E123" s="24"/>
      <c r="F123" s="71"/>
      <c r="G123" s="66" t="str">
        <f>IFERROR(VLOOKUP(A123,BUFFS!$H$5:$AF$195,6,),"")</f>
        <v/>
      </c>
      <c r="H123" s="67" t="str">
        <f>IFERROR(VLOOKUP(A123,BUFFS!$H$5:$AF$195,7,),"")</f>
        <v/>
      </c>
      <c r="I123" s="66" t="str">
        <f>IFERROR(VLOOKUP(A123,BUFFS!$H$5:$AF$195,9,),"")</f>
        <v/>
      </c>
      <c r="J123" s="65" t="str">
        <f>IFERROR(VLOOKUP(A123,BUFFS!$H$5:$AF$195,10,),"")</f>
        <v/>
      </c>
      <c r="K123" s="66" t="str">
        <f>IFERROR(VLOOKUP(A123,BUFFS!$H$5:$AF$195,11,),"")</f>
        <v/>
      </c>
      <c r="L123" s="72"/>
      <c r="M123" s="66" t="str">
        <f>IFERROR(VLOOKUP(A123,BUFFS!$H$5:$AF$195,14,),"")</f>
        <v/>
      </c>
      <c r="N123" s="74"/>
      <c r="O123" s="65" t="str">
        <f>IFERROR(VLOOKUP(A123,BUFFS!$H$5:$AF$195,15,),"")</f>
        <v/>
      </c>
      <c r="P123" s="66" t="str">
        <f>IFERROR(VLOOKUP(A123,BUFFS!$H$5:$AF$195,16,),"")</f>
        <v/>
      </c>
      <c r="Q123" s="66" t="str">
        <f>IFERROR(VLOOKUP(A123,BUFFS!$H$5:$AF$195,17,),"")</f>
        <v/>
      </c>
      <c r="R123" s="66" t="str">
        <f>IFERROR(VLOOKUP(A123,BUFFS!$H$5:$AF$195,19,),"")</f>
        <v/>
      </c>
      <c r="S123" s="69" t="str">
        <f t="shared" si="7"/>
        <v/>
      </c>
      <c r="T123" s="70" t="str">
        <f>IFERROR(VLOOKUP(A123,BUFFS!$H$5:$AF$195,20,),"")</f>
        <v/>
      </c>
    </row>
    <row r="124" spans="1:20" x14ac:dyDescent="0.35">
      <c r="A124" s="17"/>
      <c r="B124" s="18"/>
      <c r="C124" s="13"/>
      <c r="D124" s="31"/>
      <c r="E124" s="24"/>
      <c r="F124" s="71"/>
      <c r="G124" s="66" t="str">
        <f>IFERROR(VLOOKUP(A124,BUFFS!$H$5:$AF$195,6,),"")</f>
        <v/>
      </c>
      <c r="H124" s="67" t="str">
        <f>IFERROR(VLOOKUP(A124,BUFFS!$H$5:$AF$195,7,),"")</f>
        <v/>
      </c>
      <c r="I124" s="66" t="str">
        <f>IFERROR(VLOOKUP(A124,BUFFS!$H$5:$AF$195,9,),"")</f>
        <v/>
      </c>
      <c r="J124" s="65" t="str">
        <f>IFERROR(VLOOKUP(A124,BUFFS!$H$5:$AF$195,10,),"")</f>
        <v/>
      </c>
      <c r="K124" s="66" t="str">
        <f>IFERROR(VLOOKUP(A124,BUFFS!$H$5:$AF$195,11,),"")</f>
        <v/>
      </c>
      <c r="L124" s="72"/>
      <c r="M124" s="66" t="str">
        <f>IFERROR(VLOOKUP(A124,BUFFS!$H$5:$AF$195,14,),"")</f>
        <v/>
      </c>
      <c r="N124" s="74"/>
      <c r="O124" s="65" t="str">
        <f>IFERROR(VLOOKUP(A124,BUFFS!$H$5:$AF$195,15,),"")</f>
        <v/>
      </c>
      <c r="P124" s="66" t="str">
        <f>IFERROR(VLOOKUP(A124,BUFFS!$H$5:$AF$195,16,),"")</f>
        <v/>
      </c>
      <c r="Q124" s="66" t="str">
        <f>IFERROR(VLOOKUP(A124,BUFFS!$H$5:$AF$195,17,),"")</f>
        <v/>
      </c>
      <c r="R124" s="66" t="str">
        <f>IFERROR(VLOOKUP(A124,BUFFS!$H$5:$AF$195,19,),"")</f>
        <v/>
      </c>
      <c r="S124" s="69" t="str">
        <f t="shared" si="7"/>
        <v/>
      </c>
      <c r="T124" s="70" t="str">
        <f>IFERROR(VLOOKUP(A124,BUFFS!$H$5:$AF$195,20,),"")</f>
        <v/>
      </c>
    </row>
    <row r="125" spans="1:20" x14ac:dyDescent="0.35">
      <c r="A125" s="17"/>
      <c r="B125" s="18"/>
      <c r="C125" s="13"/>
      <c r="D125" s="31"/>
      <c r="E125" s="24"/>
      <c r="F125" s="71"/>
      <c r="G125" s="66" t="str">
        <f>IFERROR(VLOOKUP(A125,BUFFS!$H$5:$AF$195,6,),"")</f>
        <v/>
      </c>
      <c r="H125" s="67" t="str">
        <f>IFERROR(VLOOKUP(A125,BUFFS!$H$5:$AF$195,7,),"")</f>
        <v/>
      </c>
      <c r="I125" s="66" t="str">
        <f>IFERROR(VLOOKUP(A125,BUFFS!$H$5:$AF$195,9,),"")</f>
        <v/>
      </c>
      <c r="J125" s="65" t="str">
        <f>IFERROR(VLOOKUP(A125,BUFFS!$H$5:$AF$195,10,),"")</f>
        <v/>
      </c>
      <c r="K125" s="66" t="str">
        <f>IFERROR(VLOOKUP(A125,BUFFS!$H$5:$AF$195,11,),"")</f>
        <v/>
      </c>
      <c r="L125" s="72"/>
      <c r="M125" s="66" t="str">
        <f>IFERROR(VLOOKUP(A125,BUFFS!$H$5:$AF$195,14,),"")</f>
        <v/>
      </c>
      <c r="N125" s="74"/>
      <c r="O125" s="65" t="str">
        <f>IFERROR(VLOOKUP(A125,BUFFS!$H$5:$AF$195,15,),"")</f>
        <v/>
      </c>
      <c r="P125" s="66" t="str">
        <f>IFERROR(VLOOKUP(A125,BUFFS!$H$5:$AF$195,16,),"")</f>
        <v/>
      </c>
      <c r="Q125" s="66" t="str">
        <f>IFERROR(VLOOKUP(A125,BUFFS!$H$5:$AF$195,17,),"")</f>
        <v/>
      </c>
      <c r="R125" s="66" t="str">
        <f>IFERROR(VLOOKUP(A125,BUFFS!$H$5:$AF$195,19,),"")</f>
        <v/>
      </c>
      <c r="S125" s="69" t="str">
        <f t="shared" si="7"/>
        <v/>
      </c>
      <c r="T125" s="70" t="str">
        <f>IFERROR(VLOOKUP(A125,BUFFS!$H$5:$AF$195,20,),"")</f>
        <v/>
      </c>
    </row>
    <row r="126" spans="1:20" x14ac:dyDescent="0.35">
      <c r="A126" s="17"/>
      <c r="B126" s="18"/>
      <c r="C126" s="13"/>
      <c r="D126" s="31"/>
      <c r="E126" s="24"/>
      <c r="F126" s="71"/>
      <c r="G126" s="66" t="str">
        <f>IFERROR(VLOOKUP(A126,BUFFS!$H$5:$AF$195,6,),"")</f>
        <v/>
      </c>
      <c r="H126" s="67" t="str">
        <f>IFERROR(VLOOKUP(A126,BUFFS!$H$5:$AF$195,7,),"")</f>
        <v/>
      </c>
      <c r="I126" s="66" t="str">
        <f>IFERROR(VLOOKUP(A126,BUFFS!$H$5:$AF$195,9,),"")</f>
        <v/>
      </c>
      <c r="J126" s="65" t="str">
        <f>IFERROR(VLOOKUP(A126,BUFFS!$H$5:$AF$195,10,),"")</f>
        <v/>
      </c>
      <c r="K126" s="66" t="str">
        <f>IFERROR(VLOOKUP(A126,BUFFS!$H$5:$AF$195,11,),"")</f>
        <v/>
      </c>
      <c r="L126" s="72"/>
      <c r="M126" s="66" t="str">
        <f>IFERROR(VLOOKUP(A126,BUFFS!$H$5:$AF$195,14,),"")</f>
        <v/>
      </c>
      <c r="N126" s="74"/>
      <c r="O126" s="65" t="str">
        <f>IFERROR(VLOOKUP(A126,BUFFS!$H$5:$AF$195,15,),"")</f>
        <v/>
      </c>
      <c r="P126" s="66" t="str">
        <f>IFERROR(VLOOKUP(A126,BUFFS!$H$5:$AF$195,16,),"")</f>
        <v/>
      </c>
      <c r="Q126" s="66" t="str">
        <f>IFERROR(VLOOKUP(A126,BUFFS!$H$5:$AF$195,17,),"")</f>
        <v/>
      </c>
      <c r="R126" s="66" t="str">
        <f>IFERROR(VLOOKUP(A126,BUFFS!$H$5:$AF$195,19,),"")</f>
        <v/>
      </c>
      <c r="S126" s="69" t="str">
        <f t="shared" si="7"/>
        <v/>
      </c>
      <c r="T126" s="70" t="str">
        <f>IFERROR(VLOOKUP(A126,BUFFS!$H$5:$AF$195,20,),"")</f>
        <v/>
      </c>
    </row>
    <row r="127" spans="1:20" x14ac:dyDescent="0.35">
      <c r="A127" s="17"/>
      <c r="B127" s="18"/>
      <c r="C127" s="13"/>
      <c r="D127" s="31"/>
      <c r="E127" s="24"/>
      <c r="F127" s="71"/>
      <c r="G127" s="66" t="str">
        <f>IFERROR(VLOOKUP(A127,BUFFS!$H$5:$AF$195,6,),"")</f>
        <v/>
      </c>
      <c r="H127" s="67" t="str">
        <f>IFERROR(VLOOKUP(A127,BUFFS!$H$5:$AF$195,7,),"")</f>
        <v/>
      </c>
      <c r="I127" s="66" t="str">
        <f>IFERROR(VLOOKUP(A127,BUFFS!$H$5:$AF$195,9,),"")</f>
        <v/>
      </c>
      <c r="J127" s="65" t="str">
        <f>IFERROR(VLOOKUP(A127,BUFFS!$H$5:$AF$195,10,),"")</f>
        <v/>
      </c>
      <c r="K127" s="66" t="str">
        <f>IFERROR(VLOOKUP(A127,BUFFS!$H$5:$AF$195,11,),"")</f>
        <v/>
      </c>
      <c r="L127" s="72"/>
      <c r="M127" s="66" t="str">
        <f>IFERROR(VLOOKUP(A127,BUFFS!$H$5:$AF$195,14,),"")</f>
        <v/>
      </c>
      <c r="N127" s="74"/>
      <c r="O127" s="65" t="str">
        <f>IFERROR(VLOOKUP(A127,BUFFS!$H$5:$AF$195,15,),"")</f>
        <v/>
      </c>
      <c r="P127" s="66" t="str">
        <f>IFERROR(VLOOKUP(A127,BUFFS!$H$5:$AF$195,16,),"")</f>
        <v/>
      </c>
      <c r="Q127" s="66" t="str">
        <f>IFERROR(VLOOKUP(A127,BUFFS!$H$5:$AF$195,17,),"")</f>
        <v/>
      </c>
      <c r="R127" s="66" t="str">
        <f>IFERROR(VLOOKUP(A127,BUFFS!$H$5:$AF$195,19,),"")</f>
        <v/>
      </c>
      <c r="S127" s="69" t="str">
        <f t="shared" si="7"/>
        <v/>
      </c>
      <c r="T127" s="70" t="str">
        <f>IFERROR(VLOOKUP(A127,BUFFS!$H$5:$AF$195,20,),"")</f>
        <v/>
      </c>
    </row>
    <row r="128" spans="1:20" x14ac:dyDescent="0.35">
      <c r="A128" s="17"/>
      <c r="B128" s="18"/>
      <c r="C128" s="13"/>
      <c r="D128" s="31"/>
      <c r="E128" s="24"/>
      <c r="F128" s="71"/>
      <c r="G128" s="66" t="str">
        <f>IFERROR(VLOOKUP(A128,BUFFS!$H$5:$AF$195,6,),"")</f>
        <v/>
      </c>
      <c r="H128" s="67" t="str">
        <f>IFERROR(VLOOKUP(A128,BUFFS!$H$5:$AF$195,7,),"")</f>
        <v/>
      </c>
      <c r="I128" s="66" t="str">
        <f>IFERROR(VLOOKUP(A128,BUFFS!$H$5:$AF$195,9,),"")</f>
        <v/>
      </c>
      <c r="J128" s="65" t="str">
        <f>IFERROR(VLOOKUP(A128,BUFFS!$H$5:$AF$195,10,),"")</f>
        <v/>
      </c>
      <c r="K128" s="66" t="str">
        <f>IFERROR(VLOOKUP(A128,BUFFS!$H$5:$AF$195,11,),"")</f>
        <v/>
      </c>
      <c r="L128" s="72"/>
      <c r="M128" s="66" t="str">
        <f>IFERROR(VLOOKUP(A128,BUFFS!$H$5:$AF$195,14,),"")</f>
        <v/>
      </c>
      <c r="N128" s="74"/>
      <c r="O128" s="65" t="str">
        <f>IFERROR(VLOOKUP(A128,BUFFS!$H$5:$AF$195,15,),"")</f>
        <v/>
      </c>
      <c r="P128" s="66" t="str">
        <f>IFERROR(VLOOKUP(A128,BUFFS!$H$5:$AF$195,16,),"")</f>
        <v/>
      </c>
      <c r="Q128" s="66" t="str">
        <f>IFERROR(VLOOKUP(A128,BUFFS!$H$5:$AF$195,17,),"")</f>
        <v/>
      </c>
      <c r="R128" s="66" t="str">
        <f>IFERROR(VLOOKUP(A128,BUFFS!$H$5:$AF$195,19,),"")</f>
        <v/>
      </c>
      <c r="S128" s="69" t="str">
        <f t="shared" si="7"/>
        <v/>
      </c>
      <c r="T128" s="70" t="str">
        <f>IFERROR(VLOOKUP(A128,BUFFS!$H$5:$AF$195,20,),"")</f>
        <v/>
      </c>
    </row>
    <row r="129" spans="1:20" x14ac:dyDescent="0.35">
      <c r="A129" s="17"/>
      <c r="B129" s="18"/>
      <c r="C129" s="13"/>
      <c r="D129" s="31"/>
      <c r="E129" s="24"/>
      <c r="F129" s="71"/>
      <c r="G129" s="66" t="str">
        <f>IFERROR(VLOOKUP(A129,BUFFS!$H$5:$AF$195,6,),"")</f>
        <v/>
      </c>
      <c r="H129" s="67" t="str">
        <f>IFERROR(VLOOKUP(A129,BUFFS!$H$5:$AF$195,7,),"")</f>
        <v/>
      </c>
      <c r="I129" s="66" t="str">
        <f>IFERROR(VLOOKUP(A129,BUFFS!$H$5:$AF$195,9,),"")</f>
        <v/>
      </c>
      <c r="J129" s="65" t="str">
        <f>IFERROR(VLOOKUP(A129,BUFFS!$H$5:$AF$195,10,),"")</f>
        <v/>
      </c>
      <c r="K129" s="66" t="str">
        <f>IFERROR(VLOOKUP(A129,BUFFS!$H$5:$AF$195,11,),"")</f>
        <v/>
      </c>
      <c r="L129" s="72"/>
      <c r="M129" s="66" t="str">
        <f>IFERROR(VLOOKUP(A129,BUFFS!$H$5:$AF$195,14,),"")</f>
        <v/>
      </c>
      <c r="N129" s="74"/>
      <c r="O129" s="65" t="str">
        <f>IFERROR(VLOOKUP(A129,BUFFS!$H$5:$AF$195,15,),"")</f>
        <v/>
      </c>
      <c r="P129" s="66" t="str">
        <f>IFERROR(VLOOKUP(A129,BUFFS!$H$5:$AF$195,16,),"")</f>
        <v/>
      </c>
      <c r="Q129" s="66" t="str">
        <f>IFERROR(VLOOKUP(A129,BUFFS!$H$5:$AF$195,17,),"")</f>
        <v/>
      </c>
      <c r="R129" s="66" t="str">
        <f>IFERROR(VLOOKUP(A129,BUFFS!$H$5:$AF$195,19,),"")</f>
        <v/>
      </c>
      <c r="S129" s="69" t="str">
        <f t="shared" si="7"/>
        <v/>
      </c>
      <c r="T129" s="70" t="str">
        <f>IFERROR(VLOOKUP(A129,BUFFS!$H$5:$AF$195,20,),"")</f>
        <v/>
      </c>
    </row>
    <row r="130" spans="1:20" x14ac:dyDescent="0.35">
      <c r="A130" s="17"/>
      <c r="B130" s="18"/>
      <c r="C130" s="13"/>
      <c r="D130" s="31"/>
      <c r="E130" s="24"/>
      <c r="F130" s="71"/>
      <c r="G130" s="66" t="str">
        <f>IFERROR(VLOOKUP(A130,BUFFS!$H$5:$AF$195,6,),"")</f>
        <v/>
      </c>
      <c r="H130" s="67" t="str">
        <f>IFERROR(VLOOKUP(A130,BUFFS!$H$5:$AF$195,7,),"")</f>
        <v/>
      </c>
      <c r="I130" s="66" t="str">
        <f>IFERROR(VLOOKUP(A130,BUFFS!$H$5:$AF$195,9,),"")</f>
        <v/>
      </c>
      <c r="J130" s="65" t="str">
        <f>IFERROR(VLOOKUP(A130,BUFFS!$H$5:$AF$195,10,),"")</f>
        <v/>
      </c>
      <c r="K130" s="66" t="str">
        <f>IFERROR(VLOOKUP(A130,BUFFS!$H$5:$AF$195,11,),"")</f>
        <v/>
      </c>
      <c r="L130" s="72"/>
      <c r="M130" s="66" t="str">
        <f>IFERROR(VLOOKUP(A130,BUFFS!$H$5:$AF$195,14,),"")</f>
        <v/>
      </c>
      <c r="N130" s="74"/>
      <c r="O130" s="65" t="str">
        <f>IFERROR(VLOOKUP(A130,BUFFS!$H$5:$AF$195,15,),"")</f>
        <v/>
      </c>
      <c r="P130" s="66" t="str">
        <f>IFERROR(VLOOKUP(A130,BUFFS!$H$5:$AF$195,16,),"")</f>
        <v/>
      </c>
      <c r="Q130" s="66" t="str">
        <f>IFERROR(VLOOKUP(A130,BUFFS!$H$5:$AF$195,17,),"")</f>
        <v/>
      </c>
      <c r="R130" s="66" t="str">
        <f>IFERROR(VLOOKUP(A130,BUFFS!$H$5:$AF$195,19,),"")</f>
        <v/>
      </c>
      <c r="S130" s="69" t="str">
        <f t="shared" si="7"/>
        <v/>
      </c>
      <c r="T130" s="70" t="str">
        <f>IFERROR(VLOOKUP(A130,BUFFS!$H$5:$AF$195,20,),"")</f>
        <v/>
      </c>
    </row>
    <row r="131" spans="1:20" x14ac:dyDescent="0.35">
      <c r="A131" s="17"/>
      <c r="B131" s="18"/>
      <c r="C131" s="13"/>
      <c r="D131" s="31"/>
      <c r="E131" s="24"/>
      <c r="F131" s="71"/>
      <c r="G131" s="66" t="str">
        <f>IFERROR(VLOOKUP(A131,BUFFS!$H$5:$AF$195,6,),"")</f>
        <v/>
      </c>
      <c r="H131" s="67" t="str">
        <f>IFERROR(VLOOKUP(A131,BUFFS!$H$5:$AF$195,7,),"")</f>
        <v/>
      </c>
      <c r="I131" s="66" t="str">
        <f>IFERROR(VLOOKUP(A131,BUFFS!$H$5:$AF$195,9,),"")</f>
        <v/>
      </c>
      <c r="J131" s="65" t="str">
        <f>IFERROR(VLOOKUP(A131,BUFFS!$H$5:$AF$195,10,),"")</f>
        <v/>
      </c>
      <c r="K131" s="66" t="str">
        <f>IFERROR(VLOOKUP(A131,BUFFS!$H$5:$AF$195,11,),"")</f>
        <v/>
      </c>
      <c r="L131" s="72"/>
      <c r="M131" s="66" t="str">
        <f>IFERROR(VLOOKUP(A131,BUFFS!$H$5:$AF$195,14,),"")</f>
        <v/>
      </c>
      <c r="N131" s="74"/>
      <c r="O131" s="65" t="str">
        <f>IFERROR(VLOOKUP(A131,BUFFS!$H$5:$AF$195,15,),"")</f>
        <v/>
      </c>
      <c r="P131" s="66" t="str">
        <f>IFERROR(VLOOKUP(A131,BUFFS!$H$5:$AF$195,16,),"")</f>
        <v/>
      </c>
      <c r="Q131" s="66" t="str">
        <f>IFERROR(VLOOKUP(A131,BUFFS!$H$5:$AF$195,17,),"")</f>
        <v/>
      </c>
      <c r="R131" s="66" t="str">
        <f>IFERROR(VLOOKUP(A131,BUFFS!$H$5:$AF$195,19,),"")</f>
        <v/>
      </c>
      <c r="S131" s="69" t="str">
        <f t="shared" si="7"/>
        <v/>
      </c>
      <c r="T131" s="70" t="str">
        <f>IFERROR(VLOOKUP(A131,BUFFS!$H$5:$AF$195,20,),"")</f>
        <v/>
      </c>
    </row>
    <row r="132" spans="1:20" x14ac:dyDescent="0.35">
      <c r="A132" s="17"/>
      <c r="B132" s="18"/>
      <c r="C132" s="13"/>
      <c r="D132" s="31"/>
      <c r="E132" s="24"/>
      <c r="F132" s="71"/>
      <c r="G132" s="66" t="str">
        <f>IFERROR(VLOOKUP(A132,BUFFS!$H$5:$AF$195,6,),"")</f>
        <v/>
      </c>
      <c r="H132" s="67" t="str">
        <f>IFERROR(VLOOKUP(A132,BUFFS!$H$5:$AF$195,7,),"")</f>
        <v/>
      </c>
      <c r="I132" s="66" t="str">
        <f>IFERROR(VLOOKUP(A132,BUFFS!$H$5:$AF$195,9,),"")</f>
        <v/>
      </c>
      <c r="J132" s="65" t="str">
        <f>IFERROR(VLOOKUP(A132,BUFFS!$H$5:$AF$195,10,),"")</f>
        <v/>
      </c>
      <c r="K132" s="66" t="str">
        <f>IFERROR(VLOOKUP(A132,BUFFS!$H$5:$AF$195,11,),"")</f>
        <v/>
      </c>
      <c r="L132" s="72"/>
      <c r="M132" s="66" t="str">
        <f>IFERROR(VLOOKUP(A132,BUFFS!$H$5:$AF$195,14,),"")</f>
        <v/>
      </c>
      <c r="N132" s="74"/>
      <c r="O132" s="65" t="str">
        <f>IFERROR(VLOOKUP(A132,BUFFS!$H$5:$AF$195,15,),"")</f>
        <v/>
      </c>
      <c r="P132" s="66" t="str">
        <f>IFERROR(VLOOKUP(A132,BUFFS!$H$5:$AF$195,16,),"")</f>
        <v/>
      </c>
      <c r="Q132" s="66" t="str">
        <f>IFERROR(VLOOKUP(A132,BUFFS!$H$5:$AF$195,17,),"")</f>
        <v/>
      </c>
      <c r="R132" s="66" t="str">
        <f>IFERROR(VLOOKUP(A132,BUFFS!$H$5:$AF$195,19,),"")</f>
        <v/>
      </c>
      <c r="S132" s="69" t="str">
        <f t="shared" si="7"/>
        <v/>
      </c>
      <c r="T132" s="70" t="str">
        <f>IFERROR(VLOOKUP(A132,BUFFS!$H$5:$AF$195,20,),"")</f>
        <v/>
      </c>
    </row>
    <row r="133" spans="1:20" x14ac:dyDescent="0.35">
      <c r="A133" s="17"/>
      <c r="B133" s="18"/>
      <c r="C133" s="13"/>
      <c r="D133" s="31"/>
      <c r="E133" s="24"/>
      <c r="F133" s="71"/>
      <c r="G133" s="66" t="str">
        <f>IFERROR(VLOOKUP(A133,BUFFS!$H$5:$AF$195,6,),"")</f>
        <v/>
      </c>
      <c r="H133" s="67" t="str">
        <f>IFERROR(VLOOKUP(A133,BUFFS!$H$5:$AF$195,7,),"")</f>
        <v/>
      </c>
      <c r="I133" s="66" t="str">
        <f>IFERROR(VLOOKUP(A133,BUFFS!$H$5:$AF$195,9,),"")</f>
        <v/>
      </c>
      <c r="J133" s="65" t="str">
        <f>IFERROR(VLOOKUP(A133,BUFFS!$H$5:$AF$195,10,),"")</f>
        <v/>
      </c>
      <c r="K133" s="66" t="str">
        <f>IFERROR(VLOOKUP(A133,BUFFS!$H$5:$AF$195,11,),"")</f>
        <v/>
      </c>
      <c r="L133" s="72"/>
      <c r="M133" s="66" t="str">
        <f>IFERROR(VLOOKUP(A133,BUFFS!$H$5:$AF$195,14,),"")</f>
        <v/>
      </c>
      <c r="N133" s="74"/>
      <c r="O133" s="65" t="str">
        <f>IFERROR(VLOOKUP(A133,BUFFS!$H$5:$AF$195,15,),"")</f>
        <v/>
      </c>
      <c r="P133" s="66" t="str">
        <f>IFERROR(VLOOKUP(A133,BUFFS!$H$5:$AF$195,16,),"")</f>
        <v/>
      </c>
      <c r="Q133" s="66" t="str">
        <f>IFERROR(VLOOKUP(A133,BUFFS!$H$5:$AF$195,17,),"")</f>
        <v/>
      </c>
      <c r="R133" s="66" t="str">
        <f>IFERROR(VLOOKUP(A133,BUFFS!$H$5:$AF$195,19,),"")</f>
        <v/>
      </c>
      <c r="S133" s="69" t="str">
        <f t="shared" si="7"/>
        <v/>
      </c>
      <c r="T133" s="70" t="str">
        <f>IFERROR(VLOOKUP(A133,BUFFS!$H$5:$AF$195,20,),"")</f>
        <v/>
      </c>
    </row>
    <row r="134" spans="1:20" x14ac:dyDescent="0.35">
      <c r="A134" s="17"/>
      <c r="B134" s="18"/>
      <c r="C134" s="13"/>
      <c r="D134" s="31"/>
      <c r="E134" s="24"/>
      <c r="F134" s="71"/>
      <c r="G134" s="66" t="str">
        <f>IFERROR(VLOOKUP(A134,BUFFS!$H$5:$AF$195,6,),"")</f>
        <v/>
      </c>
      <c r="H134" s="67" t="str">
        <f>IFERROR(VLOOKUP(A134,BUFFS!$H$5:$AF$195,7,),"")</f>
        <v/>
      </c>
      <c r="I134" s="66" t="str">
        <f>IFERROR(VLOOKUP(A134,BUFFS!$H$5:$AF$195,9,),"")</f>
        <v/>
      </c>
      <c r="J134" s="65" t="str">
        <f>IFERROR(VLOOKUP(A134,BUFFS!$H$5:$AF$195,10,),"")</f>
        <v/>
      </c>
      <c r="K134" s="66" t="str">
        <f>IFERROR(VLOOKUP(A134,BUFFS!$H$5:$AF$195,11,),"")</f>
        <v/>
      </c>
      <c r="L134" s="72"/>
      <c r="M134" s="66" t="str">
        <f>IFERROR(VLOOKUP(A134,BUFFS!$H$5:$AF$195,14,),"")</f>
        <v/>
      </c>
      <c r="N134" s="74"/>
      <c r="O134" s="65" t="str">
        <f>IFERROR(VLOOKUP(A134,BUFFS!$H$5:$AF$195,15,),"")</f>
        <v/>
      </c>
      <c r="P134" s="66" t="str">
        <f>IFERROR(VLOOKUP(A134,BUFFS!$H$5:$AF$195,16,),"")</f>
        <v/>
      </c>
      <c r="Q134" s="66" t="str">
        <f>IFERROR(VLOOKUP(A134,BUFFS!$H$5:$AF$195,17,),"")</f>
        <v/>
      </c>
      <c r="R134" s="66" t="str">
        <f>IFERROR(VLOOKUP(A134,BUFFS!$H$5:$AF$195,19,),"")</f>
        <v/>
      </c>
      <c r="S134" s="69" t="str">
        <f t="shared" si="7"/>
        <v/>
      </c>
      <c r="T134" s="70" t="str">
        <f>IFERROR(VLOOKUP(A134,BUFFS!$H$5:$AF$195,20,),"")</f>
        <v/>
      </c>
    </row>
    <row r="135" spans="1:20" x14ac:dyDescent="0.35">
      <c r="A135" s="17"/>
      <c r="B135" s="18"/>
      <c r="C135" s="13"/>
      <c r="D135" s="31"/>
      <c r="E135" s="24"/>
      <c r="F135" s="71"/>
      <c r="G135" s="66" t="str">
        <f>IFERROR(VLOOKUP(A135,BUFFS!$H$5:$AF$195,6,),"")</f>
        <v/>
      </c>
      <c r="H135" s="67" t="str">
        <f>IFERROR(VLOOKUP(A135,BUFFS!$H$5:$AF$195,7,),"")</f>
        <v/>
      </c>
      <c r="I135" s="72"/>
      <c r="J135" s="65" t="str">
        <f>IFERROR(VLOOKUP(A135,BUFFS!$H$5:$AF$195,10,),"")</f>
        <v/>
      </c>
      <c r="K135" s="66" t="str">
        <f>IFERROR(VLOOKUP(A135,BUFFS!$H$5:$AF$195,11,),"")</f>
        <v/>
      </c>
      <c r="L135" s="72"/>
      <c r="M135" s="66" t="str">
        <f>IFERROR(VLOOKUP(A135,BUFFS!$H$5:$AF$195,14,),"")</f>
        <v/>
      </c>
      <c r="N135" s="74"/>
      <c r="O135" s="65" t="str">
        <f>IFERROR(VLOOKUP(A135,BUFFS!$H$5:$AF$195,15,),"")</f>
        <v/>
      </c>
      <c r="P135" s="66" t="str">
        <f>IFERROR(VLOOKUP(A135,BUFFS!$H$5:$AF$195,16,),"")</f>
        <v/>
      </c>
      <c r="Q135" s="66" t="str">
        <f>IFERROR(VLOOKUP(A135,BUFFS!$H$5:$AF$195,17,),"")</f>
        <v/>
      </c>
      <c r="R135" s="66" t="str">
        <f>IFERROR(VLOOKUP(A135,BUFFS!$H$5:$AF$195,19,),"")</f>
        <v/>
      </c>
      <c r="S135" s="69" t="str">
        <f t="shared" si="7"/>
        <v/>
      </c>
      <c r="T135" s="70" t="str">
        <f>IFERROR(VLOOKUP(A135,BUFFS!$H$5:$AF$195,20,),"")</f>
        <v/>
      </c>
    </row>
    <row r="136" spans="1:20" x14ac:dyDescent="0.35">
      <c r="A136" s="17"/>
      <c r="B136" s="18"/>
      <c r="C136" s="13"/>
      <c r="D136" s="31"/>
      <c r="E136" s="24"/>
      <c r="F136" s="71"/>
      <c r="G136" s="66" t="str">
        <f>IFERROR(VLOOKUP(A136,BUFFS!$H$5:$AF$195,6,),"")</f>
        <v/>
      </c>
      <c r="H136" s="73"/>
      <c r="I136" s="72"/>
      <c r="J136" s="65" t="str">
        <f>IFERROR(VLOOKUP(A136,BUFFS!$H$5:$AF$195,10,),"")</f>
        <v/>
      </c>
      <c r="K136" s="66" t="str">
        <f>IFERROR(VLOOKUP(A136,BUFFS!$H$5:$AF$195,11,),"")</f>
        <v/>
      </c>
      <c r="L136" s="72"/>
      <c r="M136" s="66" t="str">
        <f>IFERROR(VLOOKUP(A136,BUFFS!$H$5:$AF$195,14,),"")</f>
        <v/>
      </c>
      <c r="N136" s="74"/>
      <c r="O136" s="65" t="str">
        <f>IFERROR(VLOOKUP(A136,BUFFS!$H$5:$AF$195,15,),"")</f>
        <v/>
      </c>
      <c r="P136" s="66" t="str">
        <f>IFERROR(VLOOKUP(A136,BUFFS!$H$5:$AF$195,16,),"")</f>
        <v/>
      </c>
      <c r="Q136" s="66" t="str">
        <f>IFERROR(VLOOKUP(A136,BUFFS!$H$5:$AF$195,17,),"")</f>
        <v/>
      </c>
      <c r="R136" s="66" t="str">
        <f>IFERROR(VLOOKUP(A136,BUFFS!$H$5:$AF$195,19,),"")</f>
        <v/>
      </c>
      <c r="S136" s="69" t="str">
        <f t="shared" si="7"/>
        <v/>
      </c>
      <c r="T136" s="70" t="str">
        <f>IFERROR(VLOOKUP(A136,BUFFS!$H$5:$AF$195,20,),"")</f>
        <v/>
      </c>
    </row>
    <row r="137" spans="1:20" x14ac:dyDescent="0.35">
      <c r="A137" s="17"/>
      <c r="B137" s="18"/>
      <c r="C137" s="13"/>
      <c r="D137" s="31"/>
      <c r="E137" s="24"/>
      <c r="F137" s="71"/>
      <c r="G137" s="66" t="str">
        <f>IFERROR(VLOOKUP(A137,BUFFS!$H$5:$AF$195,6,),"")</f>
        <v/>
      </c>
      <c r="H137" s="73"/>
      <c r="I137" s="72"/>
      <c r="J137" s="65" t="str">
        <f>IFERROR(VLOOKUP(A137,BUFFS!$H$5:$AF$195,10,),"")</f>
        <v/>
      </c>
      <c r="K137" s="66" t="str">
        <f>IFERROR(VLOOKUP(A137,BUFFS!$H$5:$AF$195,11,),"")</f>
        <v/>
      </c>
      <c r="L137" s="72"/>
      <c r="M137" s="66" t="str">
        <f>IFERROR(VLOOKUP(A137,BUFFS!$H$5:$AF$195,14,),"")</f>
        <v/>
      </c>
      <c r="N137" s="74"/>
      <c r="O137" s="65" t="str">
        <f>IFERROR(VLOOKUP(A137,BUFFS!$H$5:$AF$195,15,),"")</f>
        <v/>
      </c>
      <c r="P137" s="66" t="str">
        <f>IFERROR(VLOOKUP(A137,BUFFS!$H$5:$AF$195,16,),"")</f>
        <v/>
      </c>
      <c r="Q137" s="66" t="str">
        <f>IFERROR(VLOOKUP(A137,BUFFS!$H$5:$AF$195,17,),"")</f>
        <v/>
      </c>
      <c r="R137" s="66" t="str">
        <f>IFERROR(VLOOKUP(A137,BUFFS!$H$5:$AF$195,19,),"")</f>
        <v/>
      </c>
      <c r="S137" s="69" t="str">
        <f t="shared" si="7"/>
        <v/>
      </c>
      <c r="T137" s="70" t="str">
        <f>IFERROR(VLOOKUP(A137,BUFFS!$H$5:$AF$195,20,),"")</f>
        <v/>
      </c>
    </row>
    <row r="138" spans="1:20" x14ac:dyDescent="0.35">
      <c r="A138" s="17"/>
      <c r="B138" s="18"/>
      <c r="C138" s="13"/>
      <c r="D138" s="31"/>
      <c r="E138" s="24"/>
      <c r="F138" s="71"/>
      <c r="G138" s="66" t="str">
        <f>IFERROR(VLOOKUP(A138,BUFFS!$H$5:$AF$195,6,),"")</f>
        <v/>
      </c>
      <c r="H138" s="73"/>
      <c r="I138" s="72"/>
      <c r="J138" s="65" t="str">
        <f>IFERROR(VLOOKUP(A138,BUFFS!$H$5:$AF$195,10,),"")</f>
        <v/>
      </c>
      <c r="K138" s="66" t="str">
        <f>IFERROR(VLOOKUP(A138,BUFFS!$H$5:$AF$195,11,),"")</f>
        <v/>
      </c>
      <c r="L138" s="72"/>
      <c r="M138" s="66" t="str">
        <f>IFERROR(VLOOKUP(A138,BUFFS!$H$5:$AF$195,14,),"")</f>
        <v/>
      </c>
      <c r="N138" s="74"/>
      <c r="O138" s="65" t="str">
        <f>IFERROR(VLOOKUP(A138,BUFFS!$H$5:$AF$195,15,),"")</f>
        <v/>
      </c>
      <c r="P138" s="66" t="str">
        <f>IFERROR(VLOOKUP(A138,BUFFS!$H$5:$AF$195,16,),"")</f>
        <v/>
      </c>
      <c r="Q138" s="66" t="str">
        <f>IFERROR(VLOOKUP(A138,BUFFS!$H$5:$AF$195,17,),"")</f>
        <v/>
      </c>
      <c r="R138" s="66" t="str">
        <f>IFERROR(VLOOKUP(A138,BUFFS!$H$5:$AF$195,19,),"")</f>
        <v/>
      </c>
      <c r="S138" s="69" t="str">
        <f t="shared" si="7"/>
        <v/>
      </c>
      <c r="T138" s="70" t="str">
        <f>IFERROR(VLOOKUP(A138,BUFFS!$H$5:$AF$195,20,),"")</f>
        <v/>
      </c>
    </row>
    <row r="139" spans="1:20" x14ac:dyDescent="0.35">
      <c r="A139" s="17"/>
      <c r="B139" s="18"/>
      <c r="C139" s="13"/>
      <c r="D139" s="31"/>
      <c r="E139" s="24"/>
      <c r="F139" s="71"/>
      <c r="G139" s="66" t="str">
        <f>IFERROR(VLOOKUP(A139,BUFFS!$H$5:$AF$195,6,),"")</f>
        <v/>
      </c>
      <c r="H139" s="73"/>
      <c r="I139" s="72"/>
      <c r="J139" s="65" t="str">
        <f>IFERROR(VLOOKUP(A139,BUFFS!$H$5:$AF$195,10,),"")</f>
        <v/>
      </c>
      <c r="K139" s="66" t="str">
        <f>IFERROR(VLOOKUP(A139,BUFFS!$H$5:$AF$195,11,),"")</f>
        <v/>
      </c>
      <c r="L139" s="72"/>
      <c r="M139" s="66" t="str">
        <f>IFERROR(VLOOKUP(A139,BUFFS!$H$5:$AF$195,14,),"")</f>
        <v/>
      </c>
      <c r="N139" s="74"/>
      <c r="O139" s="65" t="str">
        <f>IFERROR(VLOOKUP(A139,BUFFS!$H$5:$AF$195,15,),"")</f>
        <v/>
      </c>
      <c r="P139" s="66" t="str">
        <f>IFERROR(VLOOKUP(A139,BUFFS!$H$5:$AF$195,16,),"")</f>
        <v/>
      </c>
      <c r="Q139" s="66" t="str">
        <f>IFERROR(VLOOKUP(A139,BUFFS!$H$5:$AF$195,17,),"")</f>
        <v/>
      </c>
      <c r="R139" s="66" t="str">
        <f>IFERROR(VLOOKUP(A139,BUFFS!$H$5:$AF$195,19,),"")</f>
        <v/>
      </c>
      <c r="S139" s="69" t="str">
        <f t="shared" si="7"/>
        <v/>
      </c>
      <c r="T139" s="70" t="str">
        <f>IFERROR(VLOOKUP(A139,BUFFS!$H$5:$AF$195,20,),"")</f>
        <v/>
      </c>
    </row>
    <row r="140" spans="1:20" x14ac:dyDescent="0.35">
      <c r="A140" s="17"/>
      <c r="B140" s="18"/>
      <c r="C140" s="13"/>
      <c r="D140" s="31"/>
      <c r="E140" s="24"/>
      <c r="F140" s="71"/>
      <c r="G140" s="66" t="str">
        <f>IFERROR(VLOOKUP(A140,BUFFS!$H$5:$AF$195,6,),"")</f>
        <v/>
      </c>
      <c r="H140" s="73"/>
      <c r="I140" s="72"/>
      <c r="J140" s="65" t="str">
        <f>IFERROR(VLOOKUP(A140,BUFFS!$H$5:$AF$195,10,),"")</f>
        <v/>
      </c>
      <c r="K140" s="66" t="str">
        <f>IFERROR(VLOOKUP(A140,BUFFS!$H$5:$AF$195,11,),"")</f>
        <v/>
      </c>
      <c r="L140" s="72"/>
      <c r="M140" s="66" t="str">
        <f>IFERROR(VLOOKUP(A140,BUFFS!$H$5:$AF$195,14,),"")</f>
        <v/>
      </c>
      <c r="N140" s="74"/>
      <c r="O140" s="65" t="str">
        <f>IFERROR(VLOOKUP(A140,BUFFS!$H$5:$AF$195,15,),"")</f>
        <v/>
      </c>
      <c r="P140" s="66" t="str">
        <f>IFERROR(VLOOKUP(A140,BUFFS!$H$5:$AF$195,16,),"")</f>
        <v/>
      </c>
      <c r="Q140" s="66" t="str">
        <f>IFERROR(VLOOKUP(A140,BUFFS!$H$5:$AF$195,17,),"")</f>
        <v/>
      </c>
      <c r="R140" s="66" t="str">
        <f>IFERROR(VLOOKUP(A140,BUFFS!$H$5:$AF$195,19,),"")</f>
        <v/>
      </c>
      <c r="S140" s="69" t="str">
        <f t="shared" si="7"/>
        <v/>
      </c>
      <c r="T140" s="70" t="str">
        <f>IFERROR(VLOOKUP(A140,BUFFS!$H$5:$AF$195,20,),"")</f>
        <v/>
      </c>
    </row>
    <row r="141" spans="1:20" x14ac:dyDescent="0.35">
      <c r="A141" s="17"/>
      <c r="B141" s="18"/>
      <c r="C141" s="13"/>
      <c r="D141" s="31"/>
      <c r="E141" s="24"/>
      <c r="F141" s="71"/>
      <c r="G141" s="66" t="str">
        <f>IFERROR(VLOOKUP(A141,BUFFS!$H$5:$AF$195,6,),"")</f>
        <v/>
      </c>
      <c r="H141" s="73"/>
      <c r="I141" s="72"/>
      <c r="J141" s="65" t="str">
        <f>IFERROR(VLOOKUP(A141,BUFFS!$H$5:$AF$195,10,),"")</f>
        <v/>
      </c>
      <c r="K141" s="66" t="str">
        <f>IFERROR(VLOOKUP(A141,BUFFS!$H$5:$AF$195,11,),"")</f>
        <v/>
      </c>
      <c r="L141" s="72"/>
      <c r="M141" s="66" t="str">
        <f>IFERROR(VLOOKUP(A141,BUFFS!$H$5:$AF$195,14,),"")</f>
        <v/>
      </c>
      <c r="N141" s="74"/>
      <c r="O141" s="65" t="str">
        <f>IFERROR(VLOOKUP(A141,BUFFS!$H$5:$AF$195,15,),"")</f>
        <v/>
      </c>
      <c r="P141" s="66" t="str">
        <f>IFERROR(VLOOKUP(A141,BUFFS!$H$5:$AF$195,16,),"")</f>
        <v/>
      </c>
      <c r="Q141" s="66" t="str">
        <f>IFERROR(VLOOKUP(A141,BUFFS!$H$5:$AF$195,17,),"")</f>
        <v/>
      </c>
      <c r="R141" s="66" t="str">
        <f>IFERROR(VLOOKUP(A141,BUFFS!$H$5:$AF$195,19,),"")</f>
        <v/>
      </c>
      <c r="S141" s="69" t="str">
        <f t="shared" si="7"/>
        <v/>
      </c>
      <c r="T141" s="70" t="str">
        <f>IFERROR(VLOOKUP(A141,BUFFS!$H$5:$AF$195,20,),"")</f>
        <v/>
      </c>
    </row>
    <row r="142" spans="1:20" x14ac:dyDescent="0.35">
      <c r="A142" s="17"/>
      <c r="B142" s="18"/>
      <c r="C142" s="13"/>
      <c r="D142" s="31"/>
      <c r="E142" s="24"/>
      <c r="F142" s="71"/>
      <c r="G142" s="66" t="str">
        <f>IFERROR(VLOOKUP(A142,BUFFS!$H$5:$AF$195,6,),"")</f>
        <v/>
      </c>
      <c r="H142" s="73"/>
      <c r="I142" s="72"/>
      <c r="J142" s="65" t="str">
        <f>IFERROR(VLOOKUP(A142,BUFFS!$H$5:$AF$195,10,),"")</f>
        <v/>
      </c>
      <c r="K142" s="66" t="str">
        <f>IFERROR(VLOOKUP(A142,BUFFS!$H$5:$AF$195,11,),"")</f>
        <v/>
      </c>
      <c r="L142" s="72"/>
      <c r="M142" s="72"/>
      <c r="N142" s="74"/>
      <c r="O142" s="65" t="str">
        <f>IFERROR(VLOOKUP(A142,BUFFS!$H$5:$AF$195,15,),"")</f>
        <v/>
      </c>
      <c r="P142" s="66" t="str">
        <f>IFERROR(VLOOKUP(A142,BUFFS!$H$5:$AF$195,16,),"")</f>
        <v/>
      </c>
      <c r="Q142" s="66" t="str">
        <f>IFERROR(VLOOKUP(A142,BUFFS!$H$5:$AF$195,17,),"")</f>
        <v/>
      </c>
      <c r="R142" s="66" t="str">
        <f>IFERROR(VLOOKUP(A142,BUFFS!$H$5:$AF$195,19,),"")</f>
        <v/>
      </c>
      <c r="S142" s="69" t="str">
        <f t="shared" si="7"/>
        <v/>
      </c>
      <c r="T142" s="70" t="str">
        <f>IFERROR(VLOOKUP(A142,BUFFS!$H$5:$AF$195,20,),"")</f>
        <v/>
      </c>
    </row>
    <row r="143" spans="1:20" x14ac:dyDescent="0.35">
      <c r="A143" s="17"/>
      <c r="B143" s="18"/>
      <c r="C143" s="13"/>
      <c r="D143" s="31"/>
      <c r="E143" s="24"/>
      <c r="F143" s="71"/>
      <c r="G143" s="66" t="str">
        <f>IFERROR(VLOOKUP(A143,BUFFS!$H$5:$AF$195,6,),"")</f>
        <v/>
      </c>
      <c r="H143" s="73"/>
      <c r="I143" s="72"/>
      <c r="J143" s="65" t="str">
        <f>IFERROR(VLOOKUP(A143,BUFFS!$H$5:$AF$195,10,),"")</f>
        <v/>
      </c>
      <c r="K143" s="66" t="str">
        <f>IFERROR(VLOOKUP(A143,BUFFS!$H$5:$AF$195,11,),"")</f>
        <v/>
      </c>
      <c r="L143" s="72"/>
      <c r="M143" s="72"/>
      <c r="N143" s="74"/>
      <c r="O143" s="65" t="str">
        <f>IFERROR(VLOOKUP(A143,BUFFS!$H$5:$AF$195,15,),"")</f>
        <v/>
      </c>
      <c r="P143" s="66" t="str">
        <f>IFERROR(VLOOKUP(A143,BUFFS!$H$5:$AF$195,16,),"")</f>
        <v/>
      </c>
      <c r="Q143" s="66" t="str">
        <f>IFERROR(VLOOKUP(A143,BUFFS!$H$5:$AF$195,17,),"")</f>
        <v/>
      </c>
      <c r="R143" s="66" t="str">
        <f>IFERROR(VLOOKUP(A143,BUFFS!$H$5:$AF$195,19,),"")</f>
        <v/>
      </c>
      <c r="S143" s="69" t="str">
        <f t="shared" si="7"/>
        <v/>
      </c>
      <c r="T143" s="70" t="str">
        <f>IFERROR(VLOOKUP(A143,BUFFS!$H$5:$AF$195,20,),"")</f>
        <v/>
      </c>
    </row>
    <row r="144" spans="1:20" x14ac:dyDescent="0.35">
      <c r="A144" s="17"/>
      <c r="B144" s="18"/>
      <c r="C144" s="13"/>
      <c r="D144" s="31"/>
      <c r="E144" s="24"/>
      <c r="F144" s="71"/>
      <c r="G144" s="66" t="str">
        <f>IFERROR(VLOOKUP(A144,BUFFS!$H$5:$AF$195,6,),"")</f>
        <v/>
      </c>
      <c r="H144" s="73"/>
      <c r="I144" s="72"/>
      <c r="J144" s="65" t="str">
        <f>IFERROR(VLOOKUP(A144,BUFFS!$H$5:$AF$195,10,),"")</f>
        <v/>
      </c>
      <c r="K144" s="66" t="str">
        <f>IFERROR(VLOOKUP(A144,BUFFS!$H$5:$AF$195,11,),"")</f>
        <v/>
      </c>
      <c r="L144" s="72"/>
      <c r="M144" s="72"/>
      <c r="N144" s="74"/>
      <c r="O144" s="65" t="str">
        <f>IFERROR(VLOOKUP(A144,BUFFS!$H$5:$AF$195,15,),"")</f>
        <v/>
      </c>
      <c r="P144" s="66" t="str">
        <f>IFERROR(VLOOKUP(A144,BUFFS!$H$5:$AF$195,16,),"")</f>
        <v/>
      </c>
      <c r="Q144" s="66" t="str">
        <f>IFERROR(VLOOKUP(A144,BUFFS!$H$5:$AF$195,17,),"")</f>
        <v/>
      </c>
      <c r="R144" s="66" t="str">
        <f>IFERROR(VLOOKUP(A144,BUFFS!$H$5:$AF$195,19,),"")</f>
        <v/>
      </c>
      <c r="S144" s="69" t="str">
        <f t="shared" si="7"/>
        <v/>
      </c>
      <c r="T144" s="70" t="str">
        <f>IFERROR(VLOOKUP(A144,BUFFS!$H$5:$AF$195,20,),"")</f>
        <v/>
      </c>
    </row>
    <row r="145" spans="1:20" x14ac:dyDescent="0.35">
      <c r="A145" s="17"/>
      <c r="B145" s="18"/>
      <c r="C145" s="13"/>
      <c r="D145" s="31"/>
      <c r="E145" s="24"/>
      <c r="F145" s="71"/>
      <c r="G145" s="66" t="str">
        <f>IFERROR(VLOOKUP(A145,BUFFS!$H$5:$AF$195,6,),"")</f>
        <v/>
      </c>
      <c r="H145" s="73"/>
      <c r="I145" s="72"/>
      <c r="J145" s="71"/>
      <c r="K145" s="66" t="str">
        <f>IFERROR(VLOOKUP(A145,BUFFS!$H$5:$AF$195,11,),"")</f>
        <v/>
      </c>
      <c r="L145" s="72"/>
      <c r="M145" s="72"/>
      <c r="N145" s="74"/>
      <c r="O145" s="65" t="str">
        <f>IFERROR(VLOOKUP(A145,BUFFS!$H$5:$AF$195,15,),"")</f>
        <v/>
      </c>
      <c r="P145" s="66" t="str">
        <f>IFERROR(VLOOKUP(A145,BUFFS!$H$5:$AF$195,16,),"")</f>
        <v/>
      </c>
      <c r="Q145" s="66" t="str">
        <f>IFERROR(VLOOKUP(A145,BUFFS!$H$5:$AF$195,17,),"")</f>
        <v/>
      </c>
      <c r="R145" s="66" t="str">
        <f>IFERROR(VLOOKUP(A145,BUFFS!$H$5:$AF$195,19,),"")</f>
        <v/>
      </c>
      <c r="S145" s="69" t="str">
        <f t="shared" si="7"/>
        <v/>
      </c>
      <c r="T145" s="70" t="str">
        <f>IFERROR(VLOOKUP(A145,BUFFS!$H$5:$AF$195,20,),"")</f>
        <v/>
      </c>
    </row>
    <row r="146" spans="1:20" x14ac:dyDescent="0.35">
      <c r="A146" s="17"/>
      <c r="B146" s="18"/>
      <c r="C146" s="13"/>
      <c r="D146" s="31"/>
      <c r="E146" s="24"/>
      <c r="F146" s="71"/>
      <c r="G146" s="66" t="str">
        <f>IFERROR(VLOOKUP(A146,BUFFS!$H$5:$AF$195,6,),"")</f>
        <v/>
      </c>
      <c r="H146" s="73"/>
      <c r="I146" s="72"/>
      <c r="J146" s="71"/>
      <c r="K146" s="66" t="str">
        <f>IFERROR(VLOOKUP(A146,BUFFS!$H$5:$AF$195,11,),"")</f>
        <v/>
      </c>
      <c r="L146" s="72"/>
      <c r="M146" s="72"/>
      <c r="N146" s="74"/>
      <c r="O146" s="65" t="str">
        <f>IFERROR(VLOOKUP(A146,BUFFS!$H$5:$AF$195,15,),"")</f>
        <v/>
      </c>
      <c r="P146" s="66" t="str">
        <f>IFERROR(VLOOKUP(A146,BUFFS!$H$5:$AF$195,16,),"")</f>
        <v/>
      </c>
      <c r="Q146" s="66" t="str">
        <f>IFERROR(VLOOKUP(A146,BUFFS!$H$5:$AF$195,17,),"")</f>
        <v/>
      </c>
      <c r="R146" s="66" t="str">
        <f>IFERROR(VLOOKUP(A146,BUFFS!$H$5:$AF$195,19,),"")</f>
        <v/>
      </c>
      <c r="S146" s="69" t="str">
        <f t="shared" si="7"/>
        <v/>
      </c>
      <c r="T146" s="70" t="str">
        <f>IFERROR(VLOOKUP(A146,BUFFS!$H$5:$AF$195,20,),"")</f>
        <v/>
      </c>
    </row>
    <row r="147" spans="1:20" x14ac:dyDescent="0.35">
      <c r="A147" s="17"/>
      <c r="B147" s="18"/>
      <c r="C147" s="13"/>
      <c r="D147" s="31"/>
      <c r="E147" s="24"/>
      <c r="F147" s="71"/>
      <c r="G147" s="66" t="str">
        <f>IFERROR(VLOOKUP(A147,BUFFS!$H$5:$AF$195,6,),"")</f>
        <v/>
      </c>
      <c r="H147" s="73"/>
      <c r="I147" s="72"/>
      <c r="J147" s="71"/>
      <c r="K147" s="66" t="str">
        <f>IFERROR(VLOOKUP(A147,BUFFS!$H$5:$AF$195,11,),"")</f>
        <v/>
      </c>
      <c r="L147" s="72"/>
      <c r="M147" s="72"/>
      <c r="N147" s="74"/>
      <c r="O147" s="65" t="str">
        <f>IFERROR(VLOOKUP(A147,BUFFS!$H$5:$AF$195,15,),"")</f>
        <v/>
      </c>
      <c r="P147" s="66" t="str">
        <f>IFERROR(VLOOKUP(A147,BUFFS!$H$5:$AF$195,16,),"")</f>
        <v/>
      </c>
      <c r="Q147" s="66" t="str">
        <f>IFERROR(VLOOKUP(A147,BUFFS!$H$5:$AF$195,17,),"")</f>
        <v/>
      </c>
      <c r="R147" s="66" t="str">
        <f>IFERROR(VLOOKUP(A147,BUFFS!$H$5:$AF$195,19,),"")</f>
        <v/>
      </c>
      <c r="S147" s="69" t="str">
        <f t="shared" si="7"/>
        <v/>
      </c>
      <c r="T147" s="70" t="str">
        <f>IFERROR(VLOOKUP(A147,BUFFS!$H$5:$AF$195,20,),"")</f>
        <v/>
      </c>
    </row>
    <row r="148" spans="1:20" x14ac:dyDescent="0.35">
      <c r="A148" s="17"/>
      <c r="B148" s="18"/>
      <c r="C148" s="13"/>
      <c r="D148" s="31"/>
      <c r="E148" s="24"/>
      <c r="F148" s="71"/>
      <c r="G148" s="66" t="str">
        <f>IFERROR(VLOOKUP(A148,BUFFS!$H$5:$AF$195,6,),"")</f>
        <v/>
      </c>
      <c r="H148" s="73"/>
      <c r="I148" s="72"/>
      <c r="J148" s="71"/>
      <c r="K148" s="72"/>
      <c r="L148" s="72"/>
      <c r="M148" s="72"/>
      <c r="N148" s="74"/>
      <c r="O148" s="71"/>
      <c r="P148" s="72"/>
      <c r="Q148" s="72"/>
      <c r="R148" s="72"/>
      <c r="S148" s="74"/>
      <c r="T148" s="75"/>
    </row>
    <row r="149" spans="1:20" x14ac:dyDescent="0.35">
      <c r="A149" s="17"/>
      <c r="B149" s="18"/>
      <c r="C149" s="13"/>
      <c r="D149" s="31"/>
      <c r="E149" s="24"/>
      <c r="F149" s="71"/>
      <c r="G149" s="72"/>
      <c r="H149" s="73"/>
      <c r="I149" s="72"/>
      <c r="J149" s="71"/>
      <c r="K149" s="72"/>
      <c r="L149" s="72"/>
      <c r="M149" s="72"/>
      <c r="N149" s="74"/>
      <c r="O149" s="71"/>
      <c r="P149" s="72"/>
      <c r="Q149" s="72"/>
      <c r="R149" s="72"/>
      <c r="S149" s="74"/>
      <c r="T149" s="75"/>
    </row>
    <row r="150" spans="1:20" x14ac:dyDescent="0.35">
      <c r="A150" s="17"/>
      <c r="B150" s="18"/>
      <c r="C150" s="13"/>
      <c r="D150" s="31"/>
      <c r="E150" s="24"/>
      <c r="F150" s="71"/>
      <c r="G150" s="72"/>
      <c r="H150" s="73"/>
      <c r="I150" s="72"/>
      <c r="J150" s="71"/>
      <c r="K150" s="72"/>
      <c r="L150" s="72"/>
      <c r="M150" s="72"/>
      <c r="N150" s="74"/>
      <c r="O150" s="71"/>
      <c r="P150" s="72"/>
      <c r="Q150" s="72"/>
      <c r="R150" s="72"/>
      <c r="S150" s="74"/>
      <c r="T150" s="75"/>
    </row>
    <row r="151" spans="1:20" x14ac:dyDescent="0.35">
      <c r="A151" s="17"/>
      <c r="B151" s="18"/>
      <c r="C151" s="13"/>
      <c r="D151" s="31"/>
      <c r="E151" s="24"/>
      <c r="F151" s="71"/>
      <c r="G151" s="72"/>
      <c r="H151" s="73"/>
      <c r="I151" s="72"/>
      <c r="J151" s="71"/>
      <c r="K151" s="72"/>
      <c r="L151" s="72"/>
      <c r="M151" s="72"/>
      <c r="N151" s="74"/>
      <c r="O151" s="71"/>
      <c r="P151" s="72"/>
      <c r="Q151" s="72"/>
      <c r="R151" s="72"/>
      <c r="S151" s="74"/>
      <c r="T151" s="75"/>
    </row>
    <row r="152" spans="1:20" x14ac:dyDescent="0.35">
      <c r="A152" s="17"/>
      <c r="B152" s="18"/>
      <c r="C152" s="13"/>
      <c r="D152" s="31"/>
      <c r="E152" s="24"/>
      <c r="F152" s="71"/>
      <c r="G152" s="72"/>
      <c r="H152" s="73"/>
      <c r="I152" s="72"/>
      <c r="J152" s="71"/>
      <c r="K152" s="72"/>
      <c r="L152" s="72"/>
      <c r="M152" s="72"/>
      <c r="N152" s="74"/>
      <c r="O152" s="71"/>
      <c r="P152" s="72"/>
      <c r="Q152" s="72"/>
      <c r="R152" s="72"/>
      <c r="S152" s="74"/>
      <c r="T152" s="75"/>
    </row>
    <row r="153" spans="1:20" x14ac:dyDescent="0.35">
      <c r="A153" s="17"/>
      <c r="B153" s="18"/>
      <c r="C153" s="13"/>
      <c r="D153" s="31"/>
      <c r="E153" s="24"/>
      <c r="F153" s="71"/>
      <c r="G153" s="72"/>
      <c r="H153" s="73"/>
      <c r="I153" s="72"/>
      <c r="J153" s="71"/>
      <c r="K153" s="72"/>
      <c r="L153" s="72"/>
      <c r="M153" s="72"/>
      <c r="N153" s="74"/>
      <c r="O153" s="71"/>
      <c r="P153" s="72"/>
      <c r="Q153" s="72"/>
      <c r="R153" s="72"/>
      <c r="S153" s="74"/>
      <c r="T153" s="75"/>
    </row>
    <row r="154" spans="1:20" x14ac:dyDescent="0.35">
      <c r="A154" s="17"/>
      <c r="B154" s="18"/>
      <c r="C154" s="13"/>
      <c r="D154" s="31"/>
      <c r="E154" s="24"/>
      <c r="F154" s="71"/>
      <c r="G154" s="72"/>
      <c r="H154" s="73"/>
      <c r="I154" s="72"/>
      <c r="J154" s="71"/>
      <c r="K154" s="72"/>
      <c r="L154" s="72"/>
      <c r="M154" s="72"/>
      <c r="N154" s="74"/>
      <c r="O154" s="71"/>
      <c r="P154" s="72"/>
      <c r="Q154" s="72"/>
      <c r="R154" s="72"/>
      <c r="S154" s="74"/>
      <c r="T154" s="75"/>
    </row>
    <row r="155" spans="1:20" x14ac:dyDescent="0.35">
      <c r="A155" s="17"/>
      <c r="B155" s="18"/>
      <c r="C155" s="13"/>
      <c r="D155" s="31"/>
      <c r="E155" s="24"/>
      <c r="F155" s="71"/>
      <c r="G155" s="72"/>
      <c r="H155" s="73"/>
      <c r="I155" s="72"/>
      <c r="J155" s="71"/>
      <c r="K155" s="72"/>
      <c r="L155" s="72"/>
      <c r="M155" s="72"/>
      <c r="N155" s="74"/>
      <c r="O155" s="71"/>
      <c r="P155" s="72"/>
      <c r="Q155" s="72"/>
      <c r="R155" s="72"/>
      <c r="S155" s="74"/>
      <c r="T155" s="75"/>
    </row>
    <row r="156" spans="1:20" x14ac:dyDescent="0.35">
      <c r="A156" s="17"/>
      <c r="B156" s="18"/>
      <c r="C156" s="13"/>
      <c r="D156" s="31"/>
      <c r="E156" s="24"/>
      <c r="F156" s="71"/>
      <c r="G156" s="72"/>
      <c r="H156" s="73"/>
      <c r="I156" s="72"/>
      <c r="J156" s="71"/>
      <c r="K156" s="72"/>
      <c r="L156" s="72"/>
      <c r="M156" s="72"/>
      <c r="N156" s="74"/>
      <c r="O156" s="71"/>
      <c r="P156" s="72"/>
      <c r="Q156" s="72"/>
      <c r="R156" s="72"/>
      <c r="S156" s="74"/>
      <c r="T156" s="75"/>
    </row>
    <row r="157" spans="1:20" x14ac:dyDescent="0.35">
      <c r="A157" s="17"/>
      <c r="B157" s="18"/>
      <c r="C157" s="13"/>
      <c r="D157" s="31"/>
      <c r="E157" s="24"/>
      <c r="F157" s="71"/>
      <c r="G157" s="72"/>
      <c r="H157" s="73"/>
      <c r="I157" s="72"/>
      <c r="J157" s="71"/>
      <c r="K157" s="72"/>
      <c r="L157" s="72"/>
      <c r="M157" s="72"/>
      <c r="N157" s="74"/>
      <c r="O157" s="71"/>
      <c r="P157" s="72"/>
      <c r="Q157" s="72"/>
      <c r="R157" s="72"/>
      <c r="S157" s="74"/>
      <c r="T157" s="75"/>
    </row>
    <row r="158" spans="1:20" x14ac:dyDescent="0.35">
      <c r="A158" s="17"/>
      <c r="B158" s="18"/>
      <c r="C158" s="13"/>
      <c r="D158" s="31"/>
      <c r="E158" s="24"/>
      <c r="F158" s="71"/>
      <c r="G158" s="72"/>
      <c r="H158" s="73"/>
      <c r="I158" s="72"/>
      <c r="J158" s="71"/>
      <c r="K158" s="72"/>
      <c r="L158" s="72"/>
      <c r="M158" s="72"/>
      <c r="N158" s="74"/>
      <c r="O158" s="71"/>
      <c r="P158" s="72"/>
      <c r="Q158" s="72"/>
      <c r="R158" s="72"/>
      <c r="S158" s="74"/>
      <c r="T158" s="75"/>
    </row>
    <row r="159" spans="1:20" x14ac:dyDescent="0.35">
      <c r="A159" s="17"/>
      <c r="B159" s="18"/>
      <c r="C159" s="13"/>
      <c r="D159" s="31"/>
      <c r="E159" s="24"/>
      <c r="F159" s="71"/>
      <c r="G159" s="72"/>
      <c r="H159" s="73"/>
      <c r="I159" s="72"/>
      <c r="J159" s="71"/>
      <c r="K159" s="72"/>
      <c r="L159" s="72"/>
      <c r="M159" s="72"/>
      <c r="N159" s="74"/>
      <c r="O159" s="71"/>
      <c r="P159" s="72"/>
      <c r="Q159" s="72"/>
      <c r="R159" s="72"/>
      <c r="S159" s="74"/>
      <c r="T159" s="75"/>
    </row>
    <row r="160" spans="1:20" x14ac:dyDescent="0.35">
      <c r="A160" s="17"/>
      <c r="B160" s="18"/>
      <c r="C160" s="13"/>
      <c r="D160" s="31"/>
      <c r="E160" s="24"/>
      <c r="F160" s="71"/>
      <c r="G160" s="72"/>
      <c r="H160" s="73"/>
      <c r="I160" s="72"/>
      <c r="J160" s="71"/>
      <c r="K160" s="72"/>
      <c r="L160" s="72"/>
      <c r="M160" s="72"/>
      <c r="N160" s="74"/>
      <c r="O160" s="71"/>
      <c r="P160" s="72"/>
      <c r="Q160" s="72"/>
      <c r="R160" s="72"/>
      <c r="S160" s="74"/>
      <c r="T160" s="75"/>
    </row>
    <row r="161" spans="1:20" x14ac:dyDescent="0.35">
      <c r="A161" s="17"/>
      <c r="B161" s="18"/>
      <c r="C161" s="13"/>
      <c r="D161" s="31"/>
      <c r="E161" s="24"/>
      <c r="F161" s="71"/>
      <c r="G161" s="72"/>
      <c r="H161" s="73"/>
      <c r="I161" s="72"/>
      <c r="J161" s="71"/>
      <c r="K161" s="72"/>
      <c r="L161" s="72"/>
      <c r="M161" s="72"/>
      <c r="N161" s="74"/>
      <c r="O161" s="71"/>
      <c r="P161" s="72"/>
      <c r="Q161" s="72"/>
      <c r="R161" s="72"/>
      <c r="S161" s="74"/>
      <c r="T161" s="75"/>
    </row>
    <row r="162" spans="1:20" x14ac:dyDescent="0.35">
      <c r="A162" s="17"/>
      <c r="B162" s="18"/>
      <c r="C162" s="13"/>
      <c r="D162" s="31"/>
      <c r="E162" s="24"/>
      <c r="F162" s="71"/>
      <c r="G162" s="72"/>
      <c r="H162" s="73"/>
      <c r="I162" s="72"/>
      <c r="J162" s="71"/>
      <c r="K162" s="72"/>
      <c r="L162" s="72"/>
      <c r="M162" s="72"/>
      <c r="N162" s="74"/>
      <c r="O162" s="71"/>
      <c r="P162" s="72"/>
      <c r="Q162" s="72"/>
      <c r="R162" s="72"/>
      <c r="S162" s="74"/>
      <c r="T162" s="75"/>
    </row>
    <row r="163" spans="1:20" x14ac:dyDescent="0.35">
      <c r="A163" s="17"/>
      <c r="B163" s="18"/>
      <c r="C163" s="13"/>
      <c r="D163" s="31"/>
      <c r="E163" s="24"/>
      <c r="F163" s="71"/>
      <c r="G163" s="72"/>
      <c r="H163" s="73"/>
      <c r="I163" s="72"/>
      <c r="J163" s="71"/>
      <c r="K163" s="72"/>
      <c r="L163" s="72"/>
      <c r="M163" s="72"/>
      <c r="N163" s="74"/>
      <c r="O163" s="71"/>
      <c r="P163" s="72"/>
      <c r="Q163" s="72"/>
      <c r="R163" s="72"/>
      <c r="S163" s="74"/>
      <c r="T163" s="75"/>
    </row>
    <row r="164" spans="1:20" x14ac:dyDescent="0.35">
      <c r="A164" s="17"/>
      <c r="B164" s="18"/>
      <c r="C164" s="13"/>
      <c r="D164" s="31"/>
      <c r="E164" s="24"/>
      <c r="F164" s="71"/>
      <c r="G164" s="72"/>
      <c r="H164" s="73"/>
      <c r="I164" s="72"/>
      <c r="J164" s="71"/>
      <c r="K164" s="72"/>
      <c r="L164" s="72"/>
      <c r="M164" s="72"/>
      <c r="N164" s="74"/>
      <c r="O164" s="71"/>
      <c r="P164" s="72"/>
      <c r="Q164" s="72"/>
      <c r="R164" s="72"/>
      <c r="S164" s="74"/>
      <c r="T164" s="75"/>
    </row>
    <row r="165" spans="1:20" x14ac:dyDescent="0.35">
      <c r="A165" s="17"/>
      <c r="B165" s="18"/>
      <c r="C165" s="13"/>
      <c r="D165" s="31"/>
      <c r="E165" s="24"/>
      <c r="F165" s="71"/>
      <c r="G165" s="72"/>
      <c r="H165" s="73"/>
      <c r="I165" s="72"/>
      <c r="J165" s="71"/>
      <c r="K165" s="72"/>
      <c r="L165" s="72"/>
      <c r="M165" s="72"/>
      <c r="N165" s="74"/>
      <c r="O165" s="71"/>
      <c r="P165" s="72"/>
      <c r="Q165" s="72"/>
      <c r="R165" s="72"/>
      <c r="S165" s="74"/>
      <c r="T165" s="75"/>
    </row>
    <row r="166" spans="1:20" x14ac:dyDescent="0.35">
      <c r="A166" s="17"/>
      <c r="B166" s="18"/>
      <c r="C166" s="13"/>
      <c r="D166" s="31"/>
      <c r="E166" s="24"/>
      <c r="F166" s="71"/>
      <c r="G166" s="72"/>
      <c r="H166" s="73"/>
      <c r="I166" s="72"/>
      <c r="J166" s="71"/>
      <c r="K166" s="72"/>
      <c r="L166" s="72"/>
      <c r="M166" s="72"/>
      <c r="N166" s="74"/>
      <c r="O166" s="71"/>
      <c r="P166" s="72"/>
      <c r="Q166" s="72"/>
      <c r="R166" s="72"/>
      <c r="S166" s="74"/>
      <c r="T166" s="75"/>
    </row>
    <row r="167" spans="1:20" x14ac:dyDescent="0.35">
      <c r="A167" s="17"/>
      <c r="B167" s="18"/>
      <c r="C167" s="13"/>
      <c r="D167" s="31"/>
      <c r="E167" s="24"/>
      <c r="F167" s="71"/>
      <c r="G167" s="72"/>
      <c r="H167" s="73"/>
      <c r="I167" s="72"/>
      <c r="J167" s="71"/>
      <c r="K167" s="72"/>
      <c r="L167" s="72"/>
      <c r="M167" s="72"/>
      <c r="N167" s="74"/>
      <c r="O167" s="71"/>
      <c r="P167" s="72"/>
      <c r="Q167" s="72"/>
      <c r="R167" s="72"/>
      <c r="S167" s="74"/>
      <c r="T167" s="75"/>
    </row>
    <row r="168" spans="1:20" x14ac:dyDescent="0.35">
      <c r="A168" s="17"/>
      <c r="B168" s="18"/>
      <c r="C168" s="13"/>
      <c r="D168" s="31"/>
      <c r="E168" s="24"/>
      <c r="F168" s="71"/>
      <c r="G168" s="72"/>
      <c r="H168" s="73"/>
      <c r="I168" s="72"/>
      <c r="J168" s="71"/>
      <c r="K168" s="72"/>
      <c r="L168" s="72"/>
      <c r="M168" s="72"/>
      <c r="N168" s="74"/>
      <c r="O168" s="71"/>
      <c r="P168" s="72"/>
      <c r="Q168" s="72"/>
      <c r="R168" s="72"/>
      <c r="S168" s="74"/>
      <c r="T168" s="75"/>
    </row>
    <row r="169" spans="1:20" x14ac:dyDescent="0.35">
      <c r="A169" s="17"/>
      <c r="B169" s="18"/>
      <c r="C169" s="13"/>
      <c r="D169" s="31"/>
      <c r="E169" s="24"/>
      <c r="F169" s="71"/>
      <c r="G169" s="72"/>
      <c r="H169" s="73"/>
      <c r="I169" s="72"/>
      <c r="J169" s="71"/>
      <c r="K169" s="72"/>
      <c r="L169" s="72"/>
      <c r="M169" s="72"/>
      <c r="N169" s="74"/>
      <c r="O169" s="71"/>
      <c r="P169" s="72"/>
      <c r="Q169" s="72"/>
      <c r="R169" s="72"/>
      <c r="S169" s="74"/>
      <c r="T169" s="75"/>
    </row>
    <row r="170" spans="1:20" x14ac:dyDescent="0.35">
      <c r="A170" s="17"/>
      <c r="B170" s="18"/>
      <c r="C170" s="13"/>
      <c r="D170" s="31"/>
      <c r="E170" s="24"/>
      <c r="F170" s="71"/>
      <c r="G170" s="72"/>
      <c r="H170" s="73"/>
      <c r="I170" s="72"/>
      <c r="J170" s="71"/>
      <c r="K170" s="72"/>
      <c r="L170" s="72"/>
      <c r="M170" s="72"/>
      <c r="N170" s="74"/>
      <c r="O170" s="71"/>
      <c r="P170" s="72"/>
      <c r="Q170" s="72"/>
      <c r="R170" s="72"/>
      <c r="S170" s="74"/>
      <c r="T170" s="75"/>
    </row>
    <row r="171" spans="1:20" x14ac:dyDescent="0.35">
      <c r="A171" s="17"/>
      <c r="B171" s="18"/>
      <c r="C171" s="13"/>
      <c r="D171" s="31"/>
      <c r="E171" s="24"/>
      <c r="F171" s="71"/>
      <c r="G171" s="72"/>
      <c r="H171" s="73"/>
      <c r="I171" s="72"/>
      <c r="J171" s="71"/>
      <c r="K171" s="72"/>
      <c r="L171" s="72"/>
      <c r="M171" s="72"/>
      <c r="N171" s="74"/>
      <c r="O171" s="71"/>
      <c r="P171" s="72"/>
      <c r="Q171" s="72"/>
      <c r="R171" s="72"/>
      <c r="S171" s="74"/>
      <c r="T171" s="75"/>
    </row>
    <row r="172" spans="1:20" x14ac:dyDescent="0.35">
      <c r="A172" s="17"/>
      <c r="B172" s="18"/>
      <c r="C172" s="13"/>
      <c r="D172" s="31"/>
      <c r="E172" s="24"/>
      <c r="F172" s="71"/>
      <c r="G172" s="72"/>
      <c r="H172" s="73"/>
      <c r="I172" s="72"/>
      <c r="J172" s="71"/>
      <c r="K172" s="72"/>
      <c r="L172" s="72"/>
      <c r="M172" s="72"/>
      <c r="N172" s="74"/>
      <c r="O172" s="71"/>
      <c r="P172" s="72"/>
      <c r="Q172" s="72"/>
      <c r="R172" s="72"/>
      <c r="S172" s="74"/>
      <c r="T172" s="75"/>
    </row>
    <row r="173" spans="1:20" x14ac:dyDescent="0.35">
      <c r="A173" s="17"/>
      <c r="B173" s="18"/>
      <c r="C173" s="13"/>
      <c r="D173" s="31"/>
      <c r="E173" s="24"/>
      <c r="F173" s="71"/>
      <c r="G173" s="72"/>
      <c r="H173" s="73"/>
      <c r="I173" s="72"/>
      <c r="J173" s="71"/>
      <c r="K173" s="72"/>
      <c r="L173" s="72"/>
      <c r="M173" s="72"/>
      <c r="N173" s="74"/>
      <c r="O173" s="71"/>
      <c r="P173" s="72"/>
      <c r="Q173" s="72"/>
      <c r="R173" s="72"/>
      <c r="S173" s="74"/>
      <c r="T173" s="75"/>
    </row>
    <row r="174" spans="1:20" x14ac:dyDescent="0.35">
      <c r="A174" s="17"/>
      <c r="B174" s="18"/>
      <c r="C174" s="13"/>
      <c r="D174" s="31"/>
      <c r="E174" s="24"/>
      <c r="F174" s="71"/>
      <c r="G174" s="72"/>
      <c r="H174" s="73"/>
      <c r="I174" s="72"/>
      <c r="J174" s="71"/>
      <c r="K174" s="72"/>
      <c r="L174" s="72"/>
      <c r="M174" s="72"/>
      <c r="N174" s="74"/>
      <c r="O174" s="71"/>
      <c r="P174" s="72"/>
      <c r="Q174" s="72"/>
      <c r="R174" s="72"/>
      <c r="S174" s="74"/>
      <c r="T174" s="75"/>
    </row>
    <row r="175" spans="1:20" x14ac:dyDescent="0.35">
      <c r="A175" s="17"/>
      <c r="B175" s="18"/>
      <c r="C175" s="13"/>
      <c r="D175" s="31"/>
      <c r="E175" s="24"/>
      <c r="F175" s="71"/>
      <c r="G175" s="72"/>
      <c r="H175" s="73"/>
      <c r="I175" s="72"/>
      <c r="J175" s="71"/>
      <c r="K175" s="72"/>
      <c r="L175" s="72"/>
      <c r="M175" s="72"/>
      <c r="N175" s="74"/>
      <c r="O175" s="71"/>
      <c r="P175" s="72"/>
      <c r="Q175" s="72"/>
      <c r="R175" s="72"/>
      <c r="S175" s="74"/>
      <c r="T175" s="75"/>
    </row>
    <row r="176" spans="1:20" x14ac:dyDescent="0.35">
      <c r="A176" s="17"/>
      <c r="B176" s="18"/>
      <c r="C176" s="13"/>
      <c r="D176" s="31"/>
      <c r="E176" s="24"/>
      <c r="F176" s="71"/>
      <c r="G176" s="72"/>
      <c r="H176" s="73"/>
      <c r="I176" s="72"/>
      <c r="J176" s="71"/>
      <c r="K176" s="72"/>
      <c r="L176" s="72"/>
      <c r="M176" s="72"/>
      <c r="N176" s="74"/>
      <c r="O176" s="71"/>
      <c r="P176" s="72"/>
      <c r="Q176" s="72"/>
      <c r="R176" s="72"/>
      <c r="S176" s="74"/>
      <c r="T176" s="75"/>
    </row>
    <row r="177" spans="1:20" x14ac:dyDescent="0.35">
      <c r="A177" s="17"/>
      <c r="B177" s="18"/>
      <c r="C177" s="13"/>
      <c r="D177" s="31"/>
      <c r="E177" s="24"/>
      <c r="F177" s="71"/>
      <c r="G177" s="72"/>
      <c r="H177" s="73"/>
      <c r="I177" s="72"/>
      <c r="J177" s="71"/>
      <c r="K177" s="72"/>
      <c r="L177" s="72"/>
      <c r="M177" s="72"/>
      <c r="N177" s="74"/>
      <c r="O177" s="71"/>
      <c r="P177" s="72"/>
      <c r="Q177" s="72"/>
      <c r="R177" s="72"/>
      <c r="S177" s="74"/>
      <c r="T177" s="75"/>
    </row>
    <row r="178" spans="1:20" x14ac:dyDescent="0.35">
      <c r="A178" s="17"/>
      <c r="B178" s="18"/>
      <c r="C178" s="13"/>
      <c r="D178" s="31"/>
      <c r="E178" s="24"/>
      <c r="F178" s="71"/>
      <c r="G178" s="72"/>
      <c r="H178" s="73"/>
      <c r="I178" s="72"/>
      <c r="J178" s="71"/>
      <c r="K178" s="72"/>
      <c r="L178" s="72"/>
      <c r="M178" s="72"/>
      <c r="N178" s="74"/>
      <c r="O178" s="71"/>
      <c r="P178" s="72"/>
      <c r="Q178" s="72"/>
      <c r="R178" s="72"/>
      <c r="S178" s="74"/>
      <c r="T178" s="75"/>
    </row>
    <row r="179" spans="1:20" x14ac:dyDescent="0.35">
      <c r="A179" s="17"/>
      <c r="B179" s="18"/>
      <c r="C179" s="13"/>
      <c r="D179" s="31"/>
      <c r="E179" s="24"/>
      <c r="F179" s="71"/>
      <c r="G179" s="72"/>
      <c r="H179" s="73"/>
      <c r="I179" s="72"/>
      <c r="J179" s="71"/>
      <c r="K179" s="72"/>
      <c r="L179" s="72"/>
      <c r="M179" s="72"/>
      <c r="N179" s="74"/>
      <c r="O179" s="71"/>
      <c r="P179" s="72"/>
      <c r="Q179" s="72"/>
      <c r="R179" s="72"/>
      <c r="S179" s="74"/>
      <c r="T179" s="75"/>
    </row>
    <row r="180" spans="1:20" x14ac:dyDescent="0.35">
      <c r="A180" s="17"/>
      <c r="B180" s="18"/>
      <c r="C180" s="13"/>
      <c r="D180" s="31"/>
      <c r="E180" s="24"/>
      <c r="F180" s="71"/>
      <c r="G180" s="72"/>
      <c r="H180" s="73"/>
      <c r="I180" s="72"/>
      <c r="J180" s="71"/>
      <c r="K180" s="72"/>
      <c r="L180" s="72"/>
      <c r="M180" s="72"/>
      <c r="N180" s="74"/>
      <c r="O180" s="71"/>
      <c r="P180" s="72"/>
      <c r="Q180" s="72"/>
      <c r="R180" s="72"/>
      <c r="S180" s="74"/>
      <c r="T180" s="75"/>
    </row>
    <row r="181" spans="1:20" x14ac:dyDescent="0.35">
      <c r="A181" s="17"/>
      <c r="B181" s="18"/>
      <c r="C181" s="13"/>
      <c r="D181" s="31"/>
      <c r="E181" s="24"/>
      <c r="F181" s="71"/>
      <c r="G181" s="72"/>
      <c r="H181" s="73"/>
      <c r="I181" s="72"/>
      <c r="J181" s="71"/>
      <c r="K181" s="72"/>
      <c r="L181" s="72"/>
      <c r="M181" s="72"/>
      <c r="N181" s="74"/>
      <c r="O181" s="71"/>
      <c r="P181" s="72"/>
      <c r="Q181" s="72"/>
      <c r="R181" s="72"/>
      <c r="S181" s="74"/>
      <c r="T181" s="75"/>
    </row>
    <row r="182" spans="1:20" x14ac:dyDescent="0.35">
      <c r="A182" s="17"/>
      <c r="B182" s="18"/>
      <c r="C182" s="13"/>
      <c r="D182" s="31"/>
      <c r="E182" s="24"/>
      <c r="F182" s="71"/>
      <c r="G182" s="72"/>
      <c r="H182" s="73"/>
      <c r="I182" s="72"/>
      <c r="J182" s="71"/>
      <c r="K182" s="72"/>
      <c r="L182" s="72"/>
      <c r="M182" s="72"/>
      <c r="N182" s="74"/>
      <c r="O182" s="71"/>
      <c r="P182" s="72"/>
      <c r="Q182" s="72"/>
      <c r="R182" s="72"/>
      <c r="S182" s="74"/>
      <c r="T182" s="75"/>
    </row>
    <row r="183" spans="1:20" x14ac:dyDescent="0.35">
      <c r="A183" s="17"/>
      <c r="B183" s="18"/>
      <c r="C183" s="13"/>
      <c r="D183" s="31"/>
      <c r="E183" s="24"/>
      <c r="F183" s="71"/>
      <c r="G183" s="72"/>
      <c r="H183" s="73"/>
      <c r="I183" s="72"/>
      <c r="J183" s="71"/>
      <c r="K183" s="72"/>
      <c r="L183" s="72"/>
      <c r="M183" s="72"/>
      <c r="N183" s="74"/>
      <c r="O183" s="71"/>
      <c r="P183" s="72"/>
      <c r="Q183" s="72"/>
      <c r="R183" s="72"/>
      <c r="S183" s="74"/>
      <c r="T183" s="75"/>
    </row>
    <row r="184" spans="1:20" x14ac:dyDescent="0.35">
      <c r="A184" s="17"/>
      <c r="B184" s="18"/>
      <c r="C184" s="13"/>
      <c r="D184" s="31"/>
      <c r="E184" s="24"/>
      <c r="F184" s="71"/>
      <c r="G184" s="72"/>
      <c r="H184" s="73"/>
      <c r="I184" s="72"/>
      <c r="J184" s="71"/>
      <c r="K184" s="72"/>
      <c r="L184" s="72"/>
      <c r="M184" s="72"/>
      <c r="N184" s="74"/>
      <c r="O184" s="71"/>
      <c r="P184" s="72"/>
      <c r="Q184" s="72"/>
      <c r="R184" s="72"/>
      <c r="S184" s="74"/>
      <c r="T184" s="75"/>
    </row>
    <row r="185" spans="1:20" x14ac:dyDescent="0.35">
      <c r="A185" s="17"/>
      <c r="B185" s="18"/>
      <c r="C185" s="13"/>
      <c r="D185" s="31"/>
      <c r="E185" s="24"/>
      <c r="F185" s="71"/>
      <c r="G185" s="72"/>
      <c r="H185" s="73"/>
      <c r="I185" s="72"/>
      <c r="J185" s="71"/>
      <c r="K185" s="72"/>
      <c r="L185" s="72"/>
      <c r="M185" s="72"/>
      <c r="N185" s="74"/>
      <c r="O185" s="71"/>
      <c r="P185" s="72"/>
      <c r="Q185" s="72"/>
      <c r="R185" s="72"/>
      <c r="S185" s="74"/>
      <c r="T185" s="75"/>
    </row>
    <row r="186" spans="1:20" x14ac:dyDescent="0.35">
      <c r="A186" s="17"/>
      <c r="B186" s="18"/>
      <c r="C186" s="13"/>
      <c r="D186" s="31"/>
      <c r="E186" s="24"/>
      <c r="F186" s="71"/>
      <c r="G186" s="72"/>
      <c r="H186" s="73"/>
      <c r="I186" s="72"/>
      <c r="J186" s="71"/>
      <c r="K186" s="72"/>
      <c r="L186" s="72"/>
      <c r="M186" s="72"/>
      <c r="N186" s="74"/>
      <c r="O186" s="71"/>
      <c r="P186" s="72"/>
      <c r="Q186" s="72"/>
      <c r="R186" s="72"/>
      <c r="S186" s="74"/>
      <c r="T186" s="75"/>
    </row>
    <row r="187" spans="1:20" x14ac:dyDescent="0.35">
      <c r="A187" s="17"/>
      <c r="B187" s="18"/>
      <c r="C187" s="13"/>
      <c r="D187" s="31"/>
      <c r="E187" s="24"/>
      <c r="F187" s="71"/>
      <c r="G187" s="72"/>
      <c r="H187" s="73"/>
      <c r="I187" s="72"/>
      <c r="J187" s="71"/>
      <c r="K187" s="72"/>
      <c r="L187" s="72"/>
      <c r="M187" s="72"/>
      <c r="N187" s="74"/>
      <c r="O187" s="71"/>
      <c r="P187" s="72"/>
      <c r="Q187" s="72"/>
      <c r="R187" s="72"/>
      <c r="S187" s="74"/>
      <c r="T187" s="75"/>
    </row>
    <row r="188" spans="1:20" x14ac:dyDescent="0.35">
      <c r="A188" s="17"/>
      <c r="B188" s="18"/>
      <c r="C188" s="13"/>
      <c r="D188" s="31"/>
      <c r="E188" s="24"/>
      <c r="F188" s="71"/>
      <c r="G188" s="72"/>
      <c r="H188" s="73"/>
      <c r="I188" s="72"/>
      <c r="J188" s="71"/>
      <c r="K188" s="72"/>
      <c r="L188" s="72"/>
      <c r="M188" s="72"/>
      <c r="N188" s="74"/>
      <c r="O188" s="71"/>
      <c r="P188" s="72"/>
      <c r="Q188" s="72"/>
      <c r="R188" s="72"/>
      <c r="S188" s="74"/>
      <c r="T188" s="75"/>
    </row>
    <row r="189" spans="1:20" x14ac:dyDescent="0.35">
      <c r="A189" s="17"/>
      <c r="B189" s="18"/>
      <c r="C189" s="13"/>
      <c r="D189" s="31"/>
      <c r="E189" s="24"/>
      <c r="F189" s="71"/>
      <c r="G189" s="72"/>
      <c r="H189" s="73"/>
      <c r="I189" s="72"/>
      <c r="J189" s="71"/>
      <c r="K189" s="72"/>
      <c r="L189" s="72"/>
      <c r="M189" s="72"/>
      <c r="N189" s="74"/>
      <c r="O189" s="71"/>
      <c r="P189" s="72"/>
      <c r="Q189" s="72"/>
      <c r="R189" s="72"/>
      <c r="S189" s="74"/>
      <c r="T189" s="75"/>
    </row>
    <row r="190" spans="1:20" x14ac:dyDescent="0.35">
      <c r="A190" s="17"/>
      <c r="B190" s="18"/>
      <c r="C190" s="13"/>
      <c r="D190" s="31"/>
      <c r="E190" s="24"/>
      <c r="F190" s="71"/>
      <c r="G190" s="72"/>
      <c r="H190" s="73"/>
      <c r="I190" s="72"/>
      <c r="J190" s="71"/>
      <c r="K190" s="72"/>
      <c r="L190" s="72"/>
      <c r="M190" s="72"/>
      <c r="N190" s="74"/>
      <c r="O190" s="71"/>
      <c r="P190" s="72"/>
      <c r="Q190" s="72"/>
      <c r="R190" s="72"/>
      <c r="S190" s="74"/>
      <c r="T190" s="75"/>
    </row>
    <row r="191" spans="1:20" x14ac:dyDescent="0.35">
      <c r="A191" s="17"/>
      <c r="B191" s="18"/>
      <c r="C191" s="13"/>
      <c r="D191" s="31"/>
      <c r="E191" s="24"/>
      <c r="F191" s="71"/>
      <c r="G191" s="72"/>
      <c r="H191" s="73"/>
      <c r="I191" s="72"/>
      <c r="J191" s="71"/>
      <c r="K191" s="72"/>
      <c r="L191" s="72"/>
      <c r="M191" s="72"/>
      <c r="N191" s="74"/>
      <c r="O191" s="71"/>
      <c r="P191" s="72"/>
      <c r="Q191" s="72"/>
      <c r="R191" s="72"/>
      <c r="S191" s="74"/>
      <c r="T191" s="75"/>
    </row>
    <row r="192" spans="1:20" x14ac:dyDescent="0.35">
      <c r="A192" s="17"/>
      <c r="B192" s="18"/>
      <c r="C192" s="13"/>
      <c r="D192" s="31"/>
      <c r="E192" s="24"/>
      <c r="F192" s="71"/>
      <c r="G192" s="72"/>
      <c r="H192" s="73"/>
      <c r="I192" s="72"/>
      <c r="J192" s="71"/>
      <c r="K192" s="72"/>
      <c r="L192" s="72"/>
      <c r="M192" s="72"/>
      <c r="N192" s="74"/>
      <c r="O192" s="71"/>
      <c r="P192" s="72"/>
      <c r="Q192" s="72"/>
      <c r="R192" s="72"/>
      <c r="S192" s="74"/>
      <c r="T192" s="75"/>
    </row>
    <row r="193" spans="1:20" x14ac:dyDescent="0.35">
      <c r="A193" s="17"/>
      <c r="B193" s="18"/>
      <c r="C193" s="13"/>
      <c r="D193" s="31"/>
      <c r="E193" s="24"/>
      <c r="F193" s="71"/>
      <c r="G193" s="72"/>
      <c r="H193" s="73"/>
      <c r="I193" s="72"/>
      <c r="J193" s="71"/>
      <c r="K193" s="72"/>
      <c r="L193" s="72"/>
      <c r="M193" s="72"/>
      <c r="N193" s="74"/>
      <c r="O193" s="71"/>
      <c r="P193" s="72"/>
      <c r="Q193" s="72"/>
      <c r="R193" s="72"/>
      <c r="S193" s="74"/>
      <c r="T193" s="75"/>
    </row>
    <row r="194" spans="1:20" x14ac:dyDescent="0.35">
      <c r="A194" s="17"/>
      <c r="B194" s="18"/>
      <c r="C194" s="13"/>
      <c r="D194" s="31"/>
      <c r="E194" s="24"/>
      <c r="F194" s="71"/>
      <c r="G194" s="72"/>
      <c r="H194" s="73"/>
      <c r="I194" s="72"/>
      <c r="J194" s="71"/>
      <c r="K194" s="72"/>
      <c r="L194" s="72"/>
      <c r="M194" s="72"/>
      <c r="N194" s="74"/>
      <c r="O194" s="71"/>
      <c r="P194" s="72"/>
      <c r="Q194" s="72"/>
      <c r="R194" s="72"/>
      <c r="S194" s="74"/>
      <c r="T194" s="75"/>
    </row>
    <row r="195" spans="1:20" x14ac:dyDescent="0.35">
      <c r="A195" s="17"/>
      <c r="B195" s="18"/>
      <c r="C195" s="13"/>
      <c r="D195" s="31"/>
      <c r="E195" s="24"/>
      <c r="F195" s="71"/>
      <c r="G195" s="72"/>
      <c r="H195" s="73"/>
      <c r="I195" s="72"/>
      <c r="J195" s="71"/>
      <c r="K195" s="72"/>
      <c r="L195" s="72"/>
      <c r="M195" s="72"/>
      <c r="N195" s="74"/>
      <c r="O195" s="71"/>
      <c r="P195" s="72"/>
      <c r="Q195" s="72"/>
      <c r="R195" s="72"/>
      <c r="S195" s="74"/>
      <c r="T195" s="75"/>
    </row>
    <row r="196" spans="1:20" x14ac:dyDescent="0.35">
      <c r="A196" s="17"/>
      <c r="B196" s="18"/>
      <c r="C196" s="13"/>
      <c r="D196" s="31"/>
      <c r="E196" s="24"/>
      <c r="F196" s="71"/>
      <c r="G196" s="72"/>
      <c r="H196" s="73"/>
      <c r="I196" s="72"/>
      <c r="J196" s="71"/>
      <c r="K196" s="72"/>
      <c r="L196" s="72"/>
      <c r="M196" s="72"/>
      <c r="N196" s="74"/>
      <c r="O196" s="71"/>
      <c r="P196" s="72"/>
      <c r="Q196" s="72"/>
      <c r="R196" s="72"/>
      <c r="S196" s="74"/>
      <c r="T196" s="75"/>
    </row>
    <row r="197" spans="1:20" x14ac:dyDescent="0.35">
      <c r="A197" s="17"/>
      <c r="B197" s="18"/>
      <c r="C197" s="13"/>
      <c r="D197" s="31"/>
      <c r="E197" s="24"/>
      <c r="F197" s="71"/>
      <c r="G197" s="72"/>
      <c r="H197" s="73"/>
      <c r="I197" s="72"/>
      <c r="J197" s="71"/>
      <c r="K197" s="72"/>
      <c r="L197" s="72"/>
      <c r="M197" s="72"/>
      <c r="N197" s="74"/>
      <c r="O197" s="71"/>
      <c r="P197" s="72"/>
      <c r="Q197" s="72"/>
      <c r="R197" s="72"/>
      <c r="S197" s="74"/>
      <c r="T197" s="75"/>
    </row>
    <row r="198" spans="1:20" x14ac:dyDescent="0.35">
      <c r="A198" s="17"/>
      <c r="B198" s="18"/>
      <c r="C198" s="13"/>
      <c r="D198" s="31"/>
      <c r="E198" s="24"/>
      <c r="F198" s="71"/>
      <c r="G198" s="72"/>
      <c r="H198" s="73"/>
      <c r="I198" s="72"/>
      <c r="J198" s="71"/>
      <c r="K198" s="72"/>
      <c r="L198" s="72"/>
      <c r="M198" s="72"/>
      <c r="N198" s="74"/>
      <c r="O198" s="71"/>
      <c r="P198" s="72"/>
      <c r="Q198" s="72"/>
      <c r="R198" s="72"/>
      <c r="S198" s="74"/>
      <c r="T198" s="75"/>
    </row>
    <row r="199" spans="1:20" x14ac:dyDescent="0.35">
      <c r="A199" s="17"/>
      <c r="B199" s="18"/>
      <c r="C199" s="13"/>
      <c r="D199" s="31"/>
      <c r="E199" s="24"/>
      <c r="F199" s="71"/>
      <c r="G199" s="72"/>
      <c r="H199" s="73"/>
      <c r="I199" s="72"/>
      <c r="J199" s="71"/>
      <c r="K199" s="72"/>
      <c r="L199" s="72"/>
      <c r="M199" s="72"/>
      <c r="N199" s="74"/>
      <c r="O199" s="71"/>
      <c r="P199" s="72"/>
      <c r="Q199" s="72"/>
      <c r="R199" s="72"/>
      <c r="S199" s="74"/>
      <c r="T199" s="75"/>
    </row>
    <row r="200" spans="1:20" x14ac:dyDescent="0.35">
      <c r="A200" s="17"/>
      <c r="B200" s="18"/>
      <c r="C200" s="13"/>
      <c r="D200" s="31"/>
      <c r="E200" s="24"/>
      <c r="F200" s="71"/>
      <c r="G200" s="72"/>
      <c r="H200" s="73"/>
      <c r="I200" s="72"/>
      <c r="J200" s="71"/>
      <c r="K200" s="72"/>
      <c r="L200" s="72"/>
      <c r="M200" s="72"/>
      <c r="N200" s="74"/>
      <c r="O200" s="71"/>
      <c r="P200" s="72"/>
      <c r="Q200" s="72"/>
      <c r="R200" s="72"/>
      <c r="S200" s="74"/>
      <c r="T200" s="75"/>
    </row>
    <row r="201" spans="1:20" x14ac:dyDescent="0.35">
      <c r="A201" s="17"/>
      <c r="B201" s="18"/>
      <c r="C201" s="13"/>
      <c r="D201" s="31"/>
      <c r="E201" s="24"/>
      <c r="F201" s="71"/>
      <c r="G201" s="72"/>
      <c r="H201" s="73"/>
      <c r="I201" s="72"/>
      <c r="J201" s="71"/>
      <c r="K201" s="72"/>
      <c r="L201" s="72"/>
      <c r="M201" s="72"/>
      <c r="N201" s="74"/>
      <c r="O201" s="71"/>
      <c r="P201" s="72"/>
      <c r="Q201" s="72"/>
      <c r="R201" s="72"/>
      <c r="S201" s="74"/>
      <c r="T201" s="75"/>
    </row>
    <row r="202" spans="1:20" x14ac:dyDescent="0.35">
      <c r="A202" s="17"/>
      <c r="B202" s="18"/>
      <c r="C202" s="13"/>
      <c r="D202" s="31"/>
      <c r="E202" s="24"/>
      <c r="F202" s="71"/>
      <c r="G202" s="72"/>
      <c r="H202" s="73"/>
      <c r="I202" s="72"/>
      <c r="J202" s="71"/>
      <c r="K202" s="72"/>
      <c r="L202" s="72"/>
      <c r="M202" s="72"/>
      <c r="N202" s="74"/>
      <c r="O202" s="71"/>
      <c r="P202" s="72"/>
      <c r="Q202" s="72"/>
      <c r="R202" s="72"/>
      <c r="S202" s="74"/>
      <c r="T202" s="75"/>
    </row>
    <row r="203" spans="1:20" x14ac:dyDescent="0.35">
      <c r="A203" s="17"/>
      <c r="B203" s="18"/>
      <c r="C203" s="13"/>
      <c r="D203" s="31"/>
      <c r="E203" s="24"/>
      <c r="F203" s="71"/>
      <c r="G203" s="72"/>
      <c r="H203" s="73"/>
      <c r="I203" s="72"/>
      <c r="J203" s="71"/>
      <c r="K203" s="72"/>
      <c r="L203" s="72"/>
      <c r="M203" s="72"/>
      <c r="N203" s="74"/>
      <c r="O203" s="71"/>
      <c r="P203" s="72"/>
      <c r="Q203" s="72"/>
      <c r="R203" s="72"/>
      <c r="S203" s="74"/>
      <c r="T203" s="75"/>
    </row>
    <row r="204" spans="1:20" x14ac:dyDescent="0.35">
      <c r="A204" s="17"/>
      <c r="B204" s="18"/>
      <c r="C204" s="13"/>
      <c r="D204" s="31"/>
      <c r="E204" s="24"/>
      <c r="F204" s="71"/>
      <c r="G204" s="72"/>
      <c r="H204" s="73"/>
      <c r="I204" s="72"/>
      <c r="J204" s="71"/>
      <c r="K204" s="72"/>
      <c r="L204" s="72"/>
      <c r="M204" s="72"/>
      <c r="N204" s="74"/>
      <c r="O204" s="71"/>
      <c r="P204" s="72"/>
      <c r="Q204" s="72"/>
      <c r="R204" s="72"/>
      <c r="S204" s="74"/>
      <c r="T204" s="75"/>
    </row>
    <row r="205" spans="1:20" x14ac:dyDescent="0.35">
      <c r="A205" s="17"/>
      <c r="B205" s="18"/>
      <c r="C205" s="13"/>
      <c r="D205" s="31"/>
      <c r="E205" s="24"/>
      <c r="F205" s="71"/>
      <c r="G205" s="72"/>
      <c r="H205" s="73"/>
      <c r="I205" s="72"/>
      <c r="J205" s="71"/>
      <c r="K205" s="72"/>
      <c r="L205" s="72"/>
      <c r="M205" s="72"/>
      <c r="N205" s="74"/>
      <c r="O205" s="71"/>
      <c r="P205" s="72"/>
      <c r="Q205" s="72"/>
      <c r="R205" s="72"/>
      <c r="S205" s="74"/>
      <c r="T205" s="75"/>
    </row>
    <row r="206" spans="1:20" x14ac:dyDescent="0.35">
      <c r="A206" s="17"/>
      <c r="B206" s="18"/>
      <c r="C206" s="13"/>
      <c r="D206" s="31"/>
      <c r="E206" s="24"/>
      <c r="F206" s="71"/>
      <c r="G206" s="72"/>
      <c r="H206" s="73"/>
      <c r="I206" s="72"/>
      <c r="J206" s="71"/>
      <c r="K206" s="72"/>
      <c r="L206" s="72"/>
      <c r="M206" s="72"/>
      <c r="N206" s="74"/>
      <c r="O206" s="71"/>
      <c r="P206" s="72"/>
      <c r="Q206" s="72"/>
      <c r="R206" s="72"/>
      <c r="S206" s="74"/>
      <c r="T206" s="75"/>
    </row>
    <row r="207" spans="1:20" x14ac:dyDescent="0.35">
      <c r="A207" s="17"/>
      <c r="B207" s="18"/>
      <c r="C207" s="13"/>
      <c r="D207" s="31"/>
      <c r="E207" s="24"/>
      <c r="F207" s="71"/>
      <c r="G207" s="72"/>
      <c r="H207" s="73"/>
      <c r="I207" s="72"/>
      <c r="J207" s="71"/>
      <c r="K207" s="72"/>
      <c r="L207" s="72"/>
      <c r="M207" s="72"/>
      <c r="N207" s="74"/>
      <c r="O207" s="71"/>
      <c r="P207" s="72"/>
      <c r="Q207" s="72"/>
      <c r="R207" s="72"/>
      <c r="S207" s="74"/>
      <c r="T207" s="75"/>
    </row>
    <row r="208" spans="1:20" x14ac:dyDescent="0.35">
      <c r="A208" s="17"/>
      <c r="B208" s="18"/>
      <c r="C208" s="13"/>
      <c r="D208" s="31"/>
      <c r="E208" s="24"/>
      <c r="F208" s="71"/>
      <c r="G208" s="72"/>
      <c r="H208" s="73"/>
      <c r="I208" s="72"/>
      <c r="J208" s="71"/>
      <c r="K208" s="72"/>
      <c r="L208" s="72"/>
      <c r="M208" s="72"/>
      <c r="N208" s="74"/>
      <c r="O208" s="71"/>
      <c r="P208" s="72"/>
      <c r="Q208" s="72"/>
      <c r="R208" s="72"/>
      <c r="S208" s="74"/>
      <c r="T208" s="75"/>
    </row>
    <row r="209" spans="1:21" x14ac:dyDescent="0.35">
      <c r="A209" s="17"/>
      <c r="B209" s="18"/>
      <c r="C209" s="13"/>
      <c r="D209" s="31"/>
      <c r="E209" s="24"/>
      <c r="F209" s="71"/>
      <c r="G209" s="72"/>
      <c r="H209" s="73"/>
      <c r="I209" s="72"/>
      <c r="J209" s="71"/>
      <c r="K209" s="72"/>
      <c r="L209" s="72"/>
      <c r="M209" s="72"/>
      <c r="N209" s="74"/>
      <c r="O209" s="71"/>
      <c r="P209" s="72"/>
      <c r="Q209" s="72"/>
      <c r="R209" s="72"/>
      <c r="S209" s="74"/>
      <c r="T209" s="75"/>
      <c r="U209" s="33"/>
    </row>
    <row r="210" spans="1:21" x14ac:dyDescent="0.35">
      <c r="A210" s="17"/>
      <c r="B210" s="18"/>
      <c r="C210" s="13"/>
      <c r="D210" s="31"/>
      <c r="E210" s="24"/>
      <c r="F210" s="71"/>
      <c r="G210" s="72"/>
      <c r="H210" s="73"/>
      <c r="I210" s="72"/>
      <c r="J210" s="71"/>
      <c r="K210" s="72"/>
      <c r="L210" s="72"/>
      <c r="M210" s="72"/>
      <c r="N210" s="74"/>
      <c r="O210" s="71"/>
      <c r="P210" s="72"/>
      <c r="Q210" s="72"/>
      <c r="R210" s="72"/>
      <c r="S210" s="74"/>
      <c r="T210" s="75"/>
      <c r="U210" s="33"/>
    </row>
    <row r="211" spans="1:21" x14ac:dyDescent="0.35">
      <c r="A211" s="17"/>
      <c r="B211" s="18"/>
      <c r="C211" s="13"/>
      <c r="D211" s="31"/>
      <c r="E211" s="24"/>
      <c r="F211" s="71"/>
      <c r="G211" s="72"/>
      <c r="H211" s="73"/>
      <c r="I211" s="72"/>
      <c r="J211" s="71"/>
      <c r="K211" s="72"/>
      <c r="L211" s="72"/>
      <c r="M211" s="72"/>
      <c r="N211" s="74"/>
      <c r="O211" s="71"/>
      <c r="P211" s="72"/>
      <c r="Q211" s="72"/>
      <c r="R211" s="72"/>
      <c r="S211" s="74"/>
      <c r="T211" s="75"/>
      <c r="U211" s="33"/>
    </row>
    <row r="212" spans="1:21" x14ac:dyDescent="0.35">
      <c r="A212" s="17"/>
      <c r="B212" s="18"/>
      <c r="C212" s="13"/>
      <c r="D212" s="31"/>
      <c r="E212" s="24"/>
      <c r="F212" s="71"/>
      <c r="G212" s="72"/>
      <c r="H212" s="73"/>
      <c r="I212" s="72"/>
      <c r="J212" s="71"/>
      <c r="K212" s="72"/>
      <c r="L212" s="72"/>
      <c r="M212" s="72"/>
      <c r="N212" s="74"/>
      <c r="O212" s="71"/>
      <c r="P212" s="72"/>
      <c r="Q212" s="72"/>
      <c r="R212" s="72"/>
      <c r="S212" s="74"/>
      <c r="T212" s="75"/>
      <c r="U212" s="33"/>
    </row>
    <row r="213" spans="1:21" x14ac:dyDescent="0.35">
      <c r="A213" s="17"/>
      <c r="B213" s="18"/>
      <c r="C213" s="13"/>
      <c r="D213" s="31"/>
      <c r="E213" s="24"/>
      <c r="F213" s="71"/>
      <c r="G213" s="72"/>
      <c r="H213" s="73"/>
      <c r="I213" s="72"/>
      <c r="J213" s="71"/>
      <c r="K213" s="72"/>
      <c r="L213" s="72"/>
      <c r="M213" s="72"/>
      <c r="N213" s="74"/>
      <c r="O213" s="71"/>
      <c r="P213" s="72"/>
      <c r="Q213" s="72"/>
      <c r="R213" s="72"/>
      <c r="S213" s="74"/>
      <c r="T213" s="75"/>
    </row>
    <row r="214" spans="1:21" x14ac:dyDescent="0.35">
      <c r="A214" s="17"/>
      <c r="B214" s="18"/>
      <c r="C214" s="13"/>
      <c r="D214" s="31"/>
      <c r="E214" s="24"/>
      <c r="F214" s="71"/>
      <c r="G214" s="72"/>
      <c r="H214" s="73"/>
      <c r="I214" s="72"/>
      <c r="J214" s="71"/>
      <c r="K214" s="72"/>
      <c r="L214" s="72"/>
      <c r="M214" s="72"/>
      <c r="N214" s="74"/>
      <c r="O214" s="71"/>
      <c r="P214" s="72"/>
      <c r="Q214" s="72"/>
      <c r="R214" s="72"/>
      <c r="S214" s="74"/>
      <c r="T214" s="75"/>
    </row>
    <row r="215" spans="1:21" x14ac:dyDescent="0.35">
      <c r="A215" s="17"/>
      <c r="B215" s="18"/>
      <c r="C215" s="13"/>
      <c r="D215" s="31"/>
      <c r="E215" s="24"/>
      <c r="F215" s="71"/>
      <c r="G215" s="72"/>
      <c r="H215" s="73"/>
      <c r="I215" s="72"/>
      <c r="J215" s="71"/>
      <c r="K215" s="72"/>
      <c r="L215" s="72"/>
      <c r="M215" s="72"/>
      <c r="N215" s="74"/>
      <c r="O215" s="71"/>
      <c r="P215" s="72"/>
      <c r="Q215" s="72"/>
      <c r="R215" s="72"/>
      <c r="S215" s="74"/>
      <c r="T215" s="75"/>
    </row>
    <row r="216" spans="1:21" x14ac:dyDescent="0.35">
      <c r="A216" s="17"/>
      <c r="B216" s="18"/>
      <c r="C216" s="13"/>
      <c r="D216" s="31"/>
      <c r="E216" s="24"/>
      <c r="F216" s="71"/>
      <c r="G216" s="72"/>
      <c r="H216" s="73"/>
      <c r="I216" s="72"/>
      <c r="J216" s="71"/>
      <c r="K216" s="72"/>
      <c r="L216" s="72"/>
      <c r="M216" s="72"/>
      <c r="N216" s="74"/>
      <c r="O216" s="71"/>
      <c r="P216" s="72"/>
      <c r="Q216" s="72"/>
      <c r="R216" s="72"/>
      <c r="S216" s="74"/>
      <c r="T216" s="75"/>
    </row>
    <row r="217" spans="1:21" x14ac:dyDescent="0.35">
      <c r="A217" s="17"/>
      <c r="B217" s="18"/>
      <c r="C217" s="13"/>
      <c r="D217" s="31"/>
      <c r="E217" s="24"/>
      <c r="F217" s="71"/>
      <c r="G217" s="72"/>
      <c r="H217" s="73"/>
      <c r="I217" s="72"/>
      <c r="J217" s="71"/>
      <c r="K217" s="72"/>
      <c r="L217" s="72"/>
      <c r="M217" s="72"/>
      <c r="N217" s="74"/>
      <c r="O217" s="71"/>
      <c r="P217" s="72"/>
      <c r="Q217" s="72"/>
      <c r="R217" s="72"/>
      <c r="S217" s="74"/>
      <c r="T217" s="75"/>
    </row>
    <row r="218" spans="1:21" x14ac:dyDescent="0.35">
      <c r="A218" s="17"/>
      <c r="B218" s="18"/>
      <c r="C218" s="13"/>
      <c r="D218" s="31"/>
      <c r="E218" s="24"/>
      <c r="F218" s="71"/>
      <c r="G218" s="72"/>
      <c r="H218" s="73"/>
      <c r="I218" s="72"/>
      <c r="J218" s="71"/>
      <c r="K218" s="72"/>
      <c r="L218" s="72"/>
      <c r="M218" s="72"/>
      <c r="N218" s="74"/>
      <c r="O218" s="71"/>
      <c r="P218" s="72"/>
      <c r="Q218" s="72"/>
      <c r="R218" s="72"/>
      <c r="S218" s="74"/>
      <c r="T218" s="75"/>
    </row>
    <row r="219" spans="1:21" x14ac:dyDescent="0.35">
      <c r="A219" s="17"/>
      <c r="B219" s="18"/>
      <c r="C219" s="13"/>
      <c r="D219" s="31"/>
      <c r="E219" s="24"/>
      <c r="F219" s="71"/>
      <c r="G219" s="72"/>
      <c r="H219" s="73"/>
      <c r="I219" s="72"/>
      <c r="J219" s="71"/>
      <c r="K219" s="72"/>
      <c r="L219" s="72"/>
      <c r="M219" s="72"/>
      <c r="N219" s="74"/>
      <c r="O219" s="71"/>
      <c r="P219" s="72"/>
      <c r="Q219" s="72"/>
      <c r="R219" s="72"/>
      <c r="S219" s="74"/>
      <c r="T219" s="75"/>
    </row>
    <row r="220" spans="1:21" x14ac:dyDescent="0.35">
      <c r="A220" s="17"/>
      <c r="B220" s="18"/>
      <c r="C220" s="13"/>
      <c r="D220" s="31"/>
      <c r="E220" s="24"/>
      <c r="F220" s="71"/>
      <c r="G220" s="72"/>
      <c r="H220" s="73"/>
      <c r="I220" s="72"/>
      <c r="J220" s="71"/>
      <c r="K220" s="72"/>
      <c r="L220" s="72"/>
      <c r="M220" s="72"/>
      <c r="N220" s="74"/>
      <c r="O220" s="71"/>
      <c r="P220" s="72"/>
      <c r="Q220" s="72"/>
      <c r="R220" s="72"/>
      <c r="S220" s="74"/>
      <c r="T220" s="75"/>
    </row>
    <row r="221" spans="1:21" x14ac:dyDescent="0.35">
      <c r="A221" s="17"/>
      <c r="B221" s="18"/>
      <c r="C221" s="13"/>
      <c r="D221" s="31"/>
      <c r="E221" s="24"/>
      <c r="F221" s="71"/>
      <c r="G221" s="72"/>
      <c r="H221" s="73"/>
      <c r="I221" s="72"/>
      <c r="J221" s="71"/>
      <c r="K221" s="72"/>
      <c r="L221" s="72"/>
      <c r="M221" s="72"/>
      <c r="N221" s="74"/>
      <c r="O221" s="71"/>
      <c r="P221" s="72"/>
      <c r="Q221" s="72"/>
      <c r="R221" s="72"/>
      <c r="S221" s="74"/>
      <c r="T221" s="75"/>
    </row>
    <row r="222" spans="1:21" x14ac:dyDescent="0.35">
      <c r="A222" s="17"/>
      <c r="B222" s="18"/>
      <c r="C222" s="13"/>
      <c r="D222" s="31"/>
      <c r="E222" s="24"/>
      <c r="F222" s="71"/>
      <c r="G222" s="72"/>
      <c r="H222" s="73"/>
      <c r="I222" s="72"/>
      <c r="J222" s="71"/>
      <c r="K222" s="72"/>
      <c r="L222" s="72"/>
      <c r="M222" s="72"/>
      <c r="N222" s="74"/>
      <c r="O222" s="71"/>
      <c r="P222" s="72"/>
      <c r="Q222" s="72"/>
      <c r="R222" s="72"/>
      <c r="S222" s="74"/>
      <c r="T222" s="75"/>
    </row>
    <row r="223" spans="1:21" x14ac:dyDescent="0.35">
      <c r="A223" s="17"/>
      <c r="B223" s="18"/>
      <c r="C223" s="13"/>
      <c r="D223" s="31"/>
      <c r="E223" s="24"/>
      <c r="F223" s="71"/>
      <c r="G223" s="72"/>
      <c r="H223" s="73"/>
      <c r="I223" s="72"/>
      <c r="J223" s="71"/>
      <c r="K223" s="72"/>
      <c r="L223" s="72"/>
      <c r="M223" s="72"/>
      <c r="N223" s="74"/>
      <c r="O223" s="71"/>
      <c r="P223" s="72"/>
      <c r="Q223" s="72"/>
      <c r="R223" s="72"/>
      <c r="S223" s="74"/>
      <c r="T223" s="75"/>
    </row>
    <row r="224" spans="1:21" x14ac:dyDescent="0.35">
      <c r="A224" s="17"/>
      <c r="B224" s="18"/>
      <c r="C224" s="13"/>
      <c r="D224" s="31"/>
      <c r="E224" s="24"/>
      <c r="F224" s="71"/>
      <c r="G224" s="72"/>
      <c r="H224" s="73"/>
      <c r="I224" s="72"/>
      <c r="J224" s="71"/>
      <c r="K224" s="72"/>
      <c r="L224" s="72"/>
      <c r="M224" s="72"/>
      <c r="N224" s="74"/>
      <c r="O224" s="71"/>
      <c r="P224" s="72"/>
      <c r="Q224" s="72"/>
      <c r="R224" s="72"/>
      <c r="S224" s="74"/>
      <c r="T224" s="75"/>
    </row>
    <row r="225" spans="1:20" x14ac:dyDescent="0.35">
      <c r="A225" s="17"/>
      <c r="B225" s="18"/>
      <c r="C225" s="13"/>
      <c r="D225" s="31"/>
      <c r="E225" s="24"/>
      <c r="F225" s="71"/>
      <c r="G225" s="72"/>
      <c r="H225" s="73"/>
      <c r="I225" s="72"/>
      <c r="J225" s="71"/>
      <c r="K225" s="72"/>
      <c r="L225" s="72"/>
      <c r="M225" s="72"/>
      <c r="N225" s="74"/>
      <c r="O225" s="71"/>
      <c r="P225" s="72"/>
      <c r="Q225" s="72"/>
      <c r="R225" s="72"/>
      <c r="S225" s="74"/>
      <c r="T225" s="75"/>
    </row>
    <row r="226" spans="1:20" x14ac:dyDescent="0.35">
      <c r="A226" s="17"/>
      <c r="B226" s="18"/>
      <c r="C226" s="13"/>
      <c r="D226" s="31"/>
      <c r="E226" s="24"/>
      <c r="F226" s="71"/>
      <c r="G226" s="72"/>
      <c r="H226" s="73"/>
      <c r="I226" s="72"/>
      <c r="J226" s="71"/>
      <c r="K226" s="72"/>
      <c r="L226" s="72"/>
      <c r="M226" s="72"/>
      <c r="N226" s="74"/>
      <c r="O226" s="71"/>
      <c r="P226" s="72"/>
      <c r="Q226" s="72"/>
      <c r="R226" s="72"/>
      <c r="S226" s="74"/>
      <c r="T226" s="75"/>
    </row>
    <row r="227" spans="1:20" x14ac:dyDescent="0.35">
      <c r="A227" s="17"/>
      <c r="B227" s="18"/>
      <c r="C227" s="13"/>
      <c r="D227" s="31"/>
      <c r="E227" s="24"/>
      <c r="F227" s="71"/>
      <c r="G227" s="72"/>
      <c r="H227" s="73"/>
      <c r="I227" s="72"/>
      <c r="J227" s="71"/>
      <c r="K227" s="72"/>
      <c r="L227" s="72"/>
      <c r="M227" s="72"/>
      <c r="N227" s="74"/>
      <c r="O227" s="71"/>
      <c r="P227" s="72"/>
      <c r="Q227" s="72"/>
      <c r="R227" s="72"/>
      <c r="S227" s="74"/>
      <c r="T227" s="75"/>
    </row>
    <row r="228" spans="1:20" x14ac:dyDescent="0.35">
      <c r="A228" s="17"/>
      <c r="B228" s="18"/>
      <c r="C228" s="13"/>
      <c r="D228" s="31"/>
      <c r="E228" s="24"/>
      <c r="F228" s="71"/>
      <c r="G228" s="72"/>
      <c r="H228" s="73"/>
      <c r="I228" s="72"/>
      <c r="J228" s="71"/>
      <c r="K228" s="72"/>
      <c r="L228" s="72"/>
      <c r="M228" s="72"/>
      <c r="N228" s="74"/>
      <c r="O228" s="71"/>
      <c r="P228" s="72"/>
      <c r="Q228" s="72"/>
      <c r="R228" s="72"/>
      <c r="S228" s="74"/>
      <c r="T228" s="75"/>
    </row>
    <row r="229" spans="1:20" x14ac:dyDescent="0.35">
      <c r="A229" s="17"/>
      <c r="B229" s="18"/>
      <c r="C229" s="13"/>
      <c r="D229" s="31"/>
      <c r="E229" s="24"/>
      <c r="F229" s="71"/>
      <c r="G229" s="72"/>
      <c r="H229" s="73"/>
      <c r="I229" s="72"/>
      <c r="J229" s="71"/>
      <c r="K229" s="72"/>
      <c r="L229" s="72"/>
      <c r="M229" s="72"/>
      <c r="N229" s="74"/>
      <c r="O229" s="71"/>
      <c r="P229" s="72"/>
      <c r="Q229" s="72"/>
      <c r="R229" s="72"/>
      <c r="S229" s="74"/>
      <c r="T229" s="75"/>
    </row>
    <row r="230" spans="1:20" x14ac:dyDescent="0.35">
      <c r="A230" s="17"/>
      <c r="B230" s="18"/>
      <c r="C230" s="13"/>
      <c r="D230" s="31"/>
      <c r="E230" s="24"/>
      <c r="F230" s="71"/>
      <c r="G230" s="72"/>
      <c r="H230" s="73"/>
      <c r="I230" s="72"/>
      <c r="J230" s="71"/>
      <c r="K230" s="72"/>
      <c r="L230" s="72"/>
      <c r="M230" s="72"/>
      <c r="N230" s="74"/>
      <c r="O230" s="71"/>
      <c r="P230" s="72"/>
      <c r="Q230" s="72"/>
      <c r="R230" s="72"/>
      <c r="S230" s="74"/>
      <c r="T230" s="75"/>
    </row>
    <row r="231" spans="1:20" x14ac:dyDescent="0.35">
      <c r="A231" s="17"/>
      <c r="B231" s="18"/>
      <c r="C231" s="13"/>
      <c r="D231" s="31"/>
      <c r="E231" s="24"/>
      <c r="F231" s="71"/>
      <c r="G231" s="72"/>
      <c r="H231" s="73"/>
      <c r="I231" s="72"/>
      <c r="J231" s="71"/>
      <c r="K231" s="72"/>
      <c r="L231" s="72"/>
      <c r="M231" s="72"/>
      <c r="N231" s="74"/>
      <c r="O231" s="71"/>
      <c r="P231" s="72"/>
      <c r="Q231" s="72"/>
      <c r="R231" s="72"/>
      <c r="S231" s="74"/>
      <c r="T231" s="75"/>
    </row>
    <row r="232" spans="1:20" x14ac:dyDescent="0.35">
      <c r="A232" s="17"/>
      <c r="B232" s="18"/>
      <c r="C232" s="13"/>
      <c r="D232" s="31"/>
      <c r="E232" s="24"/>
      <c r="F232" s="71"/>
      <c r="G232" s="72"/>
      <c r="H232" s="73"/>
      <c r="I232" s="72"/>
      <c r="J232" s="71"/>
      <c r="K232" s="72"/>
      <c r="L232" s="72"/>
      <c r="M232" s="72"/>
      <c r="N232" s="74"/>
      <c r="O232" s="71"/>
      <c r="P232" s="72"/>
      <c r="Q232" s="72"/>
      <c r="R232" s="72"/>
      <c r="S232" s="74"/>
      <c r="T232" s="75"/>
    </row>
    <row r="233" spans="1:20" x14ac:dyDescent="0.35">
      <c r="A233" s="17"/>
      <c r="B233" s="18"/>
      <c r="C233" s="13"/>
      <c r="D233" s="31"/>
      <c r="E233" s="24"/>
      <c r="F233" s="71"/>
      <c r="G233" s="72"/>
      <c r="H233" s="73"/>
      <c r="I233" s="72"/>
      <c r="J233" s="71"/>
      <c r="K233" s="72"/>
      <c r="L233" s="72"/>
      <c r="M233" s="72"/>
      <c r="N233" s="74"/>
      <c r="O233" s="71"/>
      <c r="P233" s="72"/>
      <c r="Q233" s="72"/>
      <c r="R233" s="72"/>
      <c r="S233" s="74"/>
      <c r="T233" s="75"/>
    </row>
    <row r="234" spans="1:20" x14ac:dyDescent="0.35">
      <c r="A234" s="17"/>
      <c r="B234" s="18"/>
      <c r="C234" s="13"/>
      <c r="D234" s="31"/>
      <c r="E234" s="24"/>
      <c r="F234" s="71"/>
      <c r="G234" s="72"/>
      <c r="H234" s="73"/>
      <c r="I234" s="72"/>
      <c r="J234" s="71"/>
      <c r="K234" s="72"/>
      <c r="L234" s="72"/>
      <c r="M234" s="72"/>
      <c r="N234" s="74"/>
      <c r="O234" s="71"/>
      <c r="P234" s="72"/>
      <c r="Q234" s="72"/>
      <c r="R234" s="72"/>
      <c r="S234" s="74"/>
      <c r="T234" s="75"/>
    </row>
    <row r="235" spans="1:20" x14ac:dyDescent="0.35">
      <c r="A235" s="17"/>
      <c r="B235" s="18"/>
      <c r="C235" s="13"/>
      <c r="D235" s="31"/>
      <c r="E235" s="24"/>
      <c r="F235" s="71"/>
      <c r="G235" s="72"/>
      <c r="H235" s="73"/>
      <c r="I235" s="72"/>
      <c r="J235" s="71"/>
      <c r="K235" s="72"/>
      <c r="L235" s="72"/>
      <c r="M235" s="72"/>
      <c r="N235" s="74"/>
      <c r="O235" s="71"/>
      <c r="P235" s="72"/>
      <c r="Q235" s="72"/>
      <c r="R235" s="72"/>
      <c r="S235" s="74"/>
      <c r="T235" s="75"/>
    </row>
    <row r="236" spans="1:20" x14ac:dyDescent="0.35">
      <c r="A236" s="17"/>
      <c r="B236" s="18"/>
      <c r="C236" s="13"/>
      <c r="D236" s="31"/>
      <c r="E236" s="24"/>
      <c r="F236" s="71"/>
      <c r="G236" s="72"/>
      <c r="H236" s="73"/>
      <c r="I236" s="72"/>
      <c r="J236" s="71"/>
      <c r="K236" s="72"/>
      <c r="L236" s="72"/>
      <c r="M236" s="72"/>
      <c r="N236" s="74"/>
      <c r="O236" s="71"/>
      <c r="P236" s="72"/>
      <c r="Q236" s="72"/>
      <c r="R236" s="72"/>
      <c r="S236" s="74"/>
      <c r="T236" s="75"/>
    </row>
    <row r="237" spans="1:20" x14ac:dyDescent="0.35">
      <c r="A237" s="17"/>
      <c r="B237" s="18"/>
      <c r="C237" s="13"/>
      <c r="D237" s="31"/>
      <c r="E237" s="24"/>
      <c r="F237" s="71"/>
      <c r="G237" s="72"/>
      <c r="H237" s="73"/>
      <c r="I237" s="72"/>
      <c r="J237" s="71"/>
      <c r="K237" s="72"/>
      <c r="L237" s="72"/>
      <c r="M237" s="72"/>
      <c r="N237" s="74"/>
      <c r="O237" s="71"/>
      <c r="P237" s="72"/>
      <c r="Q237" s="72"/>
      <c r="R237" s="72"/>
      <c r="S237" s="74"/>
      <c r="T237" s="75"/>
    </row>
    <row r="238" spans="1:20" x14ac:dyDescent="0.35">
      <c r="A238" s="17"/>
      <c r="B238" s="18"/>
      <c r="C238" s="13"/>
      <c r="D238" s="31"/>
      <c r="E238" s="24"/>
      <c r="F238" s="71"/>
      <c r="G238" s="72"/>
      <c r="H238" s="73"/>
      <c r="I238" s="72"/>
      <c r="J238" s="71"/>
      <c r="K238" s="72"/>
      <c r="L238" s="72"/>
      <c r="M238" s="72"/>
      <c r="N238" s="74"/>
      <c r="O238" s="71"/>
      <c r="P238" s="72"/>
      <c r="Q238" s="72"/>
      <c r="R238" s="72"/>
      <c r="S238" s="74"/>
      <c r="T238" s="75"/>
    </row>
    <row r="239" spans="1:20" x14ac:dyDescent="0.35">
      <c r="A239" s="17"/>
      <c r="B239" s="18"/>
      <c r="C239" s="13"/>
      <c r="D239" s="31"/>
      <c r="E239" s="24"/>
      <c r="F239" s="71"/>
      <c r="G239" s="72"/>
      <c r="H239" s="73"/>
      <c r="I239" s="72"/>
      <c r="J239" s="71"/>
      <c r="K239" s="72"/>
      <c r="L239" s="72"/>
      <c r="M239" s="72"/>
      <c r="N239" s="74"/>
      <c r="O239" s="71"/>
      <c r="P239" s="72"/>
      <c r="Q239" s="72"/>
      <c r="R239" s="72"/>
      <c r="S239" s="74"/>
      <c r="T239" s="75"/>
    </row>
    <row r="240" spans="1:20" x14ac:dyDescent="0.35">
      <c r="A240" s="17"/>
      <c r="B240" s="18"/>
      <c r="C240" s="13"/>
      <c r="D240" s="31"/>
      <c r="E240" s="24"/>
      <c r="F240" s="71"/>
      <c r="G240" s="72"/>
      <c r="H240" s="73"/>
      <c r="I240" s="72"/>
      <c r="J240" s="71"/>
      <c r="K240" s="72"/>
      <c r="L240" s="72"/>
      <c r="M240" s="72"/>
      <c r="N240" s="74"/>
      <c r="O240" s="71"/>
      <c r="P240" s="72"/>
      <c r="Q240" s="72"/>
      <c r="R240" s="72"/>
      <c r="S240" s="74"/>
      <c r="T240" s="75"/>
    </row>
    <row r="241" spans="1:20" x14ac:dyDescent="0.35">
      <c r="A241" s="17"/>
      <c r="B241" s="18"/>
      <c r="C241" s="13"/>
      <c r="D241" s="31"/>
      <c r="E241" s="24"/>
      <c r="F241" s="71"/>
      <c r="G241" s="72"/>
      <c r="H241" s="73"/>
      <c r="I241" s="72"/>
      <c r="J241" s="71"/>
      <c r="K241" s="72"/>
      <c r="L241" s="72"/>
      <c r="M241" s="72"/>
      <c r="N241" s="74"/>
      <c r="O241" s="71"/>
      <c r="P241" s="72"/>
      <c r="Q241" s="72"/>
      <c r="R241" s="72"/>
      <c r="S241" s="74"/>
      <c r="T241" s="75"/>
    </row>
    <row r="242" spans="1:20" x14ac:dyDescent="0.35">
      <c r="A242" s="17"/>
      <c r="B242" s="18"/>
      <c r="C242" s="13"/>
      <c r="D242" s="31"/>
      <c r="E242" s="24"/>
      <c r="F242" s="71"/>
      <c r="G242" s="72"/>
      <c r="H242" s="73"/>
      <c r="I242" s="72"/>
      <c r="J242" s="71"/>
      <c r="K242" s="72"/>
      <c r="L242" s="72"/>
      <c r="M242" s="72"/>
      <c r="N242" s="74"/>
      <c r="O242" s="71"/>
      <c r="P242" s="72"/>
      <c r="Q242" s="72"/>
      <c r="R242" s="72"/>
      <c r="S242" s="74"/>
      <c r="T242" s="75"/>
    </row>
    <row r="243" spans="1:20" x14ac:dyDescent="0.35">
      <c r="A243" s="17"/>
      <c r="B243" s="18"/>
      <c r="C243" s="13"/>
      <c r="D243" s="31"/>
      <c r="E243" s="24"/>
      <c r="F243" s="71"/>
      <c r="G243" s="72"/>
      <c r="H243" s="73"/>
      <c r="I243" s="72"/>
      <c r="J243" s="71"/>
      <c r="K243" s="72"/>
      <c r="L243" s="72"/>
      <c r="M243" s="72"/>
      <c r="N243" s="74"/>
      <c r="O243" s="71"/>
      <c r="P243" s="72"/>
      <c r="Q243" s="72"/>
      <c r="R243" s="72"/>
      <c r="S243" s="74"/>
      <c r="T243" s="75"/>
    </row>
    <row r="244" spans="1:20" x14ac:dyDescent="0.35">
      <c r="A244" s="17"/>
      <c r="B244" s="18"/>
      <c r="C244" s="13"/>
      <c r="D244" s="31"/>
      <c r="E244" s="24"/>
      <c r="F244" s="71"/>
      <c r="G244" s="72"/>
      <c r="H244" s="73"/>
      <c r="I244" s="72"/>
      <c r="J244" s="71"/>
      <c r="K244" s="72"/>
      <c r="L244" s="72"/>
      <c r="M244" s="72"/>
      <c r="N244" s="74"/>
      <c r="O244" s="71"/>
      <c r="P244" s="72"/>
      <c r="Q244" s="72"/>
      <c r="R244" s="72"/>
      <c r="S244" s="74"/>
      <c r="T244" s="75"/>
    </row>
    <row r="245" spans="1:20" x14ac:dyDescent="0.35">
      <c r="A245" s="17"/>
      <c r="B245" s="18"/>
      <c r="C245" s="13"/>
      <c r="D245" s="31"/>
      <c r="E245" s="24"/>
      <c r="F245" s="71"/>
      <c r="G245" s="72"/>
      <c r="H245" s="73"/>
      <c r="I245" s="72"/>
      <c r="J245" s="71"/>
      <c r="K245" s="72"/>
      <c r="L245" s="72"/>
      <c r="M245" s="72"/>
      <c r="N245" s="74"/>
      <c r="O245" s="71"/>
      <c r="P245" s="72"/>
      <c r="Q245" s="72"/>
      <c r="R245" s="72"/>
      <c r="S245" s="74"/>
      <c r="T245" s="75"/>
    </row>
    <row r="246" spans="1:20" x14ac:dyDescent="0.35">
      <c r="A246" s="17"/>
      <c r="B246" s="18"/>
      <c r="C246" s="13"/>
      <c r="D246" s="31"/>
      <c r="E246" s="24"/>
      <c r="F246" s="71"/>
      <c r="G246" s="72"/>
      <c r="H246" s="73"/>
      <c r="I246" s="72"/>
      <c r="J246" s="71"/>
      <c r="K246" s="72"/>
      <c r="L246" s="72"/>
      <c r="M246" s="72"/>
      <c r="N246" s="74"/>
      <c r="O246" s="71"/>
      <c r="P246" s="72"/>
      <c r="Q246" s="72"/>
      <c r="R246" s="72"/>
      <c r="S246" s="74"/>
      <c r="T246" s="75"/>
    </row>
    <row r="247" spans="1:20" x14ac:dyDescent="0.35">
      <c r="A247" s="17"/>
      <c r="B247" s="18"/>
      <c r="C247" s="13"/>
      <c r="D247" s="31"/>
      <c r="E247" s="24"/>
      <c r="F247" s="71"/>
      <c r="G247" s="72"/>
      <c r="H247" s="73"/>
      <c r="I247" s="72"/>
      <c r="J247" s="71"/>
      <c r="K247" s="72"/>
      <c r="L247" s="72"/>
      <c r="M247" s="72"/>
      <c r="N247" s="74"/>
      <c r="O247" s="71"/>
      <c r="P247" s="72"/>
      <c r="Q247" s="72"/>
      <c r="R247" s="72"/>
      <c r="S247" s="74"/>
      <c r="T247" s="75"/>
    </row>
    <row r="248" spans="1:20" x14ac:dyDescent="0.35">
      <c r="A248" s="17"/>
      <c r="B248" s="18"/>
      <c r="C248" s="13"/>
      <c r="D248" s="31"/>
      <c r="E248" s="24"/>
      <c r="F248" s="71"/>
      <c r="G248" s="72"/>
      <c r="H248" s="73"/>
      <c r="I248" s="72"/>
      <c r="J248" s="71"/>
      <c r="K248" s="72"/>
      <c r="L248" s="72"/>
      <c r="M248" s="72"/>
      <c r="N248" s="74"/>
      <c r="O248" s="71"/>
      <c r="P248" s="72"/>
      <c r="Q248" s="72"/>
      <c r="R248" s="72"/>
      <c r="S248" s="74"/>
      <c r="T248" s="75"/>
    </row>
    <row r="249" spans="1:20" x14ac:dyDescent="0.35">
      <c r="A249" s="17"/>
      <c r="B249" s="18"/>
      <c r="C249" s="13"/>
      <c r="D249" s="31"/>
      <c r="E249" s="24"/>
      <c r="F249" s="71"/>
      <c r="G249" s="72"/>
      <c r="H249" s="73"/>
      <c r="I249" s="72"/>
      <c r="J249" s="71"/>
      <c r="K249" s="72"/>
      <c r="L249" s="72"/>
      <c r="M249" s="72"/>
      <c r="N249" s="74"/>
      <c r="O249" s="71"/>
      <c r="P249" s="72"/>
      <c r="Q249" s="72"/>
      <c r="R249" s="72"/>
      <c r="S249" s="74"/>
      <c r="T249" s="75"/>
    </row>
    <row r="250" spans="1:20" x14ac:dyDescent="0.35">
      <c r="A250" s="17"/>
      <c r="B250" s="18"/>
      <c r="C250" s="13"/>
      <c r="D250" s="31"/>
      <c r="E250" s="24"/>
      <c r="F250" s="71"/>
      <c r="G250" s="72"/>
      <c r="H250" s="73"/>
      <c r="I250" s="72"/>
      <c r="J250" s="71"/>
      <c r="K250" s="72"/>
      <c r="L250" s="72"/>
      <c r="M250" s="72"/>
      <c r="N250" s="74"/>
      <c r="O250" s="71"/>
      <c r="P250" s="72"/>
      <c r="Q250" s="72"/>
      <c r="R250" s="72"/>
      <c r="S250" s="74"/>
      <c r="T250" s="75"/>
    </row>
    <row r="251" spans="1:20" x14ac:dyDescent="0.35">
      <c r="A251" s="17"/>
      <c r="B251" s="18"/>
      <c r="C251" s="13"/>
      <c r="D251" s="31"/>
      <c r="E251" s="24"/>
      <c r="F251" s="71"/>
      <c r="G251" s="72"/>
      <c r="H251" s="73"/>
      <c r="I251" s="72"/>
      <c r="J251" s="71"/>
      <c r="K251" s="72"/>
      <c r="L251" s="72"/>
      <c r="M251" s="72"/>
      <c r="N251" s="74"/>
      <c r="O251" s="71"/>
      <c r="P251" s="72"/>
      <c r="Q251" s="72"/>
      <c r="R251" s="72"/>
      <c r="S251" s="74"/>
      <c r="T251" s="75"/>
    </row>
    <row r="252" spans="1:20" x14ac:dyDescent="0.35">
      <c r="A252" s="17"/>
      <c r="B252" s="18"/>
      <c r="C252" s="13"/>
      <c r="D252" s="31"/>
      <c r="E252" s="24"/>
      <c r="F252" s="71"/>
      <c r="G252" s="72"/>
      <c r="H252" s="73"/>
      <c r="I252" s="72"/>
      <c r="J252" s="71"/>
      <c r="K252" s="72"/>
      <c r="L252" s="72"/>
      <c r="M252" s="72"/>
      <c r="N252" s="74"/>
      <c r="O252" s="71"/>
      <c r="P252" s="72"/>
      <c r="Q252" s="72"/>
      <c r="R252" s="72"/>
      <c r="S252" s="74"/>
      <c r="T252" s="75"/>
    </row>
    <row r="253" spans="1:20" x14ac:dyDescent="0.35">
      <c r="A253" s="17"/>
      <c r="B253" s="18"/>
      <c r="C253" s="13"/>
      <c r="D253" s="31"/>
      <c r="E253" s="24"/>
      <c r="F253" s="71"/>
      <c r="G253" s="72"/>
      <c r="H253" s="73"/>
      <c r="I253" s="72"/>
      <c r="J253" s="71"/>
      <c r="K253" s="72"/>
      <c r="L253" s="72"/>
      <c r="M253" s="72"/>
      <c r="N253" s="74"/>
      <c r="O253" s="71"/>
      <c r="P253" s="72"/>
      <c r="Q253" s="72"/>
      <c r="R253" s="72"/>
      <c r="S253" s="74"/>
      <c r="T253" s="75"/>
    </row>
    <row r="254" spans="1:20" x14ac:dyDescent="0.35">
      <c r="A254" s="17"/>
      <c r="B254" s="18"/>
      <c r="C254" s="13"/>
      <c r="D254" s="31"/>
      <c r="E254" s="24"/>
      <c r="F254" s="71"/>
      <c r="G254" s="72"/>
      <c r="H254" s="73"/>
      <c r="I254" s="72"/>
      <c r="J254" s="71"/>
      <c r="K254" s="72"/>
      <c r="L254" s="72"/>
      <c r="M254" s="72"/>
      <c r="N254" s="74"/>
      <c r="O254" s="71"/>
      <c r="P254" s="72"/>
      <c r="Q254" s="72"/>
      <c r="R254" s="72"/>
      <c r="S254" s="74"/>
      <c r="T254" s="75"/>
    </row>
    <row r="255" spans="1:20" x14ac:dyDescent="0.35">
      <c r="A255" s="17"/>
      <c r="B255" s="18"/>
      <c r="C255" s="13"/>
      <c r="D255" s="31"/>
      <c r="E255" s="24"/>
      <c r="F255" s="71"/>
      <c r="G255" s="72"/>
      <c r="H255" s="73"/>
      <c r="I255" s="72"/>
      <c r="J255" s="71"/>
      <c r="K255" s="72"/>
      <c r="L255" s="72"/>
      <c r="M255" s="72"/>
      <c r="N255" s="74"/>
      <c r="O255" s="71"/>
      <c r="P255" s="72"/>
      <c r="Q255" s="72"/>
      <c r="R255" s="72"/>
      <c r="S255" s="74"/>
      <c r="T255" s="75"/>
    </row>
    <row r="256" spans="1:20" x14ac:dyDescent="0.35">
      <c r="A256" s="17"/>
      <c r="B256" s="18"/>
      <c r="C256" s="13"/>
      <c r="D256" s="31"/>
      <c r="E256" s="24"/>
      <c r="F256" s="71"/>
      <c r="G256" s="72"/>
      <c r="H256" s="73"/>
      <c r="I256" s="72"/>
      <c r="J256" s="71"/>
      <c r="K256" s="72"/>
      <c r="L256" s="72"/>
      <c r="M256" s="72"/>
      <c r="N256" s="74"/>
      <c r="O256" s="71"/>
      <c r="P256" s="72"/>
      <c r="Q256" s="72"/>
      <c r="R256" s="72"/>
      <c r="S256" s="74"/>
      <c r="T256" s="75"/>
    </row>
    <row r="257" spans="1:20" x14ac:dyDescent="0.35">
      <c r="A257" s="17"/>
      <c r="B257" s="18"/>
      <c r="C257" s="13"/>
      <c r="D257" s="31"/>
      <c r="E257" s="24"/>
      <c r="F257" s="71"/>
      <c r="G257" s="72"/>
      <c r="H257" s="73"/>
      <c r="I257" s="72"/>
      <c r="J257" s="71"/>
      <c r="K257" s="72"/>
      <c r="L257" s="72"/>
      <c r="M257" s="72"/>
      <c r="N257" s="74"/>
      <c r="O257" s="71"/>
      <c r="P257" s="72"/>
      <c r="Q257" s="72"/>
      <c r="R257" s="72"/>
      <c r="S257" s="74"/>
      <c r="T257" s="75"/>
    </row>
    <row r="258" spans="1:20" x14ac:dyDescent="0.35">
      <c r="A258" s="17"/>
      <c r="B258" s="18"/>
      <c r="C258" s="13"/>
      <c r="D258" s="31"/>
      <c r="E258" s="24"/>
      <c r="F258" s="71"/>
      <c r="G258" s="72"/>
      <c r="H258" s="73"/>
      <c r="I258" s="72"/>
      <c r="J258" s="71"/>
      <c r="K258" s="72"/>
      <c r="L258" s="72"/>
      <c r="M258" s="72"/>
      <c r="N258" s="74"/>
      <c r="O258" s="71"/>
      <c r="P258" s="72"/>
      <c r="Q258" s="72"/>
      <c r="R258" s="72"/>
      <c r="S258" s="74"/>
      <c r="T258" s="75"/>
    </row>
    <row r="259" spans="1:20" x14ac:dyDescent="0.35">
      <c r="A259" s="17"/>
      <c r="B259" s="18"/>
      <c r="C259" s="13"/>
      <c r="D259" s="31"/>
      <c r="E259" s="24"/>
      <c r="F259" s="71"/>
      <c r="G259" s="72"/>
      <c r="H259" s="73"/>
      <c r="I259" s="72"/>
      <c r="J259" s="71"/>
      <c r="K259" s="72"/>
      <c r="L259" s="72"/>
      <c r="M259" s="72"/>
      <c r="N259" s="74"/>
      <c r="O259" s="71"/>
      <c r="P259" s="72"/>
      <c r="Q259" s="72"/>
      <c r="R259" s="72"/>
      <c r="S259" s="74"/>
      <c r="T259" s="75"/>
    </row>
    <row r="260" spans="1:20" x14ac:dyDescent="0.35">
      <c r="A260" s="17"/>
      <c r="B260" s="18"/>
      <c r="C260" s="13"/>
      <c r="D260" s="31"/>
      <c r="E260" s="24"/>
      <c r="F260" s="71"/>
      <c r="G260" s="72"/>
      <c r="H260" s="73"/>
      <c r="I260" s="72"/>
      <c r="J260" s="71"/>
      <c r="K260" s="72"/>
      <c r="L260" s="72"/>
      <c r="M260" s="72"/>
      <c r="N260" s="74"/>
      <c r="O260" s="71"/>
      <c r="P260" s="72"/>
      <c r="Q260" s="72"/>
      <c r="R260" s="72"/>
      <c r="S260" s="74"/>
      <c r="T260" s="75"/>
    </row>
    <row r="261" spans="1:20" x14ac:dyDescent="0.35">
      <c r="A261" s="17"/>
      <c r="B261" s="18"/>
      <c r="C261" s="13"/>
      <c r="D261" s="31"/>
      <c r="E261" s="24"/>
      <c r="F261" s="71"/>
      <c r="G261" s="72"/>
      <c r="H261" s="73"/>
      <c r="I261" s="72"/>
      <c r="J261" s="71"/>
      <c r="K261" s="72"/>
      <c r="L261" s="72"/>
      <c r="M261" s="72"/>
      <c r="N261" s="74"/>
      <c r="O261" s="71"/>
      <c r="P261" s="72"/>
      <c r="Q261" s="72"/>
      <c r="R261" s="72"/>
      <c r="S261" s="74"/>
      <c r="T261" s="75"/>
    </row>
    <row r="262" spans="1:20" x14ac:dyDescent="0.35">
      <c r="A262" s="17"/>
      <c r="B262" s="18"/>
      <c r="C262" s="13"/>
      <c r="D262" s="31"/>
      <c r="E262" s="24"/>
      <c r="F262" s="71"/>
      <c r="G262" s="72"/>
      <c r="H262" s="73"/>
      <c r="I262" s="72"/>
      <c r="J262" s="71"/>
      <c r="K262" s="72"/>
      <c r="L262" s="72"/>
      <c r="M262" s="72"/>
      <c r="N262" s="74"/>
      <c r="O262" s="71"/>
      <c r="P262" s="72"/>
      <c r="Q262" s="72"/>
      <c r="R262" s="72"/>
      <c r="S262" s="74"/>
      <c r="T262" s="75"/>
    </row>
    <row r="263" spans="1:20" x14ac:dyDescent="0.35">
      <c r="A263" s="17"/>
      <c r="B263" s="18"/>
      <c r="C263" s="13"/>
      <c r="D263" s="31"/>
      <c r="E263" s="24"/>
      <c r="F263" s="71"/>
      <c r="G263" s="72"/>
      <c r="H263" s="73"/>
      <c r="I263" s="72"/>
      <c r="J263" s="71"/>
      <c r="K263" s="72"/>
      <c r="L263" s="72"/>
      <c r="M263" s="72"/>
      <c r="N263" s="74"/>
      <c r="O263" s="71"/>
      <c r="P263" s="72"/>
      <c r="Q263" s="72"/>
      <c r="R263" s="72"/>
      <c r="S263" s="74"/>
      <c r="T263" s="75"/>
    </row>
    <row r="264" spans="1:20" x14ac:dyDescent="0.35">
      <c r="A264" s="17"/>
      <c r="B264" s="18"/>
      <c r="C264" s="13"/>
      <c r="D264" s="31"/>
      <c r="E264" s="24"/>
      <c r="F264" s="71"/>
      <c r="G264" s="72"/>
      <c r="H264" s="73"/>
      <c r="I264" s="72"/>
      <c r="J264" s="71"/>
      <c r="K264" s="72"/>
      <c r="L264" s="72"/>
      <c r="M264" s="72"/>
      <c r="N264" s="74"/>
      <c r="O264" s="71"/>
      <c r="P264" s="72"/>
      <c r="Q264" s="72"/>
      <c r="R264" s="72"/>
      <c r="S264" s="74"/>
      <c r="T264" s="75"/>
    </row>
    <row r="265" spans="1:20" x14ac:dyDescent="0.35">
      <c r="A265" s="17"/>
      <c r="B265" s="18"/>
      <c r="C265" s="13"/>
      <c r="D265" s="31"/>
      <c r="E265" s="24"/>
      <c r="F265" s="71"/>
      <c r="G265" s="72"/>
      <c r="H265" s="73"/>
      <c r="I265" s="72"/>
      <c r="J265" s="71"/>
      <c r="K265" s="72"/>
      <c r="L265" s="72"/>
      <c r="M265" s="72"/>
      <c r="N265" s="74"/>
      <c r="O265" s="71"/>
      <c r="P265" s="72"/>
      <c r="Q265" s="72"/>
      <c r="R265" s="72"/>
      <c r="S265" s="74"/>
      <c r="T265" s="75"/>
    </row>
    <row r="266" spans="1:20" x14ac:dyDescent="0.35">
      <c r="A266" s="17"/>
      <c r="B266" s="18"/>
      <c r="C266" s="13"/>
      <c r="D266" s="31"/>
      <c r="E266" s="24"/>
      <c r="F266" s="71"/>
      <c r="G266" s="72"/>
      <c r="H266" s="73"/>
      <c r="I266" s="72"/>
      <c r="J266" s="71"/>
      <c r="K266" s="72"/>
      <c r="L266" s="72"/>
      <c r="M266" s="72"/>
      <c r="N266" s="74"/>
      <c r="O266" s="71"/>
      <c r="P266" s="72"/>
      <c r="Q266" s="72"/>
      <c r="R266" s="72"/>
      <c r="S266" s="74"/>
      <c r="T266" s="75"/>
    </row>
    <row r="267" spans="1:20" x14ac:dyDescent="0.35">
      <c r="A267" s="17"/>
      <c r="B267" s="18"/>
      <c r="C267" s="13"/>
      <c r="D267" s="31"/>
      <c r="E267" s="24"/>
      <c r="F267" s="71"/>
      <c r="G267" s="72"/>
      <c r="H267" s="73"/>
      <c r="I267" s="72"/>
      <c r="J267" s="71"/>
      <c r="K267" s="72"/>
      <c r="L267" s="72"/>
      <c r="M267" s="72"/>
      <c r="N267" s="74"/>
      <c r="O267" s="71"/>
      <c r="P267" s="72"/>
      <c r="Q267" s="72"/>
      <c r="R267" s="72"/>
      <c r="S267" s="74"/>
      <c r="T267" s="75"/>
    </row>
    <row r="268" spans="1:20" x14ac:dyDescent="0.35">
      <c r="A268" s="17"/>
      <c r="B268" s="18"/>
      <c r="C268" s="13"/>
      <c r="D268" s="31"/>
      <c r="E268" s="24"/>
      <c r="F268" s="71"/>
      <c r="G268" s="72"/>
      <c r="H268" s="73"/>
      <c r="I268" s="72"/>
      <c r="J268" s="71"/>
      <c r="K268" s="72"/>
      <c r="L268" s="72"/>
      <c r="M268" s="72"/>
      <c r="N268" s="74"/>
      <c r="O268" s="71"/>
      <c r="P268" s="72"/>
      <c r="Q268" s="72"/>
      <c r="R268" s="72"/>
      <c r="S268" s="74"/>
      <c r="T268" s="75"/>
    </row>
    <row r="269" spans="1:20" x14ac:dyDescent="0.35">
      <c r="A269" s="17"/>
      <c r="B269" s="18"/>
      <c r="C269" s="13"/>
      <c r="D269" s="31"/>
      <c r="E269" s="24"/>
      <c r="F269" s="71"/>
      <c r="G269" s="72"/>
      <c r="H269" s="73"/>
      <c r="I269" s="72"/>
      <c r="J269" s="71"/>
      <c r="K269" s="72"/>
      <c r="L269" s="72"/>
      <c r="M269" s="72"/>
      <c r="N269" s="74"/>
      <c r="O269" s="71"/>
      <c r="P269" s="72"/>
      <c r="Q269" s="72"/>
      <c r="R269" s="72"/>
      <c r="S269" s="74"/>
      <c r="T269" s="75"/>
    </row>
    <row r="270" spans="1:20" x14ac:dyDescent="0.35">
      <c r="A270" s="17"/>
      <c r="B270" s="18"/>
      <c r="C270" s="13"/>
      <c r="D270" s="31"/>
      <c r="E270" s="24"/>
      <c r="F270" s="71"/>
      <c r="G270" s="72"/>
      <c r="H270" s="73"/>
      <c r="I270" s="72"/>
      <c r="J270" s="71"/>
      <c r="K270" s="72"/>
      <c r="L270" s="72"/>
      <c r="M270" s="72"/>
      <c r="N270" s="74"/>
      <c r="O270" s="71"/>
      <c r="P270" s="72"/>
      <c r="Q270" s="72"/>
      <c r="R270" s="72"/>
      <c r="S270" s="74"/>
      <c r="T270" s="75"/>
    </row>
    <row r="271" spans="1:20" x14ac:dyDescent="0.35">
      <c r="A271" s="17"/>
      <c r="B271" s="18"/>
      <c r="C271" s="13"/>
      <c r="D271" s="31"/>
      <c r="E271" s="24"/>
      <c r="F271" s="71"/>
      <c r="G271" s="72"/>
      <c r="H271" s="73"/>
      <c r="I271" s="72"/>
      <c r="J271" s="71"/>
      <c r="K271" s="72"/>
      <c r="L271" s="72"/>
      <c r="M271" s="72"/>
      <c r="N271" s="74"/>
      <c r="O271" s="71"/>
      <c r="P271" s="72"/>
      <c r="Q271" s="72"/>
      <c r="R271" s="72"/>
      <c r="S271" s="74"/>
      <c r="T271" s="75"/>
    </row>
    <row r="272" spans="1:20" x14ac:dyDescent="0.35">
      <c r="A272" s="17"/>
      <c r="B272" s="18"/>
      <c r="C272" s="13"/>
      <c r="D272" s="31"/>
      <c r="E272" s="24"/>
      <c r="F272" s="71"/>
      <c r="G272" s="72"/>
      <c r="H272" s="73"/>
      <c r="I272" s="72"/>
      <c r="J272" s="71"/>
      <c r="K272" s="72"/>
      <c r="L272" s="72"/>
      <c r="M272" s="72"/>
      <c r="N272" s="74"/>
      <c r="O272" s="71"/>
      <c r="P272" s="72"/>
      <c r="Q272" s="72"/>
      <c r="R272" s="72"/>
      <c r="S272" s="74"/>
      <c r="T272" s="75"/>
    </row>
    <row r="273" spans="1:20" x14ac:dyDescent="0.35">
      <c r="A273" s="17"/>
      <c r="B273" s="18"/>
      <c r="C273" s="13"/>
      <c r="D273" s="31"/>
      <c r="E273" s="24"/>
      <c r="F273" s="71"/>
      <c r="G273" s="72"/>
      <c r="H273" s="73"/>
      <c r="I273" s="72"/>
      <c r="J273" s="71"/>
      <c r="K273" s="72"/>
      <c r="L273" s="72"/>
      <c r="M273" s="72"/>
      <c r="N273" s="74"/>
      <c r="O273" s="71"/>
      <c r="P273" s="72"/>
      <c r="Q273" s="72"/>
      <c r="R273" s="72"/>
      <c r="S273" s="74"/>
      <c r="T273" s="75"/>
    </row>
    <row r="274" spans="1:20" x14ac:dyDescent="0.35">
      <c r="A274" s="17"/>
      <c r="B274" s="18"/>
      <c r="C274" s="13"/>
      <c r="D274" s="31"/>
      <c r="E274" s="24"/>
      <c r="F274" s="71"/>
      <c r="G274" s="72"/>
      <c r="H274" s="73"/>
      <c r="I274" s="72"/>
      <c r="J274" s="71"/>
      <c r="K274" s="72"/>
      <c r="L274" s="72"/>
      <c r="M274" s="72"/>
      <c r="N274" s="74"/>
      <c r="O274" s="71"/>
      <c r="P274" s="72"/>
      <c r="Q274" s="72"/>
      <c r="R274" s="72"/>
      <c r="S274" s="74"/>
      <c r="T274" s="75"/>
    </row>
    <row r="275" spans="1:20" x14ac:dyDescent="0.35">
      <c r="A275" s="17"/>
      <c r="B275" s="18"/>
      <c r="C275" s="13"/>
      <c r="D275" s="31"/>
      <c r="E275" s="24"/>
      <c r="F275" s="71"/>
      <c r="G275" s="72"/>
      <c r="H275" s="73"/>
      <c r="I275" s="72"/>
      <c r="J275" s="71"/>
      <c r="K275" s="72"/>
      <c r="L275" s="72"/>
      <c r="M275" s="72"/>
      <c r="N275" s="74"/>
      <c r="O275" s="71"/>
      <c r="P275" s="72"/>
      <c r="Q275" s="72"/>
      <c r="R275" s="72"/>
      <c r="S275" s="74"/>
      <c r="T275" s="75"/>
    </row>
    <row r="276" spans="1:20" x14ac:dyDescent="0.35">
      <c r="A276" s="17"/>
      <c r="B276" s="18"/>
      <c r="C276" s="13"/>
      <c r="D276" s="31"/>
      <c r="E276" s="24"/>
      <c r="F276" s="71"/>
      <c r="G276" s="72"/>
      <c r="H276" s="73"/>
      <c r="I276" s="72"/>
      <c r="J276" s="71"/>
      <c r="K276" s="72"/>
      <c r="L276" s="72"/>
      <c r="M276" s="72"/>
      <c r="N276" s="74"/>
      <c r="O276" s="71"/>
      <c r="P276" s="72"/>
      <c r="Q276" s="72"/>
      <c r="R276" s="72"/>
      <c r="S276" s="74"/>
      <c r="T276" s="75"/>
    </row>
    <row r="277" spans="1:20" x14ac:dyDescent="0.35">
      <c r="A277" s="17"/>
      <c r="B277" s="18"/>
      <c r="C277" s="13"/>
      <c r="D277" s="31"/>
      <c r="E277" s="24"/>
      <c r="F277" s="71"/>
      <c r="G277" s="72"/>
      <c r="H277" s="73"/>
      <c r="I277" s="72"/>
      <c r="J277" s="71"/>
      <c r="K277" s="72"/>
      <c r="L277" s="72"/>
      <c r="M277" s="72"/>
      <c r="N277" s="74"/>
      <c r="O277" s="71"/>
      <c r="P277" s="72"/>
      <c r="Q277" s="72"/>
      <c r="R277" s="72"/>
      <c r="S277" s="74"/>
      <c r="T277" s="75"/>
    </row>
    <row r="278" spans="1:20" x14ac:dyDescent="0.35">
      <c r="A278" s="17"/>
      <c r="B278" s="18"/>
      <c r="C278" s="13"/>
      <c r="D278" s="31"/>
      <c r="E278" s="24"/>
      <c r="F278" s="71"/>
      <c r="G278" s="72"/>
      <c r="H278" s="73"/>
      <c r="I278" s="72"/>
      <c r="J278" s="71"/>
      <c r="K278" s="72"/>
      <c r="L278" s="72"/>
      <c r="M278" s="72"/>
      <c r="N278" s="74"/>
      <c r="O278" s="71"/>
      <c r="P278" s="72"/>
      <c r="Q278" s="72"/>
      <c r="R278" s="72"/>
      <c r="S278" s="74"/>
      <c r="T278" s="75"/>
    </row>
    <row r="279" spans="1:20" x14ac:dyDescent="0.35">
      <c r="A279" s="17"/>
      <c r="B279" s="18"/>
      <c r="C279" s="13"/>
      <c r="D279" s="31"/>
      <c r="E279" s="24"/>
      <c r="F279" s="71"/>
      <c r="G279" s="72"/>
      <c r="H279" s="73"/>
      <c r="I279" s="72"/>
      <c r="J279" s="71"/>
      <c r="K279" s="72"/>
      <c r="L279" s="72"/>
      <c r="M279" s="72"/>
      <c r="N279" s="74"/>
      <c r="O279" s="71"/>
      <c r="P279" s="72"/>
      <c r="Q279" s="72"/>
      <c r="R279" s="72"/>
      <c r="S279" s="74"/>
      <c r="T279" s="75"/>
    </row>
    <row r="280" spans="1:20" x14ac:dyDescent="0.35">
      <c r="A280" s="17"/>
      <c r="B280" s="18"/>
      <c r="C280" s="13"/>
      <c r="D280" s="31"/>
      <c r="E280" s="24"/>
      <c r="F280" s="71"/>
      <c r="G280" s="72"/>
      <c r="H280" s="73"/>
      <c r="I280" s="72"/>
      <c r="J280" s="71"/>
      <c r="K280" s="72"/>
      <c r="L280" s="72"/>
      <c r="M280" s="72"/>
      <c r="N280" s="74"/>
      <c r="O280" s="71"/>
      <c r="P280" s="72"/>
      <c r="Q280" s="72"/>
      <c r="R280" s="72"/>
      <c r="S280" s="74"/>
      <c r="T280" s="75"/>
    </row>
    <row r="281" spans="1:20" x14ac:dyDescent="0.35">
      <c r="A281" s="17"/>
      <c r="B281" s="18"/>
      <c r="C281" s="13"/>
      <c r="D281" s="31"/>
      <c r="E281" s="24"/>
      <c r="F281" s="71"/>
      <c r="G281" s="72"/>
      <c r="H281" s="73"/>
      <c r="I281" s="72"/>
      <c r="J281" s="71"/>
      <c r="K281" s="72"/>
      <c r="L281" s="72"/>
      <c r="M281" s="72"/>
      <c r="N281" s="74"/>
      <c r="O281" s="71"/>
      <c r="P281" s="72"/>
      <c r="Q281" s="72"/>
      <c r="R281" s="72"/>
      <c r="S281" s="74"/>
      <c r="T281" s="75"/>
    </row>
    <row r="282" spans="1:20" x14ac:dyDescent="0.35">
      <c r="A282" s="17"/>
      <c r="B282" s="18"/>
      <c r="C282" s="13"/>
      <c r="D282" s="31"/>
      <c r="E282" s="24"/>
      <c r="F282" s="71"/>
      <c r="G282" s="72"/>
      <c r="H282" s="73"/>
      <c r="I282" s="72"/>
      <c r="J282" s="71"/>
      <c r="K282" s="72"/>
      <c r="L282" s="72"/>
      <c r="M282" s="72"/>
      <c r="N282" s="74"/>
      <c r="O282" s="71"/>
      <c r="P282" s="72"/>
      <c r="Q282" s="72"/>
      <c r="R282" s="72"/>
      <c r="S282" s="74"/>
      <c r="T282" s="75"/>
    </row>
    <row r="283" spans="1:20" x14ac:dyDescent="0.35">
      <c r="A283" s="17"/>
      <c r="B283" s="18"/>
      <c r="C283" s="13"/>
      <c r="D283" s="31"/>
      <c r="E283" s="24"/>
      <c r="F283" s="71"/>
      <c r="G283" s="72"/>
      <c r="H283" s="73"/>
      <c r="I283" s="72"/>
      <c r="J283" s="71"/>
      <c r="K283" s="72"/>
      <c r="L283" s="72"/>
      <c r="M283" s="72"/>
      <c r="N283" s="74"/>
      <c r="O283" s="71"/>
      <c r="P283" s="72"/>
      <c r="Q283" s="72"/>
      <c r="R283" s="72"/>
      <c r="S283" s="74"/>
      <c r="T283" s="75"/>
    </row>
    <row r="284" spans="1:20" x14ac:dyDescent="0.35">
      <c r="A284" s="17"/>
      <c r="B284" s="18"/>
      <c r="C284" s="13"/>
      <c r="D284" s="31"/>
      <c r="E284" s="24"/>
      <c r="F284" s="71"/>
      <c r="G284" s="72"/>
      <c r="H284" s="73"/>
      <c r="I284" s="72"/>
      <c r="J284" s="71"/>
      <c r="K284" s="72"/>
      <c r="L284" s="72"/>
      <c r="M284" s="72"/>
      <c r="N284" s="74"/>
      <c r="O284" s="71"/>
      <c r="P284" s="72"/>
      <c r="Q284" s="72"/>
      <c r="R284" s="72"/>
      <c r="S284" s="74"/>
      <c r="T284" s="75"/>
    </row>
    <row r="285" spans="1:20" x14ac:dyDescent="0.35">
      <c r="A285" s="17"/>
      <c r="B285" s="18"/>
      <c r="C285" s="13"/>
      <c r="D285" s="31"/>
      <c r="E285" s="24"/>
      <c r="F285" s="71"/>
      <c r="G285" s="72"/>
      <c r="H285" s="73"/>
      <c r="I285" s="72"/>
      <c r="J285" s="71"/>
      <c r="K285" s="72"/>
      <c r="L285" s="72"/>
      <c r="M285" s="72"/>
      <c r="N285" s="74"/>
      <c r="O285" s="71"/>
      <c r="P285" s="72"/>
      <c r="Q285" s="72"/>
      <c r="R285" s="72"/>
      <c r="S285" s="74"/>
      <c r="T285" s="75"/>
    </row>
    <row r="286" spans="1:20" x14ac:dyDescent="0.35">
      <c r="A286" s="17"/>
      <c r="B286" s="18"/>
      <c r="C286" s="13"/>
      <c r="D286" s="31"/>
      <c r="E286" s="24"/>
      <c r="F286" s="71"/>
      <c r="G286" s="72"/>
      <c r="H286" s="73"/>
      <c r="I286" s="72"/>
      <c r="J286" s="71"/>
      <c r="K286" s="72"/>
      <c r="L286" s="72"/>
      <c r="M286" s="72"/>
      <c r="N286" s="74"/>
      <c r="O286" s="71"/>
      <c r="P286" s="72"/>
      <c r="Q286" s="72"/>
      <c r="R286" s="72"/>
      <c r="S286" s="74"/>
      <c r="T286" s="75"/>
    </row>
    <row r="287" spans="1:20" x14ac:dyDescent="0.35">
      <c r="A287" s="17"/>
      <c r="B287" s="18"/>
      <c r="C287" s="13"/>
      <c r="D287" s="31"/>
      <c r="E287" s="24"/>
      <c r="F287" s="71"/>
      <c r="G287" s="72"/>
      <c r="H287" s="73"/>
      <c r="I287" s="72"/>
      <c r="J287" s="71"/>
      <c r="K287" s="72"/>
      <c r="L287" s="72"/>
      <c r="M287" s="72"/>
      <c r="N287" s="74"/>
      <c r="O287" s="71"/>
      <c r="P287" s="72"/>
      <c r="Q287" s="72"/>
      <c r="R287" s="72"/>
      <c r="S287" s="74"/>
      <c r="T287" s="75"/>
    </row>
    <row r="288" spans="1:20" x14ac:dyDescent="0.35">
      <c r="A288" s="17"/>
      <c r="B288" s="18"/>
      <c r="C288" s="13"/>
      <c r="D288" s="31"/>
      <c r="E288" s="24"/>
      <c r="F288" s="71"/>
      <c r="G288" s="72"/>
      <c r="H288" s="73"/>
      <c r="I288" s="72"/>
      <c r="J288" s="71"/>
      <c r="K288" s="72"/>
      <c r="L288" s="72"/>
      <c r="M288" s="72"/>
      <c r="N288" s="74"/>
      <c r="O288" s="71"/>
      <c r="P288" s="72"/>
      <c r="Q288" s="72"/>
      <c r="R288" s="72"/>
      <c r="S288" s="74"/>
      <c r="T288" s="75"/>
    </row>
    <row r="289" spans="1:20" x14ac:dyDescent="0.35">
      <c r="A289" s="17"/>
      <c r="B289" s="18"/>
      <c r="C289" s="13"/>
      <c r="D289" s="31"/>
      <c r="E289" s="24"/>
      <c r="F289" s="71"/>
      <c r="G289" s="72"/>
      <c r="H289" s="73"/>
      <c r="I289" s="72"/>
      <c r="J289" s="71"/>
      <c r="K289" s="72"/>
      <c r="L289" s="72"/>
      <c r="M289" s="72"/>
      <c r="N289" s="74"/>
      <c r="O289" s="71"/>
      <c r="P289" s="72"/>
      <c r="Q289" s="72"/>
      <c r="R289" s="72"/>
      <c r="S289" s="74"/>
      <c r="T289" s="75"/>
    </row>
    <row r="290" spans="1:20" x14ac:dyDescent="0.35">
      <c r="A290" s="17"/>
      <c r="B290" s="18"/>
      <c r="C290" s="13"/>
      <c r="D290" s="31"/>
      <c r="E290" s="24"/>
      <c r="F290" s="71"/>
      <c r="G290" s="72"/>
      <c r="H290" s="73"/>
      <c r="I290" s="72"/>
      <c r="J290" s="71"/>
      <c r="K290" s="72"/>
      <c r="L290" s="72"/>
      <c r="M290" s="72"/>
      <c r="N290" s="74"/>
      <c r="O290" s="71"/>
      <c r="P290" s="72"/>
      <c r="Q290" s="72"/>
      <c r="R290" s="72"/>
      <c r="S290" s="74"/>
      <c r="T290" s="75"/>
    </row>
    <row r="291" spans="1:20" x14ac:dyDescent="0.35">
      <c r="A291" s="17"/>
      <c r="B291" s="18"/>
      <c r="C291" s="13"/>
      <c r="D291" s="31"/>
      <c r="E291" s="24"/>
      <c r="F291" s="71"/>
      <c r="G291" s="72"/>
      <c r="H291" s="73"/>
      <c r="I291" s="72"/>
      <c r="J291" s="71"/>
      <c r="K291" s="72"/>
      <c r="L291" s="72"/>
      <c r="M291" s="72"/>
      <c r="N291" s="74"/>
      <c r="O291" s="71"/>
      <c r="P291" s="72"/>
      <c r="Q291" s="72"/>
      <c r="R291" s="72"/>
      <c r="S291" s="74"/>
      <c r="T291" s="75"/>
    </row>
    <row r="292" spans="1:20" x14ac:dyDescent="0.35">
      <c r="A292" s="17"/>
      <c r="B292" s="18"/>
      <c r="C292" s="13"/>
      <c r="D292" s="31"/>
      <c r="E292" s="24"/>
      <c r="F292" s="71"/>
      <c r="G292" s="72"/>
      <c r="H292" s="73"/>
      <c r="I292" s="72"/>
      <c r="J292" s="71"/>
      <c r="K292" s="72"/>
      <c r="L292" s="72"/>
      <c r="M292" s="72"/>
      <c r="N292" s="74"/>
      <c r="O292" s="71"/>
      <c r="P292" s="72"/>
      <c r="Q292" s="72"/>
      <c r="R292" s="72"/>
      <c r="S292" s="74"/>
      <c r="T292" s="75"/>
    </row>
    <row r="293" spans="1:20" x14ac:dyDescent="0.35">
      <c r="A293" s="17"/>
      <c r="B293" s="18"/>
      <c r="C293" s="13"/>
      <c r="D293" s="31"/>
      <c r="E293" s="24"/>
      <c r="F293" s="71"/>
      <c r="G293" s="72"/>
      <c r="H293" s="73"/>
      <c r="I293" s="72"/>
      <c r="J293" s="71"/>
      <c r="K293" s="72"/>
      <c r="L293" s="72"/>
      <c r="M293" s="72"/>
      <c r="N293" s="74"/>
      <c r="O293" s="71"/>
      <c r="P293" s="72"/>
      <c r="Q293" s="72"/>
      <c r="R293" s="72"/>
      <c r="S293" s="74"/>
      <c r="T293" s="75"/>
    </row>
    <row r="294" spans="1:20" x14ac:dyDescent="0.35">
      <c r="A294" s="17"/>
      <c r="B294" s="18"/>
      <c r="C294" s="13"/>
      <c r="D294" s="31"/>
      <c r="E294" s="24"/>
      <c r="F294" s="71"/>
      <c r="G294" s="72"/>
      <c r="H294" s="73"/>
      <c r="I294" s="72"/>
      <c r="J294" s="71"/>
      <c r="K294" s="72"/>
      <c r="L294" s="72"/>
      <c r="M294" s="72"/>
      <c r="N294" s="74"/>
      <c r="O294" s="71"/>
      <c r="P294" s="72"/>
      <c r="Q294" s="72"/>
      <c r="R294" s="72"/>
      <c r="S294" s="74"/>
      <c r="T294" s="75"/>
    </row>
    <row r="295" spans="1:20" x14ac:dyDescent="0.35">
      <c r="A295" s="17"/>
      <c r="B295" s="18"/>
      <c r="C295" s="13"/>
      <c r="D295" s="31"/>
      <c r="E295" s="24"/>
      <c r="F295" s="71"/>
      <c r="G295" s="72"/>
      <c r="H295" s="73"/>
      <c r="I295" s="72"/>
      <c r="J295" s="71"/>
      <c r="K295" s="72"/>
      <c r="L295" s="72"/>
      <c r="M295" s="72"/>
      <c r="N295" s="74"/>
      <c r="O295" s="71"/>
      <c r="P295" s="72"/>
      <c r="Q295" s="72"/>
      <c r="R295" s="72"/>
      <c r="S295" s="74"/>
      <c r="T295" s="75"/>
    </row>
    <row r="296" spans="1:20" x14ac:dyDescent="0.35">
      <c r="A296" s="17"/>
      <c r="B296" s="18"/>
      <c r="C296" s="13"/>
      <c r="D296" s="31"/>
      <c r="E296" s="24"/>
      <c r="F296" s="71"/>
      <c r="G296" s="72"/>
      <c r="H296" s="73"/>
      <c r="I296" s="72"/>
      <c r="J296" s="71"/>
      <c r="K296" s="72"/>
      <c r="L296" s="72"/>
      <c r="M296" s="72"/>
      <c r="N296" s="74"/>
      <c r="O296" s="71"/>
      <c r="P296" s="72"/>
      <c r="Q296" s="72"/>
      <c r="R296" s="72"/>
      <c r="S296" s="74"/>
      <c r="T296" s="75"/>
    </row>
    <row r="297" spans="1:20" x14ac:dyDescent="0.35">
      <c r="A297" s="17"/>
      <c r="B297" s="18"/>
      <c r="C297" s="13"/>
      <c r="D297" s="31"/>
      <c r="E297" s="24"/>
      <c r="F297" s="71"/>
      <c r="G297" s="72"/>
      <c r="H297" s="73"/>
      <c r="I297" s="72"/>
      <c r="J297" s="71"/>
      <c r="K297" s="72"/>
      <c r="L297" s="72"/>
      <c r="M297" s="72"/>
      <c r="N297" s="74"/>
      <c r="O297" s="71"/>
      <c r="P297" s="72"/>
      <c r="Q297" s="72"/>
      <c r="R297" s="72"/>
      <c r="S297" s="74"/>
      <c r="T297" s="75"/>
    </row>
    <row r="298" spans="1:20" x14ac:dyDescent="0.35">
      <c r="A298" s="17"/>
      <c r="B298" s="18"/>
      <c r="C298" s="13"/>
      <c r="D298" s="31"/>
      <c r="E298" s="24"/>
      <c r="F298" s="71"/>
      <c r="G298" s="72"/>
      <c r="H298" s="73"/>
      <c r="I298" s="72"/>
      <c r="J298" s="71"/>
      <c r="K298" s="72"/>
      <c r="L298" s="72"/>
      <c r="M298" s="72"/>
      <c r="N298" s="74"/>
      <c r="O298" s="71"/>
      <c r="P298" s="72"/>
      <c r="Q298" s="72"/>
      <c r="R298" s="72"/>
      <c r="S298" s="74"/>
      <c r="T298" s="75"/>
    </row>
    <row r="299" spans="1:20" x14ac:dyDescent="0.35">
      <c r="A299" s="17"/>
      <c r="B299" s="18"/>
      <c r="C299" s="13"/>
      <c r="D299" s="31"/>
      <c r="E299" s="24"/>
      <c r="F299" s="71"/>
      <c r="G299" s="72"/>
      <c r="H299" s="73"/>
      <c r="I299" s="72"/>
      <c r="J299" s="71"/>
      <c r="K299" s="72"/>
      <c r="L299" s="72"/>
      <c r="M299" s="72"/>
      <c r="N299" s="74"/>
      <c r="O299" s="71"/>
      <c r="P299" s="72"/>
      <c r="Q299" s="72"/>
      <c r="R299" s="72"/>
      <c r="S299" s="74"/>
      <c r="T299" s="75"/>
    </row>
    <row r="300" spans="1:20" x14ac:dyDescent="0.35">
      <c r="A300" s="17"/>
      <c r="B300" s="18"/>
      <c r="C300" s="13"/>
      <c r="D300" s="31"/>
      <c r="E300" s="24"/>
      <c r="F300" s="71"/>
      <c r="G300" s="72"/>
      <c r="H300" s="73"/>
      <c r="I300" s="72"/>
      <c r="J300" s="71"/>
      <c r="K300" s="72"/>
      <c r="L300" s="72"/>
      <c r="M300" s="72"/>
      <c r="N300" s="74"/>
      <c r="O300" s="71"/>
      <c r="P300" s="72"/>
      <c r="Q300" s="72"/>
      <c r="R300" s="72"/>
      <c r="S300" s="74"/>
      <c r="T300" s="75"/>
    </row>
    <row r="301" spans="1:20" x14ac:dyDescent="0.35">
      <c r="A301" s="17"/>
      <c r="B301" s="18"/>
      <c r="C301" s="13"/>
      <c r="D301" s="31"/>
      <c r="E301" s="24"/>
      <c r="F301" s="71"/>
      <c r="G301" s="72"/>
      <c r="H301" s="73"/>
      <c r="I301" s="72"/>
      <c r="J301" s="71"/>
      <c r="K301" s="72"/>
      <c r="L301" s="72"/>
      <c r="M301" s="72"/>
      <c r="N301" s="74"/>
      <c r="O301" s="71"/>
      <c r="P301" s="72"/>
      <c r="Q301" s="72"/>
      <c r="R301" s="72"/>
      <c r="S301" s="74"/>
      <c r="T301" s="75"/>
    </row>
    <row r="302" spans="1:20" x14ac:dyDescent="0.35">
      <c r="A302" s="17"/>
      <c r="B302" s="18"/>
      <c r="C302" s="13"/>
      <c r="D302" s="31"/>
      <c r="E302" s="24"/>
      <c r="F302" s="71"/>
      <c r="G302" s="72"/>
      <c r="H302" s="73"/>
      <c r="I302" s="72"/>
      <c r="J302" s="71"/>
      <c r="K302" s="72"/>
      <c r="L302" s="72"/>
      <c r="M302" s="72"/>
      <c r="N302" s="74"/>
      <c r="O302" s="71"/>
      <c r="P302" s="72"/>
      <c r="Q302" s="72"/>
      <c r="R302" s="72"/>
      <c r="S302" s="74"/>
      <c r="T302" s="75"/>
    </row>
    <row r="303" spans="1:20" x14ac:dyDescent="0.35">
      <c r="A303" s="17"/>
      <c r="B303" s="18"/>
      <c r="C303" s="13"/>
      <c r="D303" s="31"/>
      <c r="E303" s="24"/>
      <c r="F303" s="71"/>
      <c r="G303" s="72"/>
      <c r="H303" s="73"/>
      <c r="I303" s="72"/>
      <c r="J303" s="71"/>
      <c r="K303" s="72"/>
      <c r="L303" s="72"/>
      <c r="M303" s="72"/>
      <c r="N303" s="74"/>
      <c r="O303" s="71"/>
      <c r="P303" s="72"/>
      <c r="Q303" s="72"/>
      <c r="R303" s="72"/>
      <c r="S303" s="74"/>
      <c r="T303" s="75"/>
    </row>
    <row r="304" spans="1:20" x14ac:dyDescent="0.35">
      <c r="A304" s="17"/>
      <c r="B304" s="18"/>
      <c r="C304" s="13"/>
      <c r="D304" s="31"/>
      <c r="E304" s="24"/>
      <c r="F304" s="71"/>
      <c r="G304" s="72"/>
      <c r="H304" s="73"/>
      <c r="I304" s="72"/>
      <c r="J304" s="71"/>
      <c r="K304" s="72"/>
      <c r="L304" s="72"/>
      <c r="M304" s="72"/>
      <c r="N304" s="74"/>
      <c r="O304" s="71"/>
      <c r="P304" s="72"/>
      <c r="Q304" s="72"/>
      <c r="R304" s="72"/>
      <c r="S304" s="74"/>
      <c r="T304" s="75"/>
    </row>
    <row r="305" spans="1:20" x14ac:dyDescent="0.35">
      <c r="A305" s="17"/>
      <c r="B305" s="18"/>
      <c r="C305" s="13"/>
      <c r="D305" s="31"/>
      <c r="E305" s="24"/>
      <c r="F305" s="71"/>
      <c r="G305" s="72"/>
      <c r="H305" s="73"/>
      <c r="I305" s="72"/>
      <c r="J305" s="71"/>
      <c r="K305" s="72"/>
      <c r="L305" s="72"/>
      <c r="M305" s="72"/>
      <c r="N305" s="74"/>
      <c r="O305" s="71"/>
      <c r="P305" s="72"/>
      <c r="Q305" s="72"/>
      <c r="R305" s="72"/>
      <c r="S305" s="74"/>
      <c r="T305" s="75"/>
    </row>
    <row r="306" spans="1:20" x14ac:dyDescent="0.35">
      <c r="A306" s="17"/>
      <c r="B306" s="18"/>
      <c r="C306" s="13"/>
      <c r="D306" s="31"/>
      <c r="E306" s="24"/>
      <c r="F306" s="71"/>
      <c r="G306" s="72"/>
      <c r="H306" s="73"/>
      <c r="I306" s="72"/>
      <c r="J306" s="71"/>
      <c r="K306" s="72"/>
      <c r="L306" s="72"/>
      <c r="M306" s="72"/>
      <c r="N306" s="74"/>
      <c r="O306" s="71"/>
      <c r="P306" s="72"/>
      <c r="Q306" s="72"/>
      <c r="R306" s="72"/>
      <c r="S306" s="74"/>
      <c r="T306" s="75"/>
    </row>
    <row r="307" spans="1:20" x14ac:dyDescent="0.35">
      <c r="A307" s="17"/>
      <c r="B307" s="18"/>
      <c r="C307" s="13"/>
      <c r="D307" s="31"/>
      <c r="E307" s="24"/>
      <c r="F307" s="71"/>
      <c r="G307" s="72"/>
      <c r="H307" s="73"/>
      <c r="I307" s="72"/>
      <c r="J307" s="71"/>
      <c r="K307" s="72"/>
      <c r="L307" s="72"/>
      <c r="M307" s="72"/>
      <c r="N307" s="74"/>
      <c r="O307" s="71"/>
      <c r="P307" s="72"/>
      <c r="Q307" s="72"/>
      <c r="R307" s="72"/>
      <c r="S307" s="74"/>
      <c r="T307" s="75"/>
    </row>
    <row r="308" spans="1:20" x14ac:dyDescent="0.35">
      <c r="A308" s="17"/>
      <c r="B308" s="18"/>
      <c r="C308" s="13"/>
      <c r="D308" s="31"/>
      <c r="E308" s="24"/>
      <c r="F308" s="71"/>
      <c r="G308" s="72"/>
      <c r="H308" s="73"/>
      <c r="I308" s="72"/>
      <c r="J308" s="71"/>
      <c r="K308" s="72"/>
      <c r="L308" s="72"/>
      <c r="M308" s="72"/>
      <c r="N308" s="74"/>
      <c r="O308" s="71"/>
      <c r="P308" s="72"/>
      <c r="Q308" s="72"/>
      <c r="R308" s="72"/>
      <c r="S308" s="74"/>
      <c r="T308" s="75"/>
    </row>
    <row r="309" spans="1:20" x14ac:dyDescent="0.35">
      <c r="A309" s="17"/>
      <c r="B309" s="18"/>
      <c r="C309" s="13"/>
      <c r="D309" s="31"/>
      <c r="E309" s="24"/>
      <c r="F309" s="71"/>
      <c r="G309" s="72"/>
      <c r="H309" s="73"/>
      <c r="I309" s="72"/>
      <c r="J309" s="71"/>
      <c r="K309" s="72"/>
      <c r="L309" s="72"/>
      <c r="M309" s="72"/>
      <c r="N309" s="74"/>
      <c r="O309" s="71"/>
      <c r="P309" s="72"/>
      <c r="Q309" s="72"/>
      <c r="R309" s="72"/>
      <c r="S309" s="74"/>
      <c r="T309" s="75"/>
    </row>
    <row r="310" spans="1:20" x14ac:dyDescent="0.35">
      <c r="A310" s="17"/>
      <c r="B310" s="18"/>
      <c r="C310" s="13"/>
      <c r="D310" s="31"/>
      <c r="E310" s="24"/>
      <c r="F310" s="71"/>
      <c r="G310" s="72"/>
      <c r="H310" s="73"/>
      <c r="I310" s="72"/>
      <c r="J310" s="71"/>
      <c r="K310" s="72"/>
      <c r="L310" s="72"/>
      <c r="M310" s="72"/>
      <c r="N310" s="74"/>
      <c r="O310" s="71"/>
      <c r="P310" s="72"/>
      <c r="Q310" s="72"/>
      <c r="R310" s="72"/>
      <c r="S310" s="74"/>
      <c r="T310" s="75"/>
    </row>
    <row r="311" spans="1:20" x14ac:dyDescent="0.35">
      <c r="A311" s="17"/>
      <c r="B311" s="18"/>
      <c r="C311" s="13"/>
      <c r="D311" s="31"/>
      <c r="E311" s="24"/>
      <c r="F311" s="71"/>
      <c r="G311" s="72"/>
      <c r="H311" s="73"/>
      <c r="I311" s="72"/>
      <c r="J311" s="71"/>
      <c r="K311" s="72"/>
      <c r="L311" s="72"/>
      <c r="M311" s="72"/>
      <c r="N311" s="74"/>
      <c r="O311" s="71"/>
      <c r="P311" s="72"/>
      <c r="Q311" s="72"/>
      <c r="R311" s="72"/>
      <c r="S311" s="74"/>
      <c r="T311" s="75"/>
    </row>
    <row r="312" spans="1:20" x14ac:dyDescent="0.35">
      <c r="A312" s="17"/>
      <c r="B312" s="18"/>
      <c r="C312" s="13"/>
      <c r="D312" s="31"/>
      <c r="E312" s="24"/>
      <c r="F312" s="71"/>
      <c r="G312" s="72"/>
      <c r="H312" s="73"/>
      <c r="I312" s="72"/>
      <c r="J312" s="71"/>
      <c r="K312" s="72"/>
      <c r="L312" s="72"/>
      <c r="M312" s="72"/>
      <c r="N312" s="74"/>
      <c r="O312" s="71"/>
      <c r="P312" s="72"/>
      <c r="Q312" s="72"/>
      <c r="R312" s="72"/>
      <c r="S312" s="74"/>
      <c r="T312" s="75"/>
    </row>
    <row r="313" spans="1:20" x14ac:dyDescent="0.35">
      <c r="A313" s="17"/>
      <c r="B313" s="18"/>
      <c r="C313" s="13"/>
      <c r="D313" s="31"/>
      <c r="E313" s="24"/>
      <c r="F313" s="71"/>
      <c r="G313" s="72"/>
      <c r="H313" s="73"/>
      <c r="I313" s="72"/>
      <c r="J313" s="71"/>
      <c r="K313" s="72"/>
      <c r="L313" s="72"/>
      <c r="M313" s="72"/>
      <c r="N313" s="74"/>
      <c r="O313" s="71"/>
      <c r="P313" s="72"/>
      <c r="Q313" s="72"/>
      <c r="R313" s="72"/>
      <c r="S313" s="74"/>
      <c r="T313" s="75"/>
    </row>
    <row r="314" spans="1:20" x14ac:dyDescent="0.35">
      <c r="A314" s="17"/>
      <c r="B314" s="18"/>
      <c r="C314" s="13"/>
      <c r="D314" s="31"/>
      <c r="E314" s="24"/>
      <c r="F314" s="71"/>
      <c r="G314" s="72"/>
      <c r="H314" s="73"/>
      <c r="I314" s="72"/>
      <c r="J314" s="71"/>
      <c r="K314" s="72"/>
      <c r="L314" s="72"/>
      <c r="M314" s="72"/>
      <c r="N314" s="74"/>
      <c r="O314" s="71"/>
      <c r="P314" s="72"/>
      <c r="Q314" s="72"/>
      <c r="R314" s="72"/>
      <c r="S314" s="74"/>
      <c r="T314" s="75"/>
    </row>
    <row r="315" spans="1:20" x14ac:dyDescent="0.35">
      <c r="A315" s="17"/>
      <c r="B315" s="18"/>
      <c r="C315" s="13"/>
      <c r="D315" s="31"/>
      <c r="E315" s="24"/>
      <c r="F315" s="71"/>
      <c r="G315" s="72"/>
      <c r="H315" s="73"/>
      <c r="I315" s="72"/>
      <c r="J315" s="71"/>
      <c r="K315" s="72"/>
      <c r="L315" s="72"/>
      <c r="M315" s="72"/>
      <c r="N315" s="74"/>
      <c r="O315" s="71"/>
      <c r="P315" s="72"/>
      <c r="Q315" s="72"/>
      <c r="R315" s="72"/>
      <c r="S315" s="74"/>
      <c r="T315" s="75"/>
    </row>
    <row r="316" spans="1:20" x14ac:dyDescent="0.35">
      <c r="A316" s="17"/>
      <c r="B316" s="18"/>
      <c r="C316" s="13"/>
      <c r="D316" s="31"/>
      <c r="E316" s="24"/>
      <c r="F316" s="71"/>
      <c r="G316" s="72"/>
      <c r="H316" s="73"/>
      <c r="I316" s="72"/>
      <c r="J316" s="71"/>
      <c r="K316" s="72"/>
      <c r="L316" s="72"/>
      <c r="M316" s="72"/>
      <c r="N316" s="74"/>
      <c r="O316" s="71"/>
      <c r="P316" s="72"/>
      <c r="Q316" s="72"/>
      <c r="R316" s="72"/>
      <c r="S316" s="74"/>
      <c r="T316" s="75"/>
    </row>
    <row r="317" spans="1:20" x14ac:dyDescent="0.35">
      <c r="A317" s="17"/>
      <c r="B317" s="18"/>
      <c r="C317" s="13"/>
      <c r="D317" s="31"/>
      <c r="E317" s="24"/>
      <c r="F317" s="71"/>
      <c r="G317" s="72"/>
      <c r="H317" s="73"/>
      <c r="I317" s="72"/>
      <c r="J317" s="71"/>
      <c r="K317" s="72"/>
      <c r="L317" s="72"/>
      <c r="M317" s="72"/>
      <c r="N317" s="74"/>
      <c r="O317" s="71"/>
      <c r="P317" s="72"/>
      <c r="Q317" s="72"/>
      <c r="R317" s="72"/>
      <c r="S317" s="74"/>
      <c r="T317" s="75"/>
    </row>
    <row r="318" spans="1:20" x14ac:dyDescent="0.35">
      <c r="A318" s="17"/>
      <c r="B318" s="18"/>
      <c r="C318" s="13"/>
      <c r="D318" s="31"/>
      <c r="E318" s="24"/>
      <c r="F318" s="71"/>
      <c r="G318" s="72"/>
      <c r="H318" s="73"/>
      <c r="I318" s="72"/>
      <c r="J318" s="71"/>
      <c r="K318" s="72"/>
      <c r="L318" s="72"/>
      <c r="M318" s="72"/>
      <c r="N318" s="74"/>
      <c r="O318" s="71"/>
      <c r="P318" s="72"/>
      <c r="Q318" s="72"/>
      <c r="R318" s="72"/>
      <c r="S318" s="74"/>
      <c r="T318" s="75"/>
    </row>
    <row r="319" spans="1:20" x14ac:dyDescent="0.35">
      <c r="A319" s="17"/>
      <c r="B319" s="18"/>
      <c r="C319" s="13"/>
      <c r="D319" s="31"/>
      <c r="E319" s="24"/>
      <c r="F319" s="71"/>
      <c r="G319" s="72"/>
      <c r="H319" s="73"/>
      <c r="I319" s="72"/>
      <c r="J319" s="71"/>
      <c r="K319" s="72"/>
      <c r="L319" s="72"/>
      <c r="M319" s="72"/>
      <c r="N319" s="74"/>
      <c r="O319" s="71"/>
      <c r="P319" s="72"/>
      <c r="Q319" s="72"/>
      <c r="R319" s="72"/>
      <c r="S319" s="74"/>
      <c r="T319" s="75"/>
    </row>
    <row r="320" spans="1:20" x14ac:dyDescent="0.35">
      <c r="A320" s="17"/>
      <c r="B320" s="18"/>
      <c r="C320" s="13"/>
      <c r="D320" s="31"/>
      <c r="E320" s="24"/>
      <c r="F320" s="71"/>
      <c r="G320" s="72"/>
      <c r="H320" s="73"/>
      <c r="I320" s="72"/>
      <c r="J320" s="71"/>
      <c r="K320" s="72"/>
      <c r="L320" s="72"/>
      <c r="M320" s="72"/>
      <c r="N320" s="74"/>
      <c r="O320" s="71"/>
      <c r="P320" s="72"/>
      <c r="Q320" s="72"/>
      <c r="R320" s="72"/>
      <c r="S320" s="74"/>
      <c r="T320" s="75"/>
    </row>
    <row r="321" spans="1:20" x14ac:dyDescent="0.35">
      <c r="A321" s="17"/>
      <c r="B321" s="18"/>
      <c r="C321" s="13"/>
      <c r="D321" s="31"/>
      <c r="E321" s="24"/>
      <c r="F321" s="71"/>
      <c r="G321" s="72"/>
      <c r="H321" s="73"/>
      <c r="I321" s="72"/>
      <c r="J321" s="71"/>
      <c r="K321" s="72"/>
      <c r="L321" s="72"/>
      <c r="M321" s="72"/>
      <c r="N321" s="74"/>
      <c r="O321" s="71"/>
      <c r="P321" s="72"/>
      <c r="Q321" s="72"/>
      <c r="R321" s="72"/>
      <c r="S321" s="74"/>
      <c r="T321" s="75"/>
    </row>
    <row r="322" spans="1:20" x14ac:dyDescent="0.35">
      <c r="A322" s="17"/>
      <c r="B322" s="18"/>
      <c r="C322" s="13"/>
      <c r="D322" s="31"/>
      <c r="E322" s="24"/>
      <c r="F322" s="71"/>
      <c r="G322" s="72"/>
      <c r="H322" s="73"/>
      <c r="I322" s="72"/>
      <c r="J322" s="71"/>
      <c r="K322" s="72"/>
      <c r="L322" s="72"/>
      <c r="M322" s="72"/>
      <c r="N322" s="74"/>
      <c r="O322" s="71"/>
      <c r="P322" s="72"/>
      <c r="Q322" s="72"/>
      <c r="R322" s="72"/>
      <c r="S322" s="74"/>
      <c r="T322" s="75"/>
    </row>
    <row r="323" spans="1:20" x14ac:dyDescent="0.35">
      <c r="A323" s="17"/>
      <c r="B323" s="18"/>
      <c r="C323" s="13"/>
      <c r="D323" s="31"/>
      <c r="E323" s="24"/>
      <c r="F323" s="71"/>
      <c r="G323" s="72"/>
      <c r="H323" s="73"/>
      <c r="I323" s="72"/>
      <c r="J323" s="71"/>
      <c r="K323" s="72"/>
      <c r="L323" s="72"/>
      <c r="M323" s="72"/>
      <c r="N323" s="74"/>
      <c r="O323" s="71"/>
      <c r="P323" s="72"/>
      <c r="Q323" s="72"/>
      <c r="R323" s="72"/>
      <c r="S323" s="74"/>
      <c r="T323" s="75"/>
    </row>
    <row r="324" spans="1:20" x14ac:dyDescent="0.35">
      <c r="A324" s="17"/>
      <c r="B324" s="18"/>
      <c r="C324" s="13"/>
      <c r="D324" s="31"/>
      <c r="E324" s="24"/>
      <c r="F324" s="71"/>
      <c r="G324" s="72"/>
      <c r="H324" s="73"/>
      <c r="I324" s="72"/>
      <c r="J324" s="71"/>
      <c r="K324" s="72"/>
      <c r="L324" s="72"/>
      <c r="M324" s="72"/>
      <c r="N324" s="74"/>
      <c r="O324" s="71"/>
      <c r="P324" s="72"/>
      <c r="Q324" s="72"/>
      <c r="R324" s="72"/>
      <c r="S324" s="74"/>
      <c r="T324" s="75"/>
    </row>
    <row r="325" spans="1:20" x14ac:dyDescent="0.35">
      <c r="A325" s="17"/>
      <c r="B325" s="18"/>
      <c r="C325" s="13"/>
      <c r="D325" s="31"/>
      <c r="E325" s="24"/>
      <c r="F325" s="71"/>
      <c r="G325" s="72"/>
      <c r="H325" s="73"/>
      <c r="I325" s="72"/>
      <c r="J325" s="71"/>
      <c r="K325" s="72"/>
      <c r="L325" s="72"/>
      <c r="M325" s="72"/>
      <c r="N325" s="74"/>
      <c r="O325" s="71"/>
      <c r="P325" s="72"/>
      <c r="Q325" s="72"/>
      <c r="R325" s="72"/>
      <c r="S325" s="74"/>
      <c r="T325" s="75"/>
    </row>
    <row r="326" spans="1:20" x14ac:dyDescent="0.35">
      <c r="A326" s="17"/>
      <c r="B326" s="18"/>
      <c r="C326" s="13"/>
      <c r="D326" s="31"/>
      <c r="E326" s="24"/>
      <c r="F326" s="71"/>
      <c r="G326" s="72"/>
      <c r="H326" s="73"/>
      <c r="I326" s="72"/>
      <c r="J326" s="71"/>
      <c r="K326" s="72"/>
      <c r="L326" s="72"/>
      <c r="M326" s="72"/>
      <c r="N326" s="74"/>
      <c r="O326" s="71"/>
      <c r="P326" s="72"/>
      <c r="Q326" s="72"/>
      <c r="R326" s="72"/>
      <c r="S326" s="74"/>
      <c r="T326" s="75"/>
    </row>
    <row r="327" spans="1:20" x14ac:dyDescent="0.35">
      <c r="A327" s="17"/>
      <c r="B327" s="18"/>
      <c r="C327" s="13"/>
      <c r="D327" s="31"/>
      <c r="E327" s="24"/>
      <c r="F327" s="71"/>
      <c r="G327" s="72"/>
      <c r="H327" s="73"/>
      <c r="I327" s="72"/>
      <c r="J327" s="71"/>
      <c r="K327" s="72"/>
      <c r="L327" s="72"/>
      <c r="M327" s="72"/>
      <c r="N327" s="74"/>
      <c r="O327" s="71"/>
      <c r="P327" s="72"/>
      <c r="Q327" s="72"/>
      <c r="R327" s="72"/>
      <c r="S327" s="74"/>
      <c r="T327" s="75"/>
    </row>
    <row r="328" spans="1:20" x14ac:dyDescent="0.35">
      <c r="A328" s="17"/>
      <c r="B328" s="18"/>
      <c r="C328" s="13"/>
      <c r="D328" s="31"/>
      <c r="E328" s="24"/>
      <c r="F328" s="71"/>
      <c r="G328" s="72"/>
      <c r="H328" s="73"/>
      <c r="I328" s="72"/>
      <c r="J328" s="71"/>
      <c r="K328" s="72"/>
      <c r="L328" s="72"/>
      <c r="M328" s="72"/>
      <c r="N328" s="74"/>
      <c r="O328" s="71"/>
      <c r="P328" s="72"/>
      <c r="Q328" s="72"/>
      <c r="R328" s="72"/>
      <c r="S328" s="74"/>
      <c r="T328" s="75"/>
    </row>
    <row r="329" spans="1:20" x14ac:dyDescent="0.35">
      <c r="A329" s="17"/>
      <c r="B329" s="18"/>
      <c r="C329" s="13"/>
      <c r="D329" s="31"/>
      <c r="E329" s="24"/>
      <c r="F329" s="71"/>
      <c r="G329" s="72"/>
      <c r="H329" s="73"/>
      <c r="I329" s="72"/>
      <c r="J329" s="71"/>
      <c r="K329" s="72"/>
      <c r="L329" s="72"/>
      <c r="M329" s="72"/>
      <c r="N329" s="74"/>
      <c r="O329" s="71"/>
      <c r="P329" s="72"/>
      <c r="Q329" s="72"/>
      <c r="R329" s="72"/>
      <c r="S329" s="74"/>
      <c r="T329" s="75"/>
    </row>
    <row r="330" spans="1:20" x14ac:dyDescent="0.35">
      <c r="A330" s="17"/>
      <c r="B330" s="18"/>
      <c r="C330" s="13"/>
      <c r="D330" s="31"/>
      <c r="E330" s="24"/>
      <c r="F330" s="71"/>
      <c r="G330" s="72"/>
      <c r="H330" s="73"/>
      <c r="I330" s="72"/>
      <c r="J330" s="71"/>
      <c r="K330" s="72"/>
      <c r="L330" s="72"/>
      <c r="M330" s="72"/>
      <c r="N330" s="74"/>
      <c r="O330" s="71"/>
      <c r="P330" s="72"/>
      <c r="Q330" s="72"/>
      <c r="R330" s="72"/>
      <c r="S330" s="74"/>
      <c r="T330" s="75"/>
    </row>
    <row r="331" spans="1:20" x14ac:dyDescent="0.35">
      <c r="A331" s="17"/>
      <c r="B331" s="18"/>
      <c r="C331" s="13"/>
      <c r="D331" s="31"/>
      <c r="E331" s="24"/>
      <c r="F331" s="71"/>
      <c r="G331" s="72"/>
      <c r="H331" s="73"/>
      <c r="I331" s="72"/>
      <c r="J331" s="71"/>
      <c r="K331" s="72"/>
      <c r="L331" s="72"/>
      <c r="M331" s="72"/>
      <c r="N331" s="74"/>
      <c r="O331" s="71"/>
      <c r="P331" s="72"/>
      <c r="Q331" s="72"/>
      <c r="R331" s="72"/>
      <c r="S331" s="74"/>
      <c r="T331" s="75"/>
    </row>
    <row r="332" spans="1:20" x14ac:dyDescent="0.35">
      <c r="A332" s="17"/>
      <c r="B332" s="18"/>
      <c r="C332" s="13"/>
      <c r="D332" s="31"/>
      <c r="E332" s="24"/>
      <c r="F332" s="71"/>
      <c r="G332" s="72"/>
      <c r="H332" s="73"/>
      <c r="I332" s="72"/>
      <c r="J332" s="71"/>
      <c r="K332" s="72"/>
      <c r="L332" s="72"/>
      <c r="M332" s="72"/>
      <c r="N332" s="74"/>
      <c r="O332" s="71"/>
      <c r="P332" s="72"/>
      <c r="Q332" s="72"/>
      <c r="R332" s="72"/>
      <c r="S332" s="74"/>
      <c r="T332" s="75"/>
    </row>
    <row r="333" spans="1:20" x14ac:dyDescent="0.35">
      <c r="A333" s="17"/>
      <c r="B333" s="18"/>
      <c r="C333" s="13"/>
      <c r="D333" s="31"/>
      <c r="E333" s="24"/>
      <c r="F333" s="71"/>
      <c r="G333" s="72"/>
      <c r="H333" s="73"/>
      <c r="I333" s="72"/>
      <c r="J333" s="71"/>
      <c r="K333" s="72"/>
      <c r="L333" s="72"/>
      <c r="M333" s="72"/>
      <c r="N333" s="74"/>
      <c r="O333" s="71"/>
      <c r="P333" s="72"/>
      <c r="Q333" s="72"/>
      <c r="R333" s="72"/>
      <c r="S333" s="74"/>
      <c r="T333" s="75"/>
    </row>
    <row r="334" spans="1:20" x14ac:dyDescent="0.35">
      <c r="A334" s="17"/>
      <c r="B334" s="18"/>
      <c r="C334" s="13"/>
      <c r="D334" s="31"/>
      <c r="E334" s="24"/>
      <c r="F334" s="71"/>
      <c r="G334" s="72"/>
      <c r="H334" s="73"/>
      <c r="I334" s="72"/>
      <c r="J334" s="71"/>
      <c r="K334" s="72"/>
      <c r="L334" s="72"/>
      <c r="M334" s="72"/>
      <c r="N334" s="74"/>
      <c r="O334" s="71"/>
      <c r="P334" s="72"/>
      <c r="Q334" s="72"/>
      <c r="R334" s="72"/>
      <c r="S334" s="74"/>
      <c r="T334" s="75"/>
    </row>
    <row r="335" spans="1:20" x14ac:dyDescent="0.35">
      <c r="A335" s="17"/>
      <c r="B335" s="18"/>
      <c r="C335" s="13"/>
      <c r="D335" s="31"/>
      <c r="E335" s="24"/>
      <c r="F335" s="71"/>
      <c r="G335" s="72"/>
      <c r="H335" s="73"/>
      <c r="I335" s="72"/>
      <c r="J335" s="71"/>
      <c r="K335" s="72"/>
      <c r="L335" s="72"/>
      <c r="M335" s="72"/>
      <c r="N335" s="74"/>
      <c r="O335" s="71"/>
      <c r="P335" s="72"/>
      <c r="Q335" s="72"/>
      <c r="R335" s="72"/>
      <c r="S335" s="74"/>
      <c r="T335" s="75"/>
    </row>
    <row r="336" spans="1:20" x14ac:dyDescent="0.35">
      <c r="A336" s="17"/>
      <c r="B336" s="18"/>
      <c r="C336" s="13"/>
      <c r="D336" s="31"/>
      <c r="E336" s="24"/>
      <c r="F336" s="71"/>
      <c r="G336" s="72"/>
      <c r="H336" s="73"/>
      <c r="I336" s="72"/>
      <c r="J336" s="71"/>
      <c r="K336" s="72"/>
      <c r="L336" s="72"/>
      <c r="M336" s="72"/>
      <c r="N336" s="74"/>
      <c r="O336" s="71"/>
      <c r="P336" s="72"/>
      <c r="Q336" s="72"/>
      <c r="R336" s="72"/>
      <c r="S336" s="74"/>
      <c r="T336" s="75"/>
    </row>
    <row r="337" spans="1:20" x14ac:dyDescent="0.35">
      <c r="A337" s="17"/>
      <c r="B337" s="18"/>
      <c r="C337" s="13"/>
      <c r="D337" s="31"/>
      <c r="E337" s="24"/>
      <c r="F337" s="71"/>
      <c r="G337" s="72"/>
      <c r="H337" s="73"/>
      <c r="I337" s="72"/>
      <c r="J337" s="71"/>
      <c r="K337" s="72"/>
      <c r="L337" s="72"/>
      <c r="M337" s="72"/>
      <c r="N337" s="74"/>
      <c r="O337" s="71"/>
      <c r="P337" s="72"/>
      <c r="Q337" s="72"/>
      <c r="R337" s="72"/>
      <c r="S337" s="74"/>
      <c r="T337" s="75"/>
    </row>
    <row r="338" spans="1:20" x14ac:dyDescent="0.35">
      <c r="A338" s="17"/>
      <c r="B338" s="18"/>
      <c r="C338" s="13"/>
      <c r="D338" s="31"/>
      <c r="E338" s="24"/>
      <c r="F338" s="71"/>
      <c r="G338" s="72"/>
      <c r="H338" s="73"/>
      <c r="I338" s="72"/>
      <c r="J338" s="71"/>
      <c r="K338" s="72"/>
      <c r="L338" s="72"/>
      <c r="M338" s="72"/>
      <c r="N338" s="74"/>
      <c r="O338" s="71"/>
      <c r="P338" s="72"/>
      <c r="Q338" s="72"/>
      <c r="R338" s="72"/>
      <c r="S338" s="74"/>
      <c r="T338" s="75"/>
    </row>
    <row r="339" spans="1:20" x14ac:dyDescent="0.35">
      <c r="A339" s="17"/>
      <c r="B339" s="18"/>
      <c r="C339" s="13"/>
      <c r="D339" s="31"/>
      <c r="E339" s="24"/>
      <c r="F339" s="71"/>
      <c r="G339" s="72"/>
      <c r="H339" s="73"/>
      <c r="I339" s="72"/>
      <c r="J339" s="71"/>
      <c r="K339" s="72"/>
      <c r="L339" s="72"/>
      <c r="M339" s="72"/>
      <c r="N339" s="74"/>
      <c r="O339" s="71"/>
      <c r="P339" s="72"/>
      <c r="Q339" s="72"/>
      <c r="R339" s="72"/>
      <c r="S339" s="74"/>
      <c r="T339" s="75"/>
    </row>
    <row r="340" spans="1:20" x14ac:dyDescent="0.35">
      <c r="A340" s="17"/>
      <c r="B340" s="18"/>
      <c r="C340" s="13"/>
      <c r="D340" s="31"/>
      <c r="E340" s="24"/>
      <c r="F340" s="71"/>
      <c r="G340" s="72"/>
      <c r="H340" s="73"/>
      <c r="I340" s="72"/>
      <c r="J340" s="71"/>
      <c r="K340" s="72"/>
      <c r="L340" s="72"/>
      <c r="M340" s="72"/>
      <c r="N340" s="74"/>
      <c r="O340" s="71"/>
      <c r="P340" s="72"/>
      <c r="Q340" s="72"/>
      <c r="R340" s="72"/>
      <c r="S340" s="74"/>
      <c r="T340" s="75"/>
    </row>
    <row r="341" spans="1:20" x14ac:dyDescent="0.35">
      <c r="A341" s="17"/>
      <c r="B341" s="18"/>
      <c r="C341" s="13"/>
      <c r="D341" s="31"/>
      <c r="E341" s="24"/>
      <c r="F341" s="71"/>
      <c r="G341" s="72"/>
      <c r="H341" s="73"/>
      <c r="I341" s="72"/>
      <c r="J341" s="71"/>
      <c r="K341" s="72"/>
      <c r="L341" s="72"/>
      <c r="M341" s="72"/>
      <c r="N341" s="74"/>
      <c r="O341" s="71"/>
      <c r="P341" s="72"/>
      <c r="Q341" s="72"/>
      <c r="R341" s="72"/>
      <c r="S341" s="74"/>
      <c r="T341" s="75"/>
    </row>
    <row r="342" spans="1:20" x14ac:dyDescent="0.35">
      <c r="A342" s="17"/>
      <c r="B342" s="18"/>
      <c r="C342" s="13"/>
      <c r="D342" s="31"/>
      <c r="E342" s="24"/>
      <c r="F342" s="71"/>
      <c r="G342" s="72"/>
      <c r="H342" s="73"/>
      <c r="I342" s="72"/>
      <c r="J342" s="71"/>
      <c r="K342" s="72"/>
      <c r="L342" s="72"/>
      <c r="M342" s="72"/>
      <c r="N342" s="74"/>
      <c r="O342" s="71"/>
      <c r="P342" s="72"/>
      <c r="Q342" s="72"/>
      <c r="R342" s="72"/>
      <c r="S342" s="74"/>
      <c r="T342" s="75"/>
    </row>
    <row r="343" spans="1:20" x14ac:dyDescent="0.35">
      <c r="A343" s="17"/>
      <c r="B343" s="18"/>
      <c r="C343" s="13"/>
      <c r="D343" s="31"/>
      <c r="E343" s="24"/>
      <c r="F343" s="71"/>
      <c r="G343" s="72"/>
      <c r="H343" s="73"/>
      <c r="I343" s="72"/>
      <c r="J343" s="71"/>
      <c r="K343" s="72"/>
      <c r="L343" s="72"/>
      <c r="M343" s="72"/>
      <c r="N343" s="74"/>
      <c r="O343" s="71"/>
      <c r="P343" s="72"/>
      <c r="Q343" s="72"/>
      <c r="R343" s="72"/>
      <c r="S343" s="74"/>
      <c r="T343" s="75"/>
    </row>
    <row r="344" spans="1:20" x14ac:dyDescent="0.35">
      <c r="A344" s="17"/>
      <c r="B344" s="18"/>
      <c r="C344" s="13"/>
      <c r="D344" s="31"/>
      <c r="E344" s="24"/>
      <c r="F344" s="71"/>
      <c r="G344" s="72"/>
      <c r="H344" s="73"/>
      <c r="I344" s="72"/>
      <c r="J344" s="71"/>
      <c r="K344" s="72"/>
      <c r="L344" s="72"/>
      <c r="M344" s="72"/>
      <c r="N344" s="74"/>
      <c r="O344" s="71"/>
      <c r="P344" s="72"/>
      <c r="Q344" s="72"/>
      <c r="R344" s="72"/>
      <c r="S344" s="74"/>
      <c r="T344" s="75"/>
    </row>
    <row r="345" spans="1:20" x14ac:dyDescent="0.35">
      <c r="A345" s="17"/>
      <c r="B345" s="18"/>
      <c r="C345" s="13"/>
      <c r="D345" s="31"/>
      <c r="E345" s="24"/>
      <c r="F345" s="71"/>
      <c r="G345" s="72"/>
      <c r="H345" s="73"/>
      <c r="I345" s="72"/>
      <c r="J345" s="71"/>
      <c r="K345" s="72"/>
      <c r="L345" s="72"/>
      <c r="M345" s="72"/>
      <c r="N345" s="74"/>
      <c r="O345" s="71"/>
      <c r="P345" s="72"/>
      <c r="Q345" s="72"/>
      <c r="R345" s="72"/>
      <c r="S345" s="74"/>
      <c r="T345" s="75"/>
    </row>
    <row r="346" spans="1:20" x14ac:dyDescent="0.35">
      <c r="A346" s="17"/>
      <c r="B346" s="18"/>
      <c r="C346" s="13"/>
      <c r="D346" s="31"/>
      <c r="E346" s="24"/>
      <c r="F346" s="71"/>
      <c r="G346" s="72"/>
      <c r="H346" s="73"/>
      <c r="I346" s="72"/>
      <c r="J346" s="71"/>
      <c r="K346" s="72"/>
      <c r="L346" s="72"/>
      <c r="M346" s="72"/>
      <c r="N346" s="74"/>
      <c r="O346" s="71"/>
      <c r="P346" s="72"/>
      <c r="Q346" s="72"/>
      <c r="R346" s="72"/>
      <c r="S346" s="74"/>
      <c r="T346" s="75"/>
    </row>
    <row r="347" spans="1:20" x14ac:dyDescent="0.35">
      <c r="A347" s="17"/>
      <c r="B347" s="18"/>
      <c r="C347" s="13"/>
      <c r="D347" s="31"/>
      <c r="E347" s="24"/>
      <c r="F347" s="71"/>
      <c r="G347" s="72"/>
      <c r="H347" s="73"/>
      <c r="I347" s="72"/>
      <c r="J347" s="71"/>
      <c r="K347" s="72"/>
      <c r="L347" s="72"/>
      <c r="M347" s="72"/>
      <c r="N347" s="74"/>
      <c r="O347" s="71"/>
      <c r="P347" s="72"/>
      <c r="Q347" s="72"/>
      <c r="R347" s="72"/>
      <c r="S347" s="74"/>
      <c r="T347" s="75"/>
    </row>
    <row r="348" spans="1:20" x14ac:dyDescent="0.35">
      <c r="A348" s="17"/>
      <c r="B348" s="18"/>
      <c r="C348" s="13"/>
      <c r="D348" s="31"/>
      <c r="E348" s="24"/>
      <c r="F348" s="71"/>
      <c r="G348" s="72"/>
      <c r="H348" s="73"/>
      <c r="I348" s="72"/>
      <c r="J348" s="71"/>
      <c r="K348" s="72"/>
      <c r="L348" s="72"/>
      <c r="M348" s="72"/>
      <c r="N348" s="74"/>
      <c r="O348" s="71"/>
      <c r="P348" s="72"/>
      <c r="Q348" s="72"/>
      <c r="R348" s="72"/>
      <c r="S348" s="74"/>
      <c r="T348" s="75"/>
    </row>
    <row r="349" spans="1:20" x14ac:dyDescent="0.35">
      <c r="A349" s="17"/>
      <c r="B349" s="18"/>
      <c r="C349" s="13"/>
      <c r="D349" s="31"/>
      <c r="E349" s="24"/>
      <c r="F349" s="71"/>
      <c r="G349" s="72"/>
      <c r="H349" s="73"/>
      <c r="I349" s="72"/>
      <c r="J349" s="71"/>
      <c r="K349" s="72"/>
      <c r="L349" s="72"/>
      <c r="M349" s="72"/>
      <c r="N349" s="74"/>
      <c r="O349" s="71"/>
      <c r="P349" s="72"/>
      <c r="Q349" s="72"/>
      <c r="R349" s="72"/>
      <c r="S349" s="74"/>
      <c r="T349" s="75"/>
    </row>
    <row r="350" spans="1:20" x14ac:dyDescent="0.35">
      <c r="A350" s="17"/>
      <c r="B350" s="18"/>
      <c r="C350" s="13"/>
      <c r="D350" s="31"/>
      <c r="E350" s="24"/>
      <c r="F350" s="71"/>
      <c r="G350" s="72"/>
      <c r="H350" s="73"/>
      <c r="I350" s="72"/>
      <c r="J350" s="71"/>
      <c r="K350" s="72"/>
      <c r="L350" s="72"/>
      <c r="M350" s="72"/>
      <c r="N350" s="74"/>
      <c r="O350" s="71"/>
      <c r="P350" s="72"/>
      <c r="Q350" s="72"/>
      <c r="R350" s="72"/>
      <c r="S350" s="74"/>
      <c r="T350" s="75"/>
    </row>
    <row r="351" spans="1:20" x14ac:dyDescent="0.35">
      <c r="A351" s="17"/>
      <c r="B351" s="18"/>
      <c r="C351" s="13"/>
      <c r="D351" s="31"/>
      <c r="E351" s="24"/>
      <c r="F351" s="71"/>
      <c r="G351" s="72"/>
      <c r="H351" s="73"/>
      <c r="I351" s="72"/>
      <c r="J351" s="71"/>
      <c r="K351" s="72"/>
      <c r="L351" s="72"/>
      <c r="M351" s="72"/>
      <c r="N351" s="74"/>
      <c r="O351" s="71"/>
      <c r="P351" s="72"/>
      <c r="Q351" s="72"/>
      <c r="R351" s="72"/>
      <c r="S351" s="74"/>
      <c r="T351" s="75"/>
    </row>
    <row r="352" spans="1:20" x14ac:dyDescent="0.35">
      <c r="A352" s="17"/>
      <c r="B352" s="18"/>
      <c r="C352" s="13"/>
      <c r="D352" s="31"/>
      <c r="E352" s="24"/>
      <c r="F352" s="71"/>
      <c r="G352" s="72"/>
      <c r="H352" s="73"/>
      <c r="I352" s="72"/>
      <c r="J352" s="71"/>
      <c r="K352" s="72"/>
      <c r="L352" s="72"/>
      <c r="M352" s="72"/>
      <c r="N352" s="74"/>
      <c r="O352" s="71"/>
      <c r="P352" s="72"/>
      <c r="Q352" s="72"/>
      <c r="R352" s="72"/>
      <c r="S352" s="74"/>
      <c r="T352" s="75"/>
    </row>
    <row r="353" spans="1:20" x14ac:dyDescent="0.35">
      <c r="A353" s="17"/>
      <c r="B353" s="18"/>
      <c r="C353" s="13"/>
      <c r="D353" s="31"/>
      <c r="E353" s="24"/>
      <c r="F353" s="71"/>
      <c r="G353" s="72"/>
      <c r="H353" s="73"/>
      <c r="I353" s="72"/>
      <c r="J353" s="71"/>
      <c r="K353" s="72"/>
      <c r="L353" s="72"/>
      <c r="M353" s="72"/>
      <c r="N353" s="74"/>
      <c r="O353" s="71"/>
      <c r="P353" s="72"/>
      <c r="Q353" s="72"/>
      <c r="R353" s="72"/>
      <c r="S353" s="74"/>
      <c r="T353" s="75"/>
    </row>
    <row r="354" spans="1:20" x14ac:dyDescent="0.35">
      <c r="A354" s="17"/>
      <c r="B354" s="18"/>
      <c r="C354" s="13"/>
      <c r="D354" s="31"/>
      <c r="E354" s="24"/>
      <c r="F354" s="71"/>
      <c r="G354" s="72"/>
      <c r="H354" s="73"/>
      <c r="I354" s="72"/>
      <c r="J354" s="71"/>
      <c r="K354" s="72"/>
      <c r="L354" s="72"/>
      <c r="M354" s="72"/>
      <c r="N354" s="74"/>
      <c r="O354" s="71"/>
      <c r="P354" s="72"/>
      <c r="Q354" s="72"/>
      <c r="R354" s="72"/>
      <c r="S354" s="74"/>
      <c r="T354" s="75"/>
    </row>
    <row r="355" spans="1:20" x14ac:dyDescent="0.35">
      <c r="A355" s="17"/>
      <c r="B355" s="18"/>
      <c r="C355" s="13"/>
      <c r="D355" s="31"/>
      <c r="E355" s="24"/>
      <c r="F355" s="71"/>
      <c r="G355" s="72"/>
      <c r="H355" s="73"/>
      <c r="I355" s="72"/>
      <c r="J355" s="71"/>
      <c r="K355" s="72"/>
      <c r="L355" s="72"/>
      <c r="M355" s="72"/>
      <c r="N355" s="74"/>
      <c r="O355" s="71"/>
      <c r="P355" s="72"/>
      <c r="Q355" s="72"/>
      <c r="R355" s="72"/>
      <c r="S355" s="74"/>
      <c r="T355" s="75"/>
    </row>
    <row r="356" spans="1:20" x14ac:dyDescent="0.35">
      <c r="A356" s="17"/>
      <c r="B356" s="18"/>
      <c r="C356" s="13"/>
      <c r="D356" s="31"/>
      <c r="E356" s="24"/>
      <c r="F356" s="71"/>
      <c r="G356" s="72"/>
      <c r="H356" s="73"/>
      <c r="I356" s="72"/>
      <c r="J356" s="71"/>
      <c r="K356" s="72"/>
      <c r="L356" s="72"/>
      <c r="M356" s="72"/>
      <c r="N356" s="74"/>
      <c r="O356" s="71"/>
      <c r="P356" s="72"/>
      <c r="Q356" s="72"/>
      <c r="R356" s="72"/>
      <c r="S356" s="74"/>
      <c r="T356" s="75"/>
    </row>
    <row r="357" spans="1:20" x14ac:dyDescent="0.35">
      <c r="A357" s="17"/>
      <c r="B357" s="18"/>
      <c r="C357" s="13"/>
      <c r="D357" s="31"/>
      <c r="E357" s="24"/>
      <c r="F357" s="71"/>
      <c r="G357" s="72"/>
      <c r="H357" s="73"/>
      <c r="I357" s="72"/>
      <c r="J357" s="71"/>
      <c r="K357" s="72"/>
      <c r="L357" s="72"/>
      <c r="M357" s="72"/>
      <c r="N357" s="74"/>
      <c r="O357" s="71"/>
      <c r="P357" s="72"/>
      <c r="Q357" s="72"/>
      <c r="R357" s="72"/>
      <c r="S357" s="74"/>
      <c r="T357" s="75"/>
    </row>
    <row r="358" spans="1:20" x14ac:dyDescent="0.35">
      <c r="A358" s="17"/>
      <c r="B358" s="18"/>
      <c r="C358" s="13"/>
      <c r="D358" s="31"/>
      <c r="E358" s="24"/>
      <c r="F358" s="71"/>
      <c r="G358" s="72"/>
      <c r="H358" s="73"/>
      <c r="I358" s="72"/>
      <c r="J358" s="71"/>
      <c r="K358" s="72"/>
      <c r="L358" s="72"/>
      <c r="M358" s="72"/>
      <c r="N358" s="74"/>
      <c r="O358" s="71"/>
      <c r="P358" s="72"/>
      <c r="Q358" s="72"/>
      <c r="R358" s="72"/>
      <c r="S358" s="74"/>
      <c r="T358" s="75"/>
    </row>
    <row r="359" spans="1:20" x14ac:dyDescent="0.35">
      <c r="A359" s="17"/>
      <c r="B359" s="18"/>
      <c r="C359" s="13"/>
      <c r="D359" s="31"/>
      <c r="E359" s="24"/>
      <c r="F359" s="71"/>
      <c r="G359" s="72"/>
      <c r="H359" s="73"/>
      <c r="I359" s="72"/>
      <c r="J359" s="71"/>
      <c r="K359" s="72"/>
      <c r="L359" s="72"/>
      <c r="M359" s="72"/>
      <c r="N359" s="74"/>
      <c r="O359" s="71"/>
      <c r="P359" s="72"/>
      <c r="Q359" s="72"/>
      <c r="R359" s="72"/>
      <c r="S359" s="74"/>
      <c r="T359" s="75"/>
    </row>
    <row r="360" spans="1:20" x14ac:dyDescent="0.35">
      <c r="A360" s="17"/>
      <c r="B360" s="18"/>
      <c r="C360" s="13"/>
      <c r="D360" s="31"/>
      <c r="E360" s="24"/>
      <c r="F360" s="71"/>
      <c r="G360" s="72"/>
      <c r="H360" s="73"/>
      <c r="I360" s="72"/>
      <c r="J360" s="71"/>
      <c r="K360" s="72"/>
      <c r="L360" s="72"/>
      <c r="M360" s="72"/>
      <c r="N360" s="74"/>
      <c r="O360" s="71"/>
      <c r="P360" s="72"/>
      <c r="Q360" s="72"/>
      <c r="R360" s="72"/>
      <c r="S360" s="74"/>
      <c r="T360" s="75"/>
    </row>
    <row r="361" spans="1:20" x14ac:dyDescent="0.35">
      <c r="A361" s="17"/>
      <c r="B361" s="18"/>
      <c r="C361" s="13"/>
      <c r="D361" s="31"/>
      <c r="E361" s="24"/>
      <c r="F361" s="71"/>
      <c r="G361" s="72"/>
      <c r="H361" s="73"/>
      <c r="I361" s="72"/>
      <c r="J361" s="71"/>
      <c r="K361" s="72"/>
      <c r="L361" s="72"/>
      <c r="M361" s="72"/>
      <c r="N361" s="74"/>
      <c r="O361" s="71"/>
      <c r="P361" s="72"/>
      <c r="Q361" s="72"/>
      <c r="R361" s="72"/>
      <c r="S361" s="74"/>
      <c r="T361" s="75"/>
    </row>
    <row r="362" spans="1:20" x14ac:dyDescent="0.35">
      <c r="A362" s="17"/>
      <c r="B362" s="18"/>
      <c r="C362" s="13"/>
      <c r="D362" s="31"/>
      <c r="E362" s="24"/>
      <c r="F362" s="71"/>
      <c r="G362" s="72"/>
      <c r="H362" s="73"/>
      <c r="I362" s="72"/>
      <c r="J362" s="71"/>
      <c r="K362" s="72"/>
      <c r="L362" s="72"/>
      <c r="M362" s="72"/>
      <c r="N362" s="74"/>
      <c r="O362" s="71"/>
      <c r="P362" s="72"/>
      <c r="Q362" s="72"/>
      <c r="R362" s="72"/>
      <c r="S362" s="74"/>
      <c r="T362" s="75"/>
    </row>
    <row r="363" spans="1:20" x14ac:dyDescent="0.35">
      <c r="A363" s="17"/>
      <c r="B363" s="18"/>
      <c r="C363" s="13"/>
      <c r="D363" s="31"/>
      <c r="E363" s="24"/>
      <c r="F363" s="71"/>
      <c r="G363" s="72"/>
      <c r="H363" s="73"/>
      <c r="I363" s="72"/>
      <c r="J363" s="71"/>
      <c r="K363" s="72"/>
      <c r="L363" s="72"/>
      <c r="M363" s="72"/>
      <c r="N363" s="74"/>
      <c r="O363" s="71"/>
      <c r="P363" s="72"/>
      <c r="Q363" s="72"/>
      <c r="R363" s="72"/>
      <c r="S363" s="74"/>
      <c r="T363" s="75"/>
    </row>
    <row r="364" spans="1:20" x14ac:dyDescent="0.35">
      <c r="A364" s="17"/>
      <c r="B364" s="18"/>
      <c r="C364" s="13"/>
      <c r="D364" s="31"/>
      <c r="E364" s="24"/>
      <c r="F364" s="71"/>
      <c r="G364" s="72"/>
      <c r="H364" s="73"/>
      <c r="I364" s="72"/>
      <c r="J364" s="71"/>
      <c r="K364" s="72"/>
      <c r="L364" s="72"/>
      <c r="M364" s="72"/>
      <c r="N364" s="74"/>
      <c r="O364" s="71"/>
      <c r="P364" s="72"/>
      <c r="Q364" s="72"/>
      <c r="R364" s="72"/>
      <c r="S364" s="74"/>
      <c r="T364" s="75"/>
    </row>
    <row r="365" spans="1:20" x14ac:dyDescent="0.35">
      <c r="A365" s="17"/>
      <c r="B365" s="18"/>
      <c r="C365" s="13"/>
      <c r="D365" s="31"/>
      <c r="E365" s="24"/>
      <c r="F365" s="71"/>
      <c r="G365" s="72"/>
      <c r="H365" s="73"/>
      <c r="I365" s="72"/>
      <c r="J365" s="71"/>
      <c r="K365" s="72"/>
      <c r="L365" s="72"/>
      <c r="M365" s="72"/>
      <c r="N365" s="74"/>
      <c r="O365" s="71"/>
      <c r="P365" s="72"/>
      <c r="Q365" s="72"/>
      <c r="R365" s="72"/>
      <c r="S365" s="74"/>
      <c r="T365" s="75"/>
    </row>
    <row r="366" spans="1:20" x14ac:dyDescent="0.35">
      <c r="A366" s="17"/>
      <c r="B366" s="18"/>
      <c r="C366" s="13"/>
      <c r="D366" s="31"/>
      <c r="E366" s="24"/>
      <c r="F366" s="71"/>
      <c r="G366" s="72"/>
      <c r="H366" s="73"/>
      <c r="I366" s="72"/>
      <c r="J366" s="71"/>
      <c r="K366" s="72"/>
      <c r="L366" s="72"/>
      <c r="M366" s="72"/>
      <c r="N366" s="74"/>
      <c r="O366" s="71"/>
      <c r="P366" s="72"/>
      <c r="Q366" s="72"/>
      <c r="R366" s="72"/>
      <c r="S366" s="74"/>
      <c r="T366" s="75"/>
    </row>
    <row r="367" spans="1:20" x14ac:dyDescent="0.35">
      <c r="A367" s="17"/>
      <c r="B367" s="18"/>
      <c r="C367" s="13"/>
      <c r="D367" s="31"/>
      <c r="E367" s="24"/>
      <c r="F367" s="71"/>
      <c r="G367" s="72"/>
      <c r="H367" s="73"/>
      <c r="I367" s="72"/>
      <c r="J367" s="71"/>
      <c r="K367" s="72"/>
      <c r="L367" s="72"/>
      <c r="M367" s="72"/>
      <c r="N367" s="74"/>
      <c r="O367" s="71"/>
      <c r="P367" s="72"/>
      <c r="Q367" s="72"/>
      <c r="R367" s="72"/>
      <c r="S367" s="74"/>
      <c r="T367" s="75"/>
    </row>
    <row r="368" spans="1:20" x14ac:dyDescent="0.35">
      <c r="A368" s="17"/>
      <c r="B368" s="18"/>
      <c r="C368" s="13"/>
      <c r="D368" s="31"/>
      <c r="E368" s="24"/>
      <c r="F368" s="71"/>
      <c r="G368" s="72"/>
      <c r="H368" s="73"/>
      <c r="I368" s="72"/>
      <c r="J368" s="71"/>
      <c r="K368" s="72"/>
      <c r="L368" s="72"/>
      <c r="M368" s="72"/>
      <c r="N368" s="74"/>
      <c r="O368" s="71"/>
      <c r="P368" s="72"/>
      <c r="Q368" s="72"/>
      <c r="R368" s="72"/>
      <c r="S368" s="74"/>
      <c r="T368" s="75"/>
    </row>
    <row r="369" spans="1:20" x14ac:dyDescent="0.35">
      <c r="A369" s="17"/>
      <c r="B369" s="18"/>
      <c r="C369" s="13"/>
      <c r="D369" s="31"/>
      <c r="E369" s="24"/>
      <c r="F369" s="71"/>
      <c r="G369" s="72"/>
      <c r="H369" s="73"/>
      <c r="I369" s="72"/>
      <c r="J369" s="71"/>
      <c r="K369" s="72"/>
      <c r="L369" s="72"/>
      <c r="M369" s="72"/>
      <c r="N369" s="74"/>
      <c r="O369" s="71"/>
      <c r="P369" s="72"/>
      <c r="Q369" s="72"/>
      <c r="R369" s="72"/>
      <c r="S369" s="74"/>
      <c r="T369" s="75"/>
    </row>
    <row r="370" spans="1:20" x14ac:dyDescent="0.35">
      <c r="A370" s="17"/>
      <c r="B370" s="18"/>
      <c r="C370" s="13"/>
      <c r="D370" s="31"/>
      <c r="E370" s="24"/>
      <c r="F370" s="71"/>
      <c r="G370" s="72"/>
      <c r="H370" s="73"/>
      <c r="I370" s="72"/>
      <c r="J370" s="71"/>
      <c r="K370" s="72"/>
      <c r="L370" s="72"/>
      <c r="M370" s="72"/>
      <c r="N370" s="74"/>
      <c r="O370" s="71"/>
      <c r="P370" s="72"/>
      <c r="Q370" s="72"/>
      <c r="R370" s="72"/>
      <c r="S370" s="74"/>
      <c r="T370" s="75"/>
    </row>
    <row r="371" spans="1:20" x14ac:dyDescent="0.35">
      <c r="A371" s="17"/>
      <c r="B371" s="18"/>
      <c r="C371" s="13"/>
      <c r="D371" s="31"/>
      <c r="E371" s="24"/>
      <c r="F371" s="71"/>
      <c r="G371" s="72"/>
      <c r="H371" s="73"/>
      <c r="I371" s="72"/>
      <c r="J371" s="71"/>
      <c r="K371" s="72"/>
      <c r="L371" s="72"/>
      <c r="M371" s="72"/>
      <c r="N371" s="74"/>
      <c r="O371" s="71"/>
      <c r="P371" s="72"/>
      <c r="Q371" s="72"/>
      <c r="R371" s="72"/>
      <c r="S371" s="74"/>
      <c r="T371" s="75"/>
    </row>
    <row r="372" spans="1:20" x14ac:dyDescent="0.35">
      <c r="A372" s="17"/>
      <c r="B372" s="18"/>
      <c r="C372" s="13"/>
      <c r="D372" s="31"/>
      <c r="E372" s="24"/>
      <c r="F372" s="71"/>
      <c r="G372" s="72"/>
      <c r="H372" s="73"/>
      <c r="I372" s="72"/>
      <c r="J372" s="71"/>
      <c r="K372" s="72"/>
      <c r="L372" s="72"/>
      <c r="M372" s="72"/>
      <c r="N372" s="74"/>
      <c r="O372" s="71"/>
      <c r="P372" s="72"/>
      <c r="Q372" s="72"/>
      <c r="R372" s="72"/>
      <c r="S372" s="74"/>
      <c r="T372" s="75"/>
    </row>
    <row r="373" spans="1:20" x14ac:dyDescent="0.35">
      <c r="A373" s="17"/>
      <c r="B373" s="18"/>
      <c r="C373" s="13"/>
      <c r="D373" s="31"/>
      <c r="E373" s="24"/>
      <c r="F373" s="71"/>
      <c r="G373" s="72"/>
      <c r="H373" s="73"/>
      <c r="I373" s="72"/>
      <c r="J373" s="71"/>
      <c r="K373" s="72"/>
      <c r="L373" s="72"/>
      <c r="M373" s="72"/>
      <c r="N373" s="74"/>
      <c r="O373" s="71"/>
      <c r="P373" s="72"/>
      <c r="Q373" s="72"/>
      <c r="R373" s="72"/>
      <c r="S373" s="74"/>
      <c r="T373" s="75"/>
    </row>
    <row r="374" spans="1:20" x14ac:dyDescent="0.35">
      <c r="A374" s="17"/>
      <c r="B374" s="18"/>
      <c r="C374" s="13"/>
      <c r="D374" s="31"/>
      <c r="E374" s="24"/>
      <c r="F374" s="71"/>
      <c r="G374" s="72"/>
      <c r="H374" s="73"/>
      <c r="I374" s="72"/>
      <c r="J374" s="71"/>
      <c r="K374" s="72"/>
      <c r="L374" s="72"/>
      <c r="M374" s="72"/>
      <c r="N374" s="74"/>
      <c r="O374" s="71"/>
      <c r="P374" s="72"/>
      <c r="Q374" s="72"/>
      <c r="R374" s="72"/>
      <c r="S374" s="74"/>
      <c r="T374" s="75"/>
    </row>
    <row r="375" spans="1:20" x14ac:dyDescent="0.35">
      <c r="A375" s="17"/>
      <c r="B375" s="18"/>
      <c r="C375" s="13"/>
      <c r="D375" s="31"/>
      <c r="E375" s="24"/>
      <c r="F375" s="71"/>
      <c r="G375" s="72"/>
      <c r="H375" s="73"/>
      <c r="I375" s="72"/>
      <c r="J375" s="71"/>
      <c r="K375" s="72"/>
      <c r="L375" s="72"/>
      <c r="M375" s="72"/>
      <c r="N375" s="74"/>
      <c r="O375" s="71"/>
      <c r="P375" s="72"/>
      <c r="Q375" s="72"/>
      <c r="R375" s="72"/>
      <c r="S375" s="74"/>
      <c r="T375" s="75"/>
    </row>
    <row r="376" spans="1:20" x14ac:dyDescent="0.35">
      <c r="A376" s="17"/>
      <c r="B376" s="18"/>
      <c r="C376" s="13"/>
      <c r="D376" s="31"/>
      <c r="E376" s="24"/>
      <c r="F376" s="71"/>
      <c r="G376" s="72"/>
      <c r="H376" s="73"/>
      <c r="I376" s="72"/>
      <c r="J376" s="71"/>
      <c r="K376" s="72"/>
      <c r="L376" s="72"/>
      <c r="M376" s="72"/>
      <c r="N376" s="74"/>
      <c r="O376" s="71"/>
      <c r="P376" s="72"/>
      <c r="Q376" s="72"/>
      <c r="R376" s="72"/>
      <c r="S376" s="74"/>
      <c r="T376" s="75"/>
    </row>
    <row r="377" spans="1:20" x14ac:dyDescent="0.35">
      <c r="A377" s="17"/>
      <c r="B377" s="18"/>
      <c r="C377" s="13"/>
      <c r="D377" s="31"/>
      <c r="E377" s="24"/>
      <c r="F377" s="71"/>
      <c r="G377" s="72"/>
      <c r="H377" s="73"/>
      <c r="I377" s="72"/>
      <c r="J377" s="71"/>
      <c r="K377" s="72"/>
      <c r="L377" s="72"/>
      <c r="M377" s="72"/>
      <c r="N377" s="74"/>
      <c r="O377" s="71"/>
      <c r="P377" s="72"/>
      <c r="Q377" s="72"/>
      <c r="R377" s="72"/>
      <c r="S377" s="74"/>
      <c r="T377" s="75"/>
    </row>
    <row r="378" spans="1:20" x14ac:dyDescent="0.35">
      <c r="A378" s="17"/>
      <c r="B378" s="18"/>
      <c r="C378" s="13"/>
      <c r="D378" s="31"/>
      <c r="E378" s="24"/>
      <c r="F378" s="71"/>
      <c r="G378" s="72"/>
      <c r="H378" s="73"/>
      <c r="I378" s="72"/>
      <c r="J378" s="71"/>
      <c r="K378" s="72"/>
      <c r="L378" s="72"/>
      <c r="M378" s="72"/>
      <c r="N378" s="74"/>
      <c r="O378" s="71"/>
      <c r="P378" s="72"/>
      <c r="Q378" s="72"/>
      <c r="R378" s="72"/>
      <c r="S378" s="74"/>
      <c r="T378" s="75"/>
    </row>
    <row r="379" spans="1:20" x14ac:dyDescent="0.35">
      <c r="A379" s="17"/>
      <c r="B379" s="18"/>
      <c r="C379" s="13"/>
      <c r="D379" s="31"/>
      <c r="E379" s="24"/>
      <c r="F379" s="71"/>
      <c r="G379" s="72"/>
      <c r="H379" s="73"/>
      <c r="I379" s="72"/>
      <c r="J379" s="71"/>
      <c r="K379" s="72"/>
      <c r="L379" s="72"/>
      <c r="M379" s="72"/>
      <c r="N379" s="74"/>
      <c r="O379" s="71"/>
      <c r="P379" s="72"/>
      <c r="Q379" s="72"/>
      <c r="R379" s="72"/>
      <c r="S379" s="74"/>
      <c r="T379" s="75"/>
    </row>
    <row r="380" spans="1:20" x14ac:dyDescent="0.35">
      <c r="A380" s="17"/>
      <c r="B380" s="18"/>
      <c r="C380" s="13"/>
      <c r="D380" s="31"/>
      <c r="E380" s="24"/>
      <c r="F380" s="71"/>
      <c r="G380" s="72"/>
      <c r="H380" s="73"/>
      <c r="I380" s="72"/>
      <c r="J380" s="71"/>
      <c r="K380" s="72"/>
      <c r="L380" s="72"/>
      <c r="M380" s="72"/>
      <c r="N380" s="74"/>
      <c r="O380" s="71"/>
      <c r="P380" s="72"/>
      <c r="Q380" s="72"/>
      <c r="R380" s="72"/>
      <c r="S380" s="74"/>
      <c r="T380" s="75"/>
    </row>
    <row r="381" spans="1:20" x14ac:dyDescent="0.35">
      <c r="A381" s="17"/>
      <c r="B381" s="18"/>
      <c r="C381" s="13"/>
      <c r="D381" s="31"/>
      <c r="E381" s="24"/>
      <c r="F381" s="71"/>
      <c r="G381" s="72"/>
      <c r="H381" s="73"/>
      <c r="I381" s="72"/>
      <c r="J381" s="71"/>
      <c r="K381" s="72"/>
      <c r="L381" s="72"/>
      <c r="M381" s="72"/>
      <c r="N381" s="74"/>
      <c r="O381" s="71"/>
      <c r="P381" s="72"/>
      <c r="Q381" s="72"/>
      <c r="R381" s="72"/>
      <c r="S381" s="74"/>
      <c r="T381" s="75"/>
    </row>
    <row r="382" spans="1:20" x14ac:dyDescent="0.35">
      <c r="A382" s="17"/>
      <c r="B382" s="18"/>
      <c r="C382" s="13"/>
      <c r="D382" s="31"/>
      <c r="E382" s="24"/>
      <c r="F382" s="71"/>
      <c r="G382" s="72"/>
      <c r="H382" s="73"/>
      <c r="I382" s="72"/>
      <c r="J382" s="71"/>
      <c r="K382" s="72"/>
      <c r="L382" s="72"/>
      <c r="M382" s="72"/>
      <c r="N382" s="74"/>
      <c r="O382" s="71"/>
      <c r="P382" s="72"/>
      <c r="Q382" s="72"/>
      <c r="R382" s="72"/>
      <c r="S382" s="74"/>
      <c r="T382" s="75"/>
    </row>
    <row r="383" spans="1:20" x14ac:dyDescent="0.35">
      <c r="A383" s="17"/>
      <c r="B383" s="18"/>
      <c r="C383" s="13"/>
      <c r="D383" s="31"/>
      <c r="E383" s="24"/>
      <c r="F383" s="71"/>
      <c r="G383" s="72"/>
      <c r="H383" s="73"/>
      <c r="I383" s="72"/>
      <c r="J383" s="71"/>
      <c r="K383" s="72"/>
      <c r="L383" s="72"/>
      <c r="M383" s="72"/>
      <c r="N383" s="74"/>
      <c r="O383" s="71"/>
      <c r="P383" s="72"/>
      <c r="Q383" s="72"/>
      <c r="R383" s="72"/>
      <c r="S383" s="74"/>
      <c r="T383" s="75"/>
    </row>
    <row r="384" spans="1:20" x14ac:dyDescent="0.35">
      <c r="A384" s="17"/>
      <c r="B384" s="18"/>
      <c r="C384" s="13"/>
      <c r="D384" s="31"/>
      <c r="E384" s="24"/>
      <c r="F384" s="71"/>
      <c r="G384" s="72"/>
      <c r="H384" s="73"/>
      <c r="I384" s="72"/>
      <c r="J384" s="71"/>
      <c r="K384" s="72"/>
      <c r="L384" s="72"/>
      <c r="M384" s="72"/>
      <c r="N384" s="74"/>
      <c r="O384" s="71"/>
      <c r="P384" s="72"/>
      <c r="Q384" s="72"/>
      <c r="R384" s="72"/>
      <c r="S384" s="74"/>
      <c r="T384" s="75"/>
    </row>
    <row r="385" spans="1:20" x14ac:dyDescent="0.35">
      <c r="A385" s="17"/>
      <c r="B385" s="18"/>
      <c r="C385" s="13"/>
      <c r="D385" s="31"/>
      <c r="E385" s="24"/>
      <c r="F385" s="71"/>
      <c r="G385" s="72"/>
      <c r="H385" s="73"/>
      <c r="I385" s="72"/>
      <c r="J385" s="71"/>
      <c r="K385" s="72"/>
      <c r="L385" s="72"/>
      <c r="M385" s="72"/>
      <c r="N385" s="74"/>
      <c r="O385" s="71"/>
      <c r="P385" s="72"/>
      <c r="Q385" s="72"/>
      <c r="R385" s="72"/>
      <c r="S385" s="74"/>
      <c r="T385" s="75"/>
    </row>
    <row r="386" spans="1:20" x14ac:dyDescent="0.35">
      <c r="A386" s="17"/>
      <c r="B386" s="18"/>
      <c r="C386" s="13"/>
      <c r="D386" s="31"/>
      <c r="E386" s="24"/>
      <c r="F386" s="71"/>
      <c r="G386" s="72"/>
      <c r="H386" s="73"/>
      <c r="I386" s="72"/>
      <c r="J386" s="71"/>
      <c r="K386" s="72"/>
      <c r="L386" s="72"/>
      <c r="M386" s="72"/>
      <c r="N386" s="74"/>
      <c r="O386" s="71"/>
      <c r="P386" s="72"/>
      <c r="Q386" s="72"/>
      <c r="R386" s="72"/>
      <c r="S386" s="74"/>
      <c r="T386" s="75"/>
    </row>
    <row r="387" spans="1:20" x14ac:dyDescent="0.35">
      <c r="A387" s="17"/>
      <c r="B387" s="18"/>
      <c r="C387" s="13"/>
      <c r="D387" s="31"/>
      <c r="E387" s="24"/>
      <c r="F387" s="71"/>
      <c r="G387" s="72"/>
      <c r="H387" s="73"/>
      <c r="I387" s="72"/>
      <c r="J387" s="71"/>
      <c r="K387" s="72"/>
      <c r="L387" s="72"/>
      <c r="M387" s="72"/>
      <c r="N387" s="74"/>
      <c r="O387" s="71"/>
      <c r="P387" s="72"/>
      <c r="Q387" s="72"/>
      <c r="R387" s="72"/>
      <c r="S387" s="74"/>
      <c r="T387" s="75"/>
    </row>
    <row r="388" spans="1:20" x14ac:dyDescent="0.35">
      <c r="A388" s="17"/>
      <c r="B388" s="18"/>
      <c r="C388" s="13"/>
      <c r="D388" s="31"/>
      <c r="E388" s="24"/>
      <c r="F388" s="71"/>
      <c r="G388" s="72"/>
      <c r="H388" s="73"/>
      <c r="I388" s="72"/>
      <c r="J388" s="71"/>
      <c r="K388" s="72"/>
      <c r="L388" s="72"/>
      <c r="M388" s="72"/>
      <c r="N388" s="74"/>
      <c r="O388" s="71"/>
      <c r="P388" s="72"/>
      <c r="Q388" s="72"/>
      <c r="R388" s="72"/>
      <c r="S388" s="74"/>
      <c r="T388" s="75"/>
    </row>
    <row r="389" spans="1:20" x14ac:dyDescent="0.35">
      <c r="A389" s="17"/>
      <c r="B389" s="18"/>
      <c r="C389" s="13"/>
      <c r="D389" s="31"/>
      <c r="E389" s="24"/>
      <c r="F389" s="71"/>
      <c r="G389" s="72"/>
      <c r="H389" s="73"/>
      <c r="I389" s="72"/>
      <c r="J389" s="71"/>
      <c r="K389" s="72"/>
      <c r="L389" s="72"/>
      <c r="M389" s="72"/>
      <c r="N389" s="74"/>
      <c r="O389" s="71"/>
      <c r="P389" s="72"/>
      <c r="Q389" s="72"/>
      <c r="R389" s="72"/>
      <c r="S389" s="74"/>
      <c r="T389" s="75"/>
    </row>
    <row r="390" spans="1:20" x14ac:dyDescent="0.35">
      <c r="A390" s="17"/>
      <c r="B390" s="18"/>
      <c r="C390" s="13"/>
      <c r="D390" s="31"/>
      <c r="E390" s="24"/>
      <c r="F390" s="71"/>
      <c r="G390" s="72"/>
      <c r="H390" s="73"/>
      <c r="I390" s="72"/>
      <c r="J390" s="71"/>
      <c r="K390" s="72"/>
      <c r="L390" s="72"/>
      <c r="M390" s="72"/>
      <c r="N390" s="74"/>
      <c r="O390" s="71"/>
      <c r="P390" s="72"/>
      <c r="Q390" s="72"/>
      <c r="R390" s="72"/>
      <c r="S390" s="74"/>
      <c r="T390" s="75"/>
    </row>
    <row r="391" spans="1:20" x14ac:dyDescent="0.35">
      <c r="A391" s="17"/>
      <c r="B391" s="18"/>
      <c r="C391" s="13"/>
      <c r="D391" s="31"/>
      <c r="E391" s="24"/>
      <c r="F391" s="71"/>
      <c r="G391" s="72"/>
      <c r="H391" s="73"/>
      <c r="I391" s="72"/>
      <c r="J391" s="71"/>
      <c r="K391" s="72"/>
      <c r="L391" s="72"/>
      <c r="M391" s="72"/>
      <c r="N391" s="74"/>
      <c r="O391" s="71"/>
      <c r="P391" s="72"/>
      <c r="Q391" s="72"/>
      <c r="R391" s="72"/>
      <c r="S391" s="74"/>
      <c r="T391" s="75"/>
    </row>
    <row r="392" spans="1:20" x14ac:dyDescent="0.35">
      <c r="A392" s="17"/>
      <c r="B392" s="18"/>
      <c r="C392" s="13"/>
      <c r="D392" s="31"/>
      <c r="E392" s="24"/>
      <c r="F392" s="71"/>
      <c r="G392" s="72"/>
      <c r="H392" s="73"/>
      <c r="I392" s="72"/>
      <c r="J392" s="71"/>
      <c r="K392" s="72"/>
      <c r="L392" s="72"/>
      <c r="M392" s="72"/>
      <c r="N392" s="74"/>
      <c r="O392" s="71"/>
      <c r="P392" s="72"/>
      <c r="Q392" s="72"/>
      <c r="R392" s="72"/>
      <c r="S392" s="74"/>
      <c r="T392" s="75"/>
    </row>
    <row r="393" spans="1:20" x14ac:dyDescent="0.35">
      <c r="A393" s="17"/>
      <c r="B393" s="18"/>
      <c r="C393" s="13"/>
      <c r="D393" s="31"/>
      <c r="E393" s="24"/>
      <c r="F393" s="71"/>
      <c r="G393" s="72"/>
      <c r="H393" s="73"/>
      <c r="I393" s="72"/>
      <c r="J393" s="71"/>
      <c r="K393" s="72"/>
      <c r="L393" s="72"/>
      <c r="M393" s="72"/>
      <c r="N393" s="74"/>
      <c r="O393" s="71"/>
      <c r="P393" s="72"/>
      <c r="Q393" s="72"/>
      <c r="R393" s="72"/>
      <c r="S393" s="74"/>
      <c r="T393" s="75"/>
    </row>
    <row r="394" spans="1:20" x14ac:dyDescent="0.35">
      <c r="A394" s="17"/>
      <c r="B394" s="18"/>
      <c r="C394" s="13"/>
      <c r="D394" s="31"/>
      <c r="E394" s="24"/>
      <c r="F394" s="71"/>
      <c r="G394" s="72"/>
      <c r="H394" s="73"/>
      <c r="I394" s="72"/>
      <c r="J394" s="71"/>
      <c r="K394" s="72"/>
      <c r="L394" s="72"/>
      <c r="M394" s="72"/>
      <c r="N394" s="74"/>
      <c r="O394" s="71"/>
      <c r="P394" s="72"/>
      <c r="Q394" s="72"/>
      <c r="R394" s="72"/>
      <c r="S394" s="74"/>
      <c r="T394" s="75"/>
    </row>
    <row r="395" spans="1:20" x14ac:dyDescent="0.35">
      <c r="A395" s="17"/>
      <c r="B395" s="18"/>
      <c r="C395" s="13"/>
      <c r="D395" s="31"/>
      <c r="E395" s="24"/>
      <c r="F395" s="71"/>
      <c r="G395" s="72"/>
      <c r="H395" s="73"/>
      <c r="I395" s="72"/>
      <c r="J395" s="71"/>
      <c r="K395" s="72"/>
      <c r="L395" s="72"/>
      <c r="M395" s="72"/>
      <c r="N395" s="74"/>
      <c r="O395" s="71"/>
      <c r="P395" s="72"/>
      <c r="Q395" s="72"/>
      <c r="R395" s="72"/>
      <c r="S395" s="74"/>
      <c r="T395" s="75"/>
    </row>
    <row r="396" spans="1:20" x14ac:dyDescent="0.35">
      <c r="A396" s="17"/>
      <c r="B396" s="18"/>
      <c r="C396" s="13"/>
      <c r="D396" s="31"/>
      <c r="E396" s="24"/>
      <c r="F396" s="71"/>
      <c r="G396" s="72"/>
      <c r="H396" s="73"/>
      <c r="I396" s="72"/>
      <c r="J396" s="71"/>
      <c r="K396" s="72"/>
      <c r="L396" s="72"/>
      <c r="M396" s="72"/>
      <c r="N396" s="74"/>
      <c r="O396" s="71"/>
      <c r="P396" s="72"/>
      <c r="Q396" s="72"/>
      <c r="R396" s="72"/>
      <c r="S396" s="74"/>
      <c r="T396" s="75"/>
    </row>
    <row r="397" spans="1:20" x14ac:dyDescent="0.35">
      <c r="A397" s="17"/>
      <c r="B397" s="18"/>
      <c r="C397" s="13"/>
      <c r="D397" s="31"/>
      <c r="E397" s="24"/>
      <c r="F397" s="71"/>
      <c r="G397" s="72"/>
      <c r="H397" s="73"/>
      <c r="I397" s="72"/>
      <c r="J397" s="71"/>
      <c r="K397" s="72"/>
      <c r="L397" s="72"/>
      <c r="M397" s="72"/>
      <c r="N397" s="74"/>
      <c r="O397" s="71"/>
      <c r="P397" s="72"/>
      <c r="Q397" s="72"/>
      <c r="R397" s="72"/>
      <c r="S397" s="74"/>
      <c r="T397" s="75"/>
    </row>
    <row r="398" spans="1:20" x14ac:dyDescent="0.35">
      <c r="A398" s="17"/>
      <c r="B398" s="18"/>
      <c r="C398" s="13"/>
      <c r="D398" s="31"/>
      <c r="E398" s="24"/>
      <c r="F398" s="71"/>
      <c r="G398" s="72"/>
      <c r="H398" s="73"/>
      <c r="I398" s="72"/>
      <c r="J398" s="71"/>
      <c r="K398" s="72"/>
      <c r="L398" s="72"/>
      <c r="M398" s="72"/>
      <c r="N398" s="74"/>
      <c r="O398" s="71"/>
      <c r="P398" s="72"/>
      <c r="Q398" s="72"/>
      <c r="R398" s="72"/>
      <c r="S398" s="74"/>
      <c r="T398" s="75"/>
    </row>
    <row r="399" spans="1:20" x14ac:dyDescent="0.35">
      <c r="A399" s="17"/>
      <c r="B399" s="18"/>
      <c r="C399" s="13"/>
      <c r="D399" s="31"/>
      <c r="E399" s="24"/>
      <c r="F399" s="71"/>
      <c r="G399" s="72"/>
      <c r="H399" s="73"/>
      <c r="I399" s="72"/>
      <c r="J399" s="71"/>
      <c r="K399" s="72"/>
      <c r="L399" s="72"/>
      <c r="M399" s="72"/>
      <c r="N399" s="74"/>
      <c r="O399" s="71"/>
      <c r="P399" s="72"/>
      <c r="Q399" s="72"/>
      <c r="R399" s="72"/>
      <c r="S399" s="74"/>
      <c r="T399" s="75"/>
    </row>
    <row r="400" spans="1:20" x14ac:dyDescent="0.35">
      <c r="A400" s="17"/>
      <c r="B400" s="18"/>
      <c r="C400" s="13"/>
      <c r="D400" s="31"/>
      <c r="E400" s="24"/>
      <c r="F400" s="71"/>
      <c r="G400" s="72"/>
      <c r="H400" s="73"/>
      <c r="I400" s="72"/>
      <c r="J400" s="71"/>
      <c r="K400" s="72"/>
      <c r="L400" s="72"/>
      <c r="M400" s="72"/>
      <c r="N400" s="74"/>
      <c r="O400" s="71"/>
      <c r="P400" s="72"/>
      <c r="Q400" s="72"/>
      <c r="R400" s="72"/>
      <c r="S400" s="74"/>
      <c r="T400" s="75"/>
    </row>
    <row r="401" spans="1:20" x14ac:dyDescent="0.35">
      <c r="A401" s="17"/>
      <c r="B401" s="18"/>
      <c r="C401" s="13"/>
      <c r="D401" s="31"/>
      <c r="E401" s="24"/>
      <c r="F401" s="71"/>
      <c r="G401" s="72"/>
      <c r="H401" s="73"/>
      <c r="I401" s="72"/>
      <c r="J401" s="71"/>
      <c r="K401" s="72"/>
      <c r="L401" s="72"/>
      <c r="M401" s="72"/>
      <c r="N401" s="74"/>
      <c r="O401" s="71"/>
      <c r="P401" s="72"/>
      <c r="Q401" s="72"/>
      <c r="R401" s="72"/>
      <c r="S401" s="74"/>
      <c r="T401" s="75"/>
    </row>
    <row r="402" spans="1:20" x14ac:dyDescent="0.35">
      <c r="A402" s="17"/>
      <c r="B402" s="18"/>
      <c r="C402" s="13"/>
      <c r="D402" s="31"/>
      <c r="E402" s="24"/>
      <c r="F402" s="71"/>
      <c r="G402" s="72"/>
      <c r="H402" s="73"/>
      <c r="I402" s="72"/>
      <c r="J402" s="71"/>
      <c r="K402" s="72"/>
      <c r="L402" s="72"/>
      <c r="M402" s="72"/>
      <c r="N402" s="74"/>
      <c r="O402" s="71"/>
      <c r="P402" s="72"/>
      <c r="Q402" s="72"/>
      <c r="R402" s="72"/>
      <c r="S402" s="74"/>
      <c r="T402" s="75"/>
    </row>
    <row r="403" spans="1:20" x14ac:dyDescent="0.35">
      <c r="A403" s="17"/>
      <c r="B403" s="18"/>
      <c r="C403" s="13"/>
      <c r="D403" s="31"/>
      <c r="E403" s="24"/>
      <c r="F403" s="71"/>
      <c r="G403" s="72"/>
      <c r="H403" s="73"/>
      <c r="I403" s="72"/>
      <c r="J403" s="71"/>
      <c r="K403" s="72"/>
      <c r="L403" s="72"/>
      <c r="M403" s="72"/>
      <c r="N403" s="74"/>
      <c r="O403" s="71"/>
      <c r="P403" s="72"/>
      <c r="Q403" s="72"/>
      <c r="R403" s="72"/>
      <c r="S403" s="74"/>
      <c r="T403" s="75"/>
    </row>
    <row r="404" spans="1:20" x14ac:dyDescent="0.35">
      <c r="A404" s="17"/>
      <c r="B404" s="18"/>
      <c r="C404" s="13"/>
      <c r="D404" s="31"/>
      <c r="E404" s="24"/>
      <c r="F404" s="71"/>
      <c r="G404" s="72"/>
      <c r="H404" s="73"/>
      <c r="I404" s="72"/>
      <c r="J404" s="71"/>
      <c r="K404" s="72"/>
      <c r="L404" s="72"/>
      <c r="M404" s="72"/>
      <c r="N404" s="74"/>
      <c r="O404" s="71"/>
      <c r="P404" s="72"/>
      <c r="Q404" s="72"/>
      <c r="R404" s="72"/>
      <c r="S404" s="74"/>
      <c r="T404" s="75"/>
    </row>
    <row r="405" spans="1:20" x14ac:dyDescent="0.35">
      <c r="A405" s="17"/>
      <c r="B405" s="18"/>
      <c r="C405" s="13"/>
      <c r="D405" s="31"/>
      <c r="E405" s="24"/>
      <c r="F405" s="71"/>
      <c r="G405" s="72"/>
      <c r="H405" s="73"/>
      <c r="I405" s="72"/>
      <c r="J405" s="71"/>
      <c r="K405" s="72"/>
      <c r="L405" s="72"/>
      <c r="M405" s="72"/>
      <c r="N405" s="74"/>
      <c r="O405" s="71"/>
      <c r="P405" s="72"/>
      <c r="Q405" s="72"/>
      <c r="R405" s="72"/>
      <c r="S405" s="74"/>
      <c r="T405" s="75"/>
    </row>
    <row r="406" spans="1:20" x14ac:dyDescent="0.35">
      <c r="A406" s="17"/>
      <c r="B406" s="18"/>
      <c r="C406" s="13"/>
      <c r="D406" s="31"/>
      <c r="E406" s="24"/>
      <c r="F406" s="71"/>
      <c r="G406" s="72"/>
      <c r="H406" s="73"/>
      <c r="I406" s="72"/>
      <c r="J406" s="71"/>
      <c r="K406" s="72"/>
      <c r="L406" s="72"/>
      <c r="M406" s="72"/>
      <c r="N406" s="74"/>
      <c r="O406" s="71"/>
      <c r="P406" s="72"/>
      <c r="Q406" s="72"/>
      <c r="R406" s="72"/>
      <c r="S406" s="74"/>
      <c r="T406" s="75"/>
    </row>
    <row r="407" spans="1:20" x14ac:dyDescent="0.35">
      <c r="A407" s="17"/>
      <c r="B407" s="18"/>
      <c r="C407" s="13"/>
      <c r="D407" s="31"/>
      <c r="E407" s="24"/>
      <c r="F407" s="71"/>
      <c r="G407" s="72"/>
      <c r="H407" s="73"/>
      <c r="I407" s="72"/>
      <c r="J407" s="71"/>
      <c r="K407" s="72"/>
      <c r="L407" s="72"/>
      <c r="M407" s="72"/>
      <c r="N407" s="74"/>
      <c r="O407" s="71"/>
      <c r="P407" s="72"/>
      <c r="Q407" s="72"/>
      <c r="R407" s="72"/>
      <c r="S407" s="74"/>
      <c r="T407" s="75"/>
    </row>
    <row r="408" spans="1:20" x14ac:dyDescent="0.35">
      <c r="A408" s="17"/>
      <c r="B408" s="18"/>
      <c r="C408" s="13"/>
      <c r="D408" s="31"/>
      <c r="E408" s="24"/>
      <c r="F408" s="71"/>
      <c r="G408" s="72"/>
      <c r="H408" s="73"/>
      <c r="I408" s="72"/>
      <c r="J408" s="71"/>
      <c r="K408" s="72"/>
      <c r="L408" s="72"/>
      <c r="M408" s="72"/>
      <c r="N408" s="74"/>
      <c r="O408" s="71"/>
      <c r="P408" s="72"/>
      <c r="Q408" s="72"/>
      <c r="R408" s="72"/>
      <c r="S408" s="74"/>
      <c r="T408" s="75"/>
    </row>
    <row r="409" spans="1:20" x14ac:dyDescent="0.35">
      <c r="A409" s="17"/>
      <c r="B409" s="18"/>
      <c r="C409" s="13"/>
      <c r="D409" s="31"/>
      <c r="E409" s="24"/>
      <c r="F409" s="71"/>
      <c r="G409" s="72"/>
      <c r="H409" s="73"/>
      <c r="I409" s="72"/>
      <c r="J409" s="71"/>
      <c r="K409" s="72"/>
      <c r="L409" s="72"/>
      <c r="M409" s="72"/>
      <c r="N409" s="74"/>
      <c r="O409" s="71"/>
      <c r="P409" s="72"/>
      <c r="Q409" s="72"/>
      <c r="R409" s="72"/>
      <c r="S409" s="74"/>
      <c r="T409" s="75"/>
    </row>
    <row r="410" spans="1:20" x14ac:dyDescent="0.35">
      <c r="A410" s="17"/>
      <c r="B410" s="18"/>
      <c r="C410" s="13"/>
      <c r="D410" s="31"/>
      <c r="E410" s="24"/>
      <c r="F410" s="71"/>
      <c r="G410" s="72"/>
      <c r="H410" s="73"/>
      <c r="I410" s="72"/>
      <c r="J410" s="71"/>
      <c r="K410" s="72"/>
      <c r="L410" s="72"/>
      <c r="M410" s="72"/>
      <c r="N410" s="74"/>
      <c r="O410" s="71"/>
      <c r="P410" s="72"/>
      <c r="Q410" s="72"/>
      <c r="R410" s="72"/>
      <c r="S410" s="74"/>
      <c r="T410" s="75"/>
    </row>
    <row r="411" spans="1:20" x14ac:dyDescent="0.35">
      <c r="A411" s="17"/>
      <c r="B411" s="18"/>
      <c r="C411" s="13"/>
      <c r="D411" s="31"/>
      <c r="E411" s="24"/>
      <c r="F411" s="71"/>
      <c r="G411" s="72"/>
      <c r="H411" s="73"/>
      <c r="I411" s="72"/>
      <c r="J411" s="71"/>
      <c r="K411" s="72"/>
      <c r="L411" s="72"/>
      <c r="M411" s="72"/>
      <c r="N411" s="74"/>
      <c r="O411" s="71"/>
      <c r="P411" s="72"/>
      <c r="Q411" s="72"/>
      <c r="R411" s="72"/>
      <c r="S411" s="74"/>
      <c r="T411" s="75"/>
    </row>
    <row r="412" spans="1:20" x14ac:dyDescent="0.35">
      <c r="A412" s="17"/>
      <c r="B412" s="18"/>
      <c r="C412" s="13"/>
      <c r="D412" s="31"/>
      <c r="E412" s="24"/>
      <c r="F412" s="71"/>
      <c r="G412" s="72"/>
      <c r="H412" s="73"/>
      <c r="I412" s="72"/>
      <c r="J412" s="71"/>
      <c r="K412" s="72"/>
      <c r="L412" s="72"/>
      <c r="M412" s="72"/>
      <c r="N412" s="74"/>
      <c r="O412" s="71"/>
      <c r="P412" s="72"/>
      <c r="Q412" s="72"/>
      <c r="R412" s="72"/>
      <c r="S412" s="74"/>
      <c r="T412" s="75"/>
    </row>
    <row r="413" spans="1:20" x14ac:dyDescent="0.35">
      <c r="A413" s="17"/>
      <c r="B413" s="18"/>
      <c r="C413" s="13"/>
      <c r="D413" s="31"/>
      <c r="E413" s="24"/>
      <c r="F413" s="71"/>
      <c r="G413" s="72"/>
      <c r="H413" s="73"/>
      <c r="I413" s="72"/>
      <c r="J413" s="71"/>
      <c r="K413" s="72"/>
      <c r="L413" s="72"/>
      <c r="M413" s="72"/>
      <c r="N413" s="74"/>
      <c r="O413" s="71"/>
      <c r="P413" s="72"/>
      <c r="Q413" s="72"/>
      <c r="R413" s="72"/>
      <c r="S413" s="74"/>
      <c r="T413" s="75"/>
    </row>
    <row r="414" spans="1:20" x14ac:dyDescent="0.35">
      <c r="A414" s="17"/>
      <c r="B414" s="18"/>
      <c r="C414" s="13"/>
      <c r="D414" s="31"/>
      <c r="E414" s="24"/>
      <c r="F414" s="71"/>
      <c r="G414" s="72"/>
      <c r="H414" s="73"/>
      <c r="I414" s="72"/>
      <c r="J414" s="71"/>
      <c r="K414" s="72"/>
      <c r="L414" s="72"/>
      <c r="M414" s="72"/>
      <c r="N414" s="74"/>
      <c r="O414" s="71"/>
      <c r="P414" s="72"/>
      <c r="Q414" s="72"/>
      <c r="R414" s="72"/>
      <c r="S414" s="74"/>
      <c r="T414" s="75"/>
    </row>
    <row r="415" spans="1:20" x14ac:dyDescent="0.35">
      <c r="A415" s="17"/>
      <c r="B415" s="18"/>
      <c r="C415" s="13"/>
      <c r="D415" s="31"/>
      <c r="E415" s="24"/>
      <c r="F415" s="71"/>
      <c r="G415" s="72"/>
      <c r="H415" s="73"/>
      <c r="I415" s="72"/>
      <c r="J415" s="71"/>
      <c r="K415" s="72"/>
      <c r="L415" s="72"/>
      <c r="M415" s="72"/>
      <c r="N415" s="74"/>
      <c r="O415" s="71"/>
      <c r="P415" s="72"/>
      <c r="Q415" s="72"/>
      <c r="R415" s="72"/>
      <c r="S415" s="74"/>
      <c r="T415" s="75"/>
    </row>
    <row r="416" spans="1:20" x14ac:dyDescent="0.35">
      <c r="A416" s="17"/>
      <c r="B416" s="18"/>
      <c r="C416" s="13"/>
      <c r="D416" s="31"/>
      <c r="E416" s="24"/>
      <c r="F416" s="71"/>
      <c r="G416" s="72"/>
      <c r="H416" s="73"/>
      <c r="I416" s="72"/>
      <c r="J416" s="71"/>
      <c r="K416" s="72"/>
      <c r="L416" s="72"/>
      <c r="M416" s="72"/>
      <c r="N416" s="74"/>
      <c r="O416" s="71"/>
      <c r="P416" s="72"/>
      <c r="Q416" s="72"/>
      <c r="R416" s="72"/>
      <c r="S416" s="74"/>
      <c r="T416" s="75"/>
    </row>
    <row r="417" spans="1:20" x14ac:dyDescent="0.35">
      <c r="A417" s="17"/>
      <c r="B417" s="18"/>
      <c r="C417" s="13"/>
      <c r="D417" s="31"/>
      <c r="E417" s="24"/>
      <c r="F417" s="71"/>
      <c r="G417" s="72"/>
      <c r="H417" s="73"/>
      <c r="I417" s="72"/>
      <c r="J417" s="71"/>
      <c r="K417" s="72"/>
      <c r="L417" s="72"/>
      <c r="M417" s="72"/>
      <c r="N417" s="74"/>
      <c r="O417" s="71"/>
      <c r="P417" s="72"/>
      <c r="Q417" s="72"/>
      <c r="R417" s="72"/>
      <c r="S417" s="74"/>
      <c r="T417" s="75"/>
    </row>
    <row r="418" spans="1:20" x14ac:dyDescent="0.35">
      <c r="A418" s="17"/>
      <c r="B418" s="18"/>
      <c r="C418" s="13"/>
      <c r="D418" s="31"/>
      <c r="E418" s="24"/>
      <c r="F418" s="71"/>
      <c r="G418" s="72"/>
      <c r="H418" s="73"/>
      <c r="I418" s="72"/>
      <c r="J418" s="71"/>
      <c r="K418" s="72"/>
      <c r="L418" s="72"/>
      <c r="M418" s="72"/>
      <c r="N418" s="74"/>
      <c r="O418" s="71"/>
      <c r="P418" s="72"/>
      <c r="Q418" s="72"/>
      <c r="R418" s="72"/>
      <c r="S418" s="74"/>
      <c r="T418" s="75"/>
    </row>
    <row r="419" spans="1:20" x14ac:dyDescent="0.35">
      <c r="A419" s="17"/>
      <c r="B419" s="18"/>
      <c r="C419" s="13"/>
      <c r="D419" s="31"/>
      <c r="E419" s="24"/>
      <c r="F419" s="71"/>
      <c r="G419" s="72"/>
      <c r="H419" s="73"/>
      <c r="I419" s="72"/>
      <c r="J419" s="71"/>
      <c r="K419" s="72"/>
      <c r="L419" s="72"/>
      <c r="M419" s="72"/>
      <c r="N419" s="74"/>
      <c r="O419" s="71"/>
      <c r="P419" s="72"/>
      <c r="Q419" s="72"/>
      <c r="R419" s="72"/>
      <c r="S419" s="74"/>
      <c r="T419" s="75"/>
    </row>
    <row r="420" spans="1:20" x14ac:dyDescent="0.35">
      <c r="A420" s="17"/>
      <c r="B420" s="18"/>
      <c r="C420" s="13"/>
      <c r="D420" s="31"/>
      <c r="E420" s="24"/>
      <c r="F420" s="71"/>
      <c r="G420" s="72"/>
      <c r="H420" s="73"/>
      <c r="I420" s="72"/>
      <c r="J420" s="71"/>
      <c r="K420" s="72"/>
      <c r="L420" s="72"/>
      <c r="M420" s="72"/>
      <c r="N420" s="74"/>
      <c r="O420" s="71"/>
      <c r="P420" s="72"/>
      <c r="Q420" s="72"/>
      <c r="R420" s="72"/>
      <c r="S420" s="74"/>
      <c r="T420" s="75"/>
    </row>
    <row r="421" spans="1:20" x14ac:dyDescent="0.35">
      <c r="A421" s="17"/>
      <c r="B421" s="18"/>
      <c r="C421" s="13"/>
      <c r="D421" s="31"/>
      <c r="E421" s="24"/>
      <c r="F421" s="71"/>
      <c r="G421" s="72"/>
      <c r="H421" s="73"/>
      <c r="I421" s="72"/>
      <c r="J421" s="71"/>
      <c r="K421" s="72"/>
      <c r="L421" s="72"/>
      <c r="M421" s="72"/>
      <c r="N421" s="74"/>
      <c r="O421" s="71"/>
      <c r="P421" s="72"/>
      <c r="Q421" s="72"/>
      <c r="R421" s="72"/>
      <c r="S421" s="74"/>
      <c r="T421" s="75"/>
    </row>
    <row r="422" spans="1:20" x14ac:dyDescent="0.35">
      <c r="A422" s="17"/>
      <c r="B422" s="18"/>
      <c r="C422" s="13"/>
      <c r="D422" s="31"/>
      <c r="E422" s="24"/>
      <c r="F422" s="71"/>
      <c r="G422" s="72"/>
      <c r="H422" s="73"/>
      <c r="I422" s="72"/>
      <c r="J422" s="71"/>
      <c r="K422" s="72"/>
      <c r="L422" s="72"/>
      <c r="M422" s="72"/>
      <c r="N422" s="74"/>
      <c r="O422" s="71"/>
      <c r="P422" s="72"/>
      <c r="Q422" s="72"/>
      <c r="R422" s="72"/>
      <c r="S422" s="74"/>
      <c r="T422" s="75"/>
    </row>
    <row r="423" spans="1:20" x14ac:dyDescent="0.35">
      <c r="A423" s="17"/>
      <c r="B423" s="18"/>
      <c r="C423" s="13"/>
      <c r="D423" s="31"/>
      <c r="E423" s="24"/>
      <c r="F423" s="71"/>
      <c r="G423" s="72"/>
      <c r="H423" s="73"/>
      <c r="I423" s="72"/>
      <c r="J423" s="71"/>
      <c r="K423" s="72"/>
      <c r="L423" s="72"/>
      <c r="M423" s="72"/>
      <c r="N423" s="74"/>
      <c r="O423" s="71"/>
      <c r="P423" s="72"/>
      <c r="Q423" s="72"/>
      <c r="R423" s="72"/>
      <c r="S423" s="74"/>
      <c r="T423" s="75"/>
    </row>
    <row r="424" spans="1:20" x14ac:dyDescent="0.35">
      <c r="A424" s="17"/>
      <c r="B424" s="18"/>
      <c r="C424" s="13"/>
      <c r="D424" s="31"/>
      <c r="E424" s="24"/>
      <c r="F424" s="71"/>
      <c r="G424" s="72"/>
      <c r="H424" s="73"/>
      <c r="I424" s="72"/>
      <c r="J424" s="71"/>
      <c r="K424" s="72"/>
      <c r="L424" s="72"/>
      <c r="M424" s="72"/>
      <c r="N424" s="74"/>
      <c r="O424" s="71"/>
      <c r="P424" s="72"/>
      <c r="Q424" s="72"/>
      <c r="R424" s="72"/>
      <c r="S424" s="74"/>
      <c r="T424" s="75"/>
    </row>
    <row r="425" spans="1:20" x14ac:dyDescent="0.35">
      <c r="A425" s="17"/>
      <c r="B425" s="18"/>
      <c r="C425" s="13"/>
      <c r="D425" s="31"/>
      <c r="E425" s="24"/>
      <c r="F425" s="71"/>
      <c r="G425" s="72"/>
      <c r="H425" s="73"/>
      <c r="I425" s="72"/>
      <c r="J425" s="71"/>
      <c r="K425" s="72"/>
      <c r="L425" s="72"/>
      <c r="M425" s="72"/>
      <c r="N425" s="74"/>
      <c r="O425" s="71"/>
      <c r="P425" s="72"/>
      <c r="Q425" s="72"/>
      <c r="R425" s="72"/>
      <c r="S425" s="74"/>
      <c r="T425" s="75"/>
    </row>
    <row r="426" spans="1:20" x14ac:dyDescent="0.35">
      <c r="A426" s="17"/>
      <c r="B426" s="18"/>
      <c r="C426" s="13"/>
      <c r="D426" s="31"/>
      <c r="E426" s="24"/>
      <c r="F426" s="71"/>
      <c r="G426" s="72"/>
      <c r="H426" s="73"/>
      <c r="I426" s="72"/>
      <c r="J426" s="71"/>
      <c r="K426" s="72"/>
      <c r="L426" s="72"/>
      <c r="M426" s="72"/>
      <c r="N426" s="74"/>
      <c r="O426" s="71"/>
      <c r="P426" s="72"/>
      <c r="Q426" s="72"/>
      <c r="R426" s="72"/>
      <c r="S426" s="74"/>
      <c r="T426" s="75"/>
    </row>
    <row r="427" spans="1:20" x14ac:dyDescent="0.35">
      <c r="A427" s="17"/>
      <c r="B427" s="18"/>
      <c r="C427" s="13"/>
      <c r="D427" s="31"/>
      <c r="E427" s="24"/>
      <c r="F427" s="71"/>
      <c r="G427" s="72"/>
      <c r="H427" s="73"/>
      <c r="I427" s="72"/>
      <c r="J427" s="71"/>
      <c r="K427" s="72"/>
      <c r="L427" s="72"/>
      <c r="M427" s="72"/>
      <c r="N427" s="74"/>
      <c r="O427" s="71"/>
      <c r="P427" s="72"/>
      <c r="Q427" s="72"/>
      <c r="R427" s="72"/>
      <c r="S427" s="74"/>
      <c r="T427" s="75"/>
    </row>
    <row r="428" spans="1:20" x14ac:dyDescent="0.35">
      <c r="A428" s="17"/>
      <c r="B428" s="18"/>
      <c r="C428" s="13"/>
      <c r="D428" s="31"/>
      <c r="E428" s="24"/>
      <c r="F428" s="71"/>
      <c r="G428" s="72"/>
      <c r="H428" s="73"/>
      <c r="I428" s="72"/>
      <c r="J428" s="71"/>
      <c r="K428" s="72"/>
      <c r="L428" s="72"/>
      <c r="M428" s="72"/>
      <c r="N428" s="74"/>
      <c r="O428" s="71"/>
      <c r="P428" s="72"/>
      <c r="Q428" s="72"/>
      <c r="R428" s="72"/>
      <c r="S428" s="74"/>
      <c r="T428" s="75"/>
    </row>
    <row r="429" spans="1:20" x14ac:dyDescent="0.35">
      <c r="A429" s="17"/>
      <c r="B429" s="18"/>
      <c r="C429" s="13"/>
      <c r="D429" s="31"/>
      <c r="E429" s="24"/>
      <c r="F429" s="71"/>
      <c r="G429" s="72"/>
      <c r="H429" s="73"/>
      <c r="I429" s="72"/>
      <c r="J429" s="71"/>
      <c r="K429" s="72"/>
      <c r="L429" s="72"/>
      <c r="M429" s="72"/>
      <c r="N429" s="74"/>
      <c r="O429" s="71"/>
      <c r="P429" s="72"/>
      <c r="Q429" s="72"/>
      <c r="R429" s="72"/>
      <c r="S429" s="74"/>
      <c r="T429" s="75"/>
    </row>
    <row r="430" spans="1:20" x14ac:dyDescent="0.35">
      <c r="A430" s="17"/>
      <c r="B430" s="18"/>
      <c r="C430" s="13"/>
      <c r="D430" s="31"/>
      <c r="E430" s="24"/>
      <c r="F430" s="71"/>
      <c r="G430" s="72"/>
      <c r="H430" s="73"/>
      <c r="I430" s="72"/>
      <c r="J430" s="71"/>
      <c r="K430" s="72"/>
      <c r="L430" s="72"/>
      <c r="M430" s="72"/>
      <c r="N430" s="74"/>
      <c r="O430" s="71"/>
      <c r="P430" s="72"/>
      <c r="Q430" s="72"/>
      <c r="R430" s="72"/>
      <c r="S430" s="74"/>
      <c r="T430" s="75"/>
    </row>
    <row r="431" spans="1:20" x14ac:dyDescent="0.35">
      <c r="A431" s="17"/>
      <c r="B431" s="18"/>
      <c r="C431" s="13"/>
      <c r="D431" s="31"/>
      <c r="E431" s="24"/>
      <c r="F431" s="71"/>
      <c r="G431" s="72"/>
      <c r="H431" s="73"/>
      <c r="I431" s="72"/>
      <c r="J431" s="71"/>
      <c r="K431" s="72"/>
      <c r="L431" s="72"/>
      <c r="M431" s="72"/>
      <c r="N431" s="74"/>
      <c r="O431" s="71"/>
      <c r="P431" s="72"/>
      <c r="Q431" s="72"/>
      <c r="R431" s="72"/>
      <c r="S431" s="74"/>
      <c r="T431" s="75"/>
    </row>
    <row r="432" spans="1:20" x14ac:dyDescent="0.35">
      <c r="A432" s="17"/>
      <c r="B432" s="18"/>
      <c r="C432" s="13"/>
      <c r="D432" s="31"/>
      <c r="E432" s="24"/>
      <c r="F432" s="71"/>
      <c r="G432" s="72"/>
      <c r="H432" s="73"/>
      <c r="I432" s="72"/>
      <c r="J432" s="71"/>
      <c r="K432" s="72"/>
      <c r="L432" s="72"/>
      <c r="M432" s="72"/>
      <c r="N432" s="74"/>
      <c r="O432" s="71"/>
      <c r="P432" s="72"/>
      <c r="Q432" s="72"/>
      <c r="R432" s="72"/>
      <c r="S432" s="74"/>
      <c r="T432" s="75"/>
    </row>
    <row r="433" spans="1:20" x14ac:dyDescent="0.35">
      <c r="A433" s="17"/>
      <c r="B433" s="18"/>
      <c r="C433" s="13"/>
      <c r="D433" s="31"/>
      <c r="E433" s="24"/>
      <c r="F433" s="71"/>
      <c r="G433" s="72"/>
      <c r="H433" s="73"/>
      <c r="I433" s="72"/>
      <c r="J433" s="71"/>
      <c r="K433" s="72"/>
      <c r="L433" s="72"/>
      <c r="M433" s="72"/>
      <c r="N433" s="74"/>
      <c r="O433" s="71"/>
      <c r="P433" s="72"/>
      <c r="Q433" s="72"/>
      <c r="R433" s="72"/>
      <c r="S433" s="74"/>
      <c r="T433" s="75"/>
    </row>
    <row r="434" spans="1:20" x14ac:dyDescent="0.35">
      <c r="A434" s="17"/>
      <c r="B434" s="18"/>
      <c r="C434" s="13"/>
      <c r="D434" s="31"/>
      <c r="E434" s="24"/>
      <c r="F434" s="71"/>
      <c r="G434" s="72"/>
      <c r="H434" s="73"/>
      <c r="I434" s="72"/>
      <c r="J434" s="71"/>
      <c r="K434" s="72"/>
      <c r="L434" s="72"/>
      <c r="M434" s="72"/>
      <c r="N434" s="74"/>
      <c r="O434" s="71"/>
      <c r="P434" s="72"/>
      <c r="Q434" s="72"/>
      <c r="R434" s="72"/>
      <c r="S434" s="74"/>
      <c r="T434" s="75"/>
    </row>
    <row r="435" spans="1:20" x14ac:dyDescent="0.35">
      <c r="A435" s="17"/>
      <c r="B435" s="18"/>
      <c r="C435" s="13"/>
      <c r="D435" s="31"/>
      <c r="E435" s="24"/>
      <c r="F435" s="71"/>
      <c r="G435" s="72"/>
      <c r="H435" s="73"/>
      <c r="I435" s="72"/>
      <c r="J435" s="71"/>
      <c r="K435" s="72"/>
      <c r="L435" s="72"/>
      <c r="M435" s="72"/>
      <c r="N435" s="74"/>
      <c r="O435" s="71"/>
      <c r="P435" s="72"/>
      <c r="Q435" s="72"/>
      <c r="R435" s="72"/>
      <c r="S435" s="74"/>
      <c r="T435" s="75"/>
    </row>
    <row r="436" spans="1:20" x14ac:dyDescent="0.35">
      <c r="A436" s="17"/>
      <c r="B436" s="18"/>
      <c r="C436" s="13"/>
      <c r="D436" s="31"/>
      <c r="E436" s="24"/>
      <c r="F436" s="71"/>
      <c r="G436" s="72"/>
      <c r="H436" s="73"/>
      <c r="I436" s="72"/>
      <c r="J436" s="71"/>
      <c r="K436" s="72"/>
      <c r="L436" s="72"/>
      <c r="M436" s="72"/>
      <c r="N436" s="74"/>
      <c r="O436" s="71"/>
      <c r="P436" s="72"/>
      <c r="Q436" s="72"/>
      <c r="R436" s="72"/>
      <c r="S436" s="74"/>
      <c r="T436" s="75"/>
    </row>
    <row r="437" spans="1:20" x14ac:dyDescent="0.35">
      <c r="A437" s="17"/>
      <c r="B437" s="18"/>
      <c r="C437" s="13"/>
      <c r="D437" s="31"/>
      <c r="E437" s="24"/>
      <c r="F437" s="71"/>
      <c r="G437" s="72"/>
      <c r="H437" s="73"/>
      <c r="I437" s="72"/>
      <c r="J437" s="71"/>
      <c r="K437" s="72"/>
      <c r="L437" s="72"/>
      <c r="M437" s="72"/>
      <c r="N437" s="74"/>
      <c r="O437" s="71"/>
      <c r="P437" s="72"/>
      <c r="Q437" s="72"/>
      <c r="R437" s="72"/>
      <c r="S437" s="74"/>
      <c r="T437" s="75"/>
    </row>
    <row r="438" spans="1:20" x14ac:dyDescent="0.35">
      <c r="A438" s="17"/>
      <c r="B438" s="18"/>
      <c r="C438" s="13"/>
      <c r="D438" s="31"/>
      <c r="E438" s="24"/>
      <c r="F438" s="71"/>
      <c r="G438" s="72"/>
      <c r="H438" s="73"/>
      <c r="I438" s="72"/>
      <c r="J438" s="71"/>
      <c r="K438" s="72"/>
      <c r="L438" s="72"/>
      <c r="M438" s="72"/>
      <c r="N438" s="74"/>
      <c r="O438" s="71"/>
      <c r="P438" s="72"/>
      <c r="Q438" s="72"/>
      <c r="R438" s="72"/>
      <c r="S438" s="74"/>
      <c r="T438" s="75"/>
    </row>
    <row r="439" spans="1:20" x14ac:dyDescent="0.35">
      <c r="A439" s="17"/>
      <c r="B439" s="18"/>
      <c r="C439" s="13"/>
      <c r="D439" s="31"/>
      <c r="E439" s="24"/>
      <c r="F439" s="71"/>
      <c r="G439" s="72"/>
      <c r="H439" s="73"/>
      <c r="I439" s="72"/>
      <c r="J439" s="71"/>
      <c r="K439" s="72"/>
      <c r="L439" s="72"/>
      <c r="M439" s="72"/>
      <c r="N439" s="74"/>
      <c r="O439" s="71"/>
      <c r="P439" s="72"/>
      <c r="Q439" s="72"/>
      <c r="R439" s="72"/>
      <c r="S439" s="74"/>
      <c r="T439" s="75"/>
    </row>
    <row r="440" spans="1:20" x14ac:dyDescent="0.35">
      <c r="A440" s="17"/>
      <c r="B440" s="18"/>
      <c r="C440" s="13"/>
      <c r="D440" s="31"/>
      <c r="E440" s="24"/>
      <c r="F440" s="71"/>
      <c r="G440" s="72"/>
      <c r="H440" s="73"/>
      <c r="I440" s="72"/>
      <c r="J440" s="71"/>
      <c r="K440" s="72"/>
      <c r="L440" s="72"/>
      <c r="M440" s="72"/>
      <c r="N440" s="74"/>
      <c r="O440" s="71"/>
      <c r="P440" s="72"/>
      <c r="Q440" s="72"/>
      <c r="R440" s="72"/>
      <c r="S440" s="74"/>
      <c r="T440" s="75"/>
    </row>
    <row r="441" spans="1:20" x14ac:dyDescent="0.35">
      <c r="A441" s="17"/>
      <c r="B441" s="18"/>
      <c r="C441" s="13"/>
      <c r="D441" s="31"/>
      <c r="E441" s="24"/>
      <c r="F441" s="71"/>
      <c r="G441" s="72"/>
      <c r="H441" s="73"/>
      <c r="I441" s="72"/>
      <c r="J441" s="71"/>
      <c r="K441" s="72"/>
      <c r="L441" s="72"/>
      <c r="M441" s="72"/>
      <c r="N441" s="74"/>
      <c r="O441" s="71"/>
      <c r="P441" s="72"/>
      <c r="Q441" s="72"/>
      <c r="R441" s="72"/>
      <c r="S441" s="74"/>
      <c r="T441" s="75"/>
    </row>
    <row r="442" spans="1:20" x14ac:dyDescent="0.35">
      <c r="A442" s="17"/>
      <c r="B442" s="18"/>
      <c r="C442" s="13"/>
      <c r="D442" s="31"/>
      <c r="E442" s="24"/>
      <c r="F442" s="71"/>
      <c r="G442" s="72"/>
      <c r="H442" s="73"/>
      <c r="I442" s="72"/>
      <c r="J442" s="71"/>
      <c r="K442" s="72"/>
      <c r="L442" s="72"/>
      <c r="M442" s="72"/>
      <c r="N442" s="74"/>
      <c r="O442" s="71"/>
      <c r="P442" s="72"/>
      <c r="Q442" s="72"/>
      <c r="R442" s="72"/>
      <c r="S442" s="74"/>
      <c r="T442" s="75"/>
    </row>
    <row r="443" spans="1:20" x14ac:dyDescent="0.35">
      <c r="A443" s="17"/>
      <c r="B443" s="18"/>
      <c r="C443" s="13"/>
      <c r="D443" s="31"/>
      <c r="E443" s="24"/>
      <c r="F443" s="71"/>
      <c r="G443" s="72"/>
      <c r="H443" s="73"/>
      <c r="I443" s="72"/>
      <c r="J443" s="71"/>
      <c r="K443" s="72"/>
      <c r="L443" s="72"/>
      <c r="M443" s="72"/>
      <c r="N443" s="74"/>
      <c r="O443" s="71"/>
      <c r="P443" s="72"/>
      <c r="Q443" s="72"/>
      <c r="R443" s="72"/>
      <c r="S443" s="74"/>
      <c r="T443" s="75"/>
    </row>
    <row r="444" spans="1:20" x14ac:dyDescent="0.35">
      <c r="A444" s="17"/>
      <c r="B444" s="18"/>
      <c r="C444" s="13"/>
      <c r="D444" s="31"/>
      <c r="E444" s="24"/>
      <c r="F444" s="71"/>
      <c r="G444" s="72"/>
      <c r="H444" s="73"/>
      <c r="I444" s="72"/>
      <c r="J444" s="71"/>
      <c r="K444" s="72"/>
      <c r="L444" s="72"/>
      <c r="M444" s="72"/>
      <c r="N444" s="74"/>
      <c r="O444" s="71"/>
      <c r="P444" s="72"/>
      <c r="Q444" s="72"/>
      <c r="R444" s="72"/>
      <c r="S444" s="74"/>
      <c r="T444" s="75"/>
    </row>
    <row r="445" spans="1:20" x14ac:dyDescent="0.35">
      <c r="A445" s="17"/>
      <c r="B445" s="18"/>
      <c r="C445" s="13"/>
      <c r="D445" s="31"/>
      <c r="E445" s="24"/>
      <c r="F445" s="71"/>
      <c r="G445" s="72"/>
      <c r="H445" s="73"/>
      <c r="I445" s="72"/>
      <c r="J445" s="71"/>
      <c r="K445" s="72"/>
      <c r="L445" s="72"/>
      <c r="M445" s="72"/>
      <c r="N445" s="74"/>
      <c r="O445" s="71"/>
      <c r="P445" s="72"/>
      <c r="Q445" s="72"/>
      <c r="R445" s="72"/>
      <c r="S445" s="74"/>
      <c r="T445" s="75"/>
    </row>
    <row r="446" spans="1:20" x14ac:dyDescent="0.35">
      <c r="A446" s="17"/>
      <c r="B446" s="18"/>
      <c r="C446" s="13"/>
      <c r="D446" s="31"/>
      <c r="E446" s="24"/>
      <c r="F446" s="71"/>
      <c r="G446" s="72"/>
      <c r="H446" s="73"/>
      <c r="I446" s="72"/>
      <c r="J446" s="71"/>
      <c r="K446" s="72"/>
      <c r="L446" s="72"/>
      <c r="M446" s="72"/>
      <c r="N446" s="74"/>
      <c r="O446" s="71"/>
      <c r="P446" s="72"/>
      <c r="Q446" s="72"/>
      <c r="R446" s="72"/>
      <c r="S446" s="74"/>
      <c r="T446" s="75"/>
    </row>
    <row r="447" spans="1:20" x14ac:dyDescent="0.35">
      <c r="A447" s="17"/>
      <c r="B447" s="18"/>
      <c r="C447" s="13"/>
      <c r="D447" s="31"/>
      <c r="E447" s="24"/>
      <c r="F447" s="71"/>
      <c r="G447" s="72"/>
      <c r="H447" s="73"/>
      <c r="I447" s="72"/>
      <c r="J447" s="71"/>
      <c r="K447" s="72"/>
      <c r="L447" s="72"/>
      <c r="M447" s="72"/>
      <c r="N447" s="74"/>
      <c r="O447" s="71"/>
      <c r="P447" s="72"/>
      <c r="Q447" s="72"/>
      <c r="R447" s="72"/>
      <c r="S447" s="74"/>
      <c r="T447" s="75"/>
    </row>
    <row r="448" spans="1:20" x14ac:dyDescent="0.35">
      <c r="A448" s="17"/>
      <c r="B448" s="18"/>
      <c r="C448" s="13"/>
      <c r="D448" s="31"/>
      <c r="E448" s="24"/>
      <c r="F448" s="71"/>
      <c r="G448" s="72"/>
      <c r="H448" s="73"/>
      <c r="I448" s="72"/>
      <c r="J448" s="71"/>
      <c r="K448" s="72"/>
      <c r="L448" s="72"/>
      <c r="M448" s="72"/>
      <c r="N448" s="74"/>
      <c r="O448" s="71"/>
      <c r="P448" s="72"/>
      <c r="Q448" s="72"/>
      <c r="R448" s="72"/>
      <c r="S448" s="74"/>
      <c r="T448" s="75"/>
    </row>
    <row r="449" spans="1:20" x14ac:dyDescent="0.35">
      <c r="A449" s="17"/>
      <c r="B449" s="18"/>
      <c r="C449" s="13"/>
      <c r="D449" s="31"/>
      <c r="E449" s="24"/>
      <c r="F449" s="71"/>
      <c r="G449" s="72"/>
      <c r="H449" s="73"/>
      <c r="I449" s="72"/>
      <c r="J449" s="71"/>
      <c r="K449" s="72"/>
      <c r="L449" s="72"/>
      <c r="M449" s="72"/>
      <c r="N449" s="74"/>
      <c r="O449" s="71"/>
      <c r="P449" s="72"/>
      <c r="Q449" s="72"/>
      <c r="R449" s="72"/>
      <c r="S449" s="74"/>
      <c r="T449" s="75"/>
    </row>
    <row r="450" spans="1:20" x14ac:dyDescent="0.35">
      <c r="A450" s="17"/>
      <c r="B450" s="18"/>
      <c r="C450" s="13"/>
      <c r="D450" s="31"/>
      <c r="E450" s="24"/>
      <c r="F450" s="71"/>
      <c r="G450" s="72"/>
      <c r="H450" s="73"/>
      <c r="I450" s="72"/>
      <c r="J450" s="71"/>
      <c r="K450" s="72"/>
      <c r="L450" s="72"/>
      <c r="M450" s="72"/>
      <c r="N450" s="74"/>
      <c r="O450" s="71"/>
      <c r="P450" s="72"/>
      <c r="Q450" s="72"/>
      <c r="R450" s="72"/>
      <c r="S450" s="74"/>
      <c r="T450" s="75"/>
    </row>
    <row r="451" spans="1:20" x14ac:dyDescent="0.35">
      <c r="A451" s="17"/>
      <c r="B451" s="18"/>
      <c r="C451" s="13"/>
      <c r="D451" s="31"/>
      <c r="E451" s="24"/>
      <c r="F451" s="71"/>
      <c r="G451" s="72"/>
      <c r="H451" s="73"/>
      <c r="I451" s="72"/>
      <c r="J451" s="71"/>
      <c r="K451" s="72"/>
      <c r="L451" s="72"/>
      <c r="M451" s="72"/>
      <c r="N451" s="74"/>
      <c r="O451" s="71"/>
      <c r="P451" s="72"/>
      <c r="Q451" s="72"/>
      <c r="R451" s="72"/>
      <c r="S451" s="74"/>
      <c r="T451" s="75"/>
    </row>
    <row r="452" spans="1:20" x14ac:dyDescent="0.35">
      <c r="A452" s="17"/>
      <c r="B452" s="18"/>
      <c r="C452" s="13"/>
      <c r="D452" s="31"/>
      <c r="E452" s="24"/>
      <c r="F452" s="71"/>
      <c r="G452" s="72"/>
      <c r="H452" s="73"/>
      <c r="I452" s="72"/>
      <c r="J452" s="71"/>
      <c r="K452" s="72"/>
      <c r="L452" s="72"/>
      <c r="M452" s="72"/>
      <c r="N452" s="74"/>
      <c r="O452" s="71"/>
      <c r="P452" s="72"/>
      <c r="Q452" s="72"/>
      <c r="R452" s="72"/>
      <c r="S452" s="74"/>
      <c r="T452" s="75"/>
    </row>
    <row r="453" spans="1:20" x14ac:dyDescent="0.35">
      <c r="A453" s="17"/>
      <c r="B453" s="18"/>
      <c r="C453" s="13"/>
      <c r="D453" s="31"/>
      <c r="E453" s="24"/>
      <c r="F453" s="71"/>
      <c r="G453" s="72"/>
      <c r="H453" s="73"/>
      <c r="I453" s="72"/>
      <c r="J453" s="71"/>
      <c r="K453" s="72"/>
      <c r="L453" s="72"/>
      <c r="M453" s="72"/>
      <c r="N453" s="74"/>
      <c r="O453" s="71"/>
      <c r="P453" s="72"/>
      <c r="Q453" s="72"/>
      <c r="R453" s="72"/>
      <c r="S453" s="74"/>
      <c r="T453" s="75"/>
    </row>
    <row r="454" spans="1:20" x14ac:dyDescent="0.35">
      <c r="A454" s="17"/>
      <c r="B454" s="18"/>
      <c r="C454" s="13"/>
      <c r="D454" s="31"/>
      <c r="E454" s="24"/>
      <c r="F454" s="71"/>
      <c r="G454" s="72"/>
      <c r="H454" s="73"/>
      <c r="I454" s="72"/>
      <c r="J454" s="71"/>
      <c r="K454" s="72"/>
      <c r="L454" s="72"/>
      <c r="M454" s="72"/>
      <c r="N454" s="74"/>
      <c r="O454" s="71"/>
      <c r="P454" s="72"/>
      <c r="Q454" s="72"/>
      <c r="R454" s="72"/>
      <c r="S454" s="74"/>
      <c r="T454" s="75"/>
    </row>
    <row r="455" spans="1:20" x14ac:dyDescent="0.35">
      <c r="A455" s="17"/>
      <c r="B455" s="18"/>
      <c r="C455" s="13"/>
      <c r="D455" s="31"/>
      <c r="E455" s="24"/>
      <c r="F455" s="71"/>
      <c r="G455" s="72"/>
      <c r="H455" s="73"/>
      <c r="I455" s="72"/>
      <c r="J455" s="71"/>
      <c r="K455" s="72"/>
      <c r="L455" s="72"/>
      <c r="M455" s="72"/>
      <c r="N455" s="74"/>
      <c r="O455" s="71"/>
      <c r="P455" s="72"/>
      <c r="Q455" s="72"/>
      <c r="R455" s="72"/>
      <c r="S455" s="74"/>
      <c r="T455" s="75"/>
    </row>
    <row r="456" spans="1:20" x14ac:dyDescent="0.35">
      <c r="A456" s="17"/>
      <c r="B456" s="18"/>
      <c r="C456" s="13"/>
      <c r="D456" s="31"/>
      <c r="E456" s="24"/>
      <c r="F456" s="71"/>
      <c r="G456" s="72"/>
      <c r="H456" s="73"/>
      <c r="I456" s="72"/>
      <c r="J456" s="71"/>
      <c r="K456" s="72"/>
      <c r="L456" s="72"/>
      <c r="M456" s="72"/>
      <c r="N456" s="74"/>
      <c r="O456" s="71"/>
      <c r="P456" s="72"/>
      <c r="Q456" s="72"/>
      <c r="R456" s="72"/>
      <c r="S456" s="74"/>
      <c r="T456" s="75"/>
    </row>
    <row r="457" spans="1:20" x14ac:dyDescent="0.35">
      <c r="A457" s="17"/>
      <c r="B457" s="18"/>
      <c r="C457" s="13"/>
      <c r="D457" s="31"/>
      <c r="E457" s="24"/>
      <c r="F457" s="71"/>
      <c r="G457" s="72"/>
      <c r="H457" s="73"/>
      <c r="I457" s="72"/>
      <c r="J457" s="71"/>
      <c r="K457" s="72"/>
      <c r="L457" s="72"/>
      <c r="M457" s="72"/>
      <c r="N457" s="74"/>
      <c r="O457" s="71"/>
      <c r="P457" s="72"/>
      <c r="Q457" s="72"/>
      <c r="R457" s="72"/>
      <c r="S457" s="74"/>
      <c r="T457" s="75"/>
    </row>
    <row r="458" spans="1:20" x14ac:dyDescent="0.35">
      <c r="A458" s="17"/>
      <c r="B458" s="18"/>
      <c r="C458" s="13"/>
      <c r="D458" s="31"/>
      <c r="E458" s="24"/>
      <c r="F458" s="71"/>
      <c r="G458" s="72"/>
      <c r="H458" s="73"/>
      <c r="I458" s="72"/>
      <c r="J458" s="71"/>
      <c r="K458" s="72"/>
      <c r="L458" s="72"/>
      <c r="M458" s="72"/>
      <c r="N458" s="74"/>
      <c r="O458" s="71"/>
      <c r="P458" s="72"/>
      <c r="Q458" s="72"/>
      <c r="R458" s="72"/>
      <c r="S458" s="74"/>
      <c r="T458" s="75"/>
    </row>
    <row r="459" spans="1:20" x14ac:dyDescent="0.35">
      <c r="A459" s="17"/>
      <c r="B459" s="18"/>
      <c r="C459" s="13"/>
      <c r="D459" s="31"/>
      <c r="E459" s="24"/>
      <c r="F459" s="71"/>
      <c r="G459" s="72"/>
      <c r="H459" s="73"/>
      <c r="I459" s="72"/>
      <c r="J459" s="71"/>
      <c r="K459" s="72"/>
      <c r="L459" s="72"/>
      <c r="M459" s="72"/>
      <c r="N459" s="74"/>
      <c r="O459" s="71"/>
      <c r="P459" s="72"/>
      <c r="Q459" s="72"/>
      <c r="R459" s="72"/>
      <c r="S459" s="74"/>
      <c r="T459" s="75"/>
    </row>
    <row r="460" spans="1:20" x14ac:dyDescent="0.35">
      <c r="A460" s="17"/>
      <c r="B460" s="18"/>
      <c r="C460" s="13"/>
      <c r="D460" s="31"/>
      <c r="E460" s="24"/>
      <c r="F460" s="71"/>
      <c r="G460" s="72"/>
      <c r="H460" s="73"/>
      <c r="I460" s="72"/>
      <c r="J460" s="71"/>
      <c r="K460" s="72"/>
      <c r="L460" s="72"/>
      <c r="M460" s="72"/>
      <c r="N460" s="74"/>
      <c r="O460" s="71"/>
      <c r="P460" s="72"/>
      <c r="Q460" s="72"/>
      <c r="R460" s="72"/>
      <c r="S460" s="74"/>
      <c r="T460" s="75"/>
    </row>
    <row r="461" spans="1:20" x14ac:dyDescent="0.35">
      <c r="A461" s="17"/>
      <c r="B461" s="18"/>
      <c r="C461" s="13"/>
      <c r="D461" s="31"/>
      <c r="E461" s="24"/>
      <c r="F461" s="71"/>
      <c r="G461" s="72"/>
      <c r="H461" s="73"/>
      <c r="I461" s="72"/>
      <c r="J461" s="71"/>
      <c r="K461" s="72"/>
      <c r="L461" s="72"/>
      <c r="M461" s="72"/>
      <c r="N461" s="74"/>
      <c r="O461" s="71"/>
      <c r="P461" s="72"/>
      <c r="Q461" s="72"/>
      <c r="R461" s="72"/>
      <c r="S461" s="74"/>
      <c r="T461" s="75"/>
    </row>
    <row r="462" spans="1:20" x14ac:dyDescent="0.35">
      <c r="A462" s="17"/>
      <c r="B462" s="18"/>
      <c r="C462" s="13"/>
      <c r="D462" s="31"/>
      <c r="E462" s="24"/>
      <c r="F462" s="71"/>
      <c r="G462" s="72"/>
      <c r="H462" s="73"/>
      <c r="I462" s="72"/>
      <c r="J462" s="71"/>
      <c r="K462" s="72"/>
      <c r="L462" s="72"/>
      <c r="M462" s="72"/>
      <c r="N462" s="74"/>
      <c r="O462" s="71"/>
      <c r="P462" s="72"/>
      <c r="Q462" s="72"/>
      <c r="R462" s="72"/>
      <c r="S462" s="74"/>
      <c r="T462" s="75"/>
    </row>
    <row r="463" spans="1:20" x14ac:dyDescent="0.35">
      <c r="A463" s="17"/>
      <c r="B463" s="18"/>
      <c r="C463" s="13"/>
      <c r="D463" s="31"/>
      <c r="E463" s="24"/>
      <c r="F463" s="71"/>
      <c r="G463" s="72"/>
      <c r="H463" s="73"/>
      <c r="I463" s="72"/>
      <c r="J463" s="71"/>
      <c r="K463" s="72"/>
      <c r="L463" s="72"/>
      <c r="M463" s="72"/>
      <c r="N463" s="74"/>
      <c r="O463" s="71"/>
      <c r="P463" s="72"/>
      <c r="Q463" s="72"/>
      <c r="R463" s="72"/>
      <c r="S463" s="74"/>
      <c r="T463" s="75"/>
    </row>
    <row r="464" spans="1:20" x14ac:dyDescent="0.35">
      <c r="A464" s="17"/>
      <c r="B464" s="18"/>
      <c r="C464" s="13"/>
      <c r="D464" s="31"/>
      <c r="E464" s="24"/>
      <c r="F464" s="71"/>
      <c r="G464" s="72"/>
      <c r="H464" s="73"/>
      <c r="I464" s="72"/>
      <c r="J464" s="71"/>
      <c r="K464" s="72"/>
      <c r="L464" s="72"/>
      <c r="M464" s="72"/>
      <c r="N464" s="74"/>
      <c r="O464" s="71"/>
      <c r="P464" s="72"/>
      <c r="Q464" s="72"/>
      <c r="R464" s="72"/>
      <c r="S464" s="74"/>
      <c r="T464" s="75"/>
    </row>
    <row r="465" spans="1:20" x14ac:dyDescent="0.35">
      <c r="A465" s="17"/>
      <c r="B465" s="18"/>
      <c r="C465" s="13"/>
      <c r="D465" s="31"/>
      <c r="E465" s="24"/>
      <c r="F465" s="71"/>
      <c r="G465" s="72"/>
      <c r="H465" s="73"/>
      <c r="I465" s="72"/>
      <c r="J465" s="71"/>
      <c r="K465" s="72"/>
      <c r="L465" s="72"/>
      <c r="M465" s="72"/>
      <c r="N465" s="74"/>
      <c r="O465" s="71"/>
      <c r="P465" s="72"/>
      <c r="Q465" s="72"/>
      <c r="R465" s="72"/>
      <c r="S465" s="74"/>
      <c r="T465" s="75"/>
    </row>
    <row r="466" spans="1:20" x14ac:dyDescent="0.35">
      <c r="A466" s="17"/>
      <c r="B466" s="18"/>
      <c r="C466" s="13"/>
      <c r="D466" s="31"/>
      <c r="E466" s="24"/>
      <c r="F466" s="71"/>
      <c r="G466" s="72"/>
      <c r="H466" s="73"/>
      <c r="I466" s="72"/>
      <c r="J466" s="71"/>
      <c r="K466" s="72"/>
      <c r="L466" s="72"/>
      <c r="M466" s="72"/>
      <c r="N466" s="74"/>
      <c r="O466" s="71"/>
      <c r="P466" s="72"/>
      <c r="Q466" s="72"/>
      <c r="R466" s="72"/>
      <c r="S466" s="74"/>
      <c r="T466" s="75"/>
    </row>
    <row r="467" spans="1:20" x14ac:dyDescent="0.35">
      <c r="A467" s="17"/>
      <c r="B467" s="18"/>
      <c r="C467" s="13"/>
      <c r="D467" s="31"/>
      <c r="E467" s="24"/>
      <c r="F467" s="71"/>
      <c r="G467" s="72"/>
      <c r="H467" s="73"/>
      <c r="I467" s="72"/>
      <c r="J467" s="71"/>
      <c r="K467" s="72"/>
      <c r="L467" s="72"/>
      <c r="M467" s="72"/>
      <c r="N467" s="74"/>
      <c r="O467" s="71"/>
      <c r="P467" s="72"/>
      <c r="Q467" s="72"/>
      <c r="R467" s="72"/>
      <c r="S467" s="74"/>
      <c r="T467" s="75"/>
    </row>
    <row r="468" spans="1:20" x14ac:dyDescent="0.35">
      <c r="A468" s="17"/>
      <c r="B468" s="18"/>
      <c r="C468" s="13"/>
      <c r="D468" s="31"/>
      <c r="E468" s="24"/>
      <c r="F468" s="71"/>
      <c r="G468" s="72"/>
      <c r="H468" s="73"/>
      <c r="I468" s="72"/>
      <c r="J468" s="71"/>
      <c r="K468" s="72"/>
      <c r="L468" s="72"/>
      <c r="M468" s="72"/>
      <c r="N468" s="74"/>
      <c r="O468" s="71"/>
      <c r="P468" s="72"/>
      <c r="Q468" s="72"/>
      <c r="R468" s="72"/>
      <c r="S468" s="74"/>
      <c r="T468" s="75"/>
    </row>
    <row r="469" spans="1:20" x14ac:dyDescent="0.35">
      <c r="A469" s="17"/>
      <c r="B469" s="18"/>
      <c r="C469" s="13"/>
      <c r="D469" s="31"/>
      <c r="E469" s="24"/>
      <c r="F469" s="71"/>
      <c r="G469" s="72"/>
      <c r="H469" s="73"/>
      <c r="I469" s="72"/>
      <c r="J469" s="71"/>
      <c r="K469" s="72"/>
      <c r="L469" s="72"/>
      <c r="M469" s="72"/>
      <c r="N469" s="74"/>
      <c r="O469" s="71"/>
      <c r="P469" s="72"/>
      <c r="Q469" s="72"/>
      <c r="R469" s="72"/>
      <c r="S469" s="74"/>
      <c r="T469" s="75"/>
    </row>
    <row r="470" spans="1:20" x14ac:dyDescent="0.35">
      <c r="A470" s="17"/>
      <c r="B470" s="18"/>
      <c r="C470" s="13"/>
      <c r="D470" s="31"/>
      <c r="E470" s="24"/>
      <c r="F470" s="71"/>
      <c r="G470" s="72"/>
      <c r="H470" s="73"/>
      <c r="I470" s="72"/>
      <c r="J470" s="71"/>
      <c r="K470" s="72"/>
      <c r="L470" s="72"/>
      <c r="M470" s="72"/>
      <c r="N470" s="74"/>
      <c r="O470" s="71"/>
      <c r="P470" s="72"/>
      <c r="Q470" s="72"/>
      <c r="R470" s="72"/>
      <c r="S470" s="74"/>
      <c r="T470" s="75"/>
    </row>
    <row r="471" spans="1:20" x14ac:dyDescent="0.35">
      <c r="A471" s="17"/>
      <c r="B471" s="18"/>
      <c r="C471" s="13"/>
      <c r="D471" s="31"/>
      <c r="E471" s="24"/>
      <c r="F471" s="22"/>
      <c r="G471" s="23"/>
      <c r="H471" s="24"/>
      <c r="I471" s="23"/>
      <c r="J471" s="22"/>
      <c r="K471" s="23"/>
      <c r="L471" s="23"/>
      <c r="M471" s="23"/>
      <c r="N471" s="25"/>
      <c r="O471" s="22"/>
      <c r="P471" s="23"/>
      <c r="Q471" s="23"/>
      <c r="R471" s="23"/>
      <c r="S471" s="25"/>
      <c r="T471" s="26"/>
    </row>
    <row r="472" spans="1:20" x14ac:dyDescent="0.35">
      <c r="A472" s="17"/>
      <c r="B472" s="18"/>
      <c r="C472" s="13"/>
      <c r="D472" s="31"/>
      <c r="E472" s="24"/>
      <c r="F472" s="22"/>
      <c r="G472" s="23"/>
      <c r="H472" s="24"/>
      <c r="I472" s="23"/>
      <c r="J472" s="22"/>
      <c r="K472" s="23"/>
      <c r="L472" s="23"/>
      <c r="M472" s="23"/>
      <c r="N472" s="25"/>
      <c r="O472" s="22"/>
      <c r="P472" s="23"/>
      <c r="Q472" s="23"/>
      <c r="R472" s="23"/>
      <c r="S472" s="25"/>
      <c r="T472" s="26"/>
    </row>
  </sheetData>
  <sortState ref="A35:T55">
    <sortCondition ref="D35:D55"/>
  </sortState>
  <mergeCells count="13">
    <mergeCell ref="L1:M1"/>
    <mergeCell ref="L2:M2"/>
    <mergeCell ref="I3:J3"/>
    <mergeCell ref="L3:M3"/>
    <mergeCell ref="AW21:AX21"/>
    <mergeCell ref="G22:H22"/>
    <mergeCell ref="AW24:AX24"/>
    <mergeCell ref="G29:H29"/>
    <mergeCell ref="AW4:AY4"/>
    <mergeCell ref="I10:J10"/>
    <mergeCell ref="G13:I13"/>
    <mergeCell ref="J13:L13"/>
    <mergeCell ref="AW20:AY20"/>
  </mergeCells>
  <dataValidations count="5">
    <dataValidation type="list" allowBlank="1" showInputMessage="1" showErrorMessage="1" sqref="A35:A472">
      <formula1>BUFFS</formula1>
    </dataValidation>
    <dataValidation type="list" allowBlank="1" showInputMessage="1" showErrorMessage="1" sqref="W4 R4:U4 Y4:AP4 AR4">
      <formula1>$A$5:$A$37</formula1>
    </dataValidation>
    <dataValidation type="list" allowBlank="1" showInputMessage="1" showErrorMessage="1" sqref="K12 K14">
      <formula1>$AZ$20:$BD$20</formula1>
    </dataValidation>
    <dataValidation type="list" allowBlank="1" showInputMessage="1" showErrorMessage="1" sqref="D1">
      <formula1>$AX$10:$AX$18</formula1>
    </dataValidation>
    <dataValidation type="list" allowBlank="1" showInputMessage="1" showErrorMessage="1" sqref="L12 L14">
      <formula1>$A$12:$A$13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N472"/>
  <sheetViews>
    <sheetView topLeftCell="A3" workbookViewId="0">
      <selection activeCell="C7" sqref="C7"/>
    </sheetView>
  </sheetViews>
  <sheetFormatPr defaultColWidth="9.109375" defaultRowHeight="18" x14ac:dyDescent="0.35"/>
  <cols>
    <col min="1" max="1" width="25.33203125" style="3" bestFit="1" customWidth="1"/>
    <col min="2" max="2" width="11.44140625" style="161" bestFit="1" customWidth="1"/>
    <col min="3" max="3" width="15" style="161" bestFit="1" customWidth="1"/>
    <col min="4" max="4" width="18.5546875" style="161" customWidth="1"/>
    <col min="5" max="5" width="12.88671875" style="161" bestFit="1" customWidth="1"/>
    <col min="6" max="6" width="20.33203125" style="161" bestFit="1" customWidth="1"/>
    <col min="7" max="7" width="28.109375" style="161" bestFit="1" customWidth="1"/>
    <col min="8" max="8" width="11" style="161" bestFit="1" customWidth="1"/>
    <col min="9" max="9" width="15" style="161" customWidth="1"/>
    <col min="10" max="10" width="20.88671875" style="161" customWidth="1"/>
    <col min="11" max="11" width="15.5546875" style="161" customWidth="1"/>
    <col min="12" max="12" width="17.5546875" style="161" customWidth="1"/>
    <col min="13" max="13" width="13.5546875" style="161" bestFit="1" customWidth="1"/>
    <col min="14" max="14" width="12.88671875" style="161" bestFit="1" customWidth="1"/>
    <col min="15" max="15" width="20.109375" style="161" bestFit="1" customWidth="1"/>
    <col min="16" max="16" width="14.109375" style="161" bestFit="1" customWidth="1"/>
    <col min="17" max="17" width="26.88671875" style="161" customWidth="1"/>
    <col min="18" max="18" width="26.88671875" style="161" bestFit="1" customWidth="1"/>
    <col min="19" max="19" width="18.88671875" style="161" bestFit="1" customWidth="1"/>
    <col min="20" max="20" width="18" style="161" bestFit="1" customWidth="1"/>
    <col min="21" max="21" width="22.109375" style="161" bestFit="1" customWidth="1"/>
    <col min="22" max="22" width="12.5546875" style="161" customWidth="1"/>
    <col min="23" max="23" width="25.6640625" style="161" customWidth="1"/>
    <col min="24" max="24" width="22.109375" style="161" bestFit="1" customWidth="1"/>
    <col min="25" max="25" width="26.88671875" style="161" bestFit="1" customWidth="1"/>
    <col min="26" max="26" width="28.109375" style="161" bestFit="1" customWidth="1"/>
    <col min="27" max="27" width="14.44140625" style="161" bestFit="1" customWidth="1"/>
    <col min="28" max="28" width="14.33203125" style="161" bestFit="1" customWidth="1"/>
    <col min="29" max="29" width="16" style="161" bestFit="1" customWidth="1"/>
    <col min="30" max="30" width="21.44140625" style="161" bestFit="1" customWidth="1"/>
    <col min="31" max="31" width="37.44140625" style="161" customWidth="1"/>
    <col min="32" max="32" width="17.33203125" style="161" bestFit="1" customWidth="1"/>
    <col min="33" max="33" width="14.33203125" style="161" bestFit="1" customWidth="1"/>
    <col min="34" max="34" width="19.109375" style="161" bestFit="1" customWidth="1"/>
    <col min="35" max="35" width="16.33203125" style="161" bestFit="1" customWidth="1"/>
    <col min="36" max="36" width="14.33203125" style="161" bestFit="1" customWidth="1"/>
    <col min="37" max="37" width="13.5546875" style="161" bestFit="1" customWidth="1"/>
    <col min="38" max="38" width="12" style="161" bestFit="1" customWidth="1"/>
    <col min="39" max="40" width="13.5546875" style="161" bestFit="1" customWidth="1"/>
    <col min="41" max="41" width="18.6640625" style="161" customWidth="1"/>
    <col min="42" max="42" width="9.33203125" style="161" bestFit="1" customWidth="1"/>
    <col min="43" max="43" width="14.5546875" style="161" bestFit="1" customWidth="1"/>
    <col min="44" max="44" width="23" style="161" bestFit="1" customWidth="1"/>
    <col min="45" max="51" width="9.109375" style="161"/>
    <col min="52" max="52" width="14.109375" style="161" bestFit="1" customWidth="1"/>
    <col min="53" max="53" width="15.6640625" style="161" bestFit="1" customWidth="1"/>
    <col min="54" max="54" width="15.33203125" style="161" bestFit="1" customWidth="1"/>
    <col min="55" max="55" width="26" style="161" bestFit="1" customWidth="1"/>
    <col min="56" max="56" width="16.109375" style="161" bestFit="1" customWidth="1"/>
    <col min="57" max="16384" width="9.109375" style="161"/>
  </cols>
  <sheetData>
    <row r="1" spans="1:66" ht="23.4" x14ac:dyDescent="0.45">
      <c r="A1" s="3" t="s">
        <v>39</v>
      </c>
      <c r="B1" s="157" t="s">
        <v>215</v>
      </c>
      <c r="C1" s="161" t="s">
        <v>88</v>
      </c>
      <c r="D1" s="86" t="s">
        <v>128</v>
      </c>
      <c r="H1" s="164" t="s">
        <v>150</v>
      </c>
      <c r="L1" s="207"/>
      <c r="M1" s="207"/>
    </row>
    <row r="2" spans="1:66" x14ac:dyDescent="0.35">
      <c r="L2" s="207"/>
      <c r="M2" s="207"/>
      <c r="AW2" s="50"/>
      <c r="AX2" s="51"/>
      <c r="AY2" s="51"/>
      <c r="AZ2" s="51"/>
      <c r="BA2" s="51"/>
      <c r="BB2" s="51"/>
      <c r="BC2" s="51"/>
      <c r="BD2" s="12"/>
      <c r="BE2" s="51"/>
      <c r="BF2" s="161" t="s">
        <v>111</v>
      </c>
      <c r="BG2" s="12"/>
      <c r="BH2" s="51"/>
      <c r="BI2" s="51"/>
      <c r="BJ2" s="51"/>
      <c r="BK2" s="51"/>
      <c r="BL2" s="51"/>
      <c r="BM2" s="51"/>
      <c r="BN2" s="52"/>
    </row>
    <row r="3" spans="1:66" x14ac:dyDescent="0.35">
      <c r="A3" s="3" t="s">
        <v>120</v>
      </c>
      <c r="B3" s="161">
        <v>106910</v>
      </c>
      <c r="I3" s="207"/>
      <c r="J3" s="207"/>
      <c r="L3" s="207"/>
      <c r="M3" s="207"/>
      <c r="AW3" s="11" t="s">
        <v>81</v>
      </c>
      <c r="AX3" s="12"/>
      <c r="AY3" s="12"/>
      <c r="AZ3" s="12"/>
      <c r="BA3" s="12"/>
      <c r="BB3" s="12"/>
      <c r="BC3" s="12"/>
      <c r="BD3" s="12"/>
      <c r="BE3" s="12"/>
      <c r="BF3" s="161" t="s">
        <v>26</v>
      </c>
      <c r="BG3" s="12">
        <f>$B$28*(-5)</f>
        <v>0</v>
      </c>
      <c r="BH3" s="12"/>
      <c r="BI3" s="12"/>
      <c r="BJ3" s="12"/>
      <c r="BK3" s="12"/>
      <c r="BL3" s="12"/>
      <c r="BM3" s="12"/>
      <c r="BN3" s="13"/>
    </row>
    <row r="4" spans="1:66" x14ac:dyDescent="0.35">
      <c r="A4" s="3" t="s">
        <v>148</v>
      </c>
      <c r="B4" s="161">
        <v>15</v>
      </c>
      <c r="R4" s="95" t="s">
        <v>1</v>
      </c>
      <c r="S4" s="95" t="s">
        <v>2</v>
      </c>
      <c r="T4" s="95" t="s">
        <v>3</v>
      </c>
      <c r="U4" s="95" t="s">
        <v>5</v>
      </c>
      <c r="V4" s="95" t="s">
        <v>89</v>
      </c>
      <c r="W4" s="95" t="s">
        <v>6</v>
      </c>
      <c r="X4" s="95" t="s">
        <v>57</v>
      </c>
      <c r="Y4" s="95" t="s">
        <v>8</v>
      </c>
      <c r="Z4" s="95" t="s">
        <v>9</v>
      </c>
      <c r="AA4" s="95" t="s">
        <v>10</v>
      </c>
      <c r="AB4" s="95" t="s">
        <v>11</v>
      </c>
      <c r="AC4" s="95" t="s">
        <v>12</v>
      </c>
      <c r="AD4" s="95" t="s">
        <v>13</v>
      </c>
      <c r="AE4" s="95" t="s">
        <v>14</v>
      </c>
      <c r="AF4" s="95" t="s">
        <v>15</v>
      </c>
      <c r="AG4" s="95" t="s">
        <v>16</v>
      </c>
      <c r="AH4" s="95" t="s">
        <v>17</v>
      </c>
      <c r="AI4" s="95" t="s">
        <v>18</v>
      </c>
      <c r="AJ4" s="95" t="s">
        <v>19</v>
      </c>
      <c r="AK4" s="95" t="s">
        <v>20</v>
      </c>
      <c r="AL4" s="95" t="s">
        <v>21</v>
      </c>
      <c r="AM4" s="95" t="s">
        <v>22</v>
      </c>
      <c r="AN4" s="95" t="s">
        <v>23</v>
      </c>
      <c r="AO4" s="96" t="s">
        <v>24</v>
      </c>
      <c r="AP4" s="95" t="s">
        <v>25</v>
      </c>
      <c r="AQ4" s="95" t="s">
        <v>7</v>
      </c>
      <c r="AR4" s="95" t="s">
        <v>4</v>
      </c>
      <c r="AS4" s="155"/>
      <c r="AW4" s="197" t="s">
        <v>107</v>
      </c>
      <c r="AX4" s="198"/>
      <c r="AY4" s="198"/>
      <c r="AZ4" s="12">
        <v>0</v>
      </c>
      <c r="BA4" s="12" t="s">
        <v>108</v>
      </c>
      <c r="BB4" s="12"/>
      <c r="BC4" s="12"/>
      <c r="BE4" s="12"/>
      <c r="BF4" s="12" t="s">
        <v>123</v>
      </c>
      <c r="BG4" s="12">
        <f>$B$28*(-1)</f>
        <v>0</v>
      </c>
      <c r="BH4" s="12"/>
      <c r="BI4" s="12"/>
      <c r="BJ4" s="12"/>
      <c r="BK4" s="12"/>
      <c r="BL4" s="12"/>
      <c r="BM4" s="12"/>
      <c r="BN4" s="13"/>
    </row>
    <row r="5" spans="1:66" x14ac:dyDescent="0.35">
      <c r="C5" s="148" t="s">
        <v>117</v>
      </c>
      <c r="D5" s="98" t="s">
        <v>116</v>
      </c>
      <c r="F5" s="123" t="s">
        <v>118</v>
      </c>
      <c r="G5" s="124" t="s">
        <v>102</v>
      </c>
      <c r="H5" s="125" t="s">
        <v>112</v>
      </c>
      <c r="I5" s="122" t="s">
        <v>113</v>
      </c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W5" s="11"/>
      <c r="AX5" s="12"/>
      <c r="AY5" s="12"/>
      <c r="AZ5" s="12">
        <v>1</v>
      </c>
      <c r="BA5" s="12" t="s">
        <v>109</v>
      </c>
      <c r="BB5" s="12"/>
      <c r="BC5" s="12"/>
      <c r="BF5" s="43" t="s">
        <v>30</v>
      </c>
      <c r="BG5" s="12">
        <f>$B$28*(-1)</f>
        <v>0</v>
      </c>
      <c r="BH5" s="12"/>
      <c r="BI5" s="12"/>
      <c r="BJ5" s="12"/>
      <c r="BK5" s="12"/>
      <c r="BL5" s="12"/>
      <c r="BM5" s="12"/>
      <c r="BN5" s="13"/>
    </row>
    <row r="6" spans="1:66" ht="33.6" x14ac:dyDescent="0.65">
      <c r="A6" s="116" t="s">
        <v>26</v>
      </c>
      <c r="B6" s="117">
        <f>SUM(C6:D6,R6:AR6,BG3)</f>
        <v>129</v>
      </c>
      <c r="C6" s="163">
        <f>C14*1*B4</f>
        <v>45</v>
      </c>
      <c r="D6" s="163">
        <v>84</v>
      </c>
      <c r="F6" s="86"/>
      <c r="G6" s="120">
        <v>0</v>
      </c>
      <c r="H6" s="121">
        <v>0</v>
      </c>
      <c r="I6" s="126">
        <v>0</v>
      </c>
      <c r="R6" s="102">
        <v>0</v>
      </c>
      <c r="S6" s="102">
        <v>0</v>
      </c>
      <c r="T6" s="102">
        <v>0</v>
      </c>
      <c r="U6" s="102">
        <v>0</v>
      </c>
      <c r="V6" s="102">
        <v>0</v>
      </c>
      <c r="W6" s="102">
        <v>0</v>
      </c>
      <c r="X6" s="102">
        <v>0</v>
      </c>
      <c r="Y6" s="102">
        <v>0</v>
      </c>
      <c r="Z6" s="102">
        <v>0</v>
      </c>
      <c r="AA6" s="102">
        <v>0</v>
      </c>
      <c r="AB6" s="102">
        <v>0</v>
      </c>
      <c r="AC6" s="102">
        <v>0</v>
      </c>
      <c r="AD6" s="102">
        <v>0</v>
      </c>
      <c r="AE6" s="102">
        <v>0</v>
      </c>
      <c r="AF6" s="102">
        <v>0</v>
      </c>
      <c r="AG6" s="102">
        <v>0</v>
      </c>
      <c r="AH6" s="102">
        <v>0</v>
      </c>
      <c r="AI6" s="102">
        <v>0</v>
      </c>
      <c r="AJ6" s="102">
        <v>0</v>
      </c>
      <c r="AK6" s="102">
        <v>0</v>
      </c>
      <c r="AL6" s="102">
        <v>0</v>
      </c>
      <c r="AM6" s="102">
        <v>0</v>
      </c>
      <c r="AN6" s="102">
        <v>0</v>
      </c>
      <c r="AO6" s="102">
        <v>0</v>
      </c>
      <c r="AP6" s="102">
        <v>0</v>
      </c>
      <c r="AQ6" s="102">
        <v>0</v>
      </c>
      <c r="AR6" s="102">
        <v>0</v>
      </c>
      <c r="AW6" s="11"/>
      <c r="AX6" s="12"/>
      <c r="AY6" s="12"/>
      <c r="AZ6" s="12">
        <v>2</v>
      </c>
      <c r="BA6" s="12"/>
      <c r="BB6" s="12"/>
      <c r="BC6" s="12"/>
      <c r="BF6" s="43" t="s">
        <v>31</v>
      </c>
      <c r="BG6" s="12">
        <f>$B$28*(-1)</f>
        <v>0</v>
      </c>
      <c r="BH6" s="12"/>
      <c r="BI6" s="12"/>
      <c r="BJ6" s="12"/>
      <c r="BK6" s="12"/>
      <c r="BL6" s="12"/>
      <c r="BM6" s="12"/>
      <c r="BN6" s="13"/>
    </row>
    <row r="7" spans="1:66" ht="31.2" x14ac:dyDescent="0.6">
      <c r="A7" s="118" t="s">
        <v>28</v>
      </c>
      <c r="B7" s="119">
        <f>SUM(MIN(C13,G7),D7,R7:AR7,BA10,H30*6)</f>
        <v>48</v>
      </c>
      <c r="D7" s="163">
        <v>10</v>
      </c>
      <c r="F7" s="161" t="s">
        <v>119</v>
      </c>
      <c r="G7" s="163">
        <v>100</v>
      </c>
      <c r="R7" s="142">
        <v>0</v>
      </c>
      <c r="S7" s="142">
        <v>0</v>
      </c>
      <c r="T7" s="142">
        <v>5</v>
      </c>
      <c r="U7" s="142">
        <v>0</v>
      </c>
      <c r="V7" s="142">
        <v>0</v>
      </c>
      <c r="W7" s="142">
        <v>2</v>
      </c>
      <c r="X7" s="142">
        <v>0</v>
      </c>
      <c r="Y7" s="142">
        <v>4</v>
      </c>
      <c r="Z7" s="142">
        <v>4</v>
      </c>
      <c r="AA7" s="142">
        <v>0</v>
      </c>
      <c r="AB7" s="142">
        <v>0</v>
      </c>
      <c r="AC7" s="142">
        <v>0</v>
      </c>
      <c r="AD7" s="142">
        <v>6</v>
      </c>
      <c r="AE7" s="142">
        <v>5</v>
      </c>
      <c r="AF7" s="142">
        <v>0</v>
      </c>
      <c r="AG7" s="142">
        <v>0</v>
      </c>
      <c r="AH7" s="142">
        <v>0</v>
      </c>
      <c r="AI7" s="142">
        <v>0</v>
      </c>
      <c r="AJ7" s="142">
        <v>2</v>
      </c>
      <c r="AK7" s="142">
        <v>0</v>
      </c>
      <c r="AL7" s="142">
        <v>0</v>
      </c>
      <c r="AM7" s="142">
        <v>0</v>
      </c>
      <c r="AN7" s="142">
        <v>0</v>
      </c>
      <c r="AO7" s="142">
        <v>0</v>
      </c>
      <c r="AP7" s="142">
        <v>0</v>
      </c>
      <c r="AQ7" s="142">
        <v>0</v>
      </c>
      <c r="AR7" s="142">
        <v>0</v>
      </c>
      <c r="AW7" s="11"/>
      <c r="AX7" s="12"/>
      <c r="AY7" s="12"/>
      <c r="AZ7" s="12"/>
      <c r="BA7" s="12"/>
      <c r="BB7" s="12"/>
      <c r="BC7" s="12"/>
      <c r="BE7" s="12"/>
      <c r="BF7" s="43" t="s">
        <v>124</v>
      </c>
      <c r="BG7" s="12">
        <f>$B$28*(-1)</f>
        <v>0</v>
      </c>
      <c r="BH7" s="12"/>
      <c r="BI7" s="12"/>
      <c r="BJ7" s="12"/>
      <c r="BK7" s="12"/>
      <c r="BL7" s="12"/>
      <c r="BM7" s="12"/>
      <c r="BN7" s="13"/>
    </row>
    <row r="8" spans="1:66" x14ac:dyDescent="0.35">
      <c r="A8" s="3" t="s">
        <v>78</v>
      </c>
      <c r="B8" s="161">
        <f>B7-T7-Y7-Z7-AD7-AE7-AJ7</f>
        <v>22</v>
      </c>
      <c r="O8" s="161" t="s">
        <v>256</v>
      </c>
      <c r="R8" s="97">
        <v>0</v>
      </c>
      <c r="S8" s="97">
        <v>0</v>
      </c>
      <c r="T8" s="97">
        <v>0</v>
      </c>
      <c r="U8" s="97">
        <v>0</v>
      </c>
      <c r="V8" s="97">
        <v>0</v>
      </c>
      <c r="W8" s="97">
        <v>0</v>
      </c>
      <c r="X8" s="97">
        <v>0</v>
      </c>
      <c r="Y8" s="97">
        <v>0</v>
      </c>
      <c r="Z8" s="97">
        <v>0</v>
      </c>
      <c r="AA8" s="97">
        <v>0</v>
      </c>
      <c r="AB8" s="97">
        <v>0</v>
      </c>
      <c r="AC8" s="97">
        <v>0</v>
      </c>
      <c r="AD8" s="97">
        <v>0</v>
      </c>
      <c r="AE8" s="97">
        <v>0</v>
      </c>
      <c r="AF8" s="97">
        <v>0</v>
      </c>
      <c r="AG8" s="97">
        <v>0</v>
      </c>
      <c r="AH8" s="97">
        <v>0</v>
      </c>
      <c r="AI8" s="97">
        <v>0</v>
      </c>
      <c r="AJ8" s="97">
        <v>0</v>
      </c>
      <c r="AK8" s="97">
        <v>0</v>
      </c>
      <c r="AL8" s="97">
        <v>0</v>
      </c>
      <c r="AM8" s="97">
        <v>0</v>
      </c>
      <c r="AN8" s="97">
        <v>0</v>
      </c>
      <c r="AO8" s="97">
        <v>0</v>
      </c>
      <c r="AP8" s="97">
        <v>0</v>
      </c>
      <c r="AQ8" s="97">
        <v>0</v>
      </c>
      <c r="AR8" s="97">
        <v>0</v>
      </c>
      <c r="AW8" s="11"/>
      <c r="AX8" s="12"/>
      <c r="AY8" s="12"/>
      <c r="AZ8" s="12"/>
      <c r="BA8" s="12"/>
      <c r="BB8" s="12"/>
      <c r="BC8" s="12"/>
      <c r="BE8" s="12"/>
      <c r="BF8" s="12"/>
      <c r="BG8" s="12"/>
      <c r="BH8" s="12"/>
      <c r="BI8" s="12"/>
      <c r="BJ8" s="12"/>
      <c r="BK8" s="12"/>
      <c r="BL8" s="12"/>
      <c r="BM8" s="12"/>
      <c r="BN8" s="13"/>
    </row>
    <row r="9" spans="1:66" x14ac:dyDescent="0.35">
      <c r="A9" s="3" t="s">
        <v>79</v>
      </c>
      <c r="B9" s="161">
        <f>B7-C13</f>
        <v>38</v>
      </c>
      <c r="O9" s="161" t="s">
        <v>257</v>
      </c>
      <c r="R9" s="97">
        <v>0</v>
      </c>
      <c r="S9" s="97">
        <v>0</v>
      </c>
      <c r="T9" s="97">
        <v>0</v>
      </c>
      <c r="U9" s="97">
        <v>0</v>
      </c>
      <c r="V9" s="97">
        <v>0</v>
      </c>
      <c r="W9" s="97">
        <v>0</v>
      </c>
      <c r="X9" s="97">
        <v>0</v>
      </c>
      <c r="Y9" s="97">
        <v>0</v>
      </c>
      <c r="Z9" s="97">
        <v>0</v>
      </c>
      <c r="AA9" s="97">
        <v>0</v>
      </c>
      <c r="AB9" s="97">
        <v>0</v>
      </c>
      <c r="AC9" s="97">
        <v>0</v>
      </c>
      <c r="AD9" s="97">
        <v>0</v>
      </c>
      <c r="AE9" s="97">
        <v>0</v>
      </c>
      <c r="AF9" s="97">
        <v>0</v>
      </c>
      <c r="AG9" s="97">
        <v>0</v>
      </c>
      <c r="AH9" s="97">
        <v>0</v>
      </c>
      <c r="AI9" s="97">
        <v>0</v>
      </c>
      <c r="AJ9" s="97">
        <v>0</v>
      </c>
      <c r="AK9" s="97">
        <v>0</v>
      </c>
      <c r="AL9" s="97">
        <v>0</v>
      </c>
      <c r="AM9" s="97">
        <v>0</v>
      </c>
      <c r="AN9" s="97">
        <v>0</v>
      </c>
      <c r="AO9" s="97">
        <v>0</v>
      </c>
      <c r="AP9" s="97">
        <v>0</v>
      </c>
      <c r="AQ9" s="97">
        <v>0</v>
      </c>
      <c r="AR9" s="97">
        <v>0</v>
      </c>
      <c r="AX9" s="158" t="s">
        <v>137</v>
      </c>
      <c r="AY9" s="158" t="s">
        <v>138</v>
      </c>
      <c r="AZ9" s="158" t="s">
        <v>139</v>
      </c>
      <c r="BA9" s="12"/>
      <c r="BB9" s="12"/>
      <c r="BC9" s="12"/>
      <c r="BE9" s="12"/>
      <c r="BF9" s="12"/>
      <c r="BG9" s="12"/>
      <c r="BH9" s="12"/>
      <c r="BI9" s="12"/>
      <c r="BJ9" s="12"/>
      <c r="BK9" s="12"/>
      <c r="BL9" s="12"/>
      <c r="BM9" s="12"/>
      <c r="BN9" s="13"/>
    </row>
    <row r="10" spans="1:66" x14ac:dyDescent="0.35">
      <c r="A10" s="3" t="s">
        <v>40</v>
      </c>
      <c r="B10" s="161">
        <f>SUM(C13,R10:AR10,C10)</f>
        <v>10</v>
      </c>
      <c r="C10" s="86"/>
      <c r="G10" s="91" t="s">
        <v>81</v>
      </c>
      <c r="H10" s="83">
        <v>0</v>
      </c>
      <c r="I10" s="208" t="s">
        <v>107</v>
      </c>
      <c r="J10" s="209"/>
      <c r="K10" s="84">
        <v>0</v>
      </c>
      <c r="O10" s="161" t="s">
        <v>258</v>
      </c>
      <c r="R10" s="143">
        <v>0</v>
      </c>
      <c r="S10" s="143">
        <v>0</v>
      </c>
      <c r="T10" s="143">
        <v>0</v>
      </c>
      <c r="U10" s="143">
        <v>0</v>
      </c>
      <c r="V10" s="143">
        <v>0</v>
      </c>
      <c r="W10" s="143">
        <v>0</v>
      </c>
      <c r="X10" s="143">
        <v>0</v>
      </c>
      <c r="Y10" s="143">
        <v>0</v>
      </c>
      <c r="Z10" s="143">
        <v>0</v>
      </c>
      <c r="AA10" s="143">
        <v>0</v>
      </c>
      <c r="AB10" s="143">
        <v>0</v>
      </c>
      <c r="AC10" s="143">
        <v>0</v>
      </c>
      <c r="AD10" s="143">
        <v>0</v>
      </c>
      <c r="AE10" s="143">
        <v>0</v>
      </c>
      <c r="AF10" s="143">
        <v>0</v>
      </c>
      <c r="AG10" s="143">
        <v>0</v>
      </c>
      <c r="AH10" s="143">
        <v>0</v>
      </c>
      <c r="AI10" s="143">
        <v>0</v>
      </c>
      <c r="AJ10" s="143">
        <v>0</v>
      </c>
      <c r="AK10" s="143">
        <v>0</v>
      </c>
      <c r="AL10" s="143">
        <v>0</v>
      </c>
      <c r="AM10" s="143">
        <v>0</v>
      </c>
      <c r="AN10" s="143">
        <v>0</v>
      </c>
      <c r="AO10" s="143">
        <v>0</v>
      </c>
      <c r="AP10" s="143">
        <v>0</v>
      </c>
      <c r="AQ10" s="143">
        <v>0</v>
      </c>
      <c r="AR10" s="143">
        <v>0</v>
      </c>
      <c r="AX10" s="163" t="s">
        <v>136</v>
      </c>
      <c r="AY10" s="163">
        <v>8</v>
      </c>
      <c r="AZ10" s="163">
        <v>-16</v>
      </c>
      <c r="BA10" s="153">
        <f>VLOOKUP($D$1,$AX$10:$AZ$18,2,0)</f>
        <v>0</v>
      </c>
      <c r="BB10" s="153">
        <f>VLOOKUP($D$1,$AX$10:$AZ$18,3,0)</f>
        <v>0</v>
      </c>
      <c r="BH10" s="12"/>
      <c r="BI10" s="12"/>
      <c r="BJ10" s="12"/>
      <c r="BK10" s="12"/>
      <c r="BL10" s="12"/>
      <c r="BM10" s="12"/>
      <c r="BN10" s="13"/>
    </row>
    <row r="11" spans="1:66" x14ac:dyDescent="0.35">
      <c r="B11" s="98" t="s">
        <v>122</v>
      </c>
      <c r="C11" s="98" t="s">
        <v>121</v>
      </c>
      <c r="D11" s="98" t="s">
        <v>116</v>
      </c>
      <c r="G11" s="166" t="s">
        <v>82</v>
      </c>
      <c r="H11" s="45" t="s">
        <v>84</v>
      </c>
      <c r="I11" s="4" t="s">
        <v>83</v>
      </c>
      <c r="J11" s="4" t="s">
        <v>93</v>
      </c>
      <c r="K11" s="44" t="s">
        <v>95</v>
      </c>
      <c r="L11" s="44" t="s">
        <v>94</v>
      </c>
      <c r="M11" s="44" t="s">
        <v>124</v>
      </c>
      <c r="N11" s="44" t="s">
        <v>153</v>
      </c>
      <c r="O11" s="172" t="s">
        <v>259</v>
      </c>
      <c r="R11" s="133">
        <v>0</v>
      </c>
      <c r="S11" s="133">
        <v>0</v>
      </c>
      <c r="T11" s="133">
        <v>0</v>
      </c>
      <c r="U11" s="133">
        <v>0</v>
      </c>
      <c r="V11" s="133">
        <v>0</v>
      </c>
      <c r="W11" s="133">
        <v>0</v>
      </c>
      <c r="X11" s="133">
        <v>0</v>
      </c>
      <c r="Y11" s="133">
        <v>0</v>
      </c>
      <c r="Z11" s="133">
        <v>0</v>
      </c>
      <c r="AA11" s="133">
        <v>0</v>
      </c>
      <c r="AB11" s="133">
        <v>0</v>
      </c>
      <c r="AC11" s="133">
        <v>0</v>
      </c>
      <c r="AD11" s="133">
        <v>0</v>
      </c>
      <c r="AE11" s="133">
        <v>0</v>
      </c>
      <c r="AF11" s="133">
        <v>0</v>
      </c>
      <c r="AG11" s="133">
        <v>0</v>
      </c>
      <c r="AH11" s="133">
        <v>0</v>
      </c>
      <c r="AI11" s="133">
        <v>0</v>
      </c>
      <c r="AJ11" s="133">
        <v>0</v>
      </c>
      <c r="AK11" s="133">
        <v>0</v>
      </c>
      <c r="AL11" s="133">
        <v>0</v>
      </c>
      <c r="AM11" s="133">
        <v>0</v>
      </c>
      <c r="AN11" s="133">
        <v>0</v>
      </c>
      <c r="AO11" s="133">
        <v>0</v>
      </c>
      <c r="AP11" s="133">
        <v>0</v>
      </c>
      <c r="AQ11" s="133">
        <v>0</v>
      </c>
      <c r="AR11" s="133">
        <v>0</v>
      </c>
      <c r="AX11" s="163" t="s">
        <v>125</v>
      </c>
      <c r="AY11" s="163">
        <v>4</v>
      </c>
      <c r="AZ11" s="163">
        <v>-12</v>
      </c>
      <c r="BH11" s="12"/>
      <c r="BI11" s="12"/>
      <c r="BJ11" s="12"/>
      <c r="BK11" s="12"/>
      <c r="BL11" s="12"/>
      <c r="BM11" s="12"/>
      <c r="BN11" s="13"/>
    </row>
    <row r="12" spans="1:66" ht="20.399999999999999" x14ac:dyDescent="0.35">
      <c r="A12" s="105" t="s">
        <v>72</v>
      </c>
      <c r="B12" s="129">
        <f t="shared" ref="B12:B17" si="0">SUM(D12,R12:AR12)</f>
        <v>18</v>
      </c>
      <c r="C12" s="130">
        <f t="shared" ref="C12:C17" si="1">ROUNDDOWN(B12/2,0)-5</f>
        <v>4</v>
      </c>
      <c r="D12" s="131">
        <v>18</v>
      </c>
      <c r="F12" s="3" t="s">
        <v>67</v>
      </c>
      <c r="G12" s="45">
        <f>SUM($B$23:$B$24,IF(L12="Strength",$C$12,$C$13),M12,$H$10*(-1))</f>
        <v>41</v>
      </c>
      <c r="H12" s="45" t="s">
        <v>278</v>
      </c>
      <c r="I12" s="45">
        <f>SUM(N13,$B$25)</f>
        <v>26</v>
      </c>
      <c r="J12" s="45" t="s">
        <v>109</v>
      </c>
      <c r="K12" s="154" t="s">
        <v>106</v>
      </c>
      <c r="L12" s="85" t="s">
        <v>72</v>
      </c>
      <c r="M12" s="4">
        <f>SUM($H$23*2,$H$24*(-2),$H$25*(2),$J$23*2,$J$24,$J$25,$L$23*2,$H$31*(-2),$L$24)</f>
        <v>10</v>
      </c>
      <c r="N12" s="4">
        <f>SUM(IF(K12=$AZ$20,$AZ$25,IF(K12=$BA$20,$BA$25,IF(K12=$BB$20,$BB$25,IF(K12=$BC$20,$BC$25,IF(K12=$BD$20,$BD$25,0))))),IF(L12=$AZ$20,$AZ$24,IF(K12=$BA$20,$BA$24,IF(K12=$BB$20,$BB$24,IF(K12=$BC$20,$BC$24,IF(K12=$BD$20,$BD$24,0))))))</f>
        <v>4</v>
      </c>
      <c r="O12" s="43" t="s">
        <v>260</v>
      </c>
      <c r="R12" s="134">
        <v>0</v>
      </c>
      <c r="S12" s="134">
        <v>0</v>
      </c>
      <c r="T12" s="134">
        <v>0</v>
      </c>
      <c r="U12" s="134">
        <v>0</v>
      </c>
      <c r="V12" s="134">
        <v>0</v>
      </c>
      <c r="W12" s="134">
        <v>0</v>
      </c>
      <c r="X12" s="134">
        <v>0</v>
      </c>
      <c r="Y12" s="134">
        <v>0</v>
      </c>
      <c r="Z12" s="134">
        <v>0</v>
      </c>
      <c r="AA12" s="134">
        <v>0</v>
      </c>
      <c r="AB12" s="134">
        <v>0</v>
      </c>
      <c r="AC12" s="134">
        <v>0</v>
      </c>
      <c r="AD12" s="134">
        <v>0</v>
      </c>
      <c r="AE12" s="134">
        <v>0</v>
      </c>
      <c r="AF12" s="134">
        <v>0</v>
      </c>
      <c r="AG12" s="134">
        <v>0</v>
      </c>
      <c r="AH12" s="134">
        <v>0</v>
      </c>
      <c r="AI12" s="134">
        <v>0</v>
      </c>
      <c r="AJ12" s="134">
        <v>0</v>
      </c>
      <c r="AK12" s="134">
        <v>0</v>
      </c>
      <c r="AL12" s="134">
        <v>0</v>
      </c>
      <c r="AM12" s="134">
        <v>0</v>
      </c>
      <c r="AN12" s="134">
        <v>0</v>
      </c>
      <c r="AO12" s="134">
        <v>0</v>
      </c>
      <c r="AP12" s="134">
        <v>0</v>
      </c>
      <c r="AQ12" s="134">
        <v>0</v>
      </c>
      <c r="AR12" s="134">
        <v>0</v>
      </c>
      <c r="AX12" s="163" t="s">
        <v>126</v>
      </c>
      <c r="AY12" s="163">
        <v>2</v>
      </c>
      <c r="AZ12" s="163">
        <v>-8</v>
      </c>
      <c r="BH12" s="12"/>
      <c r="BI12" s="12"/>
      <c r="BJ12" s="12"/>
      <c r="BK12" s="12"/>
      <c r="BL12" s="12"/>
      <c r="BM12" s="12"/>
      <c r="BN12" s="13"/>
    </row>
    <row r="13" spans="1:66" ht="20.399999999999999" x14ac:dyDescent="0.35">
      <c r="A13" s="106" t="s">
        <v>76</v>
      </c>
      <c r="B13" s="99">
        <f t="shared" si="0"/>
        <v>30</v>
      </c>
      <c r="C13" s="99">
        <f t="shared" si="1"/>
        <v>10</v>
      </c>
      <c r="D13" s="108">
        <v>22</v>
      </c>
      <c r="G13" s="200" t="str">
        <f>CONCATENATE("kukri   ","+",G12,"    "," Dmg: ",I12,"  +",H12, "    crit :  ",J12,)</f>
        <v>kukri   +41     Dmg: 26  +1d4    crit :  x2</v>
      </c>
      <c r="H13" s="201"/>
      <c r="I13" s="202"/>
      <c r="J13" s="203"/>
      <c r="K13" s="204"/>
      <c r="L13" s="205"/>
      <c r="M13" s="4"/>
      <c r="N13" s="4">
        <f>SUM(N12,$L$24,$L$25*($B$4))</f>
        <v>23</v>
      </c>
      <c r="O13" s="43" t="s">
        <v>261</v>
      </c>
      <c r="R13" s="135">
        <v>0</v>
      </c>
      <c r="S13" s="135">
        <v>0</v>
      </c>
      <c r="T13" s="135">
        <v>0</v>
      </c>
      <c r="U13" s="135">
        <v>0</v>
      </c>
      <c r="V13" s="135">
        <v>6</v>
      </c>
      <c r="W13" s="135">
        <v>0</v>
      </c>
      <c r="X13" s="135">
        <v>0</v>
      </c>
      <c r="Y13" s="135">
        <v>0</v>
      </c>
      <c r="Z13" s="135">
        <v>0</v>
      </c>
      <c r="AA13" s="135">
        <v>2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5">
        <v>0</v>
      </c>
      <c r="AH13" s="135">
        <v>0</v>
      </c>
      <c r="AI13" s="135">
        <v>0</v>
      </c>
      <c r="AJ13" s="135">
        <v>0</v>
      </c>
      <c r="AK13" s="135">
        <v>0</v>
      </c>
      <c r="AL13" s="135">
        <v>0</v>
      </c>
      <c r="AM13" s="135">
        <v>0</v>
      </c>
      <c r="AN13" s="135">
        <v>0</v>
      </c>
      <c r="AO13" s="135">
        <v>0</v>
      </c>
      <c r="AP13" s="135">
        <v>0</v>
      </c>
      <c r="AQ13" s="135">
        <v>0</v>
      </c>
      <c r="AR13" s="135">
        <v>0</v>
      </c>
      <c r="AX13" s="163" t="s">
        <v>127</v>
      </c>
      <c r="AY13" s="163">
        <v>1</v>
      </c>
      <c r="AZ13" s="163">
        <v>-4</v>
      </c>
      <c r="BH13" s="12"/>
      <c r="BI13" s="12"/>
      <c r="BJ13" s="12"/>
      <c r="BK13" s="12"/>
      <c r="BL13" s="12"/>
      <c r="BM13" s="12"/>
      <c r="BN13" s="13"/>
    </row>
    <row r="14" spans="1:66" ht="20.399999999999999" x14ac:dyDescent="0.35">
      <c r="A14" s="127" t="s">
        <v>75</v>
      </c>
      <c r="B14" s="103">
        <f t="shared" si="0"/>
        <v>16</v>
      </c>
      <c r="C14" s="103">
        <f t="shared" si="1"/>
        <v>3</v>
      </c>
      <c r="D14" s="128">
        <v>14</v>
      </c>
      <c r="F14" s="3" t="s">
        <v>68</v>
      </c>
      <c r="G14" s="45">
        <f>SUM($B$23:$B$24,IF(L14="Strength",$C$12,$C$13),M14,$H$10*(-1))</f>
        <v>41</v>
      </c>
      <c r="H14" s="45" t="s">
        <v>279</v>
      </c>
      <c r="I14" s="45">
        <f>SUM(N15,$B$25)</f>
        <v>26</v>
      </c>
      <c r="J14" s="45" t="s">
        <v>109</v>
      </c>
      <c r="K14" s="154" t="s">
        <v>106</v>
      </c>
      <c r="L14" s="85" t="s">
        <v>72</v>
      </c>
      <c r="M14" s="4">
        <f>SUM($H$23*2,$H$24*(-2),$H$25*(2),$J$23*2,$J$24,$J$25,$L$23*2,$H$31*(-2),$L$24)</f>
        <v>10</v>
      </c>
      <c r="N14" s="4">
        <f>SUM(IF(K14=$AZ$20,$AZ$25,IF(K14=$BA$20,$BA$25,IF(K14=$BB$20,$BB$25,IF(K14=$BC$20,$BC$25,IF(K14=$BD$20,$BD$25,0))))),IF(L14=$AZ$20,$AZ$24,IF(K14=$BA$20,$BA$24,IF(K14=$BB$20,$BB$24,IF(K14=$BC$20,$BC$24,IF(K14=$BD$20,$BD$24,0))))))</f>
        <v>4</v>
      </c>
      <c r="O14" s="43" t="s">
        <v>262</v>
      </c>
      <c r="R14" s="136">
        <v>0</v>
      </c>
      <c r="S14" s="136">
        <v>0</v>
      </c>
      <c r="T14" s="136">
        <v>0</v>
      </c>
      <c r="U14" s="136">
        <v>0</v>
      </c>
      <c r="V14" s="136">
        <v>2</v>
      </c>
      <c r="W14" s="136">
        <v>0</v>
      </c>
      <c r="X14" s="136">
        <v>0</v>
      </c>
      <c r="Y14" s="136">
        <v>0</v>
      </c>
      <c r="Z14" s="136">
        <v>0</v>
      </c>
      <c r="AA14" s="136">
        <v>0</v>
      </c>
      <c r="AB14" s="136">
        <v>0</v>
      </c>
      <c r="AC14" s="136">
        <v>0</v>
      </c>
      <c r="AD14" s="136">
        <v>0</v>
      </c>
      <c r="AE14" s="136">
        <v>0</v>
      </c>
      <c r="AF14" s="136">
        <v>0</v>
      </c>
      <c r="AG14" s="136">
        <v>0</v>
      </c>
      <c r="AH14" s="136">
        <v>0</v>
      </c>
      <c r="AI14" s="136">
        <v>0</v>
      </c>
      <c r="AJ14" s="136">
        <v>0</v>
      </c>
      <c r="AK14" s="136">
        <v>0</v>
      </c>
      <c r="AL14" s="136">
        <v>0</v>
      </c>
      <c r="AM14" s="136">
        <v>0</v>
      </c>
      <c r="AN14" s="136">
        <v>0</v>
      </c>
      <c r="AO14" s="136">
        <v>0</v>
      </c>
      <c r="AP14" s="136">
        <v>0</v>
      </c>
      <c r="AQ14" s="136">
        <v>0</v>
      </c>
      <c r="AR14" s="136">
        <v>0</v>
      </c>
      <c r="AX14" s="163" t="s">
        <v>128</v>
      </c>
      <c r="AY14" s="163">
        <v>0</v>
      </c>
      <c r="AZ14" s="163">
        <v>0</v>
      </c>
      <c r="BH14" s="12"/>
      <c r="BI14" s="12"/>
      <c r="BJ14" s="12"/>
      <c r="BK14" s="12"/>
      <c r="BL14" s="12"/>
      <c r="BM14" s="12"/>
      <c r="BN14" s="13"/>
    </row>
    <row r="15" spans="1:66" ht="20.399999999999999" x14ac:dyDescent="0.35">
      <c r="A15" s="109" t="s">
        <v>115</v>
      </c>
      <c r="B15" s="100">
        <f t="shared" si="0"/>
        <v>16</v>
      </c>
      <c r="C15" s="100">
        <f t="shared" si="1"/>
        <v>3</v>
      </c>
      <c r="D15" s="110">
        <v>16</v>
      </c>
      <c r="G15" s="200" t="str">
        <f>CONCATENATE("Sword Sword   ","+",G14,"    "," Dmg: ",I14,"  +",H14, "    crit :  ",J14,)</f>
        <v>Sword Sword   +41     Dmg: 26  +1d6    crit :  x2</v>
      </c>
      <c r="H15" s="201"/>
      <c r="I15" s="202"/>
      <c r="J15" s="45"/>
      <c r="K15" s="4"/>
      <c r="L15" s="46"/>
      <c r="M15" s="4"/>
      <c r="N15" s="4">
        <f>SUM(N14,$L$24,$L$25*($B$4))</f>
        <v>23</v>
      </c>
      <c r="O15" s="43" t="s">
        <v>263</v>
      </c>
      <c r="R15" s="137">
        <v>0</v>
      </c>
      <c r="S15" s="137">
        <v>0</v>
      </c>
      <c r="T15" s="137">
        <v>0</v>
      </c>
      <c r="U15" s="137">
        <v>0</v>
      </c>
      <c r="V15" s="137">
        <v>0</v>
      </c>
      <c r="W15" s="137">
        <v>0</v>
      </c>
      <c r="X15" s="137">
        <v>0</v>
      </c>
      <c r="Y15" s="137">
        <v>0</v>
      </c>
      <c r="Z15" s="137">
        <v>0</v>
      </c>
      <c r="AA15" s="137">
        <v>0</v>
      </c>
      <c r="AB15" s="137">
        <v>0</v>
      </c>
      <c r="AC15" s="137">
        <v>0</v>
      </c>
      <c r="AD15" s="137">
        <v>0</v>
      </c>
      <c r="AE15" s="137">
        <v>0</v>
      </c>
      <c r="AF15" s="137">
        <v>0</v>
      </c>
      <c r="AG15" s="137">
        <v>0</v>
      </c>
      <c r="AH15" s="137">
        <v>0</v>
      </c>
      <c r="AI15" s="137">
        <v>0</v>
      </c>
      <c r="AJ15" s="137">
        <v>0</v>
      </c>
      <c r="AK15" s="137">
        <v>0</v>
      </c>
      <c r="AL15" s="137">
        <v>0</v>
      </c>
      <c r="AM15" s="137">
        <v>0</v>
      </c>
      <c r="AN15" s="137">
        <v>0</v>
      </c>
      <c r="AO15" s="137">
        <v>0</v>
      </c>
      <c r="AP15" s="137">
        <v>0</v>
      </c>
      <c r="AQ15" s="137">
        <v>0</v>
      </c>
      <c r="AR15" s="137">
        <v>0</v>
      </c>
      <c r="AX15" s="163" t="s">
        <v>129</v>
      </c>
      <c r="AY15" s="163" t="s">
        <v>130</v>
      </c>
      <c r="AZ15" s="163">
        <v>4</v>
      </c>
      <c r="BH15" s="12"/>
      <c r="BI15" s="12"/>
      <c r="BJ15" s="12"/>
      <c r="BK15" s="12"/>
      <c r="BL15" s="12"/>
      <c r="BM15" s="12"/>
      <c r="BN15" s="13"/>
    </row>
    <row r="16" spans="1:66" ht="20.399999999999999" x14ac:dyDescent="0.35">
      <c r="A16" s="111" t="s">
        <v>73</v>
      </c>
      <c r="B16" s="101">
        <f t="shared" si="0"/>
        <v>15</v>
      </c>
      <c r="C16" s="101">
        <f t="shared" si="1"/>
        <v>2</v>
      </c>
      <c r="D16" s="112">
        <v>15</v>
      </c>
      <c r="F16" s="3" t="s">
        <v>288</v>
      </c>
      <c r="G16" s="45">
        <f>SUM($B$23:$B$24,IF(L16="Strength",$C$12,$C$13),M16,$H$10*(-1))</f>
        <v>41</v>
      </c>
      <c r="H16" s="45" t="s">
        <v>278</v>
      </c>
      <c r="I16" s="45">
        <f>SUM(N17,$B$25)</f>
        <v>26</v>
      </c>
      <c r="J16" s="45" t="s">
        <v>109</v>
      </c>
      <c r="K16" s="154" t="s">
        <v>106</v>
      </c>
      <c r="L16" s="85" t="s">
        <v>72</v>
      </c>
      <c r="M16" s="4">
        <f>SUM($H$23*2,$H$24*(-2),$H$25*(2),$J$23*2,$J$24,$J$25,$L$23*2,$H$31*(-2),$L$24)</f>
        <v>10</v>
      </c>
      <c r="N16" s="4">
        <f>SUM(IF(K16=$AZ$20,$AZ$25,IF(K16=$BA$20,$BA$25,IF(K16=$BB$20,$BB$25,IF(K16=$BC$20,$BC$25,IF(K16=$BD$20,$BD$25,0))))),IF(L16=$AZ$20,$AZ$24,IF(K16=$BA$20,$BA$24,IF(K16=$BB$20,$BB$24,IF(K16=$BC$20,$BC$24,IF(K16=$BD$20,$BD$24,0))))))</f>
        <v>4</v>
      </c>
      <c r="O16" s="43" t="s">
        <v>264</v>
      </c>
      <c r="R16" s="138">
        <v>0</v>
      </c>
      <c r="S16" s="138">
        <v>0</v>
      </c>
      <c r="T16" s="138">
        <v>0</v>
      </c>
      <c r="U16" s="138">
        <v>0</v>
      </c>
      <c r="V16" s="138">
        <v>0</v>
      </c>
      <c r="W16" s="138">
        <v>0</v>
      </c>
      <c r="X16" s="138">
        <v>0</v>
      </c>
      <c r="Y16" s="138">
        <v>0</v>
      </c>
      <c r="Z16" s="138">
        <v>0</v>
      </c>
      <c r="AA16" s="138">
        <v>0</v>
      </c>
      <c r="AB16" s="138">
        <v>0</v>
      </c>
      <c r="AC16" s="138">
        <v>0</v>
      </c>
      <c r="AD16" s="138">
        <v>0</v>
      </c>
      <c r="AE16" s="138">
        <v>0</v>
      </c>
      <c r="AF16" s="138">
        <v>0</v>
      </c>
      <c r="AG16" s="138">
        <v>0</v>
      </c>
      <c r="AH16" s="138">
        <v>0</v>
      </c>
      <c r="AI16" s="138">
        <v>0</v>
      </c>
      <c r="AJ16" s="138">
        <v>0</v>
      </c>
      <c r="AK16" s="138">
        <v>0</v>
      </c>
      <c r="AL16" s="138">
        <v>0</v>
      </c>
      <c r="AM16" s="138">
        <v>0</v>
      </c>
      <c r="AN16" s="138">
        <v>0</v>
      </c>
      <c r="AO16" s="138">
        <v>0</v>
      </c>
      <c r="AP16" s="138">
        <v>0</v>
      </c>
      <c r="AQ16" s="138">
        <v>0</v>
      </c>
      <c r="AR16" s="138">
        <v>0</v>
      </c>
      <c r="AX16" s="163" t="s">
        <v>131</v>
      </c>
      <c r="AY16" s="163" t="s">
        <v>132</v>
      </c>
      <c r="AZ16" s="163">
        <v>8</v>
      </c>
      <c r="BH16" s="12"/>
      <c r="BI16" s="12"/>
      <c r="BJ16" s="12"/>
      <c r="BK16" s="12"/>
      <c r="BL16" s="12"/>
      <c r="BM16" s="12"/>
      <c r="BN16" s="13"/>
    </row>
    <row r="17" spans="1:66" ht="20.399999999999999" x14ac:dyDescent="0.35">
      <c r="A17" s="113" t="s">
        <v>74</v>
      </c>
      <c r="B17" s="114">
        <f t="shared" si="0"/>
        <v>11</v>
      </c>
      <c r="C17" s="114">
        <f t="shared" si="1"/>
        <v>0</v>
      </c>
      <c r="D17" s="115">
        <v>11</v>
      </c>
      <c r="F17" s="170"/>
      <c r="G17" s="210" t="str">
        <f>CONCATENATE("kukri   ","+",G16,"    "," Dmg: ",I16,"  +",H16, "    crit :  ",J16,)</f>
        <v>kukri   +41     Dmg: 26  +1d4    crit :  x2</v>
      </c>
      <c r="H17" s="211"/>
      <c r="I17" s="212"/>
      <c r="J17" s="203"/>
      <c r="K17" s="204"/>
      <c r="L17" s="205"/>
      <c r="M17" s="4"/>
      <c r="N17" s="4">
        <f>SUM(N16,$L$24,$L$25*($B$4))</f>
        <v>23</v>
      </c>
      <c r="O17" s="43" t="s">
        <v>265</v>
      </c>
      <c r="R17" s="139">
        <v>0</v>
      </c>
      <c r="S17" s="139">
        <v>0</v>
      </c>
      <c r="T17" s="139">
        <v>0</v>
      </c>
      <c r="U17" s="139">
        <v>0</v>
      </c>
      <c r="V17" s="139">
        <v>0</v>
      </c>
      <c r="W17" s="139">
        <v>0</v>
      </c>
      <c r="X17" s="139">
        <v>0</v>
      </c>
      <c r="Y17" s="139">
        <v>0</v>
      </c>
      <c r="Z17" s="139">
        <v>0</v>
      </c>
      <c r="AA17" s="139">
        <v>0</v>
      </c>
      <c r="AB17" s="139">
        <v>0</v>
      </c>
      <c r="AC17" s="139">
        <v>0</v>
      </c>
      <c r="AD17" s="139">
        <v>0</v>
      </c>
      <c r="AE17" s="139">
        <v>0</v>
      </c>
      <c r="AF17" s="139">
        <v>0</v>
      </c>
      <c r="AG17" s="139">
        <v>0</v>
      </c>
      <c r="AH17" s="139">
        <v>0</v>
      </c>
      <c r="AI17" s="139">
        <v>0</v>
      </c>
      <c r="AJ17" s="139">
        <v>0</v>
      </c>
      <c r="AK17" s="139">
        <v>0</v>
      </c>
      <c r="AL17" s="139">
        <v>0</v>
      </c>
      <c r="AM17" s="139">
        <v>0</v>
      </c>
      <c r="AN17" s="139">
        <v>0</v>
      </c>
      <c r="AO17" s="139">
        <v>0</v>
      </c>
      <c r="AP17" s="139">
        <v>0</v>
      </c>
      <c r="AQ17" s="139">
        <v>0</v>
      </c>
      <c r="AR17" s="139">
        <v>0</v>
      </c>
      <c r="AX17" s="163" t="s">
        <v>133</v>
      </c>
      <c r="AY17" s="163" t="s">
        <v>134</v>
      </c>
      <c r="AZ17" s="163">
        <v>12</v>
      </c>
      <c r="BH17" s="12"/>
      <c r="BI17" s="12"/>
      <c r="BJ17" s="12"/>
      <c r="BK17" s="12"/>
      <c r="BL17" s="12"/>
      <c r="BM17" s="12"/>
      <c r="BN17" s="13"/>
    </row>
    <row r="18" spans="1:66" x14ac:dyDescent="0.35">
      <c r="B18" s="45" t="s">
        <v>122</v>
      </c>
      <c r="C18" s="45" t="s">
        <v>116</v>
      </c>
      <c r="O18" s="43" t="s">
        <v>266</v>
      </c>
      <c r="R18" s="133">
        <v>0</v>
      </c>
      <c r="S18" s="133">
        <v>0</v>
      </c>
      <c r="T18" s="133">
        <v>0</v>
      </c>
      <c r="U18" s="133">
        <v>0</v>
      </c>
      <c r="V18" s="133">
        <v>0</v>
      </c>
      <c r="W18" s="133">
        <v>0</v>
      </c>
      <c r="X18" s="133">
        <v>0</v>
      </c>
      <c r="Y18" s="133">
        <v>0</v>
      </c>
      <c r="Z18" s="133">
        <v>0</v>
      </c>
      <c r="AA18" s="133">
        <v>0</v>
      </c>
      <c r="AB18" s="133">
        <v>0</v>
      </c>
      <c r="AC18" s="133">
        <v>0</v>
      </c>
      <c r="AD18" s="133">
        <v>0</v>
      </c>
      <c r="AE18" s="133">
        <v>0</v>
      </c>
      <c r="AF18" s="133">
        <v>0</v>
      </c>
      <c r="AG18" s="133">
        <v>0</v>
      </c>
      <c r="AH18" s="133">
        <v>0</v>
      </c>
      <c r="AI18" s="133">
        <v>0</v>
      </c>
      <c r="AJ18" s="133">
        <v>0</v>
      </c>
      <c r="AK18" s="133">
        <v>0</v>
      </c>
      <c r="AL18" s="133">
        <v>0</v>
      </c>
      <c r="AM18" s="133">
        <v>0</v>
      </c>
      <c r="AN18" s="133">
        <v>0</v>
      </c>
      <c r="AO18" s="133">
        <v>0</v>
      </c>
      <c r="AP18" s="133">
        <v>0</v>
      </c>
      <c r="AQ18" s="133">
        <v>0</v>
      </c>
      <c r="AR18" s="133">
        <v>0</v>
      </c>
      <c r="AX18" s="163" t="s">
        <v>140</v>
      </c>
      <c r="AY18" s="163" t="s">
        <v>135</v>
      </c>
      <c r="AZ18" s="163">
        <v>16</v>
      </c>
      <c r="BH18" s="12"/>
      <c r="BI18" s="12"/>
      <c r="BJ18" s="12"/>
      <c r="BK18" s="12"/>
      <c r="BL18" s="12"/>
      <c r="BM18" s="12"/>
      <c r="BN18" s="13"/>
    </row>
    <row r="19" spans="1:66" ht="17.399999999999999" x14ac:dyDescent="0.3">
      <c r="A19" s="132" t="s">
        <v>29</v>
      </c>
      <c r="B19" s="149">
        <f>SUM(C14,C19,R19:AR19,BG4)</f>
        <v>25</v>
      </c>
      <c r="C19" s="94">
        <v>7</v>
      </c>
      <c r="O19" s="43" t="s">
        <v>267</v>
      </c>
      <c r="R19" s="136">
        <v>0</v>
      </c>
      <c r="S19" s="136">
        <v>0</v>
      </c>
      <c r="T19" s="136">
        <v>0</v>
      </c>
      <c r="U19" s="136">
        <v>0</v>
      </c>
      <c r="V19" s="136">
        <v>5</v>
      </c>
      <c r="W19" s="136">
        <v>0</v>
      </c>
      <c r="X19" s="136">
        <v>0</v>
      </c>
      <c r="Y19" s="136">
        <v>0</v>
      </c>
      <c r="Z19" s="136">
        <v>0</v>
      </c>
      <c r="AA19" s="136">
        <v>0</v>
      </c>
      <c r="AB19" s="136">
        <v>2</v>
      </c>
      <c r="AC19" s="136">
        <v>4</v>
      </c>
      <c r="AD19" s="136">
        <v>0</v>
      </c>
      <c r="AE19" s="136">
        <v>0</v>
      </c>
      <c r="AF19" s="136">
        <v>0</v>
      </c>
      <c r="AG19" s="136">
        <v>0</v>
      </c>
      <c r="AH19" s="136">
        <v>0</v>
      </c>
      <c r="AI19" s="136">
        <v>4</v>
      </c>
      <c r="AJ19" s="136">
        <v>0</v>
      </c>
      <c r="AK19" s="136">
        <v>0</v>
      </c>
      <c r="AL19" s="136">
        <v>0</v>
      </c>
      <c r="AM19" s="136">
        <v>0</v>
      </c>
      <c r="AN19" s="136">
        <v>0</v>
      </c>
      <c r="AO19" s="136">
        <v>0</v>
      </c>
      <c r="AP19" s="136">
        <v>0</v>
      </c>
      <c r="AQ19" s="136">
        <v>0</v>
      </c>
      <c r="AR19" s="136">
        <v>0</v>
      </c>
      <c r="AW19" s="11"/>
      <c r="AX19" s="12"/>
      <c r="AY19" s="12"/>
      <c r="AZ19" s="12"/>
      <c r="BA19" s="12"/>
      <c r="BB19" s="12"/>
      <c r="BC19" s="12"/>
      <c r="BE19" s="12"/>
      <c r="BF19" s="12"/>
      <c r="BG19" s="12"/>
      <c r="BH19" s="12"/>
      <c r="BI19" s="12"/>
      <c r="BJ19" s="12"/>
      <c r="BK19" s="12"/>
      <c r="BL19" s="12"/>
      <c r="BM19" s="12"/>
      <c r="BN19" s="13"/>
    </row>
    <row r="20" spans="1:66" ht="17.399999999999999" x14ac:dyDescent="0.3">
      <c r="A20" s="106" t="s">
        <v>30</v>
      </c>
      <c r="B20" s="104">
        <f>SUM(C13,C20,R20:AR20,BG5)</f>
        <v>33</v>
      </c>
      <c r="C20" s="156">
        <v>8</v>
      </c>
      <c r="H20" s="49"/>
      <c r="O20" s="43" t="s">
        <v>268</v>
      </c>
      <c r="R20" s="140">
        <v>0</v>
      </c>
      <c r="S20" s="140">
        <v>0</v>
      </c>
      <c r="T20" s="140">
        <v>0</v>
      </c>
      <c r="U20" s="140">
        <v>0</v>
      </c>
      <c r="V20" s="140">
        <v>5</v>
      </c>
      <c r="W20" s="140">
        <v>0</v>
      </c>
      <c r="X20" s="140">
        <v>0</v>
      </c>
      <c r="Y20" s="140">
        <v>0</v>
      </c>
      <c r="Z20" s="140">
        <v>0</v>
      </c>
      <c r="AA20" s="140">
        <v>0</v>
      </c>
      <c r="AB20" s="140">
        <v>2</v>
      </c>
      <c r="AC20" s="140">
        <v>4</v>
      </c>
      <c r="AD20" s="140">
        <v>0</v>
      </c>
      <c r="AE20" s="140">
        <v>0</v>
      </c>
      <c r="AF20" s="140">
        <v>0</v>
      </c>
      <c r="AG20" s="140">
        <v>0</v>
      </c>
      <c r="AH20" s="140">
        <v>0</v>
      </c>
      <c r="AI20" s="140">
        <v>4</v>
      </c>
      <c r="AJ20" s="140">
        <v>0</v>
      </c>
      <c r="AK20" s="140">
        <v>0</v>
      </c>
      <c r="AL20" s="140">
        <v>0</v>
      </c>
      <c r="AM20" s="140">
        <v>0</v>
      </c>
      <c r="AN20" s="140">
        <v>0</v>
      </c>
      <c r="AO20" s="140">
        <v>0</v>
      </c>
      <c r="AP20" s="140">
        <v>0</v>
      </c>
      <c r="AQ20" s="140">
        <v>0</v>
      </c>
      <c r="AR20" s="140">
        <v>0</v>
      </c>
      <c r="AW20" s="206" t="s">
        <v>155</v>
      </c>
      <c r="AX20" s="206"/>
      <c r="AY20" s="206"/>
      <c r="AZ20" s="123" t="s">
        <v>97</v>
      </c>
      <c r="BA20" s="123" t="s">
        <v>152</v>
      </c>
      <c r="BB20" s="123" t="s">
        <v>106</v>
      </c>
      <c r="BC20" s="165" t="s">
        <v>151</v>
      </c>
      <c r="BD20" s="123" t="s">
        <v>105</v>
      </c>
      <c r="BE20" s="12"/>
      <c r="BF20" s="12"/>
      <c r="BG20" s="12"/>
      <c r="BH20" s="12"/>
      <c r="BI20" s="12"/>
      <c r="BJ20" s="12"/>
      <c r="BK20" s="12"/>
      <c r="BL20" s="12"/>
      <c r="BM20" s="12"/>
      <c r="BN20" s="13"/>
    </row>
    <row r="21" spans="1:66" ht="17.399999999999999" x14ac:dyDescent="0.3">
      <c r="A21" s="107" t="s">
        <v>31</v>
      </c>
      <c r="B21" s="150">
        <f>SUM(C21,C16,R21:AR21,BG6)</f>
        <v>21</v>
      </c>
      <c r="C21" s="162">
        <v>4</v>
      </c>
      <c r="O21" s="43" t="s">
        <v>269</v>
      </c>
      <c r="P21" s="161">
        <v>12</v>
      </c>
      <c r="R21" s="141">
        <v>0</v>
      </c>
      <c r="S21" s="141">
        <v>0</v>
      </c>
      <c r="T21" s="141">
        <v>0</v>
      </c>
      <c r="U21" s="141">
        <v>0</v>
      </c>
      <c r="V21" s="141">
        <v>5</v>
      </c>
      <c r="W21" s="141">
        <v>0</v>
      </c>
      <c r="X21" s="141">
        <v>0</v>
      </c>
      <c r="Y21" s="141">
        <v>0</v>
      </c>
      <c r="Z21" s="141">
        <v>0</v>
      </c>
      <c r="AA21" s="141">
        <v>0</v>
      </c>
      <c r="AB21" s="141">
        <v>2</v>
      </c>
      <c r="AC21" s="141">
        <v>4</v>
      </c>
      <c r="AD21" s="141">
        <v>0</v>
      </c>
      <c r="AE21" s="141">
        <v>0</v>
      </c>
      <c r="AF21" s="141">
        <v>0</v>
      </c>
      <c r="AG21" s="141">
        <v>0</v>
      </c>
      <c r="AH21" s="141">
        <v>0</v>
      </c>
      <c r="AI21" s="141">
        <v>4</v>
      </c>
      <c r="AJ21" s="141">
        <v>0</v>
      </c>
      <c r="AK21" s="141">
        <v>0</v>
      </c>
      <c r="AL21" s="141">
        <v>0</v>
      </c>
      <c r="AM21" s="141">
        <v>0</v>
      </c>
      <c r="AN21" s="141">
        <v>0</v>
      </c>
      <c r="AO21" s="141">
        <v>0</v>
      </c>
      <c r="AP21" s="141">
        <v>0</v>
      </c>
      <c r="AQ21" s="141">
        <v>0</v>
      </c>
      <c r="AR21" s="141">
        <v>0</v>
      </c>
      <c r="AW21" s="198" t="s">
        <v>142</v>
      </c>
      <c r="AX21" s="198"/>
      <c r="AY21" s="12">
        <f>SUM($H$10)</f>
        <v>0</v>
      </c>
      <c r="AZ21" s="12">
        <v>0</v>
      </c>
      <c r="BA21" s="12">
        <v>0</v>
      </c>
      <c r="BB21" s="12">
        <f>AY21</f>
        <v>0</v>
      </c>
      <c r="BC21" s="12">
        <f>AY21</f>
        <v>0</v>
      </c>
      <c r="BD21" s="161">
        <f>AY21*2</f>
        <v>0</v>
      </c>
      <c r="BE21" s="12"/>
      <c r="BF21" s="12"/>
      <c r="BG21" s="12"/>
      <c r="BH21" s="12"/>
      <c r="BI21" s="12"/>
      <c r="BJ21" s="12"/>
      <c r="BK21" s="12"/>
      <c r="BL21" s="12"/>
      <c r="BM21" s="12"/>
      <c r="BN21" s="13"/>
    </row>
    <row r="22" spans="1:66" x14ac:dyDescent="0.35">
      <c r="B22" s="159" t="s">
        <v>122</v>
      </c>
      <c r="C22" s="160" t="s">
        <v>116</v>
      </c>
      <c r="G22" s="199" t="s">
        <v>114</v>
      </c>
      <c r="H22" s="199"/>
      <c r="O22" s="43" t="s">
        <v>270</v>
      </c>
      <c r="R22" s="133">
        <v>0</v>
      </c>
      <c r="S22" s="133">
        <v>0</v>
      </c>
      <c r="T22" s="133">
        <v>0</v>
      </c>
      <c r="U22" s="133">
        <v>0</v>
      </c>
      <c r="V22" s="133">
        <v>0</v>
      </c>
      <c r="W22" s="133">
        <v>0</v>
      </c>
      <c r="X22" s="133">
        <v>0</v>
      </c>
      <c r="Y22" s="133">
        <v>0</v>
      </c>
      <c r="Z22" s="133">
        <v>0</v>
      </c>
      <c r="AA22" s="133">
        <v>0</v>
      </c>
      <c r="AB22" s="133">
        <v>0</v>
      </c>
      <c r="AC22" s="133">
        <v>0</v>
      </c>
      <c r="AD22" s="133">
        <v>0</v>
      </c>
      <c r="AE22" s="133">
        <v>0</v>
      </c>
      <c r="AF22" s="133">
        <v>0</v>
      </c>
      <c r="AG22" s="133">
        <v>0</v>
      </c>
      <c r="AH22" s="133">
        <v>0</v>
      </c>
      <c r="AI22" s="133">
        <v>0</v>
      </c>
      <c r="AJ22" s="133">
        <v>0</v>
      </c>
      <c r="AK22" s="133">
        <v>0</v>
      </c>
      <c r="AL22" s="133">
        <v>0</v>
      </c>
      <c r="AM22" s="133">
        <v>0</v>
      </c>
      <c r="AN22" s="133">
        <v>0</v>
      </c>
      <c r="AO22" s="133">
        <v>0</v>
      </c>
      <c r="AP22" s="133">
        <v>0</v>
      </c>
      <c r="AQ22" s="133">
        <v>0</v>
      </c>
      <c r="AR22" s="133">
        <v>0</v>
      </c>
      <c r="AW22" s="11"/>
      <c r="AX22" s="12"/>
      <c r="AY22" s="12"/>
      <c r="BE22" s="12"/>
      <c r="BF22" s="12"/>
      <c r="BG22" s="12"/>
      <c r="BH22" s="12"/>
      <c r="BI22" s="12"/>
      <c r="BJ22" s="12"/>
      <c r="BK22" s="12"/>
      <c r="BL22" s="12"/>
      <c r="BM22" s="12"/>
      <c r="BN22" s="13"/>
    </row>
    <row r="23" spans="1:66" ht="14.4" x14ac:dyDescent="0.3">
      <c r="A23" s="151" t="s">
        <v>71</v>
      </c>
      <c r="B23" s="51">
        <f>SUM(C23,B29,R23:AR23)</f>
        <v>12</v>
      </c>
      <c r="C23" s="52">
        <v>12</v>
      </c>
      <c r="G23" s="79" t="s">
        <v>99</v>
      </c>
      <c r="H23" s="82">
        <v>1</v>
      </c>
      <c r="I23" s="50" t="s">
        <v>98</v>
      </c>
      <c r="J23" s="87">
        <v>1</v>
      </c>
      <c r="K23" s="79" t="s">
        <v>110</v>
      </c>
      <c r="L23" s="82">
        <v>1</v>
      </c>
      <c r="O23" s="43" t="s">
        <v>271</v>
      </c>
      <c r="R23" s="145">
        <v>0</v>
      </c>
      <c r="S23" s="145">
        <v>0</v>
      </c>
      <c r="T23" s="145">
        <v>0</v>
      </c>
      <c r="U23" s="145">
        <v>0</v>
      </c>
      <c r="V23" s="145">
        <v>0</v>
      </c>
      <c r="W23" s="145">
        <v>0</v>
      </c>
      <c r="X23" s="145">
        <v>0</v>
      </c>
      <c r="Y23" s="145">
        <v>0</v>
      </c>
      <c r="Z23" s="145">
        <v>0</v>
      </c>
      <c r="AA23" s="145">
        <v>0</v>
      </c>
      <c r="AB23" s="145">
        <v>0</v>
      </c>
      <c r="AC23" s="145">
        <v>0</v>
      </c>
      <c r="AD23" s="145">
        <v>0</v>
      </c>
      <c r="AE23" s="145">
        <v>0</v>
      </c>
      <c r="AF23" s="145">
        <v>0</v>
      </c>
      <c r="AG23" s="145">
        <v>0</v>
      </c>
      <c r="AH23" s="145">
        <v>0</v>
      </c>
      <c r="AI23" s="145">
        <v>0</v>
      </c>
      <c r="AJ23" s="145">
        <v>0</v>
      </c>
      <c r="AK23" s="145">
        <v>0</v>
      </c>
      <c r="AL23" s="145">
        <v>0</v>
      </c>
      <c r="AM23" s="145">
        <v>0</v>
      </c>
      <c r="AN23" s="145">
        <v>0</v>
      </c>
      <c r="AO23" s="145">
        <v>0</v>
      </c>
      <c r="AP23" s="145">
        <v>0</v>
      </c>
      <c r="AQ23" s="145">
        <v>0</v>
      </c>
      <c r="AR23" s="145">
        <v>0</v>
      </c>
      <c r="AW23" s="11"/>
      <c r="AX23" s="12"/>
      <c r="AY23" s="12"/>
      <c r="AZ23" s="12"/>
      <c r="BA23" s="12"/>
      <c r="BB23" s="12"/>
      <c r="BC23" s="12"/>
      <c r="BE23" s="12"/>
      <c r="BF23" s="12"/>
      <c r="BG23" s="12"/>
      <c r="BH23" s="12"/>
      <c r="BI23" s="12"/>
      <c r="BJ23" s="12"/>
      <c r="BK23" s="12"/>
      <c r="BL23" s="12"/>
      <c r="BM23" s="12"/>
      <c r="BN23" s="13"/>
    </row>
    <row r="24" spans="1:66" ht="17.399999999999999" x14ac:dyDescent="0.3">
      <c r="A24" s="146" t="s">
        <v>46</v>
      </c>
      <c r="B24" s="12">
        <f>SUM(B23,R24:AR24,BG7,BA10)</f>
        <v>15</v>
      </c>
      <c r="C24" s="13"/>
      <c r="G24" s="79" t="s">
        <v>100</v>
      </c>
      <c r="H24" s="82">
        <v>0</v>
      </c>
      <c r="I24" s="11" t="s">
        <v>103</v>
      </c>
      <c r="J24" s="88">
        <v>0</v>
      </c>
      <c r="K24" s="161" t="s">
        <v>276</v>
      </c>
      <c r="L24" s="161">
        <v>4</v>
      </c>
      <c r="O24" s="43" t="s">
        <v>272</v>
      </c>
      <c r="R24" s="143">
        <v>0</v>
      </c>
      <c r="S24" s="143">
        <v>0</v>
      </c>
      <c r="T24" s="143">
        <v>0</v>
      </c>
      <c r="U24" s="143">
        <v>0</v>
      </c>
      <c r="V24" s="143">
        <v>0</v>
      </c>
      <c r="W24" s="143">
        <v>0</v>
      </c>
      <c r="X24" s="143">
        <v>0</v>
      </c>
      <c r="Y24" s="143">
        <v>0</v>
      </c>
      <c r="Z24" s="143">
        <v>0</v>
      </c>
      <c r="AA24" s="143">
        <v>0</v>
      </c>
      <c r="AB24" s="143">
        <v>0</v>
      </c>
      <c r="AC24" s="143">
        <v>3</v>
      </c>
      <c r="AD24" s="143">
        <v>0</v>
      </c>
      <c r="AE24" s="143">
        <v>0</v>
      </c>
      <c r="AF24" s="143">
        <v>0</v>
      </c>
      <c r="AG24" s="143">
        <v>0</v>
      </c>
      <c r="AH24" s="143">
        <v>0</v>
      </c>
      <c r="AI24" s="143">
        <v>0</v>
      </c>
      <c r="AJ24" s="143">
        <v>0</v>
      </c>
      <c r="AK24" s="143">
        <v>0</v>
      </c>
      <c r="AL24" s="143">
        <v>0</v>
      </c>
      <c r="AM24" s="143">
        <v>0</v>
      </c>
      <c r="AN24" s="143">
        <v>0</v>
      </c>
      <c r="AO24" s="143">
        <v>0</v>
      </c>
      <c r="AP24" s="143">
        <v>0</v>
      </c>
      <c r="AQ24" s="143">
        <v>0</v>
      </c>
      <c r="AR24" s="143">
        <v>0</v>
      </c>
      <c r="AW24" s="197" t="s">
        <v>143</v>
      </c>
      <c r="AX24" s="198"/>
      <c r="AY24" s="12">
        <f>$K$10+1</f>
        <v>1</v>
      </c>
      <c r="AZ24" s="12">
        <f>AZ21*(1+$AY$24)</f>
        <v>0</v>
      </c>
      <c r="BA24" s="12">
        <f t="shared" ref="BA24:BD24" si="2">BA21*(1+$AY$24)</f>
        <v>0</v>
      </c>
      <c r="BB24" s="12">
        <f t="shared" si="2"/>
        <v>0</v>
      </c>
      <c r="BC24" s="12">
        <f t="shared" si="2"/>
        <v>0</v>
      </c>
      <c r="BD24" s="12">
        <f t="shared" si="2"/>
        <v>0</v>
      </c>
      <c r="BE24" s="43"/>
      <c r="BF24" s="12"/>
      <c r="BG24" s="12"/>
      <c r="BH24" s="12"/>
      <c r="BI24" s="12"/>
      <c r="BJ24" s="12"/>
      <c r="BK24" s="12"/>
      <c r="BL24" s="12"/>
      <c r="BM24" s="12"/>
      <c r="BN24" s="13"/>
    </row>
    <row r="25" spans="1:66" ht="14.4" x14ac:dyDescent="0.3">
      <c r="A25" s="152" t="s">
        <v>70</v>
      </c>
      <c r="B25" s="12">
        <f>SUM(R25:AR25)</f>
        <v>3</v>
      </c>
      <c r="C25" s="13"/>
      <c r="G25" s="79" t="s">
        <v>101</v>
      </c>
      <c r="H25" s="82">
        <v>0</v>
      </c>
      <c r="I25" s="90" t="s">
        <v>104</v>
      </c>
      <c r="J25" s="89">
        <v>0</v>
      </c>
      <c r="K25" s="161" t="s">
        <v>277</v>
      </c>
      <c r="L25" s="161">
        <v>1</v>
      </c>
      <c r="O25" s="43" t="s">
        <v>273</v>
      </c>
      <c r="R25" s="145">
        <v>0</v>
      </c>
      <c r="S25" s="145">
        <v>0</v>
      </c>
      <c r="T25" s="145">
        <v>0</v>
      </c>
      <c r="U25" s="145">
        <v>0</v>
      </c>
      <c r="V25" s="145">
        <v>0</v>
      </c>
      <c r="W25" s="145">
        <v>0</v>
      </c>
      <c r="X25" s="145">
        <v>0</v>
      </c>
      <c r="Y25" s="145">
        <v>0</v>
      </c>
      <c r="Z25" s="145">
        <v>0</v>
      </c>
      <c r="AA25" s="145">
        <v>0</v>
      </c>
      <c r="AB25" s="145">
        <v>0</v>
      </c>
      <c r="AC25" s="145">
        <v>3</v>
      </c>
      <c r="AD25" s="145">
        <v>0</v>
      </c>
      <c r="AE25" s="145">
        <v>0</v>
      </c>
      <c r="AF25" s="145">
        <v>0</v>
      </c>
      <c r="AG25" s="145">
        <v>0</v>
      </c>
      <c r="AH25" s="145">
        <v>0</v>
      </c>
      <c r="AI25" s="145">
        <v>0</v>
      </c>
      <c r="AJ25" s="145">
        <v>0</v>
      </c>
      <c r="AK25" s="145">
        <v>0</v>
      </c>
      <c r="AL25" s="145">
        <v>0</v>
      </c>
      <c r="AM25" s="145">
        <v>0</v>
      </c>
      <c r="AN25" s="145">
        <v>0</v>
      </c>
      <c r="AO25" s="145">
        <v>0</v>
      </c>
      <c r="AP25" s="145">
        <v>0</v>
      </c>
      <c r="AQ25" s="145">
        <v>0</v>
      </c>
      <c r="AR25" s="145">
        <v>0</v>
      </c>
      <c r="AW25" s="11"/>
      <c r="AX25" s="12" t="s">
        <v>154</v>
      </c>
      <c r="AY25" s="12"/>
      <c r="AZ25" s="12">
        <f>$C$12</f>
        <v>4</v>
      </c>
      <c r="BA25" s="12">
        <f>ROUNDDOWN($C$12*0.5,0)</f>
        <v>2</v>
      </c>
      <c r="BB25" s="12">
        <f>$C$12</f>
        <v>4</v>
      </c>
      <c r="BC25" s="12">
        <f>ROUNDDOWN($C$12*0.5,0)</f>
        <v>2</v>
      </c>
      <c r="BD25" s="12">
        <f>ROUNDDOWN($C$12*1.5,0)</f>
        <v>6</v>
      </c>
      <c r="BE25" s="43"/>
      <c r="BF25" s="12"/>
      <c r="BG25" s="12"/>
      <c r="BH25" s="12"/>
      <c r="BI25" s="12"/>
      <c r="BJ25" s="12"/>
      <c r="BK25" s="12"/>
      <c r="BL25" s="12"/>
      <c r="BM25" s="12"/>
      <c r="BN25" s="13"/>
    </row>
    <row r="26" spans="1:66" x14ac:dyDescent="0.35">
      <c r="A26" s="147" t="s">
        <v>77</v>
      </c>
      <c r="B26" s="54">
        <f>SUM(B23,C12,BB10,R26:AR26)</f>
        <v>16</v>
      </c>
      <c r="C26" s="55"/>
      <c r="O26" s="43" t="s">
        <v>274</v>
      </c>
      <c r="R26" s="144">
        <v>0</v>
      </c>
      <c r="S26" s="144">
        <v>0</v>
      </c>
      <c r="T26" s="144">
        <v>0</v>
      </c>
      <c r="U26" s="144">
        <v>0</v>
      </c>
      <c r="V26" s="144">
        <v>0</v>
      </c>
      <c r="W26" s="144">
        <v>0</v>
      </c>
      <c r="X26" s="144">
        <v>0</v>
      </c>
      <c r="Y26" s="144">
        <v>0</v>
      </c>
      <c r="Z26" s="144">
        <v>0</v>
      </c>
      <c r="AA26" s="144">
        <v>0</v>
      </c>
      <c r="AB26" s="144">
        <v>0</v>
      </c>
      <c r="AC26" s="144">
        <v>0</v>
      </c>
      <c r="AD26" s="144">
        <v>0</v>
      </c>
      <c r="AE26" s="144">
        <v>0</v>
      </c>
      <c r="AF26" s="144">
        <v>0</v>
      </c>
      <c r="AG26" s="144">
        <v>0</v>
      </c>
      <c r="AH26" s="144">
        <v>0</v>
      </c>
      <c r="AI26" s="144">
        <v>0</v>
      </c>
      <c r="AJ26" s="144">
        <v>0</v>
      </c>
      <c r="AK26" s="144">
        <v>0</v>
      </c>
      <c r="AL26" s="144">
        <v>0</v>
      </c>
      <c r="AM26" s="144">
        <v>0</v>
      </c>
      <c r="AN26" s="144">
        <v>0</v>
      </c>
      <c r="AO26" s="144">
        <v>0</v>
      </c>
      <c r="AP26" s="144">
        <v>0</v>
      </c>
      <c r="AQ26" s="144">
        <v>0</v>
      </c>
      <c r="AR26" s="144">
        <v>0</v>
      </c>
      <c r="AW26" s="11"/>
      <c r="AX26" s="12"/>
      <c r="AY26" s="12"/>
      <c r="AZ26" s="12"/>
      <c r="BA26" s="12"/>
      <c r="BB26" s="12"/>
      <c r="BC26" s="43"/>
      <c r="BD26" s="43"/>
      <c r="BE26" s="43" t="e">
        <f>if</f>
        <v>#NAME?</v>
      </c>
      <c r="BF26" s="12"/>
      <c r="BG26" s="12"/>
      <c r="BH26" s="12"/>
      <c r="BI26" s="12"/>
      <c r="BJ26" s="12"/>
      <c r="BK26" s="12"/>
      <c r="BL26" s="12"/>
      <c r="BM26" s="12"/>
      <c r="BN26" s="13"/>
    </row>
    <row r="27" spans="1:66" x14ac:dyDescent="0.35">
      <c r="O27" s="43" t="s">
        <v>275</v>
      </c>
      <c r="AW27" s="53"/>
      <c r="AX27" s="54"/>
      <c r="AY27" s="54"/>
      <c r="AZ27" s="54"/>
      <c r="BA27" s="54"/>
      <c r="BB27" s="54"/>
      <c r="BC27" s="54"/>
      <c r="BE27" s="54"/>
      <c r="BF27" s="54"/>
      <c r="BG27" s="54"/>
      <c r="BH27" s="54"/>
      <c r="BI27" s="54"/>
      <c r="BJ27" s="54"/>
      <c r="BK27" s="54"/>
      <c r="BL27" s="54"/>
      <c r="BM27" s="54"/>
      <c r="BN27" s="55"/>
    </row>
    <row r="28" spans="1:66" ht="14.4" x14ac:dyDescent="0.3">
      <c r="A28" s="4" t="s">
        <v>86</v>
      </c>
      <c r="B28" s="77">
        <v>0</v>
      </c>
    </row>
    <row r="29" spans="1:66" ht="14.4" x14ac:dyDescent="0.3">
      <c r="A29" s="4" t="s">
        <v>87</v>
      </c>
      <c r="B29" s="78">
        <v>0</v>
      </c>
      <c r="G29" s="199" t="s">
        <v>145</v>
      </c>
      <c r="H29" s="199"/>
    </row>
    <row r="30" spans="1:66" ht="14.4" x14ac:dyDescent="0.3">
      <c r="A30" s="4" t="s">
        <v>141</v>
      </c>
      <c r="B30" s="78">
        <v>0</v>
      </c>
      <c r="G30" s="79" t="s">
        <v>146</v>
      </c>
      <c r="H30" s="82">
        <v>0</v>
      </c>
    </row>
    <row r="31" spans="1:66" s="1" customFormat="1" ht="14.4" x14ac:dyDescent="0.3">
      <c r="G31" s="79" t="s">
        <v>147</v>
      </c>
      <c r="H31" s="82">
        <v>0</v>
      </c>
      <c r="I31" s="161"/>
      <c r="J31" s="161"/>
      <c r="K31" s="161"/>
      <c r="L31" s="161"/>
      <c r="M31" s="161"/>
      <c r="N31" s="161"/>
      <c r="O31" s="161"/>
      <c r="P31" s="161"/>
      <c r="Q31" s="161"/>
      <c r="R31" s="161"/>
      <c r="S31" s="161"/>
      <c r="T31" s="161"/>
      <c r="U31" s="161"/>
      <c r="V31" s="161"/>
      <c r="W31" s="161"/>
      <c r="X31" s="161"/>
      <c r="Y31" s="161"/>
      <c r="Z31" s="161"/>
      <c r="AA31" s="161"/>
      <c r="AB31" s="161"/>
      <c r="AC31" s="161"/>
      <c r="AD31" s="161"/>
      <c r="AE31" s="161"/>
      <c r="AF31" s="161"/>
      <c r="AG31" s="161"/>
    </row>
    <row r="33" spans="1:27" x14ac:dyDescent="0.35">
      <c r="A33" s="3" t="s">
        <v>64</v>
      </c>
      <c r="B33" s="161">
        <f>COUNTA(A35:A81)</f>
        <v>19</v>
      </c>
    </row>
    <row r="34" spans="1:27" x14ac:dyDescent="0.35">
      <c r="A34" s="3" t="s">
        <v>43</v>
      </c>
      <c r="B34" s="19" t="s">
        <v>55</v>
      </c>
      <c r="C34" s="30" t="s">
        <v>69</v>
      </c>
      <c r="D34" s="32" t="s">
        <v>63</v>
      </c>
      <c r="E34" s="21" t="s">
        <v>59</v>
      </c>
      <c r="F34" s="58" t="s">
        <v>44</v>
      </c>
      <c r="G34" s="59" t="s">
        <v>50</v>
      </c>
      <c r="H34" s="60" t="s">
        <v>51</v>
      </c>
      <c r="I34" s="61" t="s">
        <v>58</v>
      </c>
      <c r="J34" s="62" t="s">
        <v>47</v>
      </c>
      <c r="K34" s="59" t="s">
        <v>50</v>
      </c>
      <c r="L34" s="60" t="s">
        <v>51</v>
      </c>
      <c r="M34" s="61" t="s">
        <v>58</v>
      </c>
      <c r="N34" s="63" t="s">
        <v>59</v>
      </c>
      <c r="O34" s="62" t="s">
        <v>47</v>
      </c>
      <c r="P34" s="59" t="s">
        <v>50</v>
      </c>
      <c r="Q34" s="60" t="s">
        <v>51</v>
      </c>
      <c r="R34" s="61" t="s">
        <v>58</v>
      </c>
      <c r="S34" s="63" t="s">
        <v>59</v>
      </c>
      <c r="T34" s="64" t="s">
        <v>66</v>
      </c>
      <c r="W34" s="1"/>
      <c r="X34" s="1"/>
      <c r="Y34" s="1"/>
      <c r="Z34" s="1"/>
      <c r="AA34" s="1"/>
    </row>
    <row r="35" spans="1:27" x14ac:dyDescent="0.35">
      <c r="A35" s="17" t="s">
        <v>90</v>
      </c>
      <c r="B35" s="80">
        <v>5</v>
      </c>
      <c r="C35" s="177" t="s">
        <v>299</v>
      </c>
      <c r="D35" s="31">
        <f>IFERROR(VLOOKUP(A35,BUFFS!$H$5:$AF$195,8,),"")</f>
        <v>0</v>
      </c>
      <c r="E35" s="24">
        <f>IFERROR(SUM(H35,ROUNDDOWN(MIN(B35,T$35)*I35,0)),"")</f>
        <v>5</v>
      </c>
      <c r="F35" s="65" t="str">
        <f>IFERROR(VLOOKUP(A35,BUFFS!$H$5:$AF$195,5,),"")</f>
        <v>AC</v>
      </c>
      <c r="G35" s="66" t="str">
        <f>IFERROR(VLOOKUP(A35,BUFFS!$H$5:$AF$195,6,),"")</f>
        <v xml:space="preserve">Armor Bonus </v>
      </c>
      <c r="H35" s="67">
        <f>IFERROR(VLOOKUP(A35,BUFFS!$H$5:$AF$195,7,),"")</f>
        <v>0</v>
      </c>
      <c r="I35" s="66">
        <f>IFERROR(VLOOKUP(A35,BUFFS!$H$5:$AF$195,9,),"")</f>
        <v>1</v>
      </c>
      <c r="J35" s="65">
        <f>IFERROR(VLOOKUP(A35,BUFFS!$H$5:$AF$195,10,),"")</f>
        <v>0</v>
      </c>
      <c r="K35" s="66">
        <f>IFERROR(VLOOKUP(A35,BUFFS!$H$5:$AF$195,11,),"")</f>
        <v>0</v>
      </c>
      <c r="L35" s="66">
        <f>IFERROR(VLOOKUP(A35,BUFFS!$H$5:$AF$195,12,),"")</f>
        <v>0</v>
      </c>
      <c r="M35" s="66">
        <f>IFERROR(VLOOKUP(A35,BUFFS!$H$5:$AF$195,14,),"")</f>
        <v>0</v>
      </c>
      <c r="N35" s="68">
        <f>IFERROR(SUM(L35,ROUNDDOWN(MIN(B35,T$35)*M35,0)),"")</f>
        <v>0</v>
      </c>
      <c r="O35" s="65">
        <f>IFERROR(VLOOKUP(A35,BUFFS!$H$5:$AF$195,15,),"")</f>
        <v>0</v>
      </c>
      <c r="P35" s="66">
        <f>IFERROR(VLOOKUP(A35,BUFFS!$H$5:$AF$195,16,),"")</f>
        <v>0</v>
      </c>
      <c r="Q35" s="66">
        <f>IFERROR(VLOOKUP(A35,BUFFS!$H$5:$AF$195,17,),"")</f>
        <v>0</v>
      </c>
      <c r="R35" s="66">
        <f>IFERROR(VLOOKUP(A35,BUFFS!$H$5:$AF$195,19,),"")</f>
        <v>0</v>
      </c>
      <c r="S35" s="69">
        <f>IFERROR(SUM(Q35,ROUNDDOWN(MIN(B35,T$35)*R35,0)),"")</f>
        <v>0</v>
      </c>
      <c r="T35" s="70">
        <f>IFERROR(VLOOKUP(A35,BUFFS!$H$5:$AF$195,20,),"")</f>
        <v>100</v>
      </c>
    </row>
    <row r="36" spans="1:27" x14ac:dyDescent="0.35">
      <c r="A36" s="17" t="s">
        <v>91</v>
      </c>
      <c r="B36" s="80">
        <v>2</v>
      </c>
      <c r="C36" s="177" t="s">
        <v>299</v>
      </c>
      <c r="D36" s="31">
        <f>IFERROR(VLOOKUP(A36,BUFFS!$H$5:$AF$195,8,),"")</f>
        <v>0</v>
      </c>
      <c r="E36" s="24">
        <f>IFERROR(SUM(H36,ROUNDDOWN(MIN(B36,T$35)*I36,0)),"")</f>
        <v>2</v>
      </c>
      <c r="F36" s="65" t="str">
        <f>IFERROR(VLOOKUP(A36,BUFFS!$H$5:$AF$195,5,),"")</f>
        <v>AC</v>
      </c>
      <c r="G36" s="66" t="str">
        <f>IFERROR(VLOOKUP(A36,BUFFS!$H$5:$AF$195,6,),"")</f>
        <v xml:space="preserve">Shield Bonus </v>
      </c>
      <c r="H36" s="67">
        <f>IFERROR(VLOOKUP(A36,BUFFS!$H$5:$AF$195,7,),"")</f>
        <v>0</v>
      </c>
      <c r="I36" s="66">
        <f>IFERROR(VLOOKUP(A36,BUFFS!$H$5:$AF$195,9,),"")</f>
        <v>1</v>
      </c>
      <c r="J36" s="65">
        <f>IFERROR(VLOOKUP(A36,BUFFS!$H$5:$AF$195,10,),"")</f>
        <v>0</v>
      </c>
      <c r="K36" s="66">
        <f>IFERROR(VLOOKUP(A36,BUFFS!$H$5:$AF$195,11,),"")</f>
        <v>0</v>
      </c>
      <c r="L36" s="66">
        <f>IFERROR(VLOOKUP(A36,BUFFS!$H$5:$AF$195,12,),"")</f>
        <v>0</v>
      </c>
      <c r="M36" s="66">
        <f>IFERROR(VLOOKUP(A36,BUFFS!$H$5:$AF$195,14,),"")</f>
        <v>0</v>
      </c>
      <c r="N36" s="68">
        <f>IFERROR(SUM(L36,ROUNDDOWN(MIN(B36,T$35)*M36,0)),"")</f>
        <v>0</v>
      </c>
      <c r="O36" s="65">
        <f>IFERROR(VLOOKUP(A36,BUFFS!$H$5:$AF$195,15,),"")</f>
        <v>0</v>
      </c>
      <c r="P36" s="66">
        <f>IFERROR(VLOOKUP(A36,BUFFS!$H$5:$AF$195,16,),"")</f>
        <v>0</v>
      </c>
      <c r="Q36" s="66">
        <f>IFERROR(VLOOKUP(A36,BUFFS!$H$5:$AF$195,17,),"")</f>
        <v>0</v>
      </c>
      <c r="R36" s="66">
        <f>IFERROR(VLOOKUP(A36,BUFFS!$H$5:$AF$195,19,),"")</f>
        <v>0</v>
      </c>
      <c r="S36" s="69">
        <f>IFERROR(SUM(Q36,ROUNDDOWN(MIN(B36,T$35)*R36,0)),"")</f>
        <v>0</v>
      </c>
      <c r="T36" s="70">
        <f>IFERROR(VLOOKUP(A36,BUFFS!$H$5:$AF$195,20,),"")</f>
        <v>100</v>
      </c>
    </row>
    <row r="37" spans="1:27" x14ac:dyDescent="0.35">
      <c r="A37" s="17" t="s">
        <v>158</v>
      </c>
      <c r="B37" s="80">
        <v>3</v>
      </c>
      <c r="C37" s="177" t="s">
        <v>299</v>
      </c>
      <c r="D37" s="31">
        <f>IFERROR(VLOOKUP(A37,BUFFS!$H$5:$AF$195,8,),"")</f>
        <v>0</v>
      </c>
      <c r="E37" s="24">
        <f>IFERROR(SUM(H37,ROUNDDOWN(MIN(B37,T$35)*I37,0)),"")</f>
        <v>3</v>
      </c>
      <c r="F37" s="65" t="str">
        <f>IFERROR(VLOOKUP(A37,BUFFS!$H$5:$AF$195,5,),"")</f>
        <v>AC</v>
      </c>
      <c r="G37" s="66" t="str">
        <f>IFERROR(VLOOKUP(A37,BUFFS!$H$5:$AF$195,6,),"")</f>
        <v xml:space="preserve">Enhancement Armor Bonus </v>
      </c>
      <c r="H37" s="67">
        <f>IFERROR(VLOOKUP(A37,BUFFS!$H$5:$AF$195,7,),"")</f>
        <v>0</v>
      </c>
      <c r="I37" s="66">
        <f>IFERROR(VLOOKUP(A37,BUFFS!$H$5:$AF$195,9,),"")</f>
        <v>1</v>
      </c>
      <c r="J37" s="65">
        <f>IFERROR(VLOOKUP(A37,BUFFS!$H$5:$AF$195,10,),"")</f>
        <v>0</v>
      </c>
      <c r="K37" s="66">
        <f>IFERROR(VLOOKUP(A37,BUFFS!$H$5:$AF$195,11,),"")</f>
        <v>0</v>
      </c>
      <c r="L37" s="66">
        <f>IFERROR(VLOOKUP(A37,BUFFS!$H$5:$AF$195,12,),"")</f>
        <v>0</v>
      </c>
      <c r="M37" s="66">
        <f>IFERROR(VLOOKUP(A37,BUFFS!$H$5:$AF$195,14,),"")</f>
        <v>0</v>
      </c>
      <c r="N37" s="68">
        <f>IFERROR(SUM(L37,ROUNDDOWN(MIN(B37,T$35)*M37,0)),"")</f>
        <v>0</v>
      </c>
      <c r="O37" s="65">
        <f>IFERROR(VLOOKUP(A37,BUFFS!$H$5:$AF$195,15,),"")</f>
        <v>0</v>
      </c>
      <c r="P37" s="66">
        <f>IFERROR(VLOOKUP(A37,BUFFS!$H$5:$AF$195,16,),"")</f>
        <v>0</v>
      </c>
      <c r="Q37" s="66">
        <f>IFERROR(VLOOKUP(A37,BUFFS!$H$5:$AF$195,17,),"")</f>
        <v>0</v>
      </c>
      <c r="R37" s="66">
        <f>IFERROR(VLOOKUP(A37,BUFFS!$H$5:$AF$195,19,),"")</f>
        <v>0</v>
      </c>
      <c r="S37" s="69">
        <f>IFERROR(SUM(Q37,ROUNDDOWN(MIN(B37,T$35)*R37,0)),"")</f>
        <v>0</v>
      </c>
      <c r="T37" s="70">
        <f>IFERROR(VLOOKUP(A37,BUFFS!$H$5:$AF$195,20,),"")</f>
        <v>100</v>
      </c>
    </row>
    <row r="38" spans="1:27" x14ac:dyDescent="0.35">
      <c r="A38" s="17" t="s">
        <v>92</v>
      </c>
      <c r="B38" s="80">
        <v>5</v>
      </c>
      <c r="C38" s="177" t="s">
        <v>299</v>
      </c>
      <c r="D38" s="31">
        <f>IFERROR(VLOOKUP(A38,BUFFS!$H$5:$AF$195,8,),"")</f>
        <v>0</v>
      </c>
      <c r="E38" s="24">
        <f>IFERROR(SUM(H38,ROUNDDOWN(MIN(B38,T$35)*I38,0)),"")</f>
        <v>5</v>
      </c>
      <c r="F38" s="65" t="str">
        <f>IFERROR(VLOOKUP(A38,BUFFS!$H$5:$AF$195,5,),"")</f>
        <v>FORT</v>
      </c>
      <c r="G38" s="66" t="str">
        <f>IFERROR(VLOOKUP(A38,BUFFS!$H$5:$AF$195,6,),"")</f>
        <v>Enhancement</v>
      </c>
      <c r="H38" s="67">
        <f>IFERROR(VLOOKUP(A38,BUFFS!$H$5:$AF$195,7,),"")</f>
        <v>0</v>
      </c>
      <c r="I38" s="66">
        <f>IFERROR(VLOOKUP(A38,BUFFS!$H$5:$AF$195,9,),"")</f>
        <v>1</v>
      </c>
      <c r="J38" s="65" t="str">
        <f>IFERROR(VLOOKUP(A38,BUFFS!$H$5:$AF$195,10,),"")</f>
        <v>REF</v>
      </c>
      <c r="K38" s="66" t="str">
        <f>IFERROR(VLOOKUP(A38,BUFFS!$H$5:$AF$195,11,),"")</f>
        <v>Enhancement</v>
      </c>
      <c r="L38" s="66">
        <f>IFERROR(VLOOKUP(A38,BUFFS!$H$5:$AF$195,12,),"")</f>
        <v>0</v>
      </c>
      <c r="M38" s="66">
        <f>IFERROR(VLOOKUP(A38,BUFFS!$H$5:$AF$195,14,),"")</f>
        <v>1</v>
      </c>
      <c r="N38" s="68">
        <f>IFERROR(SUM(L38,ROUNDDOWN(MIN(B38,T$35)*M38,0)),"")</f>
        <v>5</v>
      </c>
      <c r="O38" s="65" t="str">
        <f>IFERROR(VLOOKUP(A38,BUFFS!$H$5:$AF$195,15,),"")</f>
        <v>WILL</v>
      </c>
      <c r="P38" s="66" t="str">
        <f>IFERROR(VLOOKUP(A38,BUFFS!$H$5:$AF$195,16,),"")</f>
        <v>Enhancement</v>
      </c>
      <c r="Q38" s="66">
        <f>IFERROR(VLOOKUP(A38,BUFFS!$H$5:$AF$195,17,),"")</f>
        <v>0</v>
      </c>
      <c r="R38" s="66">
        <f>IFERROR(VLOOKUP(A38,BUFFS!$H$5:$AF$195,19,),"")</f>
        <v>1</v>
      </c>
      <c r="S38" s="69">
        <f>IFERROR(SUM(Q38,ROUNDDOWN(MIN(B38,T$35)*R38,0)),"")</f>
        <v>5</v>
      </c>
      <c r="T38" s="70">
        <f>IFERROR(VLOOKUP(A38,BUFFS!$H$5:$AF$195,20,),"")</f>
        <v>100</v>
      </c>
    </row>
    <row r="39" spans="1:27" x14ac:dyDescent="0.35">
      <c r="A39" s="17" t="s">
        <v>159</v>
      </c>
      <c r="B39" s="80">
        <v>2</v>
      </c>
      <c r="C39" s="177" t="s">
        <v>299</v>
      </c>
      <c r="D39" s="31">
        <f>IFERROR(VLOOKUP(A39,BUFFS!$H$5:$AF$195,8,),"")</f>
        <v>0</v>
      </c>
      <c r="E39" s="24">
        <f>IFERROR(SUM(H39,ROUNDDOWN(MIN(B39,T$35)*I39,0)),"")</f>
        <v>2</v>
      </c>
      <c r="F39" s="65" t="str">
        <f>IFERROR(VLOOKUP(A39,BUFFS!$H$5:$AF$195,5,),"")</f>
        <v>AC</v>
      </c>
      <c r="G39" s="66" t="str">
        <f>IFERROR(VLOOKUP(A39,BUFFS!$H$5:$AF$195,6,),"")</f>
        <v>Enhancement Shield Bonus</v>
      </c>
      <c r="H39" s="67">
        <f>IFERROR(VLOOKUP(A39,BUFFS!$H$5:$AF$195,7,),"")</f>
        <v>0</v>
      </c>
      <c r="I39" s="66">
        <f>IFERROR(VLOOKUP(A39,BUFFS!$H$5:$AF$195,9,),"")</f>
        <v>1</v>
      </c>
      <c r="J39" s="65">
        <f>IFERROR(VLOOKUP(A39,BUFFS!$H$5:$AF$195,10,),"")</f>
        <v>0</v>
      </c>
      <c r="K39" s="66">
        <f>IFERROR(VLOOKUP(A39,BUFFS!$H$5:$AF$195,11,),"")</f>
        <v>0</v>
      </c>
      <c r="L39" s="66">
        <f>IFERROR(VLOOKUP(A39,BUFFS!$H$5:$AF$195,12,),"")</f>
        <v>0</v>
      </c>
      <c r="M39" s="66">
        <f>IFERROR(VLOOKUP(A39,BUFFS!$H$5:$AF$195,14,),"")</f>
        <v>0</v>
      </c>
      <c r="N39" s="68">
        <f>IFERROR(SUM(L39,ROUNDDOWN(MIN(B39,T$35)*M39,0)),"")</f>
        <v>0</v>
      </c>
      <c r="O39" s="65">
        <f>IFERROR(VLOOKUP(A39,BUFFS!$H$5:$AF$195,15,),"")</f>
        <v>0</v>
      </c>
      <c r="P39" s="66">
        <f>IFERROR(VLOOKUP(A39,BUFFS!$H$5:$AF$195,16,),"")</f>
        <v>0</v>
      </c>
      <c r="Q39" s="66">
        <f>IFERROR(VLOOKUP(A39,BUFFS!$H$5:$AF$195,17,),"")</f>
        <v>0</v>
      </c>
      <c r="R39" s="66">
        <f>IFERROR(VLOOKUP(A39,BUFFS!$H$5:$AF$195,19,),"")</f>
        <v>0</v>
      </c>
      <c r="S39" s="69">
        <f>IFERROR(SUM(Q39,ROUNDDOWN(MIN(B39,T$35)*R39,0)),"")</f>
        <v>0</v>
      </c>
      <c r="T39" s="70">
        <f>IFERROR(VLOOKUP(A39,BUFFS!$H$5:$AF$195,20,),"")</f>
        <v>100</v>
      </c>
    </row>
    <row r="40" spans="1:27" x14ac:dyDescent="0.35">
      <c r="A40" s="17" t="s">
        <v>176</v>
      </c>
      <c r="B40" s="80">
        <v>2</v>
      </c>
      <c r="C40" s="177" t="s">
        <v>299</v>
      </c>
      <c r="D40" s="31">
        <f>IFERROR(VLOOKUP(A40,BUFFS!$H$5:$AF$195,8,),"")</f>
        <v>0</v>
      </c>
      <c r="E40" s="24">
        <f>IFERROR(SUM(H40,ROUNDDOWN(MIN(B40,T$35)*I40,0)),"")</f>
        <v>2</v>
      </c>
      <c r="F40" s="65" t="str">
        <f>IFERROR(VLOOKUP(A40,BUFFS!$H$5:$AF$195,5,),"")</f>
        <v>Constitution</v>
      </c>
      <c r="G40" s="66" t="str">
        <f>IFERROR(VLOOKUP(A40,BUFFS!$H$5:$AF$195,6,),"")</f>
        <v>Enhancement</v>
      </c>
      <c r="H40" s="67">
        <f>IFERROR(VLOOKUP(A40,BUFFS!$H$5:$AF$195,7,),"")</f>
        <v>0</v>
      </c>
      <c r="I40" s="66">
        <f>IFERROR(VLOOKUP(A40,BUFFS!$H$5:$AF$195,9,),"")</f>
        <v>1</v>
      </c>
      <c r="J40" s="65">
        <f>IFERROR(VLOOKUP(A40,BUFFS!$H$5:$AF$195,10,),"")</f>
        <v>0</v>
      </c>
      <c r="K40" s="66">
        <f>IFERROR(VLOOKUP(A40,BUFFS!$H$5:$AF$195,11,),"")</f>
        <v>0</v>
      </c>
      <c r="L40" s="66">
        <f>IFERROR(VLOOKUP(A40,BUFFS!$H$5:$AF$195,12,),"")</f>
        <v>0</v>
      </c>
      <c r="M40" s="66">
        <f>IFERROR(VLOOKUP(A40,BUFFS!$H$5:$AF$195,14,),"")</f>
        <v>0</v>
      </c>
      <c r="N40" s="68">
        <f>IFERROR(SUM(L40,ROUNDDOWN(MIN(B40,T$35)*M40,0)),"")</f>
        <v>0</v>
      </c>
      <c r="O40" s="65">
        <f>IFERROR(VLOOKUP(A40,BUFFS!$H$5:$AF$195,15,),"")</f>
        <v>0</v>
      </c>
      <c r="P40" s="66">
        <f>IFERROR(VLOOKUP(A40,BUFFS!$H$5:$AF$195,16,),"")</f>
        <v>0</v>
      </c>
      <c r="Q40" s="66">
        <f>IFERROR(VLOOKUP(A40,BUFFS!$H$5:$AF$195,17,),"")</f>
        <v>0</v>
      </c>
      <c r="R40" s="66">
        <f>IFERROR(VLOOKUP(A40,BUFFS!$H$5:$AF$195,19,),"")</f>
        <v>0</v>
      </c>
      <c r="S40" s="69">
        <f>IFERROR(SUM(Q40,ROUNDDOWN(MIN(B40,T$35)*R40,0)),"")</f>
        <v>0</v>
      </c>
      <c r="T40" s="70">
        <f>IFERROR(VLOOKUP(A40,BUFFS!$H$5:$AF$195,20,),"")</f>
        <v>100</v>
      </c>
    </row>
    <row r="41" spans="1:27" x14ac:dyDescent="0.35">
      <c r="A41" s="17" t="s">
        <v>222</v>
      </c>
      <c r="B41" s="80">
        <v>2</v>
      </c>
      <c r="C41" s="177" t="s">
        <v>299</v>
      </c>
      <c r="D41" s="31">
        <f>IFERROR(VLOOKUP(A41,BUFFS!$H$5:$AF$195,8,),"")</f>
        <v>0</v>
      </c>
      <c r="E41" s="24">
        <f>IFERROR(SUM(H41,ROUNDDOWN(MIN(B41,T$35)*I41,0)),"")</f>
        <v>2</v>
      </c>
      <c r="F41" s="65" t="str">
        <f>IFERROR(VLOOKUP(A41,BUFFS!$H$5:$AF$195,5,),"")</f>
        <v>Dexterity</v>
      </c>
      <c r="G41" s="66" t="str">
        <f>IFERROR(VLOOKUP(A41,BUFFS!$H$5:$AF$195,6,),"")</f>
        <v xml:space="preserve">Insight Bonus </v>
      </c>
      <c r="H41" s="67">
        <f>IFERROR(VLOOKUP(A41,BUFFS!$H$5:$AF$195,7,),"")</f>
        <v>0</v>
      </c>
      <c r="I41" s="66">
        <f>IFERROR(VLOOKUP(A41,BUFFS!$H$5:$AF$195,9,),"")</f>
        <v>1</v>
      </c>
      <c r="J41" s="65">
        <f>IFERROR(VLOOKUP(A41,BUFFS!$H$5:$AF$195,10,),"")</f>
        <v>0</v>
      </c>
      <c r="K41" s="66">
        <f>IFERROR(VLOOKUP(A41,BUFFS!$H$5:$AF$195,11,),"")</f>
        <v>0</v>
      </c>
      <c r="L41" s="66">
        <f>IFERROR(VLOOKUP(A41,BUFFS!$H$5:$AF$195,12,),"")</f>
        <v>0</v>
      </c>
      <c r="M41" s="66">
        <f>IFERROR(VLOOKUP(A41,BUFFS!$H$5:$AF$195,14,),"")</f>
        <v>0</v>
      </c>
      <c r="N41" s="68">
        <f>IFERROR(SUM(L41,ROUNDDOWN(MIN(B41,T$35)*M41,0)),"")</f>
        <v>0</v>
      </c>
      <c r="O41" s="65">
        <f>IFERROR(VLOOKUP(A41,BUFFS!$H$5:$AF$195,15,),"")</f>
        <v>0</v>
      </c>
      <c r="P41" s="66">
        <f>IFERROR(VLOOKUP(A41,BUFFS!$H$5:$AF$195,16,),"")</f>
        <v>0</v>
      </c>
      <c r="Q41" s="66">
        <f>IFERROR(VLOOKUP(A41,BUFFS!$H$5:$AF$195,17,),"")</f>
        <v>0</v>
      </c>
      <c r="R41" s="66">
        <f>IFERROR(VLOOKUP(A41,BUFFS!$H$5:$AF$195,19,),"")</f>
        <v>0</v>
      </c>
      <c r="S41" s="69">
        <f>IFERROR(SUM(Q41,ROUNDDOWN(MIN(B41,T$35)*R41,0)),"")</f>
        <v>0</v>
      </c>
      <c r="T41" s="70">
        <f>IFERROR(VLOOKUP(A41,BUFFS!$H$5:$AF$195,20,),"")</f>
        <v>100</v>
      </c>
    </row>
    <row r="42" spans="1:27" x14ac:dyDescent="0.35">
      <c r="A42" s="17" t="s">
        <v>321</v>
      </c>
      <c r="B42" s="80">
        <v>16</v>
      </c>
      <c r="C42" s="180">
        <v>15</v>
      </c>
      <c r="D42" s="31">
        <f>IFERROR(VLOOKUP(A42,BUFFS!$H$5:$AF$195,8,),"")</f>
        <v>0</v>
      </c>
      <c r="E42" s="24">
        <f>IFERROR(SUM(H42,ROUNDDOWN(MIN(B42,T$35)*I42,0)),"")</f>
        <v>3</v>
      </c>
      <c r="F42" s="65" t="str">
        <f>IFERROR(VLOOKUP(A42,BUFFS!$H$5:$AF$195,5,),"")</f>
        <v>attack</v>
      </c>
      <c r="G42" s="66" t="str">
        <f>IFERROR(VLOOKUP(A42,BUFFS!$H$5:$AF$195,6,),"")</f>
        <v xml:space="preserve">Morale Modifier </v>
      </c>
      <c r="H42" s="67">
        <f>IFERROR(VLOOKUP(A42,BUFFS!$H$5:$AF$195,7,),"")</f>
        <v>3</v>
      </c>
      <c r="I42" s="66">
        <f>IFERROR(VLOOKUP(A42,BUFFS!$H$5:$AF$195,9,),"")</f>
        <v>0</v>
      </c>
      <c r="J42" s="65" t="str">
        <f>IFERROR(VLOOKUP(A42,BUFFS!$H$5:$AF$195,10,),"")</f>
        <v>damage</v>
      </c>
      <c r="K42" s="66" t="str">
        <f>IFERROR(VLOOKUP(A42,BUFFS!$H$5:$AF$195,11,),"")</f>
        <v xml:space="preserve">Morale Modifier </v>
      </c>
      <c r="L42" s="66">
        <f>IFERROR(VLOOKUP(A42,BUFFS!$H$5:$AF$195,12,),"")</f>
        <v>3</v>
      </c>
      <c r="M42" s="66">
        <f>IFERROR(VLOOKUP(A42,BUFFS!$H$5:$AF$195,14,),"")</f>
        <v>0</v>
      </c>
      <c r="N42" s="68">
        <f>IFERROR(SUM(L42,ROUNDDOWN(MIN(B42,T$35)*M42,0)),"")</f>
        <v>3</v>
      </c>
      <c r="O42" s="65">
        <f>IFERROR(VLOOKUP(A42,BUFFS!$H$5:$AF$195,15,),"")</f>
        <v>0</v>
      </c>
      <c r="P42" s="66">
        <f>IFERROR(VLOOKUP(A42,BUFFS!$H$5:$AF$195,16,),"")</f>
        <v>0</v>
      </c>
      <c r="Q42" s="66">
        <f>IFERROR(VLOOKUP(A42,BUFFS!$H$5:$AF$195,17,),"")</f>
        <v>0</v>
      </c>
      <c r="R42" s="66">
        <f>IFERROR(VLOOKUP(A42,BUFFS!$H$5:$AF$195,19,),"")</f>
        <v>0</v>
      </c>
      <c r="S42" s="69">
        <f>IFERROR(SUM(Q42,ROUNDDOWN(MIN(B42,T$35)*R42,0)),"")</f>
        <v>0</v>
      </c>
      <c r="T42" s="70">
        <f>IFERROR(VLOOKUP(A42,BUFFS!$H$5:$AF$195,20,),"")</f>
        <v>100</v>
      </c>
    </row>
    <row r="43" spans="1:27" x14ac:dyDescent="0.35">
      <c r="A43" s="17" t="s">
        <v>189</v>
      </c>
      <c r="B43" s="80">
        <v>2</v>
      </c>
      <c r="C43" s="179" t="s">
        <v>299</v>
      </c>
      <c r="D43" s="31">
        <f>IFERROR(VLOOKUP(A43,BUFFS!$H$5:$AF$195,8,),"")</f>
        <v>0</v>
      </c>
      <c r="E43" s="24">
        <f>IFERROR(SUM(H43,ROUNDDOWN(MIN(B43,T$35)*I43,0)),"")</f>
        <v>2</v>
      </c>
      <c r="F43" s="65" t="str">
        <f>IFERROR(VLOOKUP(A43,BUFFS!$H$5:$AF$195,5,),"")</f>
        <v>AC</v>
      </c>
      <c r="G43" s="66" t="str">
        <f>IFERROR(VLOOKUP(A43,BUFFS!$H$5:$AF$195,6,),"")</f>
        <v xml:space="preserve">Deflection Bonus </v>
      </c>
      <c r="H43" s="67">
        <f>IFERROR(VLOOKUP(A43,BUFFS!$H$5:$AF$195,7,),"")</f>
        <v>0</v>
      </c>
      <c r="I43" s="66">
        <f>IFERROR(VLOOKUP(A43,BUFFS!$H$5:$AF$195,9,),"")</f>
        <v>1</v>
      </c>
      <c r="J43" s="65">
        <f>IFERROR(VLOOKUP(A43,BUFFS!$H$5:$AF$195,10,),"")</f>
        <v>0</v>
      </c>
      <c r="K43" s="66">
        <f>IFERROR(VLOOKUP(A43,BUFFS!$H$5:$AF$195,11,),"")</f>
        <v>0</v>
      </c>
      <c r="L43" s="66">
        <f>IFERROR(VLOOKUP(A43,BUFFS!$H$5:$AF$195,12,),"")</f>
        <v>0</v>
      </c>
      <c r="M43" s="66">
        <f>IFERROR(VLOOKUP(A43,BUFFS!$H$5:$AF$195,14,),"")</f>
        <v>0</v>
      </c>
      <c r="N43" s="68">
        <f>IFERROR(SUM(L43,ROUNDDOWN(MIN(B43,T$35)*M43,0)),"")</f>
        <v>0</v>
      </c>
      <c r="O43" s="65">
        <f>IFERROR(VLOOKUP(A43,BUFFS!$H$5:$AF$195,15,),"")</f>
        <v>0</v>
      </c>
      <c r="P43" s="66">
        <f>IFERROR(VLOOKUP(A43,BUFFS!$H$5:$AF$195,16,),"")</f>
        <v>0</v>
      </c>
      <c r="Q43" s="66">
        <f>IFERROR(VLOOKUP(A43,BUFFS!$H$5:$AF$195,17,),"")</f>
        <v>0</v>
      </c>
      <c r="R43" s="66">
        <f>IFERROR(VLOOKUP(A43,BUFFS!$H$5:$AF$195,19,),"")</f>
        <v>0</v>
      </c>
      <c r="S43" s="69">
        <f>IFERROR(SUM(Q43,ROUNDDOWN(MIN(B43,T$35)*R43,0)),"")</f>
        <v>0</v>
      </c>
      <c r="T43" s="70">
        <f>IFERROR(VLOOKUP(A43,BUFFS!$H$5:$AF$195,20,),"")</f>
        <v>100</v>
      </c>
    </row>
    <row r="44" spans="1:27" x14ac:dyDescent="0.35">
      <c r="A44" s="17" t="s">
        <v>218</v>
      </c>
      <c r="B44" s="80">
        <v>6</v>
      </c>
      <c r="C44" s="178" t="s">
        <v>299</v>
      </c>
      <c r="D44" s="31">
        <f>IFERROR(VLOOKUP(A44,BUFFS!$H$5:$AF$195,8,),"")</f>
        <v>0</v>
      </c>
      <c r="E44" s="24">
        <f>IFERROR(SUM(H44,ROUNDDOWN(MIN(B44,T$35)*I44,0)),"")</f>
        <v>6</v>
      </c>
      <c r="F44" s="65" t="str">
        <f>IFERROR(VLOOKUP(A44,BUFFS!$H$5:$AF$195,5,),"")</f>
        <v>Dexterity</v>
      </c>
      <c r="G44" s="66" t="str">
        <f>IFERROR(VLOOKUP(A44,BUFFS!$H$5:$AF$195,6,),"")</f>
        <v>Enhancement</v>
      </c>
      <c r="H44" s="67">
        <f>IFERROR(VLOOKUP(A44,BUFFS!$H$5:$AF$195,7,),"")</f>
        <v>0</v>
      </c>
      <c r="I44" s="66">
        <f>IFERROR(VLOOKUP(A44,BUFFS!$H$5:$AF$195,9,),"")</f>
        <v>1</v>
      </c>
      <c r="J44" s="65">
        <f>IFERROR(VLOOKUP(A44,BUFFS!$H$5:$AF$195,10,),"")</f>
        <v>0</v>
      </c>
      <c r="K44" s="66">
        <f>IFERROR(VLOOKUP(A44,BUFFS!$H$5:$AF$195,11,),"")</f>
        <v>0</v>
      </c>
      <c r="L44" s="66">
        <f>IFERROR(VLOOKUP(A44,BUFFS!$H$5:$AF$195,12,),"")</f>
        <v>0</v>
      </c>
      <c r="M44" s="66">
        <f>IFERROR(VLOOKUP(A44,BUFFS!$H$5:$AF$195,14,),"")</f>
        <v>0</v>
      </c>
      <c r="N44" s="68">
        <f>IFERROR(SUM(L44,ROUNDDOWN(MIN(B44,T$35)*M44,0)),"")</f>
        <v>0</v>
      </c>
      <c r="O44" s="65">
        <f>IFERROR(VLOOKUP(A44,BUFFS!$H$5:$AF$195,15,),"")</f>
        <v>0</v>
      </c>
      <c r="P44" s="66">
        <f>IFERROR(VLOOKUP(A44,BUFFS!$H$5:$AF$195,16,),"")</f>
        <v>0</v>
      </c>
      <c r="Q44" s="66">
        <f>IFERROR(VLOOKUP(A44,BUFFS!$H$5:$AF$195,17,),"")</f>
        <v>0</v>
      </c>
      <c r="R44" s="66">
        <f>IFERROR(VLOOKUP(A44,BUFFS!$H$5:$AF$195,19,),"")</f>
        <v>0</v>
      </c>
      <c r="S44" s="69">
        <f>IFERROR(SUM(Q44,ROUNDDOWN(MIN(B44,T$35)*R44,0)),"")</f>
        <v>0</v>
      </c>
      <c r="T44" s="70">
        <f>IFERROR(VLOOKUP(A44,BUFFS!$H$5:$AF$195,20,),"")</f>
        <v>100</v>
      </c>
    </row>
    <row r="45" spans="1:27" x14ac:dyDescent="0.35">
      <c r="A45" s="17" t="s">
        <v>295</v>
      </c>
      <c r="B45" s="80">
        <v>17</v>
      </c>
      <c r="C45" s="180">
        <v>160</v>
      </c>
      <c r="D45" s="31">
        <f>IFERROR(VLOOKUP(A45,BUFFS!$H$5:$AF$195,8,),"")</f>
        <v>2</v>
      </c>
      <c r="E45" s="24">
        <f>IFERROR(SUM(H45,ROUNDDOWN(MIN(B45,T$35)*I45,0)),"")</f>
        <v>2</v>
      </c>
      <c r="F45" s="65" t="str">
        <f>IFERROR(VLOOKUP(A45,BUFFS!$H$5:$AF$195,5,),"")</f>
        <v>FORT</v>
      </c>
      <c r="G45" s="66" t="str">
        <f>IFERROR(VLOOKUP(A45,BUFFS!$H$5:$AF$195,6,),"")</f>
        <v xml:space="preserve">Luck Modifier </v>
      </c>
      <c r="H45" s="67">
        <f>IFERROR(VLOOKUP(A45,BUFFS!$H$5:$AF$195,7,),"")</f>
        <v>2</v>
      </c>
      <c r="I45" s="66">
        <f>IFERROR(VLOOKUP(A45,BUFFS!$H$5:$AF$195,9,),"")</f>
        <v>0</v>
      </c>
      <c r="J45" s="65" t="str">
        <f>IFERROR(VLOOKUP(A45,BUFFS!$H$5:$AF$195,10,),"")</f>
        <v>REF</v>
      </c>
      <c r="K45" s="66" t="str">
        <f>IFERROR(VLOOKUP(A45,BUFFS!$H$5:$AF$195,11,),"")</f>
        <v xml:space="preserve">Luck Modifier </v>
      </c>
      <c r="L45" s="66">
        <f>IFERROR(VLOOKUP(A45,BUFFS!$H$5:$AF$195,12,),"")</f>
        <v>2</v>
      </c>
      <c r="M45" s="66">
        <f>IFERROR(VLOOKUP(A45,BUFFS!$H$5:$AF$195,14,),"")</f>
        <v>0</v>
      </c>
      <c r="N45" s="68">
        <f>IFERROR(SUM(L45,ROUNDDOWN(MIN(B45,T$35)*M45,0)),"")</f>
        <v>2</v>
      </c>
      <c r="O45" s="65" t="str">
        <f>IFERROR(VLOOKUP(A45,BUFFS!$H$5:$AF$195,15,),"")</f>
        <v>WILL</v>
      </c>
      <c r="P45" s="66" t="str">
        <f>IFERROR(VLOOKUP(A45,BUFFS!$H$5:$AF$195,16,),"")</f>
        <v xml:space="preserve">Luck Modifier </v>
      </c>
      <c r="Q45" s="66">
        <f>IFERROR(VLOOKUP(A45,BUFFS!$H$5:$AF$195,17,),"")</f>
        <v>2</v>
      </c>
      <c r="R45" s="66">
        <f>IFERROR(VLOOKUP(A45,BUFFS!$H$5:$AF$195,19,),"")</f>
        <v>0</v>
      </c>
      <c r="S45" s="69">
        <f>IFERROR(SUM(Q45,ROUNDDOWN(MIN(B45,T$35)*R45,0)),"")</f>
        <v>2</v>
      </c>
      <c r="T45" s="70">
        <f>IFERROR(VLOOKUP(A45,BUFFS!$H$5:$AF$195,20,),"")</f>
        <v>100</v>
      </c>
    </row>
    <row r="46" spans="1:27" x14ac:dyDescent="0.35">
      <c r="A46" s="17"/>
      <c r="B46" s="80">
        <v>12</v>
      </c>
      <c r="C46" s="180">
        <v>90000</v>
      </c>
      <c r="D46" s="31" t="str">
        <f>IFERROR(VLOOKUP(A46,BUFFS!$H$5:$AF$195,8,),"")</f>
        <v/>
      </c>
      <c r="E46" s="24" t="str">
        <f>IFERROR(SUM(H46,ROUNDDOWN(MIN(B46,T$35)*I46,0)),"")</f>
        <v/>
      </c>
      <c r="F46" s="65" t="str">
        <f>IFERROR(VLOOKUP(A46,BUFFS!$H$5:$AF$195,5,),"")</f>
        <v/>
      </c>
      <c r="G46" s="66" t="str">
        <f>IFERROR(VLOOKUP(A46,BUFFS!$H$5:$AF$195,6,),"")</f>
        <v/>
      </c>
      <c r="H46" s="67" t="str">
        <f>IFERROR(VLOOKUP(A46,BUFFS!$H$5:$AF$195,7,),"")</f>
        <v/>
      </c>
      <c r="I46" s="66" t="str">
        <f>IFERROR(VLOOKUP(A46,BUFFS!$H$5:$AF$195,9,),"")</f>
        <v/>
      </c>
      <c r="J46" s="65" t="str">
        <f>IFERROR(VLOOKUP(A46,BUFFS!$H$5:$AF$195,10,),"")</f>
        <v/>
      </c>
      <c r="K46" s="66" t="str">
        <f>IFERROR(VLOOKUP(A46,BUFFS!$H$5:$AF$195,11,),"")</f>
        <v/>
      </c>
      <c r="L46" s="66" t="str">
        <f>IFERROR(VLOOKUP(A46,BUFFS!$H$5:$AF$195,12,),"")</f>
        <v/>
      </c>
      <c r="M46" s="66" t="str">
        <f>IFERROR(VLOOKUP(A46,BUFFS!$H$5:$AF$195,14,),"")</f>
        <v/>
      </c>
      <c r="N46" s="68" t="str">
        <f>IFERROR(SUM(L46,ROUNDDOWN(MIN(B46,T$35)*M46,0)),"")</f>
        <v/>
      </c>
      <c r="O46" s="65" t="str">
        <f>IFERROR(VLOOKUP(A46,BUFFS!$H$5:$AF$195,15,),"")</f>
        <v/>
      </c>
      <c r="P46" s="66" t="str">
        <f>IFERROR(VLOOKUP(A46,BUFFS!$H$5:$AF$195,16,),"")</f>
        <v/>
      </c>
      <c r="Q46" s="66" t="str">
        <f>IFERROR(VLOOKUP(A46,BUFFS!$H$5:$AF$195,17,),"")</f>
        <v/>
      </c>
      <c r="R46" s="66" t="str">
        <f>IFERROR(VLOOKUP(A46,BUFFS!$H$5:$AF$195,19,),"")</f>
        <v/>
      </c>
      <c r="S46" s="69" t="str">
        <f>IFERROR(SUM(Q46,ROUNDDOWN(MIN(B46,T$35)*R46,0)),"")</f>
        <v/>
      </c>
      <c r="T46" s="70" t="str">
        <f>IFERROR(VLOOKUP(A46,BUFFS!$H$5:$AF$195,20,),"")</f>
        <v/>
      </c>
    </row>
    <row r="47" spans="1:27" x14ac:dyDescent="0.35">
      <c r="A47" s="17" t="s">
        <v>226</v>
      </c>
      <c r="B47" s="80">
        <v>17</v>
      </c>
      <c r="C47" s="180" t="s">
        <v>301</v>
      </c>
      <c r="D47" s="31">
        <f>IFERROR(VLOOKUP(A47,BUFFS!$H$5:$AF$195,8,),"")</f>
        <v>2</v>
      </c>
      <c r="E47" s="24">
        <f>IFERROR(SUM(H47,ROUNDDOWN(MIN(B47,T$35)*I47,0)),"")</f>
        <v>4</v>
      </c>
      <c r="F47" s="65" t="str">
        <f>IFERROR(VLOOKUP(A47,BUFFS!$H$5:$AF$195,5,),"")</f>
        <v>FORT</v>
      </c>
      <c r="G47" s="66" t="str">
        <f>IFERROR(VLOOKUP(A47,BUFFS!$H$5:$AF$195,6,),"")</f>
        <v>Sacred Modifier</v>
      </c>
      <c r="H47" s="67">
        <f>IFERROR(VLOOKUP(A47,BUFFS!$H$5:$AF$195,7,),"")</f>
        <v>4</v>
      </c>
      <c r="I47" s="66">
        <f>IFERROR(VLOOKUP(A47,BUFFS!$H$5:$AF$195,9,),"")</f>
        <v>0</v>
      </c>
      <c r="J47" s="65" t="str">
        <f>IFERROR(VLOOKUP(A47,BUFFS!$H$5:$AF$195,10,),"")</f>
        <v>REF</v>
      </c>
      <c r="K47" s="66" t="str">
        <f>IFERROR(VLOOKUP(A47,BUFFS!$H$5:$AF$195,11,),"")</f>
        <v>Sacred Modifier</v>
      </c>
      <c r="L47" s="66">
        <f>IFERROR(VLOOKUP(A47,BUFFS!$H$5:$AF$195,12,),"")</f>
        <v>4</v>
      </c>
      <c r="M47" s="66">
        <f>IFERROR(VLOOKUP(A47,BUFFS!$H$5:$AF$195,14,),"")</f>
        <v>0</v>
      </c>
      <c r="N47" s="68">
        <f>IFERROR(SUM(L47,ROUNDDOWN(MIN(B47,T$35)*M47,0)),"")</f>
        <v>4</v>
      </c>
      <c r="O47" s="65" t="str">
        <f>IFERROR(VLOOKUP(A47,BUFFS!$H$5:$AF$195,15,),"")</f>
        <v>WILL</v>
      </c>
      <c r="P47" s="66" t="str">
        <f>IFERROR(VLOOKUP(A47,BUFFS!$H$5:$AF$195,16,),"")</f>
        <v>Sacred Modifier</v>
      </c>
      <c r="Q47" s="66">
        <f>IFERROR(VLOOKUP(A47,BUFFS!$H$5:$AF$195,17,),"")</f>
        <v>4</v>
      </c>
      <c r="R47" s="66">
        <f>IFERROR(VLOOKUP(A47,BUFFS!$H$5:$AF$195,19,),"")</f>
        <v>0</v>
      </c>
      <c r="S47" s="69">
        <f>IFERROR(SUM(Q47,ROUNDDOWN(MIN(B47,T$35)*R47,0)),"")</f>
        <v>4</v>
      </c>
      <c r="T47" s="70">
        <f>IFERROR(VLOOKUP(A47,BUFFS!$H$5:$AF$195,20,),"")</f>
        <v>100</v>
      </c>
    </row>
    <row r="48" spans="1:27" x14ac:dyDescent="0.35">
      <c r="A48" s="17" t="s">
        <v>194</v>
      </c>
      <c r="B48" s="80">
        <v>17</v>
      </c>
      <c r="C48" s="81">
        <v>5464</v>
      </c>
      <c r="D48" s="31">
        <f>IFERROR(VLOOKUP(A48,BUFFS!$H$5:$AF$195,8,),"")</f>
        <v>2</v>
      </c>
      <c r="E48" s="24">
        <f>IFERROR(SUM(H48,ROUNDDOWN(MIN(B48,T$35)*I48,0)),"")</f>
        <v>6</v>
      </c>
      <c r="F48" s="65" t="str">
        <f>IFERROR(VLOOKUP(A48,BUFFS!$H$5:$AF$195,5,),"")</f>
        <v>AC</v>
      </c>
      <c r="G48" s="66" t="str">
        <f>IFERROR(VLOOKUP(A48,BUFFS!$H$5:$AF$195,6,),"")</f>
        <v xml:space="preserve">Natural Armor Bonus </v>
      </c>
      <c r="H48" s="67">
        <f>IFERROR(VLOOKUP(A48,BUFFS!$H$5:$AF$195,7,),"")</f>
        <v>6</v>
      </c>
      <c r="I48" s="66">
        <f>IFERROR(VLOOKUP(A48,BUFFS!$H$5:$AF$195,9,),"")</f>
        <v>0</v>
      </c>
      <c r="J48" s="65">
        <f>IFERROR(VLOOKUP(A48,BUFFS!$H$5:$AF$195,10,),"")</f>
        <v>0</v>
      </c>
      <c r="K48" s="66">
        <f>IFERROR(VLOOKUP(A48,BUFFS!$H$5:$AF$195,11,),"")</f>
        <v>0</v>
      </c>
      <c r="L48" s="66">
        <f>IFERROR(VLOOKUP(A48,BUFFS!$H$5:$AF$195,12,),"")</f>
        <v>0</v>
      </c>
      <c r="M48" s="66">
        <f>IFERROR(VLOOKUP(A48,BUFFS!$H$5:$AF$195,14,),"")</f>
        <v>0</v>
      </c>
      <c r="N48" s="68">
        <f>IFERROR(SUM(L48,ROUNDDOWN(MIN(B48,T$35)*M48,0)),"")</f>
        <v>0</v>
      </c>
      <c r="O48" s="65">
        <f>IFERROR(VLOOKUP(A48,BUFFS!$H$5:$AF$195,15,),"")</f>
        <v>0</v>
      </c>
      <c r="P48" s="66">
        <f>IFERROR(VLOOKUP(A48,BUFFS!$H$5:$AF$195,16,),"")</f>
        <v>0</v>
      </c>
      <c r="Q48" s="66">
        <f>IFERROR(VLOOKUP(A48,BUFFS!$H$5:$AF$195,17,),"")</f>
        <v>0</v>
      </c>
      <c r="R48" s="66">
        <f>IFERROR(VLOOKUP(A48,BUFFS!$H$5:$AF$195,19,),"")</f>
        <v>0</v>
      </c>
      <c r="S48" s="69">
        <f>IFERROR(SUM(Q48,ROUNDDOWN(MIN(B48,T$35)*R48,0)),"")</f>
        <v>0</v>
      </c>
      <c r="T48" s="70">
        <f>IFERROR(VLOOKUP(A48,BUFFS!$H$5:$AF$195,20,),"")</f>
        <v>100</v>
      </c>
    </row>
    <row r="49" spans="1:20" x14ac:dyDescent="0.35">
      <c r="A49" s="17" t="s">
        <v>61</v>
      </c>
      <c r="B49" s="80">
        <v>17</v>
      </c>
      <c r="C49" s="180">
        <v>200</v>
      </c>
      <c r="D49" s="31">
        <f>IFERROR(VLOOKUP(A49,BUFFS!$H$5:$AF$195,8,),"")</f>
        <v>3</v>
      </c>
      <c r="E49" s="24">
        <f>IFERROR(SUM(H49,ROUNDDOWN(MIN(B49,T$35)*I49,0)),"")</f>
        <v>4</v>
      </c>
      <c r="F49" s="65" t="str">
        <f>IFERROR(VLOOKUP(A49,BUFFS!$H$5:$AF$195,5,),"")</f>
        <v>AC</v>
      </c>
      <c r="G49" s="66" t="str">
        <f>IFERROR(VLOOKUP(A49,BUFFS!$H$5:$AF$195,6,),"")</f>
        <v xml:space="preserve">Enhancement Armor Bonus </v>
      </c>
      <c r="H49" s="67">
        <f>IFERROR(VLOOKUP(A49,BUFFS!$H$5:$AF$195,7,),"")</f>
        <v>0</v>
      </c>
      <c r="I49" s="66">
        <f>IFERROR(VLOOKUP(A49,BUFFS!$H$5:$AF$195,9,),"")</f>
        <v>0.25</v>
      </c>
      <c r="J49" s="65">
        <f>IFERROR(VLOOKUP(A49,BUFFS!$H$5:$AF$195,10,),"")</f>
        <v>0</v>
      </c>
      <c r="K49" s="66">
        <f>IFERROR(VLOOKUP(A49,BUFFS!$H$5:$AF$195,11,),"")</f>
        <v>0</v>
      </c>
      <c r="L49" s="66">
        <f>IFERROR(VLOOKUP(A49,BUFFS!$H$5:$AF$195,12,),"")</f>
        <v>0</v>
      </c>
      <c r="M49" s="66">
        <f>IFERROR(VLOOKUP(A49,BUFFS!$H$5:$AF$195,14,),"")</f>
        <v>0</v>
      </c>
      <c r="N49" s="68">
        <f>IFERROR(SUM(L49,ROUNDDOWN(MIN(B49,T$35)*M49,0)),"")</f>
        <v>0</v>
      </c>
      <c r="O49" s="65">
        <f>IFERROR(VLOOKUP(A49,BUFFS!$H$5:$AF$195,15,),"")</f>
        <v>0</v>
      </c>
      <c r="P49" s="66">
        <f>IFERROR(VLOOKUP(A49,BUFFS!$H$5:$AF$195,16,),"")</f>
        <v>0</v>
      </c>
      <c r="Q49" s="66">
        <f>IFERROR(VLOOKUP(A49,BUFFS!$H$5:$AF$195,17,),"")</f>
        <v>0</v>
      </c>
      <c r="R49" s="66">
        <f>IFERROR(VLOOKUP(A49,BUFFS!$H$5:$AF$195,19,),"")</f>
        <v>0</v>
      </c>
      <c r="S49" s="69">
        <f>IFERROR(SUM(Q49,ROUNDDOWN(MIN(B49,T$35)*R49,0)),"")</f>
        <v>0</v>
      </c>
      <c r="T49" s="70">
        <f>IFERROR(VLOOKUP(A49,BUFFS!$H$5:$AF$195,20,),"")</f>
        <v>20</v>
      </c>
    </row>
    <row r="50" spans="1:20" x14ac:dyDescent="0.35">
      <c r="A50" s="17" t="s">
        <v>290</v>
      </c>
      <c r="B50" s="80">
        <v>17</v>
      </c>
      <c r="C50" s="180">
        <v>900000</v>
      </c>
      <c r="D50" s="31">
        <f>IFERROR(VLOOKUP(A50,BUFFS!$H$5:$AF$195,8,),"")</f>
        <v>3</v>
      </c>
      <c r="E50" s="24">
        <f>IFERROR(SUM(H50,ROUNDDOWN(MIN(B50,T$35)*I50,0)),"")</f>
        <v>4</v>
      </c>
      <c r="F50" s="65" t="str">
        <f>IFERROR(VLOOKUP(A50,BUFFS!$H$5:$AF$195,5,),"")</f>
        <v>FORT</v>
      </c>
      <c r="G50" s="66" t="str">
        <f>IFERROR(VLOOKUP(A50,BUFFS!$H$5:$AF$195,6,),"")</f>
        <v xml:space="preserve">Morale Modifier </v>
      </c>
      <c r="H50" s="67">
        <f>IFERROR(VLOOKUP(A50,BUFFS!$H$5:$AF$195,7,),"")</f>
        <v>2</v>
      </c>
      <c r="I50" s="66">
        <f>IFERROR(VLOOKUP(A50,BUFFS!$H$5:$AF$195,9,),"")</f>
        <v>0.16666666666666666</v>
      </c>
      <c r="J50" s="65" t="str">
        <f>IFERROR(VLOOKUP(A50,BUFFS!$H$5:$AF$195,10,),"")</f>
        <v>REF</v>
      </c>
      <c r="K50" s="66" t="str">
        <f>IFERROR(VLOOKUP(A50,BUFFS!$H$5:$AF$195,11,),"")</f>
        <v xml:space="preserve">Morale Modifier </v>
      </c>
      <c r="L50" s="66">
        <f>IFERROR(VLOOKUP(A50,BUFFS!$H$5:$AF$195,12,),"")</f>
        <v>2</v>
      </c>
      <c r="M50" s="66">
        <f>IFERROR(VLOOKUP(A50,BUFFS!$H$5:$AF$195,14,),"")</f>
        <v>0.16666666666666666</v>
      </c>
      <c r="N50" s="68">
        <f>IFERROR(SUM(L50,ROUNDDOWN(MIN(B50,T$35)*M50,0)),"")</f>
        <v>4</v>
      </c>
      <c r="O50" s="65" t="str">
        <f>IFERROR(VLOOKUP(A50,BUFFS!$H$5:$AF$195,15,),"")</f>
        <v>WILL</v>
      </c>
      <c r="P50" s="66" t="str">
        <f>IFERROR(VLOOKUP(A50,BUFFS!$H$5:$AF$195,16,),"")</f>
        <v xml:space="preserve">Morale Modifier </v>
      </c>
      <c r="Q50" s="66">
        <f>IFERROR(VLOOKUP(A50,BUFFS!$H$5:$AF$195,17,),"")</f>
        <v>2</v>
      </c>
      <c r="R50" s="66">
        <f>IFERROR(VLOOKUP(A50,BUFFS!$H$5:$AF$195,19,),"")</f>
        <v>0.16666666666666666</v>
      </c>
      <c r="S50" s="69">
        <f>IFERROR(SUM(Q50,ROUNDDOWN(MIN(B50,T$35)*R50,0)),"")</f>
        <v>4</v>
      </c>
      <c r="T50" s="70">
        <f>IFERROR(VLOOKUP(A50,BUFFS!$H$5:$AF$195,20,),"")</f>
        <v>100</v>
      </c>
    </row>
    <row r="51" spans="1:20" x14ac:dyDescent="0.35">
      <c r="A51" s="17" t="s">
        <v>308</v>
      </c>
      <c r="B51" s="80">
        <v>17</v>
      </c>
      <c r="C51" s="180">
        <v>900000</v>
      </c>
      <c r="D51" s="31">
        <f>IFERROR(VLOOKUP(A51,BUFFS!$H$5:$AF$195,8,),"")</f>
        <v>3</v>
      </c>
      <c r="E51" s="24">
        <f>IFERROR(SUM(H51,ROUNDDOWN(MIN(B51,T$35)*I51,0)),"")</f>
        <v>5</v>
      </c>
      <c r="F51" s="65" t="str">
        <f>IFERROR(VLOOKUP(A51,BUFFS!$H$5:$AF$195,5,),"")</f>
        <v>AC</v>
      </c>
      <c r="G51" s="66" t="str">
        <f>IFERROR(VLOOKUP(A51,BUFFS!$H$5:$AF$195,6,),"")</f>
        <v>Enhancement to Natural Armor Bonus</v>
      </c>
      <c r="H51" s="67">
        <f>IFERROR(VLOOKUP(A51,BUFFS!$H$5:$AF$195,7,),"")</f>
        <v>0</v>
      </c>
      <c r="I51" s="66">
        <f>IFERROR(VLOOKUP(A51,BUFFS!$H$5:$AF$195,9,),"")</f>
        <v>0.33329999999999999</v>
      </c>
      <c r="J51" s="65">
        <f>IFERROR(VLOOKUP(A51,BUFFS!$H$5:$AF$195,10,),"")</f>
        <v>0</v>
      </c>
      <c r="K51" s="66">
        <f>IFERROR(VLOOKUP(A51,BUFFS!$H$5:$AF$195,11,),"")</f>
        <v>0</v>
      </c>
      <c r="L51" s="66">
        <f>IFERROR(VLOOKUP(A51,BUFFS!$H$5:$AF$195,12,),"")</f>
        <v>0</v>
      </c>
      <c r="M51" s="66">
        <f>IFERROR(VLOOKUP(A51,BUFFS!$H$5:$AF$195,14,),"")</f>
        <v>0</v>
      </c>
      <c r="N51" s="68">
        <f>IFERROR(SUM(L51,ROUNDDOWN(MIN(B51,T$35)*M51,0)),"")</f>
        <v>0</v>
      </c>
      <c r="O51" s="65">
        <f>IFERROR(VLOOKUP(A51,BUFFS!$H$5:$AF$195,15,),"")</f>
        <v>0</v>
      </c>
      <c r="P51" s="66">
        <f>IFERROR(VLOOKUP(A51,BUFFS!$H$5:$AF$195,16,),"")</f>
        <v>0</v>
      </c>
      <c r="Q51" s="66">
        <f>IFERROR(VLOOKUP(A51,BUFFS!$H$5:$AF$195,17,),"")</f>
        <v>0</v>
      </c>
      <c r="R51" s="66">
        <f>IFERROR(VLOOKUP(A51,BUFFS!$H$5:$AF$195,19,),"")</f>
        <v>0</v>
      </c>
      <c r="S51" s="69">
        <f>IFERROR(SUM(Q51,ROUNDDOWN(MIN(B51,T$35)*R51,0)),"")</f>
        <v>0</v>
      </c>
      <c r="T51" s="70">
        <f>IFERROR(VLOOKUP(A51,BUFFS!$H$5:$AF$195,20,),"")</f>
        <v>12</v>
      </c>
    </row>
    <row r="52" spans="1:20" x14ac:dyDescent="0.35">
      <c r="A52" s="17" t="s">
        <v>60</v>
      </c>
      <c r="B52" s="80">
        <v>17</v>
      </c>
      <c r="C52" s="177">
        <v>5646464</v>
      </c>
      <c r="D52" s="31">
        <f>IFERROR(VLOOKUP(A52,BUFFS!$H$5:$AF$195,8,),"")</f>
        <v>3</v>
      </c>
      <c r="E52" s="24">
        <f>IFERROR(SUM(H52,ROUNDDOWN(MIN(B52,T$35)*I52,0)),"")</f>
        <v>4</v>
      </c>
      <c r="F52" s="65" t="str">
        <f>IFERROR(VLOOKUP(A52,BUFFS!$H$5:$AF$195,5,),"")</f>
        <v>AC</v>
      </c>
      <c r="G52" s="66" t="str">
        <f>IFERROR(VLOOKUP(A52,BUFFS!$H$5:$AF$195,6,),"")</f>
        <v>Enhancement Shield Bonus</v>
      </c>
      <c r="H52" s="67">
        <f>IFERROR(VLOOKUP(A52,BUFFS!$H$5:$AF$195,7,),"")</f>
        <v>0</v>
      </c>
      <c r="I52" s="66">
        <f>IFERROR(VLOOKUP(A52,BUFFS!$H$5:$AF$195,9,),"")</f>
        <v>0.25</v>
      </c>
      <c r="J52" s="65">
        <f>IFERROR(VLOOKUP(A52,BUFFS!$H$5:$AF$195,10,),"")</f>
        <v>0</v>
      </c>
      <c r="K52" s="66">
        <f>IFERROR(VLOOKUP(A52,BUFFS!$H$5:$AF$195,11,),"")</f>
        <v>0</v>
      </c>
      <c r="L52" s="66">
        <f>IFERROR(VLOOKUP(A52,BUFFS!$H$5:$AF$195,12,),"")</f>
        <v>0</v>
      </c>
      <c r="M52" s="66">
        <f>IFERROR(VLOOKUP(A52,BUFFS!$H$5:$AF$195,14,),"")</f>
        <v>0</v>
      </c>
      <c r="N52" s="68">
        <f>IFERROR(SUM(L52,ROUNDDOWN(MIN(B52,T$35)*M52,0)),"")</f>
        <v>0</v>
      </c>
      <c r="O52" s="65">
        <f>IFERROR(VLOOKUP(A52,BUFFS!$H$5:$AF$195,15,),"")</f>
        <v>0</v>
      </c>
      <c r="P52" s="66">
        <f>IFERROR(VLOOKUP(A52,BUFFS!$H$5:$AF$195,16,),"")</f>
        <v>0</v>
      </c>
      <c r="Q52" s="66">
        <f>IFERROR(VLOOKUP(A52,BUFFS!$H$5:$AF$195,17,),"")</f>
        <v>0</v>
      </c>
      <c r="R52" s="66">
        <f>IFERROR(VLOOKUP(A52,BUFFS!$H$5:$AF$195,19,),"")</f>
        <v>0</v>
      </c>
      <c r="S52" s="69">
        <f>IFERROR(SUM(Q52,ROUNDDOWN(MIN(B52,T$35)*R52,0)),"")</f>
        <v>0</v>
      </c>
      <c r="T52" s="70">
        <f>IFERROR(VLOOKUP(A52,BUFFS!$H$5:$AF$195,20,),"")</f>
        <v>20</v>
      </c>
    </row>
    <row r="53" spans="1:20" x14ac:dyDescent="0.35">
      <c r="A53" s="17" t="s">
        <v>306</v>
      </c>
      <c r="B53" s="80">
        <v>17</v>
      </c>
      <c r="C53" s="180">
        <v>100</v>
      </c>
      <c r="D53" s="31">
        <f>IFERROR(VLOOKUP(A53,BUFFS!$H$5:$AF$195,8,),"")</f>
        <v>4</v>
      </c>
      <c r="E53" s="24">
        <f>IFERROR(SUM(H53,ROUNDDOWN(MIN(B53,T$35)*I53,0)),"")</f>
        <v>0</v>
      </c>
      <c r="F53" s="65">
        <f>IFERROR(VLOOKUP(A53,BUFFS!$H$5:$AF$195,5,),"")</f>
        <v>0</v>
      </c>
      <c r="G53" s="66">
        <f>IFERROR(VLOOKUP(A53,BUFFS!$H$5:$AF$195,6,),"")</f>
        <v>0</v>
      </c>
      <c r="H53" s="67">
        <f>IFERROR(VLOOKUP(A53,BUFFS!$H$5:$AF$195,7,),"")</f>
        <v>0</v>
      </c>
      <c r="I53" s="66">
        <f>IFERROR(VLOOKUP(A53,BUFFS!$H$5:$AF$195,9,),"")</f>
        <v>0</v>
      </c>
      <c r="J53" s="65">
        <f>IFERROR(VLOOKUP(A53,BUFFS!$H$5:$AF$195,10,),"")</f>
        <v>0</v>
      </c>
      <c r="K53" s="66">
        <f>IFERROR(VLOOKUP(A53,BUFFS!$H$5:$AF$195,11,),"")</f>
        <v>0</v>
      </c>
      <c r="L53" s="66">
        <f>IFERROR(VLOOKUP(A53,BUFFS!$H$5:$AF$195,12,),"")</f>
        <v>0</v>
      </c>
      <c r="M53" s="66">
        <f>IFERROR(VLOOKUP(A53,BUFFS!$H$5:$AF$195,14,),"")</f>
        <v>0</v>
      </c>
      <c r="N53" s="68">
        <f>IFERROR(SUM(L53,ROUNDDOWN(MIN(B53,T$35)*M53,0)),"")</f>
        <v>0</v>
      </c>
      <c r="O53" s="65">
        <f>IFERROR(VLOOKUP(A53,BUFFS!$H$5:$AF$195,15,),"")</f>
        <v>0</v>
      </c>
      <c r="P53" s="66">
        <f>IFERROR(VLOOKUP(A53,BUFFS!$H$5:$AF$195,16,),"")</f>
        <v>0</v>
      </c>
      <c r="Q53" s="66">
        <f>IFERROR(VLOOKUP(A53,BUFFS!$H$5:$AF$195,17,),"")</f>
        <v>0</v>
      </c>
      <c r="R53" s="66">
        <f>IFERROR(VLOOKUP(A53,BUFFS!$H$5:$AF$195,19,),"")</f>
        <v>0</v>
      </c>
      <c r="S53" s="69">
        <f>IFERROR(SUM(Q53,ROUNDDOWN(MIN(B53,T$35)*R53,0)),"")</f>
        <v>0</v>
      </c>
      <c r="T53" s="70">
        <f>IFERROR(VLOOKUP(A53,BUFFS!$H$5:$AF$195,20,),"")</f>
        <v>100</v>
      </c>
    </row>
    <row r="54" spans="1:20" x14ac:dyDescent="0.35">
      <c r="A54" s="17" t="s">
        <v>307</v>
      </c>
      <c r="B54" s="80">
        <v>17</v>
      </c>
      <c r="C54" s="177">
        <v>65464</v>
      </c>
      <c r="D54" s="31">
        <f>IFERROR(VLOOKUP(A54,BUFFS!$H$5:$AF$195,8,),"")</f>
        <v>4</v>
      </c>
      <c r="E54" s="24">
        <f>IFERROR(SUM(H54,ROUNDDOWN(MIN(B54,T$35)*I54,0)),"")</f>
        <v>0</v>
      </c>
      <c r="F54" s="65">
        <f>IFERROR(VLOOKUP(A54,BUFFS!$H$5:$AF$195,5,),"")</f>
        <v>0</v>
      </c>
      <c r="G54" s="66">
        <f>IFERROR(VLOOKUP(A54,BUFFS!$H$5:$AF$195,6,),"")</f>
        <v>0</v>
      </c>
      <c r="H54" s="67">
        <f>IFERROR(VLOOKUP(A54,BUFFS!$H$5:$AF$195,7,),"")</f>
        <v>0</v>
      </c>
      <c r="I54" s="66">
        <f>IFERROR(VLOOKUP(A54,BUFFS!$H$5:$AF$195,9,),"")</f>
        <v>0</v>
      </c>
      <c r="J54" s="65">
        <f>IFERROR(VLOOKUP(A54,BUFFS!$H$5:$AF$195,10,),"")</f>
        <v>0</v>
      </c>
      <c r="K54" s="66">
        <f>IFERROR(VLOOKUP(A54,BUFFS!$H$5:$AF$195,11,),"")</f>
        <v>0</v>
      </c>
      <c r="L54" s="66">
        <f>IFERROR(VLOOKUP(A54,BUFFS!$H$5:$AF$195,12,),"")</f>
        <v>0</v>
      </c>
      <c r="M54" s="66">
        <f>IFERROR(VLOOKUP(A54,BUFFS!$H$5:$AF$195,14,),"")</f>
        <v>0</v>
      </c>
      <c r="N54" s="68">
        <f>IFERROR(SUM(L54,ROUNDDOWN(MIN(B54,T$35)*M54,0)),"")</f>
        <v>0</v>
      </c>
      <c r="O54" s="65">
        <f>IFERROR(VLOOKUP(A54,BUFFS!$H$5:$AF$195,15,),"")</f>
        <v>0</v>
      </c>
      <c r="P54" s="66">
        <f>IFERROR(VLOOKUP(A54,BUFFS!$H$5:$AF$195,16,),"")</f>
        <v>0</v>
      </c>
      <c r="Q54" s="66">
        <f>IFERROR(VLOOKUP(A54,BUFFS!$H$5:$AF$195,17,),"")</f>
        <v>0</v>
      </c>
      <c r="R54" s="66">
        <f>IFERROR(VLOOKUP(A54,BUFFS!$H$5:$AF$195,19,),"")</f>
        <v>0</v>
      </c>
      <c r="S54" s="69">
        <f>IFERROR(SUM(Q54,ROUNDDOWN(MIN(B54,T$35)*R54,0)),"")</f>
        <v>0</v>
      </c>
      <c r="T54" s="70">
        <f>IFERROR(VLOOKUP(A54,BUFFS!$H$5:$AF$195,20,),"")</f>
        <v>100</v>
      </c>
    </row>
    <row r="55" spans="1:20" x14ac:dyDescent="0.35">
      <c r="A55" s="17"/>
      <c r="B55" s="80">
        <v>21</v>
      </c>
      <c r="C55" s="180">
        <v>172</v>
      </c>
      <c r="D55" s="31" t="str">
        <f>IFERROR(VLOOKUP(A55,BUFFS!$H$5:$AF$195,8,),"")</f>
        <v/>
      </c>
      <c r="E55" s="24" t="str">
        <f>IFERROR(SUM(H55,ROUNDDOWN(MIN(B55,T$35)*I55,0)),"")</f>
        <v/>
      </c>
      <c r="F55" s="65" t="str">
        <f>IFERROR(VLOOKUP(A55,BUFFS!$H$5:$AF$195,5,),"")</f>
        <v/>
      </c>
      <c r="G55" s="66" t="str">
        <f>IFERROR(VLOOKUP(A55,BUFFS!$H$5:$AF$195,6,),"")</f>
        <v/>
      </c>
      <c r="H55" s="67" t="str">
        <f>IFERROR(VLOOKUP(A55,BUFFS!$H$5:$AF$195,7,),"")</f>
        <v/>
      </c>
      <c r="I55" s="66" t="str">
        <f>IFERROR(VLOOKUP(A55,BUFFS!$H$5:$AF$195,9,),"")</f>
        <v/>
      </c>
      <c r="J55" s="65" t="str">
        <f>IFERROR(VLOOKUP(A55,BUFFS!$H$5:$AF$195,10,),"")</f>
        <v/>
      </c>
      <c r="K55" s="66" t="str">
        <f>IFERROR(VLOOKUP(A55,BUFFS!$H$5:$AF$195,11,),"")</f>
        <v/>
      </c>
      <c r="L55" s="66" t="str">
        <f>IFERROR(VLOOKUP(A55,BUFFS!$H$5:$AF$195,12,),"")</f>
        <v/>
      </c>
      <c r="M55" s="66" t="str">
        <f>IFERROR(VLOOKUP(A55,BUFFS!$H$5:$AF$195,14,),"")</f>
        <v/>
      </c>
      <c r="N55" s="68" t="str">
        <f>IFERROR(SUM(L55,ROUNDDOWN(MIN(B55,T$35)*M55,0)),"")</f>
        <v/>
      </c>
      <c r="O55" s="65" t="str">
        <f>IFERROR(VLOOKUP(A55,BUFFS!$H$5:$AF$195,15,),"")</f>
        <v/>
      </c>
      <c r="P55" s="66" t="str">
        <f>IFERROR(VLOOKUP(A55,BUFFS!$H$5:$AF$195,16,),"")</f>
        <v/>
      </c>
      <c r="Q55" s="66" t="str">
        <f>IFERROR(VLOOKUP(A55,BUFFS!$H$5:$AF$195,17,),"")</f>
        <v/>
      </c>
      <c r="R55" s="66" t="str">
        <f>IFERROR(VLOOKUP(A55,BUFFS!$H$5:$AF$195,19,),"")</f>
        <v/>
      </c>
      <c r="S55" s="69" t="str">
        <f>IFERROR(SUM(Q55,ROUNDDOWN(MIN(B55,T$35)*R55,0)),"")</f>
        <v/>
      </c>
      <c r="T55" s="70" t="str">
        <f>IFERROR(VLOOKUP(A55,BUFFS!$H$5:$AF$195,20,),"")</f>
        <v/>
      </c>
    </row>
    <row r="56" spans="1:20" x14ac:dyDescent="0.35">
      <c r="A56" s="17"/>
      <c r="B56" s="80"/>
      <c r="C56" s="81"/>
      <c r="D56" s="31" t="str">
        <f>IFERROR(VLOOKUP(A56,BUFFS!$H$5:$AF$195,8,),"")</f>
        <v/>
      </c>
      <c r="E56" s="24" t="str">
        <f t="shared" ref="E35:E57" si="3">IFERROR(SUM(H56,ROUNDDOWN(MIN(B56,T$35)*I56,0)),"")</f>
        <v/>
      </c>
      <c r="F56" s="65" t="str">
        <f>IFERROR(VLOOKUP(A56,BUFFS!$H$5:$AF$195,5,),"")</f>
        <v/>
      </c>
      <c r="G56" s="66" t="str">
        <f>IFERROR(VLOOKUP(A56,BUFFS!$H$5:$AF$195,6,),"")</f>
        <v/>
      </c>
      <c r="H56" s="67" t="str">
        <f>IFERROR(VLOOKUP(A56,BUFFS!$H$5:$AF$195,7,),"")</f>
        <v/>
      </c>
      <c r="I56" s="66" t="str">
        <f>IFERROR(VLOOKUP(A56,BUFFS!$H$5:$AF$195,9,),"")</f>
        <v/>
      </c>
      <c r="J56" s="65" t="str">
        <f>IFERROR(VLOOKUP(A56,BUFFS!$H$5:$AF$195,10,),"")</f>
        <v/>
      </c>
      <c r="K56" s="66" t="str">
        <f>IFERROR(VLOOKUP(A56,BUFFS!$H$5:$AF$195,11,),"")</f>
        <v/>
      </c>
      <c r="L56" s="66" t="str">
        <f>IFERROR(VLOOKUP(A56,BUFFS!$H$5:$AF$195,12,),"")</f>
        <v/>
      </c>
      <c r="M56" s="66" t="str">
        <f>IFERROR(VLOOKUP(A56,BUFFS!$H$5:$AF$195,14,),"")</f>
        <v/>
      </c>
      <c r="N56" s="68" t="str">
        <f t="shared" ref="N35:N57" si="4">IFERROR(SUM(L56,ROUNDDOWN(MIN(B56,T$35)*M56,0)),"")</f>
        <v/>
      </c>
      <c r="O56" s="65" t="str">
        <f>IFERROR(VLOOKUP(A56,BUFFS!$H$5:$AF$195,15,),"")</f>
        <v/>
      </c>
      <c r="P56" s="66" t="str">
        <f>IFERROR(VLOOKUP(A56,BUFFS!$H$5:$AF$195,16,),"")</f>
        <v/>
      </c>
      <c r="Q56" s="66" t="str">
        <f>IFERROR(VLOOKUP(A56,BUFFS!$H$5:$AF$195,17,),"")</f>
        <v/>
      </c>
      <c r="R56" s="66" t="str">
        <f>IFERROR(VLOOKUP(A56,BUFFS!$H$5:$AF$195,19,),"")</f>
        <v/>
      </c>
      <c r="S56" s="69" t="str">
        <f t="shared" ref="S35:S57" si="5">IFERROR(SUM(Q56,ROUNDDOWN(MIN(B56,T$35)*R56,0)),"")</f>
        <v/>
      </c>
      <c r="T56" s="70" t="str">
        <f>IFERROR(VLOOKUP(A56,BUFFS!$H$5:$AF$195,20,),"")</f>
        <v/>
      </c>
    </row>
    <row r="57" spans="1:20" x14ac:dyDescent="0.35">
      <c r="A57" s="17"/>
      <c r="B57" s="80"/>
      <c r="C57" s="81"/>
      <c r="D57" s="31" t="str">
        <f>IFERROR(VLOOKUP(A57,BUFFS!$H$5:$AF$195,8,),"")</f>
        <v/>
      </c>
      <c r="E57" s="24" t="str">
        <f t="shared" si="3"/>
        <v/>
      </c>
      <c r="F57" s="65" t="str">
        <f>IFERROR(VLOOKUP(A57,BUFFS!$H$5:$AF$195,5,),"")</f>
        <v/>
      </c>
      <c r="G57" s="66" t="str">
        <f>IFERROR(VLOOKUP(A57,BUFFS!$H$5:$AF$195,6,),"")</f>
        <v/>
      </c>
      <c r="H57" s="67" t="str">
        <f>IFERROR(VLOOKUP(A57,BUFFS!$H$5:$AF$195,7,),"")</f>
        <v/>
      </c>
      <c r="I57" s="66" t="str">
        <f>IFERROR(VLOOKUP(A57,BUFFS!$H$5:$AF$195,9,),"")</f>
        <v/>
      </c>
      <c r="J57" s="65" t="str">
        <f>IFERROR(VLOOKUP(A57,BUFFS!$H$5:$AF$195,10,),"")</f>
        <v/>
      </c>
      <c r="K57" s="66" t="str">
        <f>IFERROR(VLOOKUP(A57,BUFFS!$H$5:$AF$195,11,),"")</f>
        <v/>
      </c>
      <c r="L57" s="66" t="str">
        <f>IFERROR(VLOOKUP(A57,BUFFS!$H$5:$AF$195,12,),"")</f>
        <v/>
      </c>
      <c r="M57" s="66" t="str">
        <f>IFERROR(VLOOKUP(A57,BUFFS!$H$5:$AF$195,14,),"")</f>
        <v/>
      </c>
      <c r="N57" s="68" t="str">
        <f t="shared" si="4"/>
        <v/>
      </c>
      <c r="O57" s="65" t="str">
        <f>IFERROR(VLOOKUP(A57,BUFFS!$H$5:$AF$195,15,),"")</f>
        <v/>
      </c>
      <c r="P57" s="66" t="str">
        <f>IFERROR(VLOOKUP(A57,BUFFS!$H$5:$AF$195,16,),"")</f>
        <v/>
      </c>
      <c r="Q57" s="66" t="str">
        <f>IFERROR(VLOOKUP(A57,BUFFS!$H$5:$AF$195,17,),"")</f>
        <v/>
      </c>
      <c r="R57" s="66" t="str">
        <f>IFERROR(VLOOKUP(A57,BUFFS!$H$5:$AF$195,19,),"")</f>
        <v/>
      </c>
      <c r="S57" s="69" t="str">
        <f t="shared" si="5"/>
        <v/>
      </c>
      <c r="T57" s="70" t="str">
        <f>IFERROR(VLOOKUP(A57,BUFFS!$H$5:$AF$195,20,),"")</f>
        <v/>
      </c>
    </row>
    <row r="58" spans="1:20" x14ac:dyDescent="0.35">
      <c r="A58" s="17"/>
      <c r="B58" s="80"/>
      <c r="C58" s="81"/>
      <c r="D58" s="31" t="str">
        <f>IFERROR(VLOOKUP(A58,BUFFS!$H$5:$AF$195,8,),"")</f>
        <v/>
      </c>
      <c r="E58" s="24" t="str">
        <f t="shared" ref="E58:E104" si="6">IFERROR(SUM(H58,ROUNDDOWN(MIN(B58,T$35)*I58,0)),"")</f>
        <v/>
      </c>
      <c r="F58" s="65" t="str">
        <f>IFERROR(VLOOKUP(A58,BUFFS!$H$5:$AF$195,5,),"")</f>
        <v/>
      </c>
      <c r="G58" s="66" t="str">
        <f>IFERROR(VLOOKUP(A58,BUFFS!$H$5:$AF$195,6,),"")</f>
        <v/>
      </c>
      <c r="H58" s="67" t="str">
        <f>IFERROR(VLOOKUP(A58,BUFFS!$H$5:$AF$195,7,),"")</f>
        <v/>
      </c>
      <c r="I58" s="66" t="str">
        <f>IFERROR(VLOOKUP(A58,BUFFS!$H$5:$AF$195,9,),"")</f>
        <v/>
      </c>
      <c r="J58" s="65" t="str">
        <f>IFERROR(VLOOKUP(A58,BUFFS!$H$5:$AF$195,10,),"")</f>
        <v/>
      </c>
      <c r="K58" s="66" t="str">
        <f>IFERROR(VLOOKUP(A58,BUFFS!$H$5:$AF$195,11,),"")</f>
        <v/>
      </c>
      <c r="L58" s="66" t="str">
        <f>IFERROR(VLOOKUP(A58,BUFFS!$H$5:$AF$195,12,),"")</f>
        <v/>
      </c>
      <c r="M58" s="66" t="str">
        <f>IFERROR(VLOOKUP(A58,BUFFS!$H$5:$AF$195,14,),"")</f>
        <v/>
      </c>
      <c r="N58" s="68" t="str">
        <f t="shared" ref="N58:N104" si="7">IFERROR(SUM(L58,ROUNDDOWN(MIN(B58,T$35)*M58,0)),"")</f>
        <v/>
      </c>
      <c r="O58" s="65" t="str">
        <f>IFERROR(VLOOKUP(A58,BUFFS!$H$5:$AF$195,15,),"")</f>
        <v/>
      </c>
      <c r="P58" s="66" t="str">
        <f>IFERROR(VLOOKUP(A58,BUFFS!$H$5:$AF$195,16,),"")</f>
        <v/>
      </c>
      <c r="Q58" s="66" t="str">
        <f>IFERROR(VLOOKUP(A58,BUFFS!$H$5:$AF$195,17,),"")</f>
        <v/>
      </c>
      <c r="R58" s="66" t="str">
        <f>IFERROR(VLOOKUP(A58,BUFFS!$H$5:$AF$195,19,),"")</f>
        <v/>
      </c>
      <c r="S58" s="69" t="str">
        <f t="shared" ref="S58:S104" si="8">IFERROR(SUM(Q58,ROUNDDOWN(MIN(B58,T$35)*R58,0)),"")</f>
        <v/>
      </c>
      <c r="T58" s="70" t="str">
        <f>IFERROR(VLOOKUP(A58,BUFFS!$H$5:$AF$195,20,),"")</f>
        <v/>
      </c>
    </row>
    <row r="59" spans="1:20" x14ac:dyDescent="0.35">
      <c r="A59" s="17"/>
      <c r="B59" s="80"/>
      <c r="C59" s="81"/>
      <c r="D59" s="31" t="str">
        <f>IFERROR(VLOOKUP(A59,BUFFS!$H$5:$AF$195,8,),"")</f>
        <v/>
      </c>
      <c r="E59" s="24" t="str">
        <f t="shared" si="6"/>
        <v/>
      </c>
      <c r="F59" s="65" t="str">
        <f>IFERROR(VLOOKUP(A59,BUFFS!$H$5:$AF$195,5,),"")</f>
        <v/>
      </c>
      <c r="G59" s="66" t="str">
        <f>IFERROR(VLOOKUP(A59,BUFFS!$H$5:$AF$195,6,),"")</f>
        <v/>
      </c>
      <c r="H59" s="67" t="str">
        <f>IFERROR(VLOOKUP(A59,BUFFS!$H$5:$AF$195,7,),"")</f>
        <v/>
      </c>
      <c r="I59" s="66" t="str">
        <f>IFERROR(VLOOKUP(A59,BUFFS!$H$5:$AF$195,9,),"")</f>
        <v/>
      </c>
      <c r="J59" s="65" t="str">
        <f>IFERROR(VLOOKUP(A59,BUFFS!$H$5:$AF$195,10,),"")</f>
        <v/>
      </c>
      <c r="K59" s="66" t="str">
        <f>IFERROR(VLOOKUP(A59,BUFFS!$H$5:$AF$195,11,),"")</f>
        <v/>
      </c>
      <c r="L59" s="66" t="str">
        <f>IFERROR(VLOOKUP(A59,BUFFS!$H$5:$AF$195,12,),"")</f>
        <v/>
      </c>
      <c r="M59" s="66" t="str">
        <f>IFERROR(VLOOKUP(A59,BUFFS!$H$5:$AF$195,14,),"")</f>
        <v/>
      </c>
      <c r="N59" s="68" t="str">
        <f t="shared" si="7"/>
        <v/>
      </c>
      <c r="O59" s="65" t="str">
        <f>IFERROR(VLOOKUP(A59,BUFFS!$H$5:$AF$195,15,),"")</f>
        <v/>
      </c>
      <c r="P59" s="66" t="str">
        <f>IFERROR(VLOOKUP(A59,BUFFS!$H$5:$AF$195,16,),"")</f>
        <v/>
      </c>
      <c r="Q59" s="66" t="str">
        <f>IFERROR(VLOOKUP(A59,BUFFS!$H$5:$AF$195,17,),"")</f>
        <v/>
      </c>
      <c r="R59" s="66" t="str">
        <f>IFERROR(VLOOKUP(A59,BUFFS!$H$5:$AF$195,19,),"")</f>
        <v/>
      </c>
      <c r="S59" s="69" t="str">
        <f t="shared" si="8"/>
        <v/>
      </c>
      <c r="T59" s="70" t="str">
        <f>IFERROR(VLOOKUP(A59,BUFFS!$H$5:$AF$195,20,),"")</f>
        <v/>
      </c>
    </row>
    <row r="60" spans="1:20" x14ac:dyDescent="0.35">
      <c r="A60" s="17"/>
      <c r="B60" s="80"/>
      <c r="C60" s="81"/>
      <c r="D60" s="31" t="str">
        <f>IFERROR(VLOOKUP(A60,BUFFS!$H$5:$AF$195,8,),"")</f>
        <v/>
      </c>
      <c r="E60" s="24" t="str">
        <f t="shared" si="6"/>
        <v/>
      </c>
      <c r="F60" s="65" t="str">
        <f>IFERROR(VLOOKUP(A60,BUFFS!$H$5:$AF$195,5,),"")</f>
        <v/>
      </c>
      <c r="G60" s="66" t="str">
        <f>IFERROR(VLOOKUP(A60,BUFFS!$H$5:$AF$195,6,),"")</f>
        <v/>
      </c>
      <c r="H60" s="67" t="str">
        <f>IFERROR(VLOOKUP(A60,BUFFS!$H$5:$AF$195,7,),"")</f>
        <v/>
      </c>
      <c r="I60" s="66" t="str">
        <f>IFERROR(VLOOKUP(A60,BUFFS!$H$5:$AF$195,9,),"")</f>
        <v/>
      </c>
      <c r="J60" s="65" t="str">
        <f>IFERROR(VLOOKUP(A60,BUFFS!$H$5:$AF$195,10,),"")</f>
        <v/>
      </c>
      <c r="K60" s="66" t="str">
        <f>IFERROR(VLOOKUP(A60,BUFFS!$H$5:$AF$195,11,),"")</f>
        <v/>
      </c>
      <c r="L60" s="66" t="str">
        <f>IFERROR(VLOOKUP(A60,BUFFS!$H$5:$AF$195,12,),"")</f>
        <v/>
      </c>
      <c r="M60" s="66" t="str">
        <f>IFERROR(VLOOKUP(A60,BUFFS!$H$5:$AF$195,14,),"")</f>
        <v/>
      </c>
      <c r="N60" s="68" t="str">
        <f t="shared" si="7"/>
        <v/>
      </c>
      <c r="O60" s="65" t="str">
        <f>IFERROR(VLOOKUP(A60,BUFFS!$H$5:$AF$195,15,),"")</f>
        <v/>
      </c>
      <c r="P60" s="66" t="str">
        <f>IFERROR(VLOOKUP(A60,BUFFS!$H$5:$AF$195,16,),"")</f>
        <v/>
      </c>
      <c r="Q60" s="66" t="str">
        <f>IFERROR(VLOOKUP(A60,BUFFS!$H$5:$AF$195,17,),"")</f>
        <v/>
      </c>
      <c r="R60" s="66" t="str">
        <f>IFERROR(VLOOKUP(A60,BUFFS!$H$5:$AF$195,19,),"")</f>
        <v/>
      </c>
      <c r="S60" s="69" t="str">
        <f t="shared" si="8"/>
        <v/>
      </c>
      <c r="T60" s="70" t="str">
        <f>IFERROR(VLOOKUP(A60,BUFFS!$H$5:$AF$195,20,),"")</f>
        <v/>
      </c>
    </row>
    <row r="61" spans="1:20" x14ac:dyDescent="0.35">
      <c r="A61" s="17"/>
      <c r="B61" s="80"/>
      <c r="C61" s="81"/>
      <c r="D61" s="31" t="str">
        <f>IFERROR(VLOOKUP(A61,BUFFS!$H$5:$AF$195,8,),"")</f>
        <v/>
      </c>
      <c r="E61" s="24" t="str">
        <f t="shared" si="6"/>
        <v/>
      </c>
      <c r="F61" s="65" t="str">
        <f>IFERROR(VLOOKUP(A61,BUFFS!$H$5:$AF$195,5,),"")</f>
        <v/>
      </c>
      <c r="G61" s="66" t="str">
        <f>IFERROR(VLOOKUP(A61,BUFFS!$H$5:$AF$195,6,),"")</f>
        <v/>
      </c>
      <c r="H61" s="67" t="str">
        <f>IFERROR(VLOOKUP(A61,BUFFS!$H$5:$AF$195,7,),"")</f>
        <v/>
      </c>
      <c r="I61" s="66" t="str">
        <f>IFERROR(VLOOKUP(A61,BUFFS!$H$5:$AF$195,9,),"")</f>
        <v/>
      </c>
      <c r="J61" s="65" t="str">
        <f>IFERROR(VLOOKUP(A61,BUFFS!$H$5:$AF$195,10,),"")</f>
        <v/>
      </c>
      <c r="K61" s="66" t="str">
        <f>IFERROR(VLOOKUP(A61,BUFFS!$H$5:$AF$195,11,),"")</f>
        <v/>
      </c>
      <c r="L61" s="66" t="str">
        <f>IFERROR(VLOOKUP(A61,BUFFS!$H$5:$AF$195,12,),"")</f>
        <v/>
      </c>
      <c r="M61" s="66" t="str">
        <f>IFERROR(VLOOKUP(A61,BUFFS!$H$5:$AF$195,14,),"")</f>
        <v/>
      </c>
      <c r="N61" s="68" t="str">
        <f t="shared" si="7"/>
        <v/>
      </c>
      <c r="O61" s="65" t="str">
        <f>IFERROR(VLOOKUP(A61,BUFFS!$H$5:$AF$195,15,),"")</f>
        <v/>
      </c>
      <c r="P61" s="66" t="str">
        <f>IFERROR(VLOOKUP(A61,BUFFS!$H$5:$AF$195,16,),"")</f>
        <v/>
      </c>
      <c r="Q61" s="66" t="str">
        <f>IFERROR(VLOOKUP(A61,BUFFS!$H$5:$AF$195,17,),"")</f>
        <v/>
      </c>
      <c r="R61" s="66" t="str">
        <f>IFERROR(VLOOKUP(A61,BUFFS!$H$5:$AF$195,19,),"")</f>
        <v/>
      </c>
      <c r="S61" s="69" t="str">
        <f t="shared" si="8"/>
        <v/>
      </c>
      <c r="T61" s="70" t="str">
        <f>IFERROR(VLOOKUP(A61,BUFFS!$H$5:$AF$195,20,),"")</f>
        <v/>
      </c>
    </row>
    <row r="62" spans="1:20" x14ac:dyDescent="0.35">
      <c r="A62" s="17"/>
      <c r="B62" s="80"/>
      <c r="C62" s="81"/>
      <c r="D62" s="31" t="str">
        <f>IFERROR(VLOOKUP(A62,BUFFS!$H$5:$AF$195,8,),"")</f>
        <v/>
      </c>
      <c r="E62" s="24" t="str">
        <f t="shared" si="6"/>
        <v/>
      </c>
      <c r="F62" s="65" t="str">
        <f>IFERROR(VLOOKUP(A62,BUFFS!$H$5:$AF$195,5,),"")</f>
        <v/>
      </c>
      <c r="G62" s="66" t="str">
        <f>IFERROR(VLOOKUP(A62,BUFFS!$H$5:$AF$195,6,),"")</f>
        <v/>
      </c>
      <c r="H62" s="67" t="str">
        <f>IFERROR(VLOOKUP(A62,BUFFS!$H$5:$AF$195,7,),"")</f>
        <v/>
      </c>
      <c r="I62" s="66" t="str">
        <f>IFERROR(VLOOKUP(A62,BUFFS!$H$5:$AF$195,9,),"")</f>
        <v/>
      </c>
      <c r="J62" s="65" t="str">
        <f>IFERROR(VLOOKUP(A62,BUFFS!$H$5:$AF$195,10,),"")</f>
        <v/>
      </c>
      <c r="K62" s="66" t="str">
        <f>IFERROR(VLOOKUP(A62,BUFFS!$H$5:$AF$195,11,),"")</f>
        <v/>
      </c>
      <c r="L62" s="66" t="str">
        <f>IFERROR(VLOOKUP(A62,BUFFS!$H$5:$AF$195,12,),"")</f>
        <v/>
      </c>
      <c r="M62" s="66" t="str">
        <f>IFERROR(VLOOKUP(A62,BUFFS!$H$5:$AF$195,14,),"")</f>
        <v/>
      </c>
      <c r="N62" s="68" t="str">
        <f t="shared" si="7"/>
        <v/>
      </c>
      <c r="O62" s="65" t="str">
        <f>IFERROR(VLOOKUP(A62,BUFFS!$H$5:$AF$195,15,),"")</f>
        <v/>
      </c>
      <c r="P62" s="66" t="str">
        <f>IFERROR(VLOOKUP(A62,BUFFS!$H$5:$AF$195,16,),"")</f>
        <v/>
      </c>
      <c r="Q62" s="66" t="str">
        <f>IFERROR(VLOOKUP(A62,BUFFS!$H$5:$AF$195,17,),"")</f>
        <v/>
      </c>
      <c r="R62" s="66" t="str">
        <f>IFERROR(VLOOKUP(A62,BUFFS!$H$5:$AF$195,19,),"")</f>
        <v/>
      </c>
      <c r="S62" s="69" t="str">
        <f t="shared" si="8"/>
        <v/>
      </c>
      <c r="T62" s="70" t="str">
        <f>IFERROR(VLOOKUP(A62,BUFFS!$H$5:$AF$195,20,),"")</f>
        <v/>
      </c>
    </row>
    <row r="63" spans="1:20" x14ac:dyDescent="0.35">
      <c r="A63" s="17"/>
      <c r="B63" s="80"/>
      <c r="C63" s="81"/>
      <c r="D63" s="31" t="str">
        <f>IFERROR(VLOOKUP(A63,BUFFS!$H$5:$AF$195,8,),"")</f>
        <v/>
      </c>
      <c r="E63" s="24" t="str">
        <f t="shared" si="6"/>
        <v/>
      </c>
      <c r="F63" s="65" t="str">
        <f>IFERROR(VLOOKUP(A63,BUFFS!$H$5:$AF$195,5,),"")</f>
        <v/>
      </c>
      <c r="G63" s="66" t="str">
        <f>IFERROR(VLOOKUP(A63,BUFFS!$H$5:$AF$195,6,),"")</f>
        <v/>
      </c>
      <c r="H63" s="67" t="str">
        <f>IFERROR(VLOOKUP(A63,BUFFS!$H$5:$AF$195,7,),"")</f>
        <v/>
      </c>
      <c r="I63" s="66" t="str">
        <f>IFERROR(VLOOKUP(A63,BUFFS!$H$5:$AF$195,9,),"")</f>
        <v/>
      </c>
      <c r="J63" s="65" t="str">
        <f>IFERROR(VLOOKUP(A63,BUFFS!$H$5:$AF$195,10,),"")</f>
        <v/>
      </c>
      <c r="K63" s="66" t="str">
        <f>IFERROR(VLOOKUP(A63,BUFFS!$H$5:$AF$195,11,),"")</f>
        <v/>
      </c>
      <c r="L63" s="66" t="str">
        <f>IFERROR(VLOOKUP(A63,BUFFS!$H$5:$AF$195,12,),"")</f>
        <v/>
      </c>
      <c r="M63" s="66" t="str">
        <f>IFERROR(VLOOKUP(A63,BUFFS!$H$5:$AF$195,14,),"")</f>
        <v/>
      </c>
      <c r="N63" s="68" t="str">
        <f t="shared" si="7"/>
        <v/>
      </c>
      <c r="O63" s="65" t="str">
        <f>IFERROR(VLOOKUP(A63,BUFFS!$H$5:$AF$195,15,),"")</f>
        <v/>
      </c>
      <c r="P63" s="66" t="str">
        <f>IFERROR(VLOOKUP(A63,BUFFS!$H$5:$AF$195,16,),"")</f>
        <v/>
      </c>
      <c r="Q63" s="66" t="str">
        <f>IFERROR(VLOOKUP(A63,BUFFS!$H$5:$AF$195,17,),"")</f>
        <v/>
      </c>
      <c r="R63" s="66" t="str">
        <f>IFERROR(VLOOKUP(A63,BUFFS!$H$5:$AF$195,19,),"")</f>
        <v/>
      </c>
      <c r="S63" s="69" t="str">
        <f t="shared" si="8"/>
        <v/>
      </c>
      <c r="T63" s="70" t="str">
        <f>IFERROR(VLOOKUP(A63,BUFFS!$H$5:$AF$195,20,),"")</f>
        <v/>
      </c>
    </row>
    <row r="64" spans="1:20" x14ac:dyDescent="0.35">
      <c r="A64" s="17"/>
      <c r="B64" s="80"/>
      <c r="C64" s="81"/>
      <c r="D64" s="31" t="str">
        <f>IFERROR(VLOOKUP(A64,BUFFS!$H$5:$AF$195,8,),"")</f>
        <v/>
      </c>
      <c r="E64" s="24" t="str">
        <f t="shared" si="6"/>
        <v/>
      </c>
      <c r="F64" s="65" t="str">
        <f>IFERROR(VLOOKUP(A64,BUFFS!$H$5:$AF$195,5,),"")</f>
        <v/>
      </c>
      <c r="G64" s="66" t="str">
        <f>IFERROR(VLOOKUP(A64,BUFFS!$H$5:$AF$195,6,),"")</f>
        <v/>
      </c>
      <c r="H64" s="67" t="str">
        <f>IFERROR(VLOOKUP(A64,BUFFS!$H$5:$AF$195,7,),"")</f>
        <v/>
      </c>
      <c r="I64" s="66" t="str">
        <f>IFERROR(VLOOKUP(A64,BUFFS!$H$5:$AF$195,9,),"")</f>
        <v/>
      </c>
      <c r="J64" s="65" t="str">
        <f>IFERROR(VLOOKUP(A64,BUFFS!$H$5:$AF$195,10,),"")</f>
        <v/>
      </c>
      <c r="K64" s="66" t="str">
        <f>IFERROR(VLOOKUP(A64,BUFFS!$H$5:$AF$195,11,),"")</f>
        <v/>
      </c>
      <c r="L64" s="66" t="str">
        <f>IFERROR(VLOOKUP(A64,BUFFS!$H$5:$AF$195,12,),"")</f>
        <v/>
      </c>
      <c r="M64" s="66" t="str">
        <f>IFERROR(VLOOKUP(A64,BUFFS!$H$5:$AF$195,14,),"")</f>
        <v/>
      </c>
      <c r="N64" s="68" t="str">
        <f t="shared" si="7"/>
        <v/>
      </c>
      <c r="O64" s="65" t="str">
        <f>IFERROR(VLOOKUP(A64,BUFFS!$H$5:$AF$195,15,),"")</f>
        <v/>
      </c>
      <c r="P64" s="66" t="str">
        <f>IFERROR(VLOOKUP(A64,BUFFS!$H$5:$AF$195,16,),"")</f>
        <v/>
      </c>
      <c r="Q64" s="66" t="str">
        <f>IFERROR(VLOOKUP(A64,BUFFS!$H$5:$AF$195,17,),"")</f>
        <v/>
      </c>
      <c r="R64" s="66" t="str">
        <f>IFERROR(VLOOKUP(A64,BUFFS!$H$5:$AF$195,19,),"")</f>
        <v/>
      </c>
      <c r="S64" s="69" t="str">
        <f t="shared" si="8"/>
        <v/>
      </c>
      <c r="T64" s="70" t="str">
        <f>IFERROR(VLOOKUP(A64,BUFFS!$H$5:$AF$195,20,),"")</f>
        <v/>
      </c>
    </row>
    <row r="65" spans="1:20" x14ac:dyDescent="0.35">
      <c r="A65" s="17"/>
      <c r="B65" s="80"/>
      <c r="C65" s="81"/>
      <c r="D65" s="31" t="str">
        <f>IFERROR(VLOOKUP(A65,BUFFS!$H$5:$AF$195,8,),"")</f>
        <v/>
      </c>
      <c r="E65" s="24" t="str">
        <f t="shared" si="6"/>
        <v/>
      </c>
      <c r="F65" s="65" t="str">
        <f>IFERROR(VLOOKUP(A65,BUFFS!$H$5:$AF$195,5,),"")</f>
        <v/>
      </c>
      <c r="G65" s="66" t="str">
        <f>IFERROR(VLOOKUP(A65,BUFFS!$H$5:$AF$195,6,),"")</f>
        <v/>
      </c>
      <c r="H65" s="67" t="str">
        <f>IFERROR(VLOOKUP(A65,BUFFS!$H$5:$AF$195,7,),"")</f>
        <v/>
      </c>
      <c r="I65" s="66" t="str">
        <f>IFERROR(VLOOKUP(A65,BUFFS!$H$5:$AF$195,9,),"")</f>
        <v/>
      </c>
      <c r="J65" s="65" t="str">
        <f>IFERROR(VLOOKUP(A65,BUFFS!$H$5:$AF$195,10,),"")</f>
        <v/>
      </c>
      <c r="K65" s="66" t="str">
        <f>IFERROR(VLOOKUP(A65,BUFFS!$H$5:$AF$195,11,),"")</f>
        <v/>
      </c>
      <c r="L65" s="66" t="str">
        <f>IFERROR(VLOOKUP(A65,BUFFS!$H$5:$AF$195,12,),"")</f>
        <v/>
      </c>
      <c r="M65" s="66" t="str">
        <f>IFERROR(VLOOKUP(A65,BUFFS!$H$5:$AF$195,14,),"")</f>
        <v/>
      </c>
      <c r="N65" s="68" t="str">
        <f t="shared" si="7"/>
        <v/>
      </c>
      <c r="O65" s="65" t="str">
        <f>IFERROR(VLOOKUP(A65,BUFFS!$H$5:$AF$195,15,),"")</f>
        <v/>
      </c>
      <c r="P65" s="66" t="str">
        <f>IFERROR(VLOOKUP(A65,BUFFS!$H$5:$AF$195,16,),"")</f>
        <v/>
      </c>
      <c r="Q65" s="66" t="str">
        <f>IFERROR(VLOOKUP(A65,BUFFS!$H$5:$AF$195,17,),"")</f>
        <v/>
      </c>
      <c r="R65" s="66" t="str">
        <f>IFERROR(VLOOKUP(A65,BUFFS!$H$5:$AF$195,19,),"")</f>
        <v/>
      </c>
      <c r="S65" s="69" t="str">
        <f t="shared" si="8"/>
        <v/>
      </c>
      <c r="T65" s="70" t="str">
        <f>IFERROR(VLOOKUP(A65,BUFFS!$H$5:$AF$195,20,),"")</f>
        <v/>
      </c>
    </row>
    <row r="66" spans="1:20" x14ac:dyDescent="0.35">
      <c r="A66" s="17"/>
      <c r="B66" s="80"/>
      <c r="C66" s="81"/>
      <c r="D66" s="31" t="str">
        <f>IFERROR(VLOOKUP(A66,BUFFS!$H$5:$AF$195,8,),"")</f>
        <v/>
      </c>
      <c r="E66" s="24" t="str">
        <f t="shared" si="6"/>
        <v/>
      </c>
      <c r="F66" s="65" t="str">
        <f>IFERROR(VLOOKUP(A66,BUFFS!$H$5:$AF$195,5,),"")</f>
        <v/>
      </c>
      <c r="G66" s="66" t="str">
        <f>IFERROR(VLOOKUP(A66,BUFFS!$H$5:$AF$195,6,),"")</f>
        <v/>
      </c>
      <c r="H66" s="67" t="str">
        <f>IFERROR(VLOOKUP(A66,BUFFS!$H$5:$AF$195,7,),"")</f>
        <v/>
      </c>
      <c r="I66" s="66" t="str">
        <f>IFERROR(VLOOKUP(A66,BUFFS!$H$5:$AF$195,9,),"")</f>
        <v/>
      </c>
      <c r="J66" s="65" t="str">
        <f>IFERROR(VLOOKUP(A66,BUFFS!$H$5:$AF$195,10,),"")</f>
        <v/>
      </c>
      <c r="K66" s="66" t="str">
        <f>IFERROR(VLOOKUP(A66,BUFFS!$H$5:$AF$195,11,),"")</f>
        <v/>
      </c>
      <c r="L66" s="66" t="str">
        <f>IFERROR(VLOOKUP(A66,BUFFS!$H$5:$AF$195,12,),"")</f>
        <v/>
      </c>
      <c r="M66" s="66" t="str">
        <f>IFERROR(VLOOKUP(A66,BUFFS!$H$5:$AF$195,14,),"")</f>
        <v/>
      </c>
      <c r="N66" s="68" t="str">
        <f t="shared" si="7"/>
        <v/>
      </c>
      <c r="O66" s="65" t="str">
        <f>IFERROR(VLOOKUP(A66,BUFFS!$H$5:$AF$195,15,),"")</f>
        <v/>
      </c>
      <c r="P66" s="66" t="str">
        <f>IFERROR(VLOOKUP(A66,BUFFS!$H$5:$AF$195,16,),"")</f>
        <v/>
      </c>
      <c r="Q66" s="66" t="str">
        <f>IFERROR(VLOOKUP(A66,BUFFS!$H$5:$AF$195,17,),"")</f>
        <v/>
      </c>
      <c r="R66" s="66" t="str">
        <f>IFERROR(VLOOKUP(A66,BUFFS!$H$5:$AF$195,19,),"")</f>
        <v/>
      </c>
      <c r="S66" s="69" t="str">
        <f t="shared" si="8"/>
        <v/>
      </c>
      <c r="T66" s="70" t="str">
        <f>IFERROR(VLOOKUP(A66,BUFFS!$H$5:$AF$195,20,),"")</f>
        <v/>
      </c>
    </row>
    <row r="67" spans="1:20" x14ac:dyDescent="0.35">
      <c r="A67" s="17"/>
      <c r="B67" s="80"/>
      <c r="C67" s="81"/>
      <c r="D67" s="31" t="str">
        <f>IFERROR(VLOOKUP(A67,BUFFS!$H$5:$AF$195,8,),"")</f>
        <v/>
      </c>
      <c r="E67" s="24" t="str">
        <f t="shared" si="6"/>
        <v/>
      </c>
      <c r="F67" s="65" t="str">
        <f>IFERROR(VLOOKUP(A67,BUFFS!$H$5:$AF$195,5,),"")</f>
        <v/>
      </c>
      <c r="G67" s="66" t="str">
        <f>IFERROR(VLOOKUP(A67,BUFFS!$H$5:$AF$195,6,),"")</f>
        <v/>
      </c>
      <c r="H67" s="67" t="str">
        <f>IFERROR(VLOOKUP(A67,BUFFS!$H$5:$AF$195,7,),"")</f>
        <v/>
      </c>
      <c r="I67" s="66" t="str">
        <f>IFERROR(VLOOKUP(A67,BUFFS!$H$5:$AF$195,9,),"")</f>
        <v/>
      </c>
      <c r="J67" s="65" t="str">
        <f>IFERROR(VLOOKUP(A67,BUFFS!$H$5:$AF$195,10,),"")</f>
        <v/>
      </c>
      <c r="K67" s="66" t="str">
        <f>IFERROR(VLOOKUP(A67,BUFFS!$H$5:$AF$195,11,),"")</f>
        <v/>
      </c>
      <c r="L67" s="66" t="str">
        <f>IFERROR(VLOOKUP(A67,BUFFS!$H$5:$AF$195,12,),"")</f>
        <v/>
      </c>
      <c r="M67" s="66" t="str">
        <f>IFERROR(VLOOKUP(A67,BUFFS!$H$5:$AF$195,14,),"")</f>
        <v/>
      </c>
      <c r="N67" s="68" t="str">
        <f t="shared" si="7"/>
        <v/>
      </c>
      <c r="O67" s="65" t="str">
        <f>IFERROR(VLOOKUP(A67,BUFFS!$H$5:$AF$195,15,),"")</f>
        <v/>
      </c>
      <c r="P67" s="66" t="str">
        <f>IFERROR(VLOOKUP(A67,BUFFS!$H$5:$AF$195,16,),"")</f>
        <v/>
      </c>
      <c r="Q67" s="66" t="str">
        <f>IFERROR(VLOOKUP(A67,BUFFS!$H$5:$AF$195,17,),"")</f>
        <v/>
      </c>
      <c r="R67" s="66" t="str">
        <f>IFERROR(VLOOKUP(A67,BUFFS!$H$5:$AF$195,19,),"")</f>
        <v/>
      </c>
      <c r="S67" s="69" t="str">
        <f t="shared" si="8"/>
        <v/>
      </c>
      <c r="T67" s="70" t="str">
        <f>IFERROR(VLOOKUP(A67,BUFFS!$H$5:$AF$195,20,),"")</f>
        <v/>
      </c>
    </row>
    <row r="68" spans="1:20" x14ac:dyDescent="0.35">
      <c r="A68" s="17"/>
      <c r="B68" s="80"/>
      <c r="C68" s="81"/>
      <c r="D68" s="31" t="str">
        <f>IFERROR(VLOOKUP(A68,BUFFS!$H$5:$AF$195,8,),"")</f>
        <v/>
      </c>
      <c r="E68" s="24" t="str">
        <f t="shared" si="6"/>
        <v/>
      </c>
      <c r="F68" s="65" t="str">
        <f>IFERROR(VLOOKUP(A68,BUFFS!$H$5:$AF$195,5,),"")</f>
        <v/>
      </c>
      <c r="G68" s="66" t="str">
        <f>IFERROR(VLOOKUP(A68,BUFFS!$H$5:$AF$195,6,),"")</f>
        <v/>
      </c>
      <c r="H68" s="67" t="str">
        <f>IFERROR(VLOOKUP(A68,BUFFS!$H$5:$AF$195,7,),"")</f>
        <v/>
      </c>
      <c r="I68" s="66" t="str">
        <f>IFERROR(VLOOKUP(A68,BUFFS!$H$5:$AF$195,9,),"")</f>
        <v/>
      </c>
      <c r="J68" s="65" t="str">
        <f>IFERROR(VLOOKUP(A68,BUFFS!$H$5:$AF$195,10,),"")</f>
        <v/>
      </c>
      <c r="K68" s="66" t="str">
        <f>IFERROR(VLOOKUP(A68,BUFFS!$H$5:$AF$195,11,),"")</f>
        <v/>
      </c>
      <c r="L68" s="66" t="str">
        <f>IFERROR(VLOOKUP(A68,BUFFS!$H$5:$AF$195,12,),"")</f>
        <v/>
      </c>
      <c r="M68" s="66" t="str">
        <f>IFERROR(VLOOKUP(A68,BUFFS!$H$5:$AF$195,14,),"")</f>
        <v/>
      </c>
      <c r="N68" s="68" t="str">
        <f t="shared" si="7"/>
        <v/>
      </c>
      <c r="O68" s="65" t="str">
        <f>IFERROR(VLOOKUP(A68,BUFFS!$H$5:$AF$195,15,),"")</f>
        <v/>
      </c>
      <c r="P68" s="66" t="str">
        <f>IFERROR(VLOOKUP(A68,BUFFS!$H$5:$AF$195,16,),"")</f>
        <v/>
      </c>
      <c r="Q68" s="66" t="str">
        <f>IFERROR(VLOOKUP(A68,BUFFS!$H$5:$AF$195,17,),"")</f>
        <v/>
      </c>
      <c r="R68" s="66" t="str">
        <f>IFERROR(VLOOKUP(A68,BUFFS!$H$5:$AF$195,19,),"")</f>
        <v/>
      </c>
      <c r="S68" s="69" t="str">
        <f t="shared" si="8"/>
        <v/>
      </c>
      <c r="T68" s="70" t="str">
        <f>IFERROR(VLOOKUP(A68,BUFFS!$H$5:$AF$195,20,),"")</f>
        <v/>
      </c>
    </row>
    <row r="69" spans="1:20" x14ac:dyDescent="0.35">
      <c r="A69" s="17"/>
      <c r="B69" s="80"/>
      <c r="C69" s="81"/>
      <c r="D69" s="31" t="str">
        <f>IFERROR(VLOOKUP(A69,BUFFS!$H$5:$AF$195,8,),"")</f>
        <v/>
      </c>
      <c r="E69" s="24" t="str">
        <f t="shared" si="6"/>
        <v/>
      </c>
      <c r="F69" s="65" t="str">
        <f>IFERROR(VLOOKUP(A69,BUFFS!$H$5:$AF$195,5,),"")</f>
        <v/>
      </c>
      <c r="G69" s="66" t="str">
        <f>IFERROR(VLOOKUP(A69,BUFFS!$H$5:$AF$195,6,),"")</f>
        <v/>
      </c>
      <c r="H69" s="67" t="str">
        <f>IFERROR(VLOOKUP(A69,BUFFS!$H$5:$AF$195,7,),"")</f>
        <v/>
      </c>
      <c r="I69" s="66" t="str">
        <f>IFERROR(VLOOKUP(A69,BUFFS!$H$5:$AF$195,9,),"")</f>
        <v/>
      </c>
      <c r="J69" s="65" t="str">
        <f>IFERROR(VLOOKUP(A69,BUFFS!$H$5:$AF$195,10,),"")</f>
        <v/>
      </c>
      <c r="K69" s="66" t="str">
        <f>IFERROR(VLOOKUP(A69,BUFFS!$H$5:$AF$195,11,),"")</f>
        <v/>
      </c>
      <c r="L69" s="66" t="str">
        <f>IFERROR(VLOOKUP(A69,BUFFS!$H$5:$AF$195,12,),"")</f>
        <v/>
      </c>
      <c r="M69" s="66" t="str">
        <f>IFERROR(VLOOKUP(A69,BUFFS!$H$5:$AF$195,14,),"")</f>
        <v/>
      </c>
      <c r="N69" s="68" t="str">
        <f t="shared" si="7"/>
        <v/>
      </c>
      <c r="O69" s="65" t="str">
        <f>IFERROR(VLOOKUP(A69,BUFFS!$H$5:$AF$195,15,),"")</f>
        <v/>
      </c>
      <c r="P69" s="66" t="str">
        <f>IFERROR(VLOOKUP(A69,BUFFS!$H$5:$AF$195,16,),"")</f>
        <v/>
      </c>
      <c r="Q69" s="66" t="str">
        <f>IFERROR(VLOOKUP(A69,BUFFS!$H$5:$AF$195,17,),"")</f>
        <v/>
      </c>
      <c r="R69" s="66" t="str">
        <f>IFERROR(VLOOKUP(A69,BUFFS!$H$5:$AF$195,19,),"")</f>
        <v/>
      </c>
      <c r="S69" s="69" t="str">
        <f t="shared" si="8"/>
        <v/>
      </c>
      <c r="T69" s="70" t="str">
        <f>IFERROR(VLOOKUP(A69,BUFFS!$H$5:$AF$195,20,),"")</f>
        <v/>
      </c>
    </row>
    <row r="70" spans="1:20" x14ac:dyDescent="0.35">
      <c r="A70" s="17"/>
      <c r="B70" s="80"/>
      <c r="C70" s="81"/>
      <c r="D70" s="31" t="str">
        <f>IFERROR(VLOOKUP(A70,BUFFS!$H$5:$AF$195,8,),"")</f>
        <v/>
      </c>
      <c r="E70" s="24" t="str">
        <f t="shared" si="6"/>
        <v/>
      </c>
      <c r="F70" s="65" t="str">
        <f>IFERROR(VLOOKUP(A70,BUFFS!$H$5:$AF$195,5,),"")</f>
        <v/>
      </c>
      <c r="G70" s="66" t="str">
        <f>IFERROR(VLOOKUP(A70,BUFFS!$H$5:$AF$195,6,),"")</f>
        <v/>
      </c>
      <c r="H70" s="67" t="str">
        <f>IFERROR(VLOOKUP(A70,BUFFS!$H$5:$AF$195,7,),"")</f>
        <v/>
      </c>
      <c r="I70" s="66" t="str">
        <f>IFERROR(VLOOKUP(A70,BUFFS!$H$5:$AF$195,9,),"")</f>
        <v/>
      </c>
      <c r="J70" s="65" t="str">
        <f>IFERROR(VLOOKUP(A70,BUFFS!$H$5:$AF$195,10,),"")</f>
        <v/>
      </c>
      <c r="K70" s="66" t="str">
        <f>IFERROR(VLOOKUP(A70,BUFFS!$H$5:$AF$195,11,),"")</f>
        <v/>
      </c>
      <c r="L70" s="66" t="str">
        <f>IFERROR(VLOOKUP(A70,BUFFS!$H$5:$AF$195,12,),"")</f>
        <v/>
      </c>
      <c r="M70" s="66" t="str">
        <f>IFERROR(VLOOKUP(A70,BUFFS!$H$5:$AF$195,14,),"")</f>
        <v/>
      </c>
      <c r="N70" s="68" t="str">
        <f t="shared" si="7"/>
        <v/>
      </c>
      <c r="O70" s="65" t="str">
        <f>IFERROR(VLOOKUP(A70,BUFFS!$H$5:$AF$195,15,),"")</f>
        <v/>
      </c>
      <c r="P70" s="66" t="str">
        <f>IFERROR(VLOOKUP(A70,BUFFS!$H$5:$AF$195,16,),"")</f>
        <v/>
      </c>
      <c r="Q70" s="66" t="str">
        <f>IFERROR(VLOOKUP(A70,BUFFS!$H$5:$AF$195,17,),"")</f>
        <v/>
      </c>
      <c r="R70" s="66" t="str">
        <f>IFERROR(VLOOKUP(A70,BUFFS!$H$5:$AF$195,19,),"")</f>
        <v/>
      </c>
      <c r="S70" s="69" t="str">
        <f t="shared" si="8"/>
        <v/>
      </c>
      <c r="T70" s="70" t="str">
        <f>IFERROR(VLOOKUP(A70,BUFFS!$H$5:$AF$195,20,),"")</f>
        <v/>
      </c>
    </row>
    <row r="71" spans="1:20" x14ac:dyDescent="0.35">
      <c r="A71" s="17"/>
      <c r="B71" s="80"/>
      <c r="C71" s="81"/>
      <c r="D71" s="31" t="str">
        <f>IFERROR(VLOOKUP(A71,BUFFS!$H$5:$AF$195,8,),"")</f>
        <v/>
      </c>
      <c r="E71" s="24" t="str">
        <f t="shared" si="6"/>
        <v/>
      </c>
      <c r="F71" s="65" t="str">
        <f>IFERROR(VLOOKUP(A71,BUFFS!$H$5:$AF$195,5,),"")</f>
        <v/>
      </c>
      <c r="G71" s="66" t="str">
        <f>IFERROR(VLOOKUP(A71,BUFFS!$H$5:$AF$195,6,),"")</f>
        <v/>
      </c>
      <c r="H71" s="67" t="str">
        <f>IFERROR(VLOOKUP(A71,BUFFS!$H$5:$AF$195,7,),"")</f>
        <v/>
      </c>
      <c r="I71" s="66" t="str">
        <f>IFERROR(VLOOKUP(A71,BUFFS!$H$5:$AF$195,9,),"")</f>
        <v/>
      </c>
      <c r="J71" s="65" t="str">
        <f>IFERROR(VLOOKUP(A71,BUFFS!$H$5:$AF$195,10,),"")</f>
        <v/>
      </c>
      <c r="K71" s="66" t="str">
        <f>IFERROR(VLOOKUP(A71,BUFFS!$H$5:$AF$195,11,),"")</f>
        <v/>
      </c>
      <c r="L71" s="66" t="str">
        <f>IFERROR(VLOOKUP(A71,BUFFS!$H$5:$AF$195,12,),"")</f>
        <v/>
      </c>
      <c r="M71" s="66" t="str">
        <f>IFERROR(VLOOKUP(A71,BUFFS!$H$5:$AF$195,14,),"")</f>
        <v/>
      </c>
      <c r="N71" s="68" t="str">
        <f t="shared" si="7"/>
        <v/>
      </c>
      <c r="O71" s="65" t="str">
        <f>IFERROR(VLOOKUP(A71,BUFFS!$H$5:$AF$195,15,),"")</f>
        <v/>
      </c>
      <c r="P71" s="66" t="str">
        <f>IFERROR(VLOOKUP(A71,BUFFS!$H$5:$AF$195,16,),"")</f>
        <v/>
      </c>
      <c r="Q71" s="66" t="str">
        <f>IFERROR(VLOOKUP(A71,BUFFS!$H$5:$AF$195,17,),"")</f>
        <v/>
      </c>
      <c r="R71" s="66" t="str">
        <f>IFERROR(VLOOKUP(A71,BUFFS!$H$5:$AF$195,19,),"")</f>
        <v/>
      </c>
      <c r="S71" s="69" t="str">
        <f t="shared" si="8"/>
        <v/>
      </c>
      <c r="T71" s="70" t="str">
        <f>IFERROR(VLOOKUP(A71,BUFFS!$H$5:$AF$195,20,),"")</f>
        <v/>
      </c>
    </row>
    <row r="72" spans="1:20" x14ac:dyDescent="0.35">
      <c r="A72" s="17"/>
      <c r="B72" s="80"/>
      <c r="C72" s="81"/>
      <c r="D72" s="31" t="str">
        <f>IFERROR(VLOOKUP(A72,BUFFS!$H$5:$AF$195,8,),"")</f>
        <v/>
      </c>
      <c r="E72" s="24" t="str">
        <f t="shared" si="6"/>
        <v/>
      </c>
      <c r="F72" s="65" t="str">
        <f>IFERROR(VLOOKUP(A72,BUFFS!$H$5:$AF$195,5,),"")</f>
        <v/>
      </c>
      <c r="G72" s="66" t="str">
        <f>IFERROR(VLOOKUP(A72,BUFFS!$H$5:$AF$195,6,),"")</f>
        <v/>
      </c>
      <c r="H72" s="67" t="str">
        <f>IFERROR(VLOOKUP(A72,BUFFS!$H$5:$AF$195,7,),"")</f>
        <v/>
      </c>
      <c r="I72" s="66" t="str">
        <f>IFERROR(VLOOKUP(A72,BUFFS!$H$5:$AF$195,9,),"")</f>
        <v/>
      </c>
      <c r="J72" s="65" t="str">
        <f>IFERROR(VLOOKUP(A72,BUFFS!$H$5:$AF$195,10,),"")</f>
        <v/>
      </c>
      <c r="K72" s="66" t="str">
        <f>IFERROR(VLOOKUP(A72,BUFFS!$H$5:$AF$195,11,),"")</f>
        <v/>
      </c>
      <c r="L72" s="66" t="str">
        <f>IFERROR(VLOOKUP(A72,BUFFS!$H$5:$AF$195,12,),"")</f>
        <v/>
      </c>
      <c r="M72" s="66" t="str">
        <f>IFERROR(VLOOKUP(A72,BUFFS!$H$5:$AF$195,14,),"")</f>
        <v/>
      </c>
      <c r="N72" s="68" t="str">
        <f t="shared" si="7"/>
        <v/>
      </c>
      <c r="O72" s="65" t="str">
        <f>IFERROR(VLOOKUP(A72,BUFFS!$H$5:$AF$195,15,),"")</f>
        <v/>
      </c>
      <c r="P72" s="66" t="str">
        <f>IFERROR(VLOOKUP(A72,BUFFS!$H$5:$AF$195,16,),"")</f>
        <v/>
      </c>
      <c r="Q72" s="66" t="str">
        <f>IFERROR(VLOOKUP(A72,BUFFS!$H$5:$AF$195,17,),"")</f>
        <v/>
      </c>
      <c r="R72" s="66" t="str">
        <f>IFERROR(VLOOKUP(A72,BUFFS!$H$5:$AF$195,19,),"")</f>
        <v/>
      </c>
      <c r="S72" s="69" t="str">
        <f t="shared" si="8"/>
        <v/>
      </c>
      <c r="T72" s="70" t="str">
        <f>IFERROR(VLOOKUP(A72,BUFFS!$H$5:$AF$195,20,),"")</f>
        <v/>
      </c>
    </row>
    <row r="73" spans="1:20" x14ac:dyDescent="0.35">
      <c r="A73" s="17"/>
      <c r="B73" s="80"/>
      <c r="C73" s="81"/>
      <c r="D73" s="31" t="str">
        <f>IFERROR(VLOOKUP(A73,BUFFS!$H$5:$AF$195,8,),"")</f>
        <v/>
      </c>
      <c r="E73" s="24" t="str">
        <f t="shared" si="6"/>
        <v/>
      </c>
      <c r="F73" s="65" t="str">
        <f>IFERROR(VLOOKUP(A73,BUFFS!$H$5:$AF$195,5,),"")</f>
        <v/>
      </c>
      <c r="G73" s="66" t="str">
        <f>IFERROR(VLOOKUP(A73,BUFFS!$H$5:$AF$195,6,),"")</f>
        <v/>
      </c>
      <c r="H73" s="67" t="str">
        <f>IFERROR(VLOOKUP(A73,BUFFS!$H$5:$AF$195,7,),"")</f>
        <v/>
      </c>
      <c r="I73" s="66" t="str">
        <f>IFERROR(VLOOKUP(A73,BUFFS!$H$5:$AF$195,9,),"")</f>
        <v/>
      </c>
      <c r="J73" s="65" t="str">
        <f>IFERROR(VLOOKUP(A73,BUFFS!$H$5:$AF$195,10,),"")</f>
        <v/>
      </c>
      <c r="K73" s="66" t="str">
        <f>IFERROR(VLOOKUP(A73,BUFFS!$H$5:$AF$195,11,),"")</f>
        <v/>
      </c>
      <c r="L73" s="66" t="str">
        <f>IFERROR(VLOOKUP(A73,BUFFS!$H$5:$AF$195,12,),"")</f>
        <v/>
      </c>
      <c r="M73" s="66" t="str">
        <f>IFERROR(VLOOKUP(A73,BUFFS!$H$5:$AF$195,14,),"")</f>
        <v/>
      </c>
      <c r="N73" s="68" t="str">
        <f t="shared" si="7"/>
        <v/>
      </c>
      <c r="O73" s="65" t="str">
        <f>IFERROR(VLOOKUP(A73,BUFFS!$H$5:$AF$195,15,),"")</f>
        <v/>
      </c>
      <c r="P73" s="66" t="str">
        <f>IFERROR(VLOOKUP(A73,BUFFS!$H$5:$AF$195,16,),"")</f>
        <v/>
      </c>
      <c r="Q73" s="66" t="str">
        <f>IFERROR(VLOOKUP(A73,BUFFS!$H$5:$AF$195,17,),"")</f>
        <v/>
      </c>
      <c r="R73" s="66" t="str">
        <f>IFERROR(VLOOKUP(A73,BUFFS!$H$5:$AF$195,19,),"")</f>
        <v/>
      </c>
      <c r="S73" s="69" t="str">
        <f t="shared" si="8"/>
        <v/>
      </c>
      <c r="T73" s="70" t="str">
        <f>IFERROR(VLOOKUP(A73,BUFFS!$H$5:$AF$195,20,),"")</f>
        <v/>
      </c>
    </row>
    <row r="74" spans="1:20" x14ac:dyDescent="0.35">
      <c r="A74" s="17"/>
      <c r="B74" s="80"/>
      <c r="C74" s="81"/>
      <c r="D74" s="31" t="str">
        <f>IFERROR(VLOOKUP(A74,BUFFS!$H$5:$AF$195,8,),"")</f>
        <v/>
      </c>
      <c r="E74" s="24" t="str">
        <f t="shared" si="6"/>
        <v/>
      </c>
      <c r="F74" s="65" t="str">
        <f>IFERROR(VLOOKUP(A74,BUFFS!$H$5:$AF$195,5,),"")</f>
        <v/>
      </c>
      <c r="G74" s="66" t="str">
        <f>IFERROR(VLOOKUP(A74,BUFFS!$H$5:$AF$195,6,),"")</f>
        <v/>
      </c>
      <c r="H74" s="67" t="str">
        <f>IFERROR(VLOOKUP(A74,BUFFS!$H$5:$AF$195,7,),"")</f>
        <v/>
      </c>
      <c r="I74" s="66" t="str">
        <f>IFERROR(VLOOKUP(A74,BUFFS!$H$5:$AF$195,9,),"")</f>
        <v/>
      </c>
      <c r="J74" s="65" t="str">
        <f>IFERROR(VLOOKUP(A74,BUFFS!$H$5:$AF$195,10,),"")</f>
        <v/>
      </c>
      <c r="K74" s="66" t="str">
        <f>IFERROR(VLOOKUP(A74,BUFFS!$H$5:$AF$195,11,),"")</f>
        <v/>
      </c>
      <c r="L74" s="66" t="str">
        <f>IFERROR(VLOOKUP(A74,BUFFS!$H$5:$AF$195,12,),"")</f>
        <v/>
      </c>
      <c r="M74" s="66" t="str">
        <f>IFERROR(VLOOKUP(A74,BUFFS!$H$5:$AF$195,14,),"")</f>
        <v/>
      </c>
      <c r="N74" s="68" t="str">
        <f t="shared" si="7"/>
        <v/>
      </c>
      <c r="O74" s="65" t="str">
        <f>IFERROR(VLOOKUP(A74,BUFFS!$H$5:$AF$195,15,),"")</f>
        <v/>
      </c>
      <c r="P74" s="66" t="str">
        <f>IFERROR(VLOOKUP(A74,BUFFS!$H$5:$AF$195,16,),"")</f>
        <v/>
      </c>
      <c r="Q74" s="66" t="str">
        <f>IFERROR(VLOOKUP(A74,BUFFS!$H$5:$AF$195,17,),"")</f>
        <v/>
      </c>
      <c r="R74" s="66" t="str">
        <f>IFERROR(VLOOKUP(A74,BUFFS!$H$5:$AF$195,19,),"")</f>
        <v/>
      </c>
      <c r="S74" s="69" t="str">
        <f t="shared" si="8"/>
        <v/>
      </c>
      <c r="T74" s="70" t="str">
        <f>IFERROR(VLOOKUP(A74,BUFFS!$H$5:$AF$195,20,),"")</f>
        <v/>
      </c>
    </row>
    <row r="75" spans="1:20" x14ac:dyDescent="0.35">
      <c r="A75" s="17"/>
      <c r="B75" s="80"/>
      <c r="C75" s="81"/>
      <c r="D75" s="31" t="str">
        <f>IFERROR(VLOOKUP(A75,BUFFS!$H$5:$AF$195,8,),"")</f>
        <v/>
      </c>
      <c r="E75" s="24" t="str">
        <f t="shared" si="6"/>
        <v/>
      </c>
      <c r="F75" s="65" t="str">
        <f>IFERROR(VLOOKUP(A75,BUFFS!$H$5:$AF$195,5,),"")</f>
        <v/>
      </c>
      <c r="G75" s="66" t="str">
        <f>IFERROR(VLOOKUP(A75,BUFFS!$H$5:$AF$195,6,),"")</f>
        <v/>
      </c>
      <c r="H75" s="67" t="str">
        <f>IFERROR(VLOOKUP(A75,BUFFS!$H$5:$AF$195,7,),"")</f>
        <v/>
      </c>
      <c r="I75" s="66" t="str">
        <f>IFERROR(VLOOKUP(A75,BUFFS!$H$5:$AF$195,9,),"")</f>
        <v/>
      </c>
      <c r="J75" s="65" t="str">
        <f>IFERROR(VLOOKUP(A75,BUFFS!$H$5:$AF$195,10,),"")</f>
        <v/>
      </c>
      <c r="K75" s="66" t="str">
        <f>IFERROR(VLOOKUP(A75,BUFFS!$H$5:$AF$195,11,),"")</f>
        <v/>
      </c>
      <c r="L75" s="66" t="str">
        <f>IFERROR(VLOOKUP(A75,BUFFS!$H$5:$AF$195,12,),"")</f>
        <v/>
      </c>
      <c r="M75" s="66" t="str">
        <f>IFERROR(VLOOKUP(A75,BUFFS!$H$5:$AF$195,14,),"")</f>
        <v/>
      </c>
      <c r="N75" s="68" t="str">
        <f t="shared" si="7"/>
        <v/>
      </c>
      <c r="O75" s="65" t="str">
        <f>IFERROR(VLOOKUP(A75,BUFFS!$H$5:$AF$195,15,),"")</f>
        <v/>
      </c>
      <c r="P75" s="66" t="str">
        <f>IFERROR(VLOOKUP(A75,BUFFS!$H$5:$AF$195,16,),"")</f>
        <v/>
      </c>
      <c r="Q75" s="66" t="str">
        <f>IFERROR(VLOOKUP(A75,BUFFS!$H$5:$AF$195,17,),"")</f>
        <v/>
      </c>
      <c r="R75" s="66" t="str">
        <f>IFERROR(VLOOKUP(A75,BUFFS!$H$5:$AF$195,19,),"")</f>
        <v/>
      </c>
      <c r="S75" s="69" t="str">
        <f t="shared" si="8"/>
        <v/>
      </c>
      <c r="T75" s="70" t="str">
        <f>IFERROR(VLOOKUP(A75,BUFFS!$H$5:$AF$195,20,),"")</f>
        <v/>
      </c>
    </row>
    <row r="76" spans="1:20" x14ac:dyDescent="0.35">
      <c r="A76" s="17"/>
      <c r="B76" s="80"/>
      <c r="C76" s="81"/>
      <c r="D76" s="31" t="str">
        <f>IFERROR(VLOOKUP(A76,BUFFS!$H$5:$AF$195,8,),"")</f>
        <v/>
      </c>
      <c r="E76" s="24" t="str">
        <f t="shared" si="6"/>
        <v/>
      </c>
      <c r="F76" s="65" t="str">
        <f>IFERROR(VLOOKUP(A76,BUFFS!$H$5:$AF$195,5,),"")</f>
        <v/>
      </c>
      <c r="G76" s="66" t="str">
        <f>IFERROR(VLOOKUP(A76,BUFFS!$H$5:$AF$195,6,),"")</f>
        <v/>
      </c>
      <c r="H76" s="67" t="str">
        <f>IFERROR(VLOOKUP(A76,BUFFS!$H$5:$AF$195,7,),"")</f>
        <v/>
      </c>
      <c r="I76" s="66" t="str">
        <f>IFERROR(VLOOKUP(A76,BUFFS!$H$5:$AF$195,9,),"")</f>
        <v/>
      </c>
      <c r="J76" s="65" t="str">
        <f>IFERROR(VLOOKUP(A76,BUFFS!$H$5:$AF$195,10,),"")</f>
        <v/>
      </c>
      <c r="K76" s="66" t="str">
        <f>IFERROR(VLOOKUP(A76,BUFFS!$H$5:$AF$195,11,),"")</f>
        <v/>
      </c>
      <c r="L76" s="66" t="str">
        <f>IFERROR(VLOOKUP(A76,BUFFS!$H$5:$AF$195,12,),"")</f>
        <v/>
      </c>
      <c r="M76" s="66" t="str">
        <f>IFERROR(VLOOKUP(A76,BUFFS!$H$5:$AF$195,14,),"")</f>
        <v/>
      </c>
      <c r="N76" s="68" t="str">
        <f t="shared" si="7"/>
        <v/>
      </c>
      <c r="O76" s="65" t="str">
        <f>IFERROR(VLOOKUP(A76,BUFFS!$H$5:$AF$195,15,),"")</f>
        <v/>
      </c>
      <c r="P76" s="66" t="str">
        <f>IFERROR(VLOOKUP(A76,BUFFS!$H$5:$AF$195,16,),"")</f>
        <v/>
      </c>
      <c r="Q76" s="66" t="str">
        <f>IFERROR(VLOOKUP(A76,BUFFS!$H$5:$AF$195,17,),"")</f>
        <v/>
      </c>
      <c r="R76" s="66" t="str">
        <f>IFERROR(VLOOKUP(A76,BUFFS!$H$5:$AF$195,19,),"")</f>
        <v/>
      </c>
      <c r="S76" s="69" t="str">
        <f t="shared" si="8"/>
        <v/>
      </c>
      <c r="T76" s="70" t="str">
        <f>IFERROR(VLOOKUP(A76,BUFFS!$H$5:$AF$195,20,),"")</f>
        <v/>
      </c>
    </row>
    <row r="77" spans="1:20" x14ac:dyDescent="0.35">
      <c r="A77" s="17"/>
      <c r="B77" s="80"/>
      <c r="C77" s="81"/>
      <c r="D77" s="31" t="str">
        <f>IFERROR(VLOOKUP(A77,BUFFS!$H$5:$AF$195,8,),"")</f>
        <v/>
      </c>
      <c r="E77" s="24" t="str">
        <f t="shared" si="6"/>
        <v/>
      </c>
      <c r="F77" s="65" t="str">
        <f>IFERROR(VLOOKUP(A77,BUFFS!$H$5:$AF$195,5,),"")</f>
        <v/>
      </c>
      <c r="G77" s="66" t="str">
        <f>IFERROR(VLOOKUP(A77,BUFFS!$H$5:$AF$195,6,),"")</f>
        <v/>
      </c>
      <c r="H77" s="67" t="str">
        <f>IFERROR(VLOOKUP(A77,BUFFS!$H$5:$AF$195,7,),"")</f>
        <v/>
      </c>
      <c r="I77" s="66" t="str">
        <f>IFERROR(VLOOKUP(A77,BUFFS!$H$5:$AF$195,9,),"")</f>
        <v/>
      </c>
      <c r="J77" s="65" t="str">
        <f>IFERROR(VLOOKUP(A77,BUFFS!$H$5:$AF$195,10,),"")</f>
        <v/>
      </c>
      <c r="K77" s="66" t="str">
        <f>IFERROR(VLOOKUP(A77,BUFFS!$H$5:$AF$195,11,),"")</f>
        <v/>
      </c>
      <c r="L77" s="66" t="str">
        <f>IFERROR(VLOOKUP(A77,BUFFS!$H$5:$AF$195,12,),"")</f>
        <v/>
      </c>
      <c r="M77" s="66" t="str">
        <f>IFERROR(VLOOKUP(A77,BUFFS!$H$5:$AF$195,14,),"")</f>
        <v/>
      </c>
      <c r="N77" s="68" t="str">
        <f t="shared" si="7"/>
        <v/>
      </c>
      <c r="O77" s="65" t="str">
        <f>IFERROR(VLOOKUP(A77,BUFFS!$H$5:$AF$195,15,),"")</f>
        <v/>
      </c>
      <c r="P77" s="66" t="str">
        <f>IFERROR(VLOOKUP(A77,BUFFS!$H$5:$AF$195,16,),"")</f>
        <v/>
      </c>
      <c r="Q77" s="66" t="str">
        <f>IFERROR(VLOOKUP(A77,BUFFS!$H$5:$AF$195,17,),"")</f>
        <v/>
      </c>
      <c r="R77" s="66" t="str">
        <f>IFERROR(VLOOKUP(A77,BUFFS!$H$5:$AF$195,19,),"")</f>
        <v/>
      </c>
      <c r="S77" s="69" t="str">
        <f t="shared" si="8"/>
        <v/>
      </c>
      <c r="T77" s="70" t="str">
        <f>IFERROR(VLOOKUP(A77,BUFFS!$H$5:$AF$195,20,),"")</f>
        <v/>
      </c>
    </row>
    <row r="78" spans="1:20" x14ac:dyDescent="0.35">
      <c r="A78" s="17"/>
      <c r="B78" s="80"/>
      <c r="C78" s="81"/>
      <c r="D78" s="31" t="str">
        <f>IFERROR(VLOOKUP(A78,BUFFS!$H$5:$AF$195,8,),"")</f>
        <v/>
      </c>
      <c r="E78" s="24" t="str">
        <f t="shared" si="6"/>
        <v/>
      </c>
      <c r="F78" s="65" t="str">
        <f>IFERROR(VLOOKUP(A78,BUFFS!$H$5:$AF$195,5,),"")</f>
        <v/>
      </c>
      <c r="G78" s="66" t="str">
        <f>IFERROR(VLOOKUP(A78,BUFFS!$H$5:$AF$195,6,),"")</f>
        <v/>
      </c>
      <c r="H78" s="67" t="str">
        <f>IFERROR(VLOOKUP(A78,BUFFS!$H$5:$AF$195,7,),"")</f>
        <v/>
      </c>
      <c r="I78" s="66" t="str">
        <f>IFERROR(VLOOKUP(A78,BUFFS!$H$5:$AF$195,9,),"")</f>
        <v/>
      </c>
      <c r="J78" s="65" t="str">
        <f>IFERROR(VLOOKUP(A78,BUFFS!$H$5:$AF$195,10,),"")</f>
        <v/>
      </c>
      <c r="K78" s="66" t="str">
        <f>IFERROR(VLOOKUP(A78,BUFFS!$H$5:$AF$195,11,),"")</f>
        <v/>
      </c>
      <c r="L78" s="66" t="str">
        <f>IFERROR(VLOOKUP(A78,BUFFS!$H$5:$AF$195,12,),"")</f>
        <v/>
      </c>
      <c r="M78" s="66" t="str">
        <f>IFERROR(VLOOKUP(A78,BUFFS!$H$5:$AF$195,14,),"")</f>
        <v/>
      </c>
      <c r="N78" s="68" t="str">
        <f t="shared" si="7"/>
        <v/>
      </c>
      <c r="O78" s="65" t="str">
        <f>IFERROR(VLOOKUP(A78,BUFFS!$H$5:$AF$195,15,),"")</f>
        <v/>
      </c>
      <c r="P78" s="66" t="str">
        <f>IFERROR(VLOOKUP(A78,BUFFS!$H$5:$AF$195,16,),"")</f>
        <v/>
      </c>
      <c r="Q78" s="66" t="str">
        <f>IFERROR(VLOOKUP(A78,BUFFS!$H$5:$AF$195,17,),"")</f>
        <v/>
      </c>
      <c r="R78" s="66" t="str">
        <f>IFERROR(VLOOKUP(A78,BUFFS!$H$5:$AF$195,19,),"")</f>
        <v/>
      </c>
      <c r="S78" s="69" t="str">
        <f t="shared" si="8"/>
        <v/>
      </c>
      <c r="T78" s="70" t="str">
        <f>IFERROR(VLOOKUP(A78,BUFFS!$H$5:$AF$195,20,),"")</f>
        <v/>
      </c>
    </row>
    <row r="79" spans="1:20" x14ac:dyDescent="0.35">
      <c r="A79" s="17"/>
      <c r="B79" s="80"/>
      <c r="C79" s="81"/>
      <c r="D79" s="31" t="str">
        <f>IFERROR(VLOOKUP(A79,BUFFS!$H$5:$AF$195,8,),"")</f>
        <v/>
      </c>
      <c r="E79" s="24" t="str">
        <f t="shared" si="6"/>
        <v/>
      </c>
      <c r="F79" s="65" t="str">
        <f>IFERROR(VLOOKUP(A79,BUFFS!$H$5:$AF$195,5,),"")</f>
        <v/>
      </c>
      <c r="G79" s="66" t="str">
        <f>IFERROR(VLOOKUP(A79,BUFFS!$H$5:$AF$195,6,),"")</f>
        <v/>
      </c>
      <c r="H79" s="67" t="str">
        <f>IFERROR(VLOOKUP(A79,BUFFS!$H$5:$AF$195,7,),"")</f>
        <v/>
      </c>
      <c r="I79" s="66" t="str">
        <f>IFERROR(VLOOKUP(A79,BUFFS!$H$5:$AF$195,9,),"")</f>
        <v/>
      </c>
      <c r="J79" s="65" t="str">
        <f>IFERROR(VLOOKUP(A79,BUFFS!$H$5:$AF$195,10,),"")</f>
        <v/>
      </c>
      <c r="K79" s="66" t="str">
        <f>IFERROR(VLOOKUP(A79,BUFFS!$H$5:$AF$195,11,),"")</f>
        <v/>
      </c>
      <c r="L79" s="66" t="str">
        <f>IFERROR(VLOOKUP(A79,BUFFS!$H$5:$AF$195,12,),"")</f>
        <v/>
      </c>
      <c r="M79" s="66" t="str">
        <f>IFERROR(VLOOKUP(A79,BUFFS!$H$5:$AF$195,14,),"")</f>
        <v/>
      </c>
      <c r="N79" s="68" t="str">
        <f t="shared" si="7"/>
        <v/>
      </c>
      <c r="O79" s="65" t="str">
        <f>IFERROR(VLOOKUP(A79,BUFFS!$H$5:$AF$195,15,),"")</f>
        <v/>
      </c>
      <c r="P79" s="66" t="str">
        <f>IFERROR(VLOOKUP(A79,BUFFS!$H$5:$AF$195,16,),"")</f>
        <v/>
      </c>
      <c r="Q79" s="66" t="str">
        <f>IFERROR(VLOOKUP(A79,BUFFS!$H$5:$AF$195,17,),"")</f>
        <v/>
      </c>
      <c r="R79" s="66" t="str">
        <f>IFERROR(VLOOKUP(A79,BUFFS!$H$5:$AF$195,19,),"")</f>
        <v/>
      </c>
      <c r="S79" s="69" t="str">
        <f t="shared" si="8"/>
        <v/>
      </c>
      <c r="T79" s="70" t="str">
        <f>IFERROR(VLOOKUP(A79,BUFFS!$H$5:$AF$195,20,),"")</f>
        <v/>
      </c>
    </row>
    <row r="80" spans="1:20" x14ac:dyDescent="0.35">
      <c r="A80" s="17"/>
      <c r="B80" s="80"/>
      <c r="C80" s="81"/>
      <c r="D80" s="31" t="str">
        <f>IFERROR(VLOOKUP(A80,BUFFS!$H$5:$AF$195,8,),"")</f>
        <v/>
      </c>
      <c r="E80" s="24" t="str">
        <f t="shared" si="6"/>
        <v/>
      </c>
      <c r="F80" s="65" t="str">
        <f>IFERROR(VLOOKUP(A80,BUFFS!$H$5:$AF$195,5,),"")</f>
        <v/>
      </c>
      <c r="G80" s="66" t="str">
        <f>IFERROR(VLOOKUP(A80,BUFFS!$H$5:$AF$195,6,),"")</f>
        <v/>
      </c>
      <c r="H80" s="67" t="str">
        <f>IFERROR(VLOOKUP(A80,BUFFS!$H$5:$AF$195,7,),"")</f>
        <v/>
      </c>
      <c r="I80" s="66" t="str">
        <f>IFERROR(VLOOKUP(A80,BUFFS!$H$5:$AF$195,9,),"")</f>
        <v/>
      </c>
      <c r="J80" s="65" t="str">
        <f>IFERROR(VLOOKUP(A80,BUFFS!$H$5:$AF$195,10,),"")</f>
        <v/>
      </c>
      <c r="K80" s="66" t="str">
        <f>IFERROR(VLOOKUP(A80,BUFFS!$H$5:$AF$195,11,),"")</f>
        <v/>
      </c>
      <c r="L80" s="66" t="str">
        <f>IFERROR(VLOOKUP(A80,BUFFS!$H$5:$AF$195,12,),"")</f>
        <v/>
      </c>
      <c r="M80" s="66" t="str">
        <f>IFERROR(VLOOKUP(A80,BUFFS!$H$5:$AF$195,14,),"")</f>
        <v/>
      </c>
      <c r="N80" s="68" t="str">
        <f t="shared" si="7"/>
        <v/>
      </c>
      <c r="O80" s="65" t="str">
        <f>IFERROR(VLOOKUP(A80,BUFFS!$H$5:$AF$195,15,),"")</f>
        <v/>
      </c>
      <c r="P80" s="66" t="str">
        <f>IFERROR(VLOOKUP(A80,BUFFS!$H$5:$AF$195,16,),"")</f>
        <v/>
      </c>
      <c r="Q80" s="66" t="str">
        <f>IFERROR(VLOOKUP(A80,BUFFS!$H$5:$AF$195,17,),"")</f>
        <v/>
      </c>
      <c r="R80" s="66" t="str">
        <f>IFERROR(VLOOKUP(A80,BUFFS!$H$5:$AF$195,19,),"")</f>
        <v/>
      </c>
      <c r="S80" s="69" t="str">
        <f t="shared" si="8"/>
        <v/>
      </c>
      <c r="T80" s="70" t="str">
        <f>IFERROR(VLOOKUP(A80,BUFFS!$H$5:$AF$195,20,),"")</f>
        <v/>
      </c>
    </row>
    <row r="81" spans="1:20" x14ac:dyDescent="0.35">
      <c r="A81" s="17"/>
      <c r="B81" s="80"/>
      <c r="C81" s="81"/>
      <c r="D81" s="31" t="str">
        <f>IFERROR(VLOOKUP(A81,BUFFS!$H$5:$AF$195,8,),"")</f>
        <v/>
      </c>
      <c r="E81" s="24" t="str">
        <f t="shared" si="6"/>
        <v/>
      </c>
      <c r="F81" s="65" t="str">
        <f>IFERROR(VLOOKUP(A81,BUFFS!$H$5:$AF$195,5,),"")</f>
        <v/>
      </c>
      <c r="G81" s="66" t="str">
        <f>IFERROR(VLOOKUP(A81,BUFFS!$H$5:$AF$195,6,),"")</f>
        <v/>
      </c>
      <c r="H81" s="67" t="str">
        <f>IFERROR(VLOOKUP(A81,BUFFS!$H$5:$AF$195,7,),"")</f>
        <v/>
      </c>
      <c r="I81" s="66" t="str">
        <f>IFERROR(VLOOKUP(A81,BUFFS!$H$5:$AF$195,9,),"")</f>
        <v/>
      </c>
      <c r="J81" s="65" t="str">
        <f>IFERROR(VLOOKUP(A81,BUFFS!$H$5:$AF$195,10,),"")</f>
        <v/>
      </c>
      <c r="K81" s="66" t="str">
        <f>IFERROR(VLOOKUP(A81,BUFFS!$H$5:$AF$195,11,),"")</f>
        <v/>
      </c>
      <c r="L81" s="66" t="str">
        <f>IFERROR(VLOOKUP(A81,BUFFS!$H$5:$AF$195,12,),"")</f>
        <v/>
      </c>
      <c r="M81" s="66" t="str">
        <f>IFERROR(VLOOKUP(A81,BUFFS!$H$5:$AF$195,14,),"")</f>
        <v/>
      </c>
      <c r="N81" s="68" t="str">
        <f t="shared" si="7"/>
        <v/>
      </c>
      <c r="O81" s="65" t="str">
        <f>IFERROR(VLOOKUP(A81,BUFFS!$H$5:$AF$195,15,),"")</f>
        <v/>
      </c>
      <c r="P81" s="66" t="str">
        <f>IFERROR(VLOOKUP(A81,BUFFS!$H$5:$AF$195,16,),"")</f>
        <v/>
      </c>
      <c r="Q81" s="66" t="str">
        <f>IFERROR(VLOOKUP(A81,BUFFS!$H$5:$AF$195,17,),"")</f>
        <v/>
      </c>
      <c r="R81" s="66" t="str">
        <f>IFERROR(VLOOKUP(A81,BUFFS!$H$5:$AF$195,19,),"")</f>
        <v/>
      </c>
      <c r="S81" s="69" t="str">
        <f t="shared" si="8"/>
        <v/>
      </c>
      <c r="T81" s="70" t="str">
        <f>IFERROR(VLOOKUP(A81,BUFFS!$H$5:$AF$195,20,),"")</f>
        <v/>
      </c>
    </row>
    <row r="82" spans="1:20" x14ac:dyDescent="0.35">
      <c r="A82" s="17"/>
      <c r="B82" s="18"/>
      <c r="C82" s="13"/>
      <c r="D82" s="31" t="str">
        <f>IFERROR(VLOOKUP(A82,BUFFS!$H$5:$AF$195,8,),"")</f>
        <v/>
      </c>
      <c r="E82" s="24" t="str">
        <f t="shared" si="6"/>
        <v/>
      </c>
      <c r="F82" s="65" t="str">
        <f>IFERROR(VLOOKUP(A82,BUFFS!$H$5:$AF$195,5,),"")</f>
        <v/>
      </c>
      <c r="G82" s="66" t="str">
        <f>IFERROR(VLOOKUP(A82,BUFFS!$H$5:$AF$195,6,),"")</f>
        <v/>
      </c>
      <c r="H82" s="67" t="str">
        <f>IFERROR(VLOOKUP(A82,BUFFS!$H$5:$AF$195,7,),"")</f>
        <v/>
      </c>
      <c r="I82" s="66" t="str">
        <f>IFERROR(VLOOKUP(A82,BUFFS!$H$5:$AF$195,9,),"")</f>
        <v/>
      </c>
      <c r="J82" s="65" t="str">
        <f>IFERROR(VLOOKUP(A82,BUFFS!$H$5:$AF$195,10,),"")</f>
        <v/>
      </c>
      <c r="K82" s="66" t="str">
        <f>IFERROR(VLOOKUP(A82,BUFFS!$H$5:$AF$195,11,),"")</f>
        <v/>
      </c>
      <c r="L82" s="66" t="str">
        <f>IFERROR(VLOOKUP(A82,BUFFS!$H$5:$AF$195,12,),"")</f>
        <v/>
      </c>
      <c r="M82" s="66" t="str">
        <f>IFERROR(VLOOKUP(A82,BUFFS!$H$5:$AF$195,14,),"")</f>
        <v/>
      </c>
      <c r="N82" s="68" t="str">
        <f t="shared" si="7"/>
        <v/>
      </c>
      <c r="O82" s="65" t="str">
        <f>IFERROR(VLOOKUP(A82,BUFFS!$H$5:$AF$195,15,),"")</f>
        <v/>
      </c>
      <c r="P82" s="66" t="str">
        <f>IFERROR(VLOOKUP(A82,BUFFS!$H$5:$AF$195,16,),"")</f>
        <v/>
      </c>
      <c r="Q82" s="66" t="str">
        <f>IFERROR(VLOOKUP(A82,BUFFS!$H$5:$AF$195,17,),"")</f>
        <v/>
      </c>
      <c r="R82" s="66" t="str">
        <f>IFERROR(VLOOKUP(A82,BUFFS!$H$5:$AF$195,19,),"")</f>
        <v/>
      </c>
      <c r="S82" s="69" t="str">
        <f t="shared" si="8"/>
        <v/>
      </c>
      <c r="T82" s="70" t="str">
        <f>IFERROR(VLOOKUP(A82,BUFFS!$H$5:$AF$195,20,),"")</f>
        <v/>
      </c>
    </row>
    <row r="83" spans="1:20" x14ac:dyDescent="0.35">
      <c r="A83" s="17"/>
      <c r="B83" s="18"/>
      <c r="C83" s="13"/>
      <c r="D83" s="31" t="str">
        <f>IFERROR(VLOOKUP(A83,BUFFS!$H$5:$AF$195,8,),"")</f>
        <v/>
      </c>
      <c r="E83" s="24" t="str">
        <f t="shared" si="6"/>
        <v/>
      </c>
      <c r="F83" s="65" t="str">
        <f>IFERROR(VLOOKUP(A83,BUFFS!$H$5:$AF$195,5,),"")</f>
        <v/>
      </c>
      <c r="G83" s="66" t="str">
        <f>IFERROR(VLOOKUP(A83,BUFFS!$H$5:$AF$195,6,),"")</f>
        <v/>
      </c>
      <c r="H83" s="67" t="str">
        <f>IFERROR(VLOOKUP(A83,BUFFS!$H$5:$AF$195,7,),"")</f>
        <v/>
      </c>
      <c r="I83" s="66" t="str">
        <f>IFERROR(VLOOKUP(A83,BUFFS!$H$5:$AF$195,9,),"")</f>
        <v/>
      </c>
      <c r="J83" s="65" t="str">
        <f>IFERROR(VLOOKUP(A83,BUFFS!$H$5:$AF$195,10,),"")</f>
        <v/>
      </c>
      <c r="K83" s="66" t="str">
        <f>IFERROR(VLOOKUP(A83,BUFFS!$H$5:$AF$195,11,),"")</f>
        <v/>
      </c>
      <c r="L83" s="66" t="str">
        <f>IFERROR(VLOOKUP(A83,BUFFS!$H$5:$AF$195,12,),"")</f>
        <v/>
      </c>
      <c r="M83" s="66" t="str">
        <f>IFERROR(VLOOKUP(A83,BUFFS!$H$5:$AF$195,14,),"")</f>
        <v/>
      </c>
      <c r="N83" s="68" t="str">
        <f t="shared" si="7"/>
        <v/>
      </c>
      <c r="O83" s="65" t="str">
        <f>IFERROR(VLOOKUP(A83,BUFFS!$H$5:$AF$195,15,),"")</f>
        <v/>
      </c>
      <c r="P83" s="66" t="str">
        <f>IFERROR(VLOOKUP(A83,BUFFS!$H$5:$AF$195,16,),"")</f>
        <v/>
      </c>
      <c r="Q83" s="66" t="str">
        <f>IFERROR(VLOOKUP(A83,BUFFS!$H$5:$AF$195,17,),"")</f>
        <v/>
      </c>
      <c r="R83" s="66" t="str">
        <f>IFERROR(VLOOKUP(A83,BUFFS!$H$5:$AF$195,19,),"")</f>
        <v/>
      </c>
      <c r="S83" s="69" t="str">
        <f t="shared" si="8"/>
        <v/>
      </c>
      <c r="T83" s="70" t="str">
        <f>IFERROR(VLOOKUP(A83,BUFFS!$H$5:$AF$195,20,),"")</f>
        <v/>
      </c>
    </row>
    <row r="84" spans="1:20" x14ac:dyDescent="0.35">
      <c r="A84" s="17"/>
      <c r="B84" s="18"/>
      <c r="C84" s="13"/>
      <c r="D84" s="31" t="str">
        <f>IFERROR(VLOOKUP(A84,BUFFS!$H$5:$AF$195,8,),"")</f>
        <v/>
      </c>
      <c r="E84" s="24" t="str">
        <f t="shared" si="6"/>
        <v/>
      </c>
      <c r="F84" s="65" t="str">
        <f>IFERROR(VLOOKUP(A84,BUFFS!$H$5:$AF$195,5,),"")</f>
        <v/>
      </c>
      <c r="G84" s="66" t="str">
        <f>IFERROR(VLOOKUP(A84,BUFFS!$H$5:$AF$195,6,),"")</f>
        <v/>
      </c>
      <c r="H84" s="67" t="str">
        <f>IFERROR(VLOOKUP(A84,BUFFS!$H$5:$AF$195,7,),"")</f>
        <v/>
      </c>
      <c r="I84" s="66" t="str">
        <f>IFERROR(VLOOKUP(A84,BUFFS!$H$5:$AF$195,9,),"")</f>
        <v/>
      </c>
      <c r="J84" s="65" t="str">
        <f>IFERROR(VLOOKUP(A84,BUFFS!$H$5:$AF$195,10,),"")</f>
        <v/>
      </c>
      <c r="K84" s="66" t="str">
        <f>IFERROR(VLOOKUP(A84,BUFFS!$H$5:$AF$195,11,),"")</f>
        <v/>
      </c>
      <c r="L84" s="66" t="str">
        <f>IFERROR(VLOOKUP(A84,BUFFS!$H$5:$AF$195,12,),"")</f>
        <v/>
      </c>
      <c r="M84" s="66" t="str">
        <f>IFERROR(VLOOKUP(A84,BUFFS!$H$5:$AF$195,14,),"")</f>
        <v/>
      </c>
      <c r="N84" s="68" t="str">
        <f t="shared" si="7"/>
        <v/>
      </c>
      <c r="O84" s="65" t="str">
        <f>IFERROR(VLOOKUP(A84,BUFFS!$H$5:$AF$195,15,),"")</f>
        <v/>
      </c>
      <c r="P84" s="66" t="str">
        <f>IFERROR(VLOOKUP(A84,BUFFS!$H$5:$AF$195,16,),"")</f>
        <v/>
      </c>
      <c r="Q84" s="66" t="str">
        <f>IFERROR(VLOOKUP(A84,BUFFS!$H$5:$AF$195,17,),"")</f>
        <v/>
      </c>
      <c r="R84" s="66" t="str">
        <f>IFERROR(VLOOKUP(A84,BUFFS!$H$5:$AF$195,19,),"")</f>
        <v/>
      </c>
      <c r="S84" s="69" t="str">
        <f t="shared" si="8"/>
        <v/>
      </c>
      <c r="T84" s="70" t="str">
        <f>IFERROR(VLOOKUP(A84,BUFFS!$H$5:$AF$195,20,),"")</f>
        <v/>
      </c>
    </row>
    <row r="85" spans="1:20" x14ac:dyDescent="0.35">
      <c r="A85" s="17"/>
      <c r="B85" s="18"/>
      <c r="C85" s="13"/>
      <c r="D85" s="31" t="str">
        <f>IFERROR(VLOOKUP(A85,BUFFS!$H$5:$AF$195,8,),"")</f>
        <v/>
      </c>
      <c r="E85" s="24" t="str">
        <f t="shared" si="6"/>
        <v/>
      </c>
      <c r="F85" s="65" t="str">
        <f>IFERROR(VLOOKUP(A85,BUFFS!$H$5:$AF$195,5,),"")</f>
        <v/>
      </c>
      <c r="G85" s="66" t="str">
        <f>IFERROR(VLOOKUP(A85,BUFFS!$H$5:$AF$195,6,),"")</f>
        <v/>
      </c>
      <c r="H85" s="67" t="str">
        <f>IFERROR(VLOOKUP(A85,BUFFS!$H$5:$AF$195,7,),"")</f>
        <v/>
      </c>
      <c r="I85" s="66" t="str">
        <f>IFERROR(VLOOKUP(A85,BUFFS!$H$5:$AF$195,9,),"")</f>
        <v/>
      </c>
      <c r="J85" s="65" t="str">
        <f>IFERROR(VLOOKUP(A85,BUFFS!$H$5:$AF$195,10,),"")</f>
        <v/>
      </c>
      <c r="K85" s="66" t="str">
        <f>IFERROR(VLOOKUP(A85,BUFFS!$H$5:$AF$195,11,),"")</f>
        <v/>
      </c>
      <c r="L85" s="66" t="str">
        <f>IFERROR(VLOOKUP(A85,BUFFS!$H$5:$AF$195,12,),"")</f>
        <v/>
      </c>
      <c r="M85" s="66" t="str">
        <f>IFERROR(VLOOKUP(A85,BUFFS!$H$5:$AF$195,14,),"")</f>
        <v/>
      </c>
      <c r="N85" s="68" t="str">
        <f t="shared" si="7"/>
        <v/>
      </c>
      <c r="O85" s="65" t="str">
        <f>IFERROR(VLOOKUP(A85,BUFFS!$H$5:$AF$195,15,),"")</f>
        <v/>
      </c>
      <c r="P85" s="66" t="str">
        <f>IFERROR(VLOOKUP(A85,BUFFS!$H$5:$AF$195,16,),"")</f>
        <v/>
      </c>
      <c r="Q85" s="66" t="str">
        <f>IFERROR(VLOOKUP(A85,BUFFS!$H$5:$AF$195,17,),"")</f>
        <v/>
      </c>
      <c r="R85" s="66" t="str">
        <f>IFERROR(VLOOKUP(A85,BUFFS!$H$5:$AF$195,19,),"")</f>
        <v/>
      </c>
      <c r="S85" s="69" t="str">
        <f t="shared" si="8"/>
        <v/>
      </c>
      <c r="T85" s="70" t="str">
        <f>IFERROR(VLOOKUP(A85,BUFFS!$H$5:$AF$195,20,),"")</f>
        <v/>
      </c>
    </row>
    <row r="86" spans="1:20" x14ac:dyDescent="0.35">
      <c r="A86" s="17"/>
      <c r="B86" s="18"/>
      <c r="C86" s="13"/>
      <c r="D86" s="31" t="str">
        <f>IFERROR(VLOOKUP(A86,BUFFS!$H$5:$AF$195,8,),"")</f>
        <v/>
      </c>
      <c r="E86" s="24" t="str">
        <f t="shared" si="6"/>
        <v/>
      </c>
      <c r="F86" s="65" t="str">
        <f>IFERROR(VLOOKUP(A86,BUFFS!$H$5:$AF$195,5,),"")</f>
        <v/>
      </c>
      <c r="G86" s="66" t="str">
        <f>IFERROR(VLOOKUP(A86,BUFFS!$H$5:$AF$195,6,),"")</f>
        <v/>
      </c>
      <c r="H86" s="67" t="str">
        <f>IFERROR(VLOOKUP(A86,BUFFS!$H$5:$AF$195,7,),"")</f>
        <v/>
      </c>
      <c r="I86" s="66" t="str">
        <f>IFERROR(VLOOKUP(A86,BUFFS!$H$5:$AF$195,9,),"")</f>
        <v/>
      </c>
      <c r="J86" s="65" t="str">
        <f>IFERROR(VLOOKUP(A86,BUFFS!$H$5:$AF$195,10,),"")</f>
        <v/>
      </c>
      <c r="K86" s="66" t="str">
        <f>IFERROR(VLOOKUP(A86,BUFFS!$H$5:$AF$195,11,),"")</f>
        <v/>
      </c>
      <c r="L86" s="66" t="str">
        <f>IFERROR(VLOOKUP(A86,BUFFS!$H$5:$AF$195,12,),"")</f>
        <v/>
      </c>
      <c r="M86" s="66" t="str">
        <f>IFERROR(VLOOKUP(A86,BUFFS!$H$5:$AF$195,14,),"")</f>
        <v/>
      </c>
      <c r="N86" s="68" t="str">
        <f t="shared" si="7"/>
        <v/>
      </c>
      <c r="O86" s="65" t="str">
        <f>IFERROR(VLOOKUP(A86,BUFFS!$H$5:$AF$195,15,),"")</f>
        <v/>
      </c>
      <c r="P86" s="66" t="str">
        <f>IFERROR(VLOOKUP(A86,BUFFS!$H$5:$AF$195,16,),"")</f>
        <v/>
      </c>
      <c r="Q86" s="66" t="str">
        <f>IFERROR(VLOOKUP(A86,BUFFS!$H$5:$AF$195,17,),"")</f>
        <v/>
      </c>
      <c r="R86" s="66" t="str">
        <f>IFERROR(VLOOKUP(A86,BUFFS!$H$5:$AF$195,19,),"")</f>
        <v/>
      </c>
      <c r="S86" s="69" t="str">
        <f t="shared" si="8"/>
        <v/>
      </c>
      <c r="T86" s="70" t="str">
        <f>IFERROR(VLOOKUP(A86,BUFFS!$H$5:$AF$195,20,),"")</f>
        <v/>
      </c>
    </row>
    <row r="87" spans="1:20" x14ac:dyDescent="0.35">
      <c r="A87" s="17"/>
      <c r="B87" s="18"/>
      <c r="C87" s="13"/>
      <c r="D87" s="31" t="str">
        <f>IFERROR(VLOOKUP(A87,BUFFS!$H$5:$AF$195,8,),"")</f>
        <v/>
      </c>
      <c r="E87" s="24" t="str">
        <f t="shared" si="6"/>
        <v/>
      </c>
      <c r="F87" s="65" t="str">
        <f>IFERROR(VLOOKUP(A87,BUFFS!$H$5:$AF$195,5,),"")</f>
        <v/>
      </c>
      <c r="G87" s="66" t="str">
        <f>IFERROR(VLOOKUP(A87,BUFFS!$H$5:$AF$195,6,),"")</f>
        <v/>
      </c>
      <c r="H87" s="67" t="str">
        <f>IFERROR(VLOOKUP(A87,BUFFS!$H$5:$AF$195,7,),"")</f>
        <v/>
      </c>
      <c r="I87" s="66" t="str">
        <f>IFERROR(VLOOKUP(A87,BUFFS!$H$5:$AF$195,9,),"")</f>
        <v/>
      </c>
      <c r="J87" s="65" t="str">
        <f>IFERROR(VLOOKUP(A87,BUFFS!$H$5:$AF$195,10,),"")</f>
        <v/>
      </c>
      <c r="K87" s="66" t="str">
        <f>IFERROR(VLOOKUP(A87,BUFFS!$H$5:$AF$195,11,),"")</f>
        <v/>
      </c>
      <c r="L87" s="66" t="str">
        <f>IFERROR(VLOOKUP(A87,BUFFS!$H$5:$AF$195,12,),"")</f>
        <v/>
      </c>
      <c r="M87" s="66" t="str">
        <f>IFERROR(VLOOKUP(A87,BUFFS!$H$5:$AF$195,14,),"")</f>
        <v/>
      </c>
      <c r="N87" s="68" t="str">
        <f t="shared" si="7"/>
        <v/>
      </c>
      <c r="O87" s="65" t="str">
        <f>IFERROR(VLOOKUP(A87,BUFFS!$H$5:$AF$195,15,),"")</f>
        <v/>
      </c>
      <c r="P87" s="66" t="str">
        <f>IFERROR(VLOOKUP(A87,BUFFS!$H$5:$AF$195,16,),"")</f>
        <v/>
      </c>
      <c r="Q87" s="66" t="str">
        <f>IFERROR(VLOOKUP(A87,BUFFS!$H$5:$AF$195,17,),"")</f>
        <v/>
      </c>
      <c r="R87" s="66" t="str">
        <f>IFERROR(VLOOKUP(A87,BUFFS!$H$5:$AF$195,19,),"")</f>
        <v/>
      </c>
      <c r="S87" s="69" t="str">
        <f t="shared" si="8"/>
        <v/>
      </c>
      <c r="T87" s="70" t="str">
        <f>IFERROR(VLOOKUP(A87,BUFFS!$H$5:$AF$195,20,),"")</f>
        <v/>
      </c>
    </row>
    <row r="88" spans="1:20" x14ac:dyDescent="0.35">
      <c r="A88" s="17"/>
      <c r="B88" s="18"/>
      <c r="C88" s="13"/>
      <c r="D88" s="31" t="str">
        <f>IFERROR(VLOOKUP(A88,BUFFS!$H$5:$AF$195,8,),"")</f>
        <v/>
      </c>
      <c r="E88" s="24" t="str">
        <f t="shared" si="6"/>
        <v/>
      </c>
      <c r="F88" s="65" t="str">
        <f>IFERROR(VLOOKUP(A88,BUFFS!$H$5:$AF$195,5,),"")</f>
        <v/>
      </c>
      <c r="G88" s="66" t="str">
        <f>IFERROR(VLOOKUP(A88,BUFFS!$H$5:$AF$195,6,),"")</f>
        <v/>
      </c>
      <c r="H88" s="67" t="str">
        <f>IFERROR(VLOOKUP(A88,BUFFS!$H$5:$AF$195,7,),"")</f>
        <v/>
      </c>
      <c r="I88" s="66" t="str">
        <f>IFERROR(VLOOKUP(A88,BUFFS!$H$5:$AF$195,9,),"")</f>
        <v/>
      </c>
      <c r="J88" s="65" t="str">
        <f>IFERROR(VLOOKUP(A88,BUFFS!$H$5:$AF$195,10,),"")</f>
        <v/>
      </c>
      <c r="K88" s="66" t="str">
        <f>IFERROR(VLOOKUP(A88,BUFFS!$H$5:$AF$195,11,),"")</f>
        <v/>
      </c>
      <c r="L88" s="66" t="str">
        <f>IFERROR(VLOOKUP(A88,BUFFS!$H$5:$AF$195,12,),"")</f>
        <v/>
      </c>
      <c r="M88" s="66" t="str">
        <f>IFERROR(VLOOKUP(A88,BUFFS!$H$5:$AF$195,14,),"")</f>
        <v/>
      </c>
      <c r="N88" s="68" t="str">
        <f t="shared" si="7"/>
        <v/>
      </c>
      <c r="O88" s="65" t="str">
        <f>IFERROR(VLOOKUP(A88,BUFFS!$H$5:$AF$195,15,),"")</f>
        <v/>
      </c>
      <c r="P88" s="66" t="str">
        <f>IFERROR(VLOOKUP(A88,BUFFS!$H$5:$AF$195,16,),"")</f>
        <v/>
      </c>
      <c r="Q88" s="66" t="str">
        <f>IFERROR(VLOOKUP(A88,BUFFS!$H$5:$AF$195,17,),"")</f>
        <v/>
      </c>
      <c r="R88" s="66" t="str">
        <f>IFERROR(VLOOKUP(A88,BUFFS!$H$5:$AF$195,19,),"")</f>
        <v/>
      </c>
      <c r="S88" s="69" t="str">
        <f t="shared" si="8"/>
        <v/>
      </c>
      <c r="T88" s="70" t="str">
        <f>IFERROR(VLOOKUP(A88,BUFFS!$H$5:$AF$195,20,),"")</f>
        <v/>
      </c>
    </row>
    <row r="89" spans="1:20" x14ac:dyDescent="0.35">
      <c r="A89" s="17"/>
      <c r="B89" s="18"/>
      <c r="C89" s="13"/>
      <c r="D89" s="31" t="str">
        <f>IFERROR(VLOOKUP(A89,BUFFS!$H$5:$AF$195,8,),"")</f>
        <v/>
      </c>
      <c r="E89" s="24" t="str">
        <f t="shared" si="6"/>
        <v/>
      </c>
      <c r="F89" s="65" t="str">
        <f>IFERROR(VLOOKUP(A89,BUFFS!$H$5:$AF$195,5,),"")</f>
        <v/>
      </c>
      <c r="G89" s="66" t="str">
        <f>IFERROR(VLOOKUP(A89,BUFFS!$H$5:$AF$195,6,),"")</f>
        <v/>
      </c>
      <c r="H89" s="67" t="str">
        <f>IFERROR(VLOOKUP(A89,BUFFS!$H$5:$AF$195,7,),"")</f>
        <v/>
      </c>
      <c r="I89" s="66" t="str">
        <f>IFERROR(VLOOKUP(A89,BUFFS!$H$5:$AF$195,9,),"")</f>
        <v/>
      </c>
      <c r="J89" s="65" t="str">
        <f>IFERROR(VLOOKUP(A89,BUFFS!$H$5:$AF$195,10,),"")</f>
        <v/>
      </c>
      <c r="K89" s="66" t="str">
        <f>IFERROR(VLOOKUP(A89,BUFFS!$H$5:$AF$195,11,),"")</f>
        <v/>
      </c>
      <c r="L89" s="66" t="str">
        <f>IFERROR(VLOOKUP(A89,BUFFS!$H$5:$AF$195,12,),"")</f>
        <v/>
      </c>
      <c r="M89" s="66" t="str">
        <f>IFERROR(VLOOKUP(A89,BUFFS!$H$5:$AF$195,14,),"")</f>
        <v/>
      </c>
      <c r="N89" s="68" t="str">
        <f t="shared" si="7"/>
        <v/>
      </c>
      <c r="O89" s="65" t="str">
        <f>IFERROR(VLOOKUP(A89,BUFFS!$H$5:$AF$195,15,),"")</f>
        <v/>
      </c>
      <c r="P89" s="66" t="str">
        <f>IFERROR(VLOOKUP(A89,BUFFS!$H$5:$AF$195,16,),"")</f>
        <v/>
      </c>
      <c r="Q89" s="66" t="str">
        <f>IFERROR(VLOOKUP(A89,BUFFS!$H$5:$AF$195,17,),"")</f>
        <v/>
      </c>
      <c r="R89" s="66" t="str">
        <f>IFERROR(VLOOKUP(A89,BUFFS!$H$5:$AF$195,19,),"")</f>
        <v/>
      </c>
      <c r="S89" s="69" t="str">
        <f t="shared" si="8"/>
        <v/>
      </c>
      <c r="T89" s="70" t="str">
        <f>IFERROR(VLOOKUP(A89,BUFFS!$H$5:$AF$195,20,),"")</f>
        <v/>
      </c>
    </row>
    <row r="90" spans="1:20" x14ac:dyDescent="0.35">
      <c r="A90" s="17"/>
      <c r="B90" s="18"/>
      <c r="C90" s="13"/>
      <c r="D90" s="31" t="str">
        <f>IFERROR(VLOOKUP(A90,BUFFS!$H$5:$AF$195,8,),"")</f>
        <v/>
      </c>
      <c r="E90" s="24" t="str">
        <f t="shared" si="6"/>
        <v/>
      </c>
      <c r="F90" s="65" t="str">
        <f>IFERROR(VLOOKUP(A90,BUFFS!$H$5:$AF$195,5,),"")</f>
        <v/>
      </c>
      <c r="G90" s="66" t="str">
        <f>IFERROR(VLOOKUP(A90,BUFFS!$H$5:$AF$195,6,),"")</f>
        <v/>
      </c>
      <c r="H90" s="67" t="str">
        <f>IFERROR(VLOOKUP(A90,BUFFS!$H$5:$AF$195,7,),"")</f>
        <v/>
      </c>
      <c r="I90" s="66" t="str">
        <f>IFERROR(VLOOKUP(A90,BUFFS!$H$5:$AF$195,9,),"")</f>
        <v/>
      </c>
      <c r="J90" s="65" t="str">
        <f>IFERROR(VLOOKUP(A90,BUFFS!$H$5:$AF$195,10,),"")</f>
        <v/>
      </c>
      <c r="K90" s="66" t="str">
        <f>IFERROR(VLOOKUP(A90,BUFFS!$H$5:$AF$195,11,),"")</f>
        <v/>
      </c>
      <c r="L90" s="66" t="str">
        <f>IFERROR(VLOOKUP(A90,BUFFS!$H$5:$AF$195,12,),"")</f>
        <v/>
      </c>
      <c r="M90" s="66" t="str">
        <f>IFERROR(VLOOKUP(A90,BUFFS!$H$5:$AF$195,14,),"")</f>
        <v/>
      </c>
      <c r="N90" s="68" t="str">
        <f t="shared" si="7"/>
        <v/>
      </c>
      <c r="O90" s="65" t="str">
        <f>IFERROR(VLOOKUP(A90,BUFFS!$H$5:$AF$195,15,),"")</f>
        <v/>
      </c>
      <c r="P90" s="66" t="str">
        <f>IFERROR(VLOOKUP(A90,BUFFS!$H$5:$AF$195,16,),"")</f>
        <v/>
      </c>
      <c r="Q90" s="66" t="str">
        <f>IFERROR(VLOOKUP(A90,BUFFS!$H$5:$AF$195,17,),"")</f>
        <v/>
      </c>
      <c r="R90" s="66" t="str">
        <f>IFERROR(VLOOKUP(A90,BUFFS!$H$5:$AF$195,19,),"")</f>
        <v/>
      </c>
      <c r="S90" s="69" t="str">
        <f t="shared" si="8"/>
        <v/>
      </c>
      <c r="T90" s="70" t="str">
        <f>IFERROR(VLOOKUP(A90,BUFFS!$H$5:$AF$195,20,),"")</f>
        <v/>
      </c>
    </row>
    <row r="91" spans="1:20" x14ac:dyDescent="0.35">
      <c r="A91" s="17"/>
      <c r="B91" s="18"/>
      <c r="C91" s="13"/>
      <c r="D91" s="31" t="str">
        <f>IFERROR(VLOOKUP(A91,BUFFS!$H$5:$AF$195,8,),"")</f>
        <v/>
      </c>
      <c r="E91" s="24" t="str">
        <f t="shared" si="6"/>
        <v/>
      </c>
      <c r="F91" s="65" t="str">
        <f>IFERROR(VLOOKUP(A91,BUFFS!$H$5:$AF$195,5,),"")</f>
        <v/>
      </c>
      <c r="G91" s="66" t="str">
        <f>IFERROR(VLOOKUP(A91,BUFFS!$H$5:$AF$195,6,),"")</f>
        <v/>
      </c>
      <c r="H91" s="67" t="str">
        <f>IFERROR(VLOOKUP(A91,BUFFS!$H$5:$AF$195,7,),"")</f>
        <v/>
      </c>
      <c r="I91" s="66" t="str">
        <f>IFERROR(VLOOKUP(A91,BUFFS!$H$5:$AF$195,9,),"")</f>
        <v/>
      </c>
      <c r="J91" s="65" t="str">
        <f>IFERROR(VLOOKUP(A91,BUFFS!$H$5:$AF$195,10,),"")</f>
        <v/>
      </c>
      <c r="K91" s="66" t="str">
        <f>IFERROR(VLOOKUP(A91,BUFFS!$H$5:$AF$195,11,),"")</f>
        <v/>
      </c>
      <c r="L91" s="66" t="str">
        <f>IFERROR(VLOOKUP(A91,BUFFS!$H$5:$AF$195,12,),"")</f>
        <v/>
      </c>
      <c r="M91" s="66" t="str">
        <f>IFERROR(VLOOKUP(A91,BUFFS!$H$5:$AF$195,14,),"")</f>
        <v/>
      </c>
      <c r="N91" s="68" t="str">
        <f t="shared" si="7"/>
        <v/>
      </c>
      <c r="O91" s="65" t="str">
        <f>IFERROR(VLOOKUP(A91,BUFFS!$H$5:$AF$195,15,),"")</f>
        <v/>
      </c>
      <c r="P91" s="66" t="str">
        <f>IFERROR(VLOOKUP(A91,BUFFS!$H$5:$AF$195,16,),"")</f>
        <v/>
      </c>
      <c r="Q91" s="66" t="str">
        <f>IFERROR(VLOOKUP(A91,BUFFS!$H$5:$AF$195,17,),"")</f>
        <v/>
      </c>
      <c r="R91" s="66" t="str">
        <f>IFERROR(VLOOKUP(A91,BUFFS!$H$5:$AF$195,19,),"")</f>
        <v/>
      </c>
      <c r="S91" s="69" t="str">
        <f t="shared" si="8"/>
        <v/>
      </c>
      <c r="T91" s="70" t="str">
        <f>IFERROR(VLOOKUP(A91,BUFFS!$H$5:$AF$195,20,),"")</f>
        <v/>
      </c>
    </row>
    <row r="92" spans="1:20" x14ac:dyDescent="0.35">
      <c r="A92" s="17"/>
      <c r="B92" s="18"/>
      <c r="C92" s="13"/>
      <c r="D92" s="31" t="str">
        <f>IFERROR(VLOOKUP(A92,BUFFS!$H$5:$AF$195,8,),"")</f>
        <v/>
      </c>
      <c r="E92" s="24" t="str">
        <f t="shared" si="6"/>
        <v/>
      </c>
      <c r="F92" s="65" t="str">
        <f>IFERROR(VLOOKUP(A92,BUFFS!$H$5:$AF$195,5,),"")</f>
        <v/>
      </c>
      <c r="G92" s="66" t="str">
        <f>IFERROR(VLOOKUP(A92,BUFFS!$H$5:$AF$195,6,),"")</f>
        <v/>
      </c>
      <c r="H92" s="67" t="str">
        <f>IFERROR(VLOOKUP(A92,BUFFS!$H$5:$AF$195,7,),"")</f>
        <v/>
      </c>
      <c r="I92" s="66" t="str">
        <f>IFERROR(VLOOKUP(A92,BUFFS!$H$5:$AF$195,9,),"")</f>
        <v/>
      </c>
      <c r="J92" s="65" t="str">
        <f>IFERROR(VLOOKUP(A92,BUFFS!$H$5:$AF$195,10,),"")</f>
        <v/>
      </c>
      <c r="K92" s="66" t="str">
        <f>IFERROR(VLOOKUP(A92,BUFFS!$H$5:$AF$195,11,),"")</f>
        <v/>
      </c>
      <c r="L92" s="66" t="str">
        <f>IFERROR(VLOOKUP(A92,BUFFS!$H$5:$AF$195,12,),"")</f>
        <v/>
      </c>
      <c r="M92" s="66" t="str">
        <f>IFERROR(VLOOKUP(A92,BUFFS!$H$5:$AF$195,14,),"")</f>
        <v/>
      </c>
      <c r="N92" s="68" t="str">
        <f t="shared" si="7"/>
        <v/>
      </c>
      <c r="O92" s="65" t="str">
        <f>IFERROR(VLOOKUP(A92,BUFFS!$H$5:$AF$195,15,),"")</f>
        <v/>
      </c>
      <c r="P92" s="66" t="str">
        <f>IFERROR(VLOOKUP(A92,BUFFS!$H$5:$AF$195,16,),"")</f>
        <v/>
      </c>
      <c r="Q92" s="66" t="str">
        <f>IFERROR(VLOOKUP(A92,BUFFS!$H$5:$AF$195,17,),"")</f>
        <v/>
      </c>
      <c r="R92" s="66" t="str">
        <f>IFERROR(VLOOKUP(A92,BUFFS!$H$5:$AF$195,19,),"")</f>
        <v/>
      </c>
      <c r="S92" s="69" t="str">
        <f t="shared" si="8"/>
        <v/>
      </c>
      <c r="T92" s="70" t="str">
        <f>IFERROR(VLOOKUP(A92,BUFFS!$H$5:$AF$195,20,),"")</f>
        <v/>
      </c>
    </row>
    <row r="93" spans="1:20" x14ac:dyDescent="0.35">
      <c r="A93" s="17"/>
      <c r="B93" s="18"/>
      <c r="C93" s="13"/>
      <c r="D93" s="31" t="str">
        <f>IFERROR(VLOOKUP(A93,BUFFS!$H$5:$AF$195,8,),"")</f>
        <v/>
      </c>
      <c r="E93" s="24" t="str">
        <f t="shared" si="6"/>
        <v/>
      </c>
      <c r="F93" s="65" t="str">
        <f>IFERROR(VLOOKUP(A93,BUFFS!$H$5:$AF$195,5,),"")</f>
        <v/>
      </c>
      <c r="G93" s="66" t="str">
        <f>IFERROR(VLOOKUP(A93,BUFFS!$H$5:$AF$195,6,),"")</f>
        <v/>
      </c>
      <c r="H93" s="67" t="str">
        <f>IFERROR(VLOOKUP(A93,BUFFS!$H$5:$AF$195,7,),"")</f>
        <v/>
      </c>
      <c r="I93" s="66" t="str">
        <f>IFERROR(VLOOKUP(A93,BUFFS!$H$5:$AF$195,9,),"")</f>
        <v/>
      </c>
      <c r="J93" s="65" t="str">
        <f>IFERROR(VLOOKUP(A93,BUFFS!$H$5:$AF$195,10,),"")</f>
        <v/>
      </c>
      <c r="K93" s="66" t="str">
        <f>IFERROR(VLOOKUP(A93,BUFFS!$H$5:$AF$195,11,),"")</f>
        <v/>
      </c>
      <c r="L93" s="66" t="str">
        <f>IFERROR(VLOOKUP(A93,BUFFS!$H$5:$AF$195,12,),"")</f>
        <v/>
      </c>
      <c r="M93" s="66" t="str">
        <f>IFERROR(VLOOKUP(A93,BUFFS!$H$5:$AF$195,14,),"")</f>
        <v/>
      </c>
      <c r="N93" s="68" t="str">
        <f t="shared" si="7"/>
        <v/>
      </c>
      <c r="O93" s="65" t="str">
        <f>IFERROR(VLOOKUP(A93,BUFFS!$H$5:$AF$195,15,),"")</f>
        <v/>
      </c>
      <c r="P93" s="66" t="str">
        <f>IFERROR(VLOOKUP(A93,BUFFS!$H$5:$AF$195,16,),"")</f>
        <v/>
      </c>
      <c r="Q93" s="66" t="str">
        <f>IFERROR(VLOOKUP(A93,BUFFS!$H$5:$AF$195,17,),"")</f>
        <v/>
      </c>
      <c r="R93" s="66" t="str">
        <f>IFERROR(VLOOKUP(A93,BUFFS!$H$5:$AF$195,19,),"")</f>
        <v/>
      </c>
      <c r="S93" s="69" t="str">
        <f t="shared" si="8"/>
        <v/>
      </c>
      <c r="T93" s="70" t="str">
        <f>IFERROR(VLOOKUP(A93,BUFFS!$H$5:$AF$195,20,),"")</f>
        <v/>
      </c>
    </row>
    <row r="94" spans="1:20" x14ac:dyDescent="0.35">
      <c r="A94" s="17"/>
      <c r="B94" s="18"/>
      <c r="C94" s="13"/>
      <c r="D94" s="31" t="str">
        <f>IFERROR(VLOOKUP(A94,BUFFS!$H$5:$AF$195,8,),"")</f>
        <v/>
      </c>
      <c r="E94" s="24" t="str">
        <f t="shared" si="6"/>
        <v/>
      </c>
      <c r="F94" s="65" t="str">
        <f>IFERROR(VLOOKUP(A94,BUFFS!$H$5:$AF$195,5,),"")</f>
        <v/>
      </c>
      <c r="G94" s="66" t="str">
        <f>IFERROR(VLOOKUP(A94,BUFFS!$H$5:$AF$195,6,),"")</f>
        <v/>
      </c>
      <c r="H94" s="67" t="str">
        <f>IFERROR(VLOOKUP(A94,BUFFS!$H$5:$AF$195,7,),"")</f>
        <v/>
      </c>
      <c r="I94" s="66" t="str">
        <f>IFERROR(VLOOKUP(A94,BUFFS!$H$5:$AF$195,9,),"")</f>
        <v/>
      </c>
      <c r="J94" s="65" t="str">
        <f>IFERROR(VLOOKUP(A94,BUFFS!$H$5:$AF$195,10,),"")</f>
        <v/>
      </c>
      <c r="K94" s="66" t="str">
        <f>IFERROR(VLOOKUP(A94,BUFFS!$H$5:$AF$195,11,),"")</f>
        <v/>
      </c>
      <c r="L94" s="66" t="str">
        <f>IFERROR(VLOOKUP(A94,BUFFS!$H$5:$AF$195,12,),"")</f>
        <v/>
      </c>
      <c r="M94" s="66" t="str">
        <f>IFERROR(VLOOKUP(A94,BUFFS!$H$5:$AF$195,14,),"")</f>
        <v/>
      </c>
      <c r="N94" s="68" t="str">
        <f t="shared" si="7"/>
        <v/>
      </c>
      <c r="O94" s="65" t="str">
        <f>IFERROR(VLOOKUP(A94,BUFFS!$H$5:$AF$195,15,),"")</f>
        <v/>
      </c>
      <c r="P94" s="66" t="str">
        <f>IFERROR(VLOOKUP(A94,BUFFS!$H$5:$AF$195,16,),"")</f>
        <v/>
      </c>
      <c r="Q94" s="66" t="str">
        <f>IFERROR(VLOOKUP(A94,BUFFS!$H$5:$AF$195,17,),"")</f>
        <v/>
      </c>
      <c r="R94" s="66" t="str">
        <f>IFERROR(VLOOKUP(A94,BUFFS!$H$5:$AF$195,19,),"")</f>
        <v/>
      </c>
      <c r="S94" s="69" t="str">
        <f t="shared" si="8"/>
        <v/>
      </c>
      <c r="T94" s="70" t="str">
        <f>IFERROR(VLOOKUP(A94,BUFFS!$H$5:$AF$195,20,),"")</f>
        <v/>
      </c>
    </row>
    <row r="95" spans="1:20" x14ac:dyDescent="0.35">
      <c r="A95" s="17"/>
      <c r="B95" s="18"/>
      <c r="C95" s="13"/>
      <c r="D95" s="31" t="str">
        <f>IFERROR(VLOOKUP(A95,BUFFS!$H$5:$AF$195,8,),"")</f>
        <v/>
      </c>
      <c r="E95" s="24" t="str">
        <f t="shared" si="6"/>
        <v/>
      </c>
      <c r="F95" s="65" t="str">
        <f>IFERROR(VLOOKUP(A95,BUFFS!$H$5:$AF$195,5,),"")</f>
        <v/>
      </c>
      <c r="G95" s="66" t="str">
        <f>IFERROR(VLOOKUP(A95,BUFFS!$H$5:$AF$195,6,),"")</f>
        <v/>
      </c>
      <c r="H95" s="67" t="str">
        <f>IFERROR(VLOOKUP(A95,BUFFS!$H$5:$AF$195,7,),"")</f>
        <v/>
      </c>
      <c r="I95" s="66" t="str">
        <f>IFERROR(VLOOKUP(A95,BUFFS!$H$5:$AF$195,9,),"")</f>
        <v/>
      </c>
      <c r="J95" s="65" t="str">
        <f>IFERROR(VLOOKUP(A95,BUFFS!$H$5:$AF$195,10,),"")</f>
        <v/>
      </c>
      <c r="K95" s="66" t="str">
        <f>IFERROR(VLOOKUP(A95,BUFFS!$H$5:$AF$195,11,),"")</f>
        <v/>
      </c>
      <c r="L95" s="66" t="str">
        <f>IFERROR(VLOOKUP(A95,BUFFS!$H$5:$AF$195,12,),"")</f>
        <v/>
      </c>
      <c r="M95" s="66" t="str">
        <f>IFERROR(VLOOKUP(A95,BUFFS!$H$5:$AF$195,14,),"")</f>
        <v/>
      </c>
      <c r="N95" s="68" t="str">
        <f t="shared" si="7"/>
        <v/>
      </c>
      <c r="O95" s="65" t="str">
        <f>IFERROR(VLOOKUP(A95,BUFFS!$H$5:$AF$195,15,),"")</f>
        <v/>
      </c>
      <c r="P95" s="66" t="str">
        <f>IFERROR(VLOOKUP(A95,BUFFS!$H$5:$AF$195,16,),"")</f>
        <v/>
      </c>
      <c r="Q95" s="66" t="str">
        <f>IFERROR(VLOOKUP(A95,BUFFS!$H$5:$AF$195,17,),"")</f>
        <v/>
      </c>
      <c r="R95" s="66" t="str">
        <f>IFERROR(VLOOKUP(A95,BUFFS!$H$5:$AF$195,19,),"")</f>
        <v/>
      </c>
      <c r="S95" s="69" t="str">
        <f t="shared" si="8"/>
        <v/>
      </c>
      <c r="T95" s="70" t="str">
        <f>IFERROR(VLOOKUP(A95,BUFFS!$H$5:$AF$195,20,),"")</f>
        <v/>
      </c>
    </row>
    <row r="96" spans="1:20" x14ac:dyDescent="0.35">
      <c r="A96" s="17"/>
      <c r="B96" s="18"/>
      <c r="C96" s="13"/>
      <c r="D96" s="31" t="str">
        <f>IFERROR(VLOOKUP(A96,BUFFS!$H$5:$AF$195,8,),"")</f>
        <v/>
      </c>
      <c r="E96" s="24" t="str">
        <f t="shared" si="6"/>
        <v/>
      </c>
      <c r="F96" s="65" t="str">
        <f>IFERROR(VLOOKUP(A96,BUFFS!$H$5:$AF$195,5,),"")</f>
        <v/>
      </c>
      <c r="G96" s="66" t="str">
        <f>IFERROR(VLOOKUP(A96,BUFFS!$H$5:$AF$195,6,),"")</f>
        <v/>
      </c>
      <c r="H96" s="67" t="str">
        <f>IFERROR(VLOOKUP(A96,BUFFS!$H$5:$AF$195,7,),"")</f>
        <v/>
      </c>
      <c r="I96" s="66" t="str">
        <f>IFERROR(VLOOKUP(A96,BUFFS!$H$5:$AF$195,9,),"")</f>
        <v/>
      </c>
      <c r="J96" s="65" t="str">
        <f>IFERROR(VLOOKUP(A96,BUFFS!$H$5:$AF$195,10,),"")</f>
        <v/>
      </c>
      <c r="K96" s="66" t="str">
        <f>IFERROR(VLOOKUP(A96,BUFFS!$H$5:$AF$195,11,),"")</f>
        <v/>
      </c>
      <c r="L96" s="66" t="str">
        <f>IFERROR(VLOOKUP(A96,BUFFS!$H$5:$AF$195,12,),"")</f>
        <v/>
      </c>
      <c r="M96" s="66" t="str">
        <f>IFERROR(VLOOKUP(A96,BUFFS!$H$5:$AF$195,14,),"")</f>
        <v/>
      </c>
      <c r="N96" s="68" t="str">
        <f t="shared" si="7"/>
        <v/>
      </c>
      <c r="O96" s="65" t="str">
        <f>IFERROR(VLOOKUP(A96,BUFFS!$H$5:$AF$195,15,),"")</f>
        <v/>
      </c>
      <c r="P96" s="66" t="str">
        <f>IFERROR(VLOOKUP(A96,BUFFS!$H$5:$AF$195,16,),"")</f>
        <v/>
      </c>
      <c r="Q96" s="66" t="str">
        <f>IFERROR(VLOOKUP(A96,BUFFS!$H$5:$AF$195,17,),"")</f>
        <v/>
      </c>
      <c r="R96" s="66" t="str">
        <f>IFERROR(VLOOKUP(A96,BUFFS!$H$5:$AF$195,19,),"")</f>
        <v/>
      </c>
      <c r="S96" s="69" t="str">
        <f t="shared" si="8"/>
        <v/>
      </c>
      <c r="T96" s="70" t="str">
        <f>IFERROR(VLOOKUP(A96,BUFFS!$H$5:$AF$195,20,),"")</f>
        <v/>
      </c>
    </row>
    <row r="97" spans="1:20" x14ac:dyDescent="0.35">
      <c r="A97" s="17"/>
      <c r="B97" s="18"/>
      <c r="C97" s="13"/>
      <c r="D97" s="31" t="str">
        <f>IFERROR(VLOOKUP(A97,BUFFS!$H$5:$AF$195,8,),"")</f>
        <v/>
      </c>
      <c r="E97" s="24" t="str">
        <f t="shared" si="6"/>
        <v/>
      </c>
      <c r="F97" s="65" t="str">
        <f>IFERROR(VLOOKUP(A97,BUFFS!$H$5:$AF$195,5,),"")</f>
        <v/>
      </c>
      <c r="G97" s="66" t="str">
        <f>IFERROR(VLOOKUP(A97,BUFFS!$H$5:$AF$195,6,),"")</f>
        <v/>
      </c>
      <c r="H97" s="67" t="str">
        <f>IFERROR(VLOOKUP(A97,BUFFS!$H$5:$AF$195,7,),"")</f>
        <v/>
      </c>
      <c r="I97" s="66" t="str">
        <f>IFERROR(VLOOKUP(A97,BUFFS!$H$5:$AF$195,9,),"")</f>
        <v/>
      </c>
      <c r="J97" s="65" t="str">
        <f>IFERROR(VLOOKUP(A97,BUFFS!$H$5:$AF$195,10,),"")</f>
        <v/>
      </c>
      <c r="K97" s="66" t="str">
        <f>IFERROR(VLOOKUP(A97,BUFFS!$H$5:$AF$195,11,),"")</f>
        <v/>
      </c>
      <c r="L97" s="66" t="str">
        <f>IFERROR(VLOOKUP(A97,BUFFS!$H$5:$AF$195,12,),"")</f>
        <v/>
      </c>
      <c r="M97" s="66" t="str">
        <f>IFERROR(VLOOKUP(A97,BUFFS!$H$5:$AF$195,14,),"")</f>
        <v/>
      </c>
      <c r="N97" s="68" t="str">
        <f t="shared" si="7"/>
        <v/>
      </c>
      <c r="O97" s="65" t="str">
        <f>IFERROR(VLOOKUP(A97,BUFFS!$H$5:$AF$195,15,),"")</f>
        <v/>
      </c>
      <c r="P97" s="66" t="str">
        <f>IFERROR(VLOOKUP(A97,BUFFS!$H$5:$AF$195,16,),"")</f>
        <v/>
      </c>
      <c r="Q97" s="66" t="str">
        <f>IFERROR(VLOOKUP(A97,BUFFS!$H$5:$AF$195,17,),"")</f>
        <v/>
      </c>
      <c r="R97" s="66" t="str">
        <f>IFERROR(VLOOKUP(A97,BUFFS!$H$5:$AF$195,19,),"")</f>
        <v/>
      </c>
      <c r="S97" s="69" t="str">
        <f t="shared" si="8"/>
        <v/>
      </c>
      <c r="T97" s="70" t="str">
        <f>IFERROR(VLOOKUP(A97,BUFFS!$H$5:$AF$195,20,),"")</f>
        <v/>
      </c>
    </row>
    <row r="98" spans="1:20" x14ac:dyDescent="0.35">
      <c r="A98" s="17"/>
      <c r="B98" s="18"/>
      <c r="C98" s="13"/>
      <c r="D98" s="31" t="str">
        <f>IFERROR(VLOOKUP(A98,BUFFS!$H$5:$AF$195,8,),"")</f>
        <v/>
      </c>
      <c r="E98" s="24" t="str">
        <f t="shared" si="6"/>
        <v/>
      </c>
      <c r="F98" s="65" t="str">
        <f>IFERROR(VLOOKUP(A98,BUFFS!$H$5:$AF$195,5,),"")</f>
        <v/>
      </c>
      <c r="G98" s="66" t="str">
        <f>IFERROR(VLOOKUP(A98,BUFFS!$H$5:$AF$195,6,),"")</f>
        <v/>
      </c>
      <c r="H98" s="67" t="str">
        <f>IFERROR(VLOOKUP(A98,BUFFS!$H$5:$AF$195,7,),"")</f>
        <v/>
      </c>
      <c r="I98" s="66" t="str">
        <f>IFERROR(VLOOKUP(A98,BUFFS!$H$5:$AF$195,9,),"")</f>
        <v/>
      </c>
      <c r="J98" s="65" t="str">
        <f>IFERROR(VLOOKUP(A98,BUFFS!$H$5:$AF$195,10,),"")</f>
        <v/>
      </c>
      <c r="K98" s="66" t="str">
        <f>IFERROR(VLOOKUP(A98,BUFFS!$H$5:$AF$195,11,),"")</f>
        <v/>
      </c>
      <c r="L98" s="66" t="str">
        <f>IFERROR(VLOOKUP(A98,BUFFS!$H$5:$AF$195,12,),"")</f>
        <v/>
      </c>
      <c r="M98" s="66" t="str">
        <f>IFERROR(VLOOKUP(A98,BUFFS!$H$5:$AF$195,14,),"")</f>
        <v/>
      </c>
      <c r="N98" s="68" t="str">
        <f t="shared" si="7"/>
        <v/>
      </c>
      <c r="O98" s="65" t="str">
        <f>IFERROR(VLOOKUP(A98,BUFFS!$H$5:$AF$195,15,),"")</f>
        <v/>
      </c>
      <c r="P98" s="66" t="str">
        <f>IFERROR(VLOOKUP(A98,BUFFS!$H$5:$AF$195,16,),"")</f>
        <v/>
      </c>
      <c r="Q98" s="66" t="str">
        <f>IFERROR(VLOOKUP(A98,BUFFS!$H$5:$AF$195,17,),"")</f>
        <v/>
      </c>
      <c r="R98" s="66" t="str">
        <f>IFERROR(VLOOKUP(A98,BUFFS!$H$5:$AF$195,19,),"")</f>
        <v/>
      </c>
      <c r="S98" s="69" t="str">
        <f t="shared" si="8"/>
        <v/>
      </c>
      <c r="T98" s="70" t="str">
        <f>IFERROR(VLOOKUP(A98,BUFFS!$H$5:$AF$195,20,),"")</f>
        <v/>
      </c>
    </row>
    <row r="99" spans="1:20" x14ac:dyDescent="0.35">
      <c r="A99" s="17"/>
      <c r="B99" s="18"/>
      <c r="C99" s="13"/>
      <c r="D99" s="31" t="str">
        <f>IFERROR(VLOOKUP(A99,BUFFS!$H$5:$AF$195,8,),"")</f>
        <v/>
      </c>
      <c r="E99" s="24" t="str">
        <f t="shared" si="6"/>
        <v/>
      </c>
      <c r="F99" s="65" t="str">
        <f>IFERROR(VLOOKUP(A99,BUFFS!$H$5:$AF$195,5,),"")</f>
        <v/>
      </c>
      <c r="G99" s="66" t="str">
        <f>IFERROR(VLOOKUP(A99,BUFFS!$H$5:$AF$195,6,),"")</f>
        <v/>
      </c>
      <c r="H99" s="67" t="str">
        <f>IFERROR(VLOOKUP(A99,BUFFS!$H$5:$AF$195,7,),"")</f>
        <v/>
      </c>
      <c r="I99" s="66" t="str">
        <f>IFERROR(VLOOKUP(A99,BUFFS!$H$5:$AF$195,9,),"")</f>
        <v/>
      </c>
      <c r="J99" s="65" t="str">
        <f>IFERROR(VLOOKUP(A99,BUFFS!$H$5:$AF$195,10,),"")</f>
        <v/>
      </c>
      <c r="K99" s="66" t="str">
        <f>IFERROR(VLOOKUP(A99,BUFFS!$H$5:$AF$195,11,),"")</f>
        <v/>
      </c>
      <c r="L99" s="66" t="str">
        <f>IFERROR(VLOOKUP(A99,BUFFS!$H$5:$AF$195,12,),"")</f>
        <v/>
      </c>
      <c r="M99" s="66" t="str">
        <f>IFERROR(VLOOKUP(A99,BUFFS!$H$5:$AF$195,14,),"")</f>
        <v/>
      </c>
      <c r="N99" s="68" t="str">
        <f t="shared" si="7"/>
        <v/>
      </c>
      <c r="O99" s="65" t="str">
        <f>IFERROR(VLOOKUP(A99,BUFFS!$H$5:$AF$195,15,),"")</f>
        <v/>
      </c>
      <c r="P99" s="66" t="str">
        <f>IFERROR(VLOOKUP(A99,BUFFS!$H$5:$AF$195,16,),"")</f>
        <v/>
      </c>
      <c r="Q99" s="66" t="str">
        <f>IFERROR(VLOOKUP(A99,BUFFS!$H$5:$AF$195,17,),"")</f>
        <v/>
      </c>
      <c r="R99" s="66" t="str">
        <f>IFERROR(VLOOKUP(A99,BUFFS!$H$5:$AF$195,19,),"")</f>
        <v/>
      </c>
      <c r="S99" s="69" t="str">
        <f t="shared" si="8"/>
        <v/>
      </c>
      <c r="T99" s="70" t="str">
        <f>IFERROR(VLOOKUP(A99,BUFFS!$H$5:$AF$195,20,),"")</f>
        <v/>
      </c>
    </row>
    <row r="100" spans="1:20" x14ac:dyDescent="0.35">
      <c r="A100" s="17"/>
      <c r="B100" s="18"/>
      <c r="C100" s="13"/>
      <c r="D100" s="31" t="str">
        <f>IFERROR(VLOOKUP(A100,BUFFS!$H$5:$AF$195,8,),"")</f>
        <v/>
      </c>
      <c r="E100" s="24" t="str">
        <f t="shared" si="6"/>
        <v/>
      </c>
      <c r="F100" s="65" t="str">
        <f>IFERROR(VLOOKUP(A100,BUFFS!$H$5:$AF$195,5,),"")</f>
        <v/>
      </c>
      <c r="G100" s="66" t="str">
        <f>IFERROR(VLOOKUP(A100,BUFFS!$H$5:$AF$195,6,),"")</f>
        <v/>
      </c>
      <c r="H100" s="67" t="str">
        <f>IFERROR(VLOOKUP(A100,BUFFS!$H$5:$AF$195,7,),"")</f>
        <v/>
      </c>
      <c r="I100" s="66" t="str">
        <f>IFERROR(VLOOKUP(A100,BUFFS!$H$5:$AF$195,9,),"")</f>
        <v/>
      </c>
      <c r="J100" s="65" t="str">
        <f>IFERROR(VLOOKUP(A100,BUFFS!$H$5:$AF$195,10,),"")</f>
        <v/>
      </c>
      <c r="K100" s="66" t="str">
        <f>IFERROR(VLOOKUP(A100,BUFFS!$H$5:$AF$195,11,),"")</f>
        <v/>
      </c>
      <c r="L100" s="66" t="str">
        <f>IFERROR(VLOOKUP(A100,BUFFS!$H$5:$AF$195,12,),"")</f>
        <v/>
      </c>
      <c r="M100" s="66" t="str">
        <f>IFERROR(VLOOKUP(A100,BUFFS!$H$5:$AF$195,14,),"")</f>
        <v/>
      </c>
      <c r="N100" s="68" t="str">
        <f t="shared" si="7"/>
        <v/>
      </c>
      <c r="O100" s="65" t="str">
        <f>IFERROR(VLOOKUP(A100,BUFFS!$H$5:$AF$195,15,),"")</f>
        <v/>
      </c>
      <c r="P100" s="66" t="str">
        <f>IFERROR(VLOOKUP(A100,BUFFS!$H$5:$AF$195,16,),"")</f>
        <v/>
      </c>
      <c r="Q100" s="66" t="str">
        <f>IFERROR(VLOOKUP(A100,BUFFS!$H$5:$AF$195,17,),"")</f>
        <v/>
      </c>
      <c r="R100" s="66" t="str">
        <f>IFERROR(VLOOKUP(A100,BUFFS!$H$5:$AF$195,19,),"")</f>
        <v/>
      </c>
      <c r="S100" s="69" t="str">
        <f t="shared" si="8"/>
        <v/>
      </c>
      <c r="T100" s="70" t="str">
        <f>IFERROR(VLOOKUP(A100,BUFFS!$H$5:$AF$195,20,),"")</f>
        <v/>
      </c>
    </row>
    <row r="101" spans="1:20" x14ac:dyDescent="0.35">
      <c r="A101" s="17"/>
      <c r="B101" s="18"/>
      <c r="C101" s="13"/>
      <c r="D101" s="31" t="str">
        <f>IFERROR(VLOOKUP(A101,BUFFS!$H$5:$AF$195,8,),"")</f>
        <v/>
      </c>
      <c r="E101" s="24" t="str">
        <f t="shared" si="6"/>
        <v/>
      </c>
      <c r="F101" s="65" t="str">
        <f>IFERROR(VLOOKUP(A101,BUFFS!$H$5:$AF$195,5,),"")</f>
        <v/>
      </c>
      <c r="G101" s="66" t="str">
        <f>IFERROR(VLOOKUP(A101,BUFFS!$H$5:$AF$195,6,),"")</f>
        <v/>
      </c>
      <c r="H101" s="67" t="str">
        <f>IFERROR(VLOOKUP(A101,BUFFS!$H$5:$AF$195,7,),"")</f>
        <v/>
      </c>
      <c r="I101" s="66" t="str">
        <f>IFERROR(VLOOKUP(A101,BUFFS!$H$5:$AF$195,9,),"")</f>
        <v/>
      </c>
      <c r="J101" s="65" t="str">
        <f>IFERROR(VLOOKUP(A101,BUFFS!$H$5:$AF$195,10,),"")</f>
        <v/>
      </c>
      <c r="K101" s="66" t="str">
        <f>IFERROR(VLOOKUP(A101,BUFFS!$H$5:$AF$195,11,),"")</f>
        <v/>
      </c>
      <c r="L101" s="66" t="str">
        <f>IFERROR(VLOOKUP(A101,BUFFS!$H$5:$AF$195,12,),"")</f>
        <v/>
      </c>
      <c r="M101" s="66" t="str">
        <f>IFERROR(VLOOKUP(A101,BUFFS!$H$5:$AF$195,14,),"")</f>
        <v/>
      </c>
      <c r="N101" s="68" t="str">
        <f t="shared" si="7"/>
        <v/>
      </c>
      <c r="O101" s="65" t="str">
        <f>IFERROR(VLOOKUP(A101,BUFFS!$H$5:$AF$195,15,),"")</f>
        <v/>
      </c>
      <c r="P101" s="66" t="str">
        <f>IFERROR(VLOOKUP(A101,BUFFS!$H$5:$AF$195,16,),"")</f>
        <v/>
      </c>
      <c r="Q101" s="66" t="str">
        <f>IFERROR(VLOOKUP(A101,BUFFS!$H$5:$AF$195,17,),"")</f>
        <v/>
      </c>
      <c r="R101" s="66" t="str">
        <f>IFERROR(VLOOKUP(A101,BUFFS!$H$5:$AF$195,19,),"")</f>
        <v/>
      </c>
      <c r="S101" s="69" t="str">
        <f t="shared" si="8"/>
        <v/>
      </c>
      <c r="T101" s="70" t="str">
        <f>IFERROR(VLOOKUP(A101,BUFFS!$H$5:$AF$195,20,),"")</f>
        <v/>
      </c>
    </row>
    <row r="102" spans="1:20" x14ac:dyDescent="0.35">
      <c r="A102" s="17"/>
      <c r="B102" s="18"/>
      <c r="C102" s="13"/>
      <c r="D102" s="31" t="str">
        <f>IFERROR(VLOOKUP(A102,BUFFS!$H$5:$AF$195,8,),"")</f>
        <v/>
      </c>
      <c r="E102" s="24" t="str">
        <f t="shared" si="6"/>
        <v/>
      </c>
      <c r="F102" s="65" t="str">
        <f>IFERROR(VLOOKUP(A102,BUFFS!$H$5:$AF$195,5,),"")</f>
        <v/>
      </c>
      <c r="G102" s="66" t="str">
        <f>IFERROR(VLOOKUP(A102,BUFFS!$H$5:$AF$195,6,),"")</f>
        <v/>
      </c>
      <c r="H102" s="67" t="str">
        <f>IFERROR(VLOOKUP(A102,BUFFS!$H$5:$AF$195,7,),"")</f>
        <v/>
      </c>
      <c r="I102" s="66" t="str">
        <f>IFERROR(VLOOKUP(A102,BUFFS!$H$5:$AF$195,9,),"")</f>
        <v/>
      </c>
      <c r="J102" s="65" t="str">
        <f>IFERROR(VLOOKUP(A102,BUFFS!$H$5:$AF$195,10,),"")</f>
        <v/>
      </c>
      <c r="K102" s="66" t="str">
        <f>IFERROR(VLOOKUP(A102,BUFFS!$H$5:$AF$195,11,),"")</f>
        <v/>
      </c>
      <c r="L102" s="66" t="str">
        <f>IFERROR(VLOOKUP(A102,BUFFS!$H$5:$AF$195,12,),"")</f>
        <v/>
      </c>
      <c r="M102" s="66" t="str">
        <f>IFERROR(VLOOKUP(A102,BUFFS!$H$5:$AF$195,14,),"")</f>
        <v/>
      </c>
      <c r="N102" s="68" t="str">
        <f t="shared" si="7"/>
        <v/>
      </c>
      <c r="O102" s="65" t="str">
        <f>IFERROR(VLOOKUP(A102,BUFFS!$H$5:$AF$195,15,),"")</f>
        <v/>
      </c>
      <c r="P102" s="66" t="str">
        <f>IFERROR(VLOOKUP(A102,BUFFS!$H$5:$AF$195,16,),"")</f>
        <v/>
      </c>
      <c r="Q102" s="66" t="str">
        <f>IFERROR(VLOOKUP(A102,BUFFS!$H$5:$AF$195,17,),"")</f>
        <v/>
      </c>
      <c r="R102" s="66" t="str">
        <f>IFERROR(VLOOKUP(A102,BUFFS!$H$5:$AF$195,19,),"")</f>
        <v/>
      </c>
      <c r="S102" s="69" t="str">
        <f t="shared" si="8"/>
        <v/>
      </c>
      <c r="T102" s="70" t="str">
        <f>IFERROR(VLOOKUP(A102,BUFFS!$H$5:$AF$195,20,),"")</f>
        <v/>
      </c>
    </row>
    <row r="103" spans="1:20" x14ac:dyDescent="0.35">
      <c r="A103" s="17"/>
      <c r="B103" s="18"/>
      <c r="C103" s="13"/>
      <c r="D103" s="31" t="str">
        <f>IFERROR(VLOOKUP(A103,BUFFS!$H$5:$AF$195,8,),"")</f>
        <v/>
      </c>
      <c r="E103" s="24" t="str">
        <f t="shared" si="6"/>
        <v/>
      </c>
      <c r="F103" s="65" t="str">
        <f>IFERROR(VLOOKUP(A103,BUFFS!$H$5:$AF$195,5,),"")</f>
        <v/>
      </c>
      <c r="G103" s="66" t="str">
        <f>IFERROR(VLOOKUP(A103,BUFFS!$H$5:$AF$195,6,),"")</f>
        <v/>
      </c>
      <c r="H103" s="67" t="str">
        <f>IFERROR(VLOOKUP(A103,BUFFS!$H$5:$AF$195,7,),"")</f>
        <v/>
      </c>
      <c r="I103" s="66" t="str">
        <f>IFERROR(VLOOKUP(A103,BUFFS!$H$5:$AF$195,9,),"")</f>
        <v/>
      </c>
      <c r="J103" s="65" t="str">
        <f>IFERROR(VLOOKUP(A103,BUFFS!$H$5:$AF$195,10,),"")</f>
        <v/>
      </c>
      <c r="K103" s="66" t="str">
        <f>IFERROR(VLOOKUP(A103,BUFFS!$H$5:$AF$195,11,),"")</f>
        <v/>
      </c>
      <c r="L103" s="66" t="str">
        <f>IFERROR(VLOOKUP(A103,BUFFS!$H$5:$AF$195,12,),"")</f>
        <v/>
      </c>
      <c r="M103" s="66" t="str">
        <f>IFERROR(VLOOKUP(A103,BUFFS!$H$5:$AF$195,14,),"")</f>
        <v/>
      </c>
      <c r="N103" s="68" t="str">
        <f t="shared" si="7"/>
        <v/>
      </c>
      <c r="O103" s="65" t="str">
        <f>IFERROR(VLOOKUP(A103,BUFFS!$H$5:$AF$195,15,),"")</f>
        <v/>
      </c>
      <c r="P103" s="66" t="str">
        <f>IFERROR(VLOOKUP(A103,BUFFS!$H$5:$AF$195,16,),"")</f>
        <v/>
      </c>
      <c r="Q103" s="66" t="str">
        <f>IFERROR(VLOOKUP(A103,BUFFS!$H$5:$AF$195,17,),"")</f>
        <v/>
      </c>
      <c r="R103" s="66" t="str">
        <f>IFERROR(VLOOKUP(A103,BUFFS!$H$5:$AF$195,19,),"")</f>
        <v/>
      </c>
      <c r="S103" s="69" t="str">
        <f t="shared" si="8"/>
        <v/>
      </c>
      <c r="T103" s="70" t="str">
        <f>IFERROR(VLOOKUP(A103,BUFFS!$H$5:$AF$195,20,),"")</f>
        <v/>
      </c>
    </row>
    <row r="104" spans="1:20" x14ac:dyDescent="0.35">
      <c r="A104" s="17"/>
      <c r="B104" s="18"/>
      <c r="C104" s="13"/>
      <c r="D104" s="31" t="str">
        <f>IFERROR(VLOOKUP(A104,BUFFS!$H$5:$AF$195,8,),"")</f>
        <v/>
      </c>
      <c r="E104" s="24" t="str">
        <f t="shared" si="6"/>
        <v/>
      </c>
      <c r="F104" s="65" t="str">
        <f>IFERROR(VLOOKUP(A104,BUFFS!$H$5:$AF$195,5,),"")</f>
        <v/>
      </c>
      <c r="G104" s="66" t="str">
        <f>IFERROR(VLOOKUP(A104,BUFFS!$H$5:$AF$195,6,),"")</f>
        <v/>
      </c>
      <c r="H104" s="67" t="str">
        <f>IFERROR(VLOOKUP(A104,BUFFS!$H$5:$AF$195,7,),"")</f>
        <v/>
      </c>
      <c r="I104" s="66" t="str">
        <f>IFERROR(VLOOKUP(A104,BUFFS!$H$5:$AF$195,9,),"")</f>
        <v/>
      </c>
      <c r="J104" s="65" t="str">
        <f>IFERROR(VLOOKUP(A104,BUFFS!$H$5:$AF$195,10,),"")</f>
        <v/>
      </c>
      <c r="K104" s="66" t="str">
        <f>IFERROR(VLOOKUP(A104,BUFFS!$H$5:$AF$195,11,),"")</f>
        <v/>
      </c>
      <c r="L104" s="66" t="str">
        <f>IFERROR(VLOOKUP(A104,BUFFS!$H$5:$AF$195,12,),"")</f>
        <v/>
      </c>
      <c r="M104" s="66" t="str">
        <f>IFERROR(VLOOKUP(A104,BUFFS!$H$5:$AF$195,14,),"")</f>
        <v/>
      </c>
      <c r="N104" s="68" t="str">
        <f t="shared" si="7"/>
        <v/>
      </c>
      <c r="O104" s="65" t="str">
        <f>IFERROR(VLOOKUP(A104,BUFFS!$H$5:$AF$195,15,),"")</f>
        <v/>
      </c>
      <c r="P104" s="66" t="str">
        <f>IFERROR(VLOOKUP(A104,BUFFS!$H$5:$AF$195,16,),"")</f>
        <v/>
      </c>
      <c r="Q104" s="66" t="str">
        <f>IFERROR(VLOOKUP(A104,BUFFS!$H$5:$AF$195,17,),"")</f>
        <v/>
      </c>
      <c r="R104" s="66" t="str">
        <f>IFERROR(VLOOKUP(A104,BUFFS!$H$5:$AF$195,19,),"")</f>
        <v/>
      </c>
      <c r="S104" s="69" t="str">
        <f t="shared" si="8"/>
        <v/>
      </c>
      <c r="T104" s="70" t="str">
        <f>IFERROR(VLOOKUP(A104,BUFFS!$H$5:$AF$195,20,),"")</f>
        <v/>
      </c>
    </row>
    <row r="105" spans="1:20" x14ac:dyDescent="0.35">
      <c r="A105" s="17"/>
      <c r="B105" s="18"/>
      <c r="C105" s="13"/>
      <c r="D105" s="31" t="str">
        <f>IFERROR(VLOOKUP(A105,BUFFS!$H$5:$AF$195,8,),"")</f>
        <v/>
      </c>
      <c r="E105" s="24" t="str">
        <f t="shared" ref="E105:E154" si="9">IFERROR(SUM(H105,ROUNDDOWN(MIN(B105,T$35)*I105,0)),"")</f>
        <v/>
      </c>
      <c r="F105" s="65" t="str">
        <f>IFERROR(VLOOKUP(A105,BUFFS!$H$5:$AF$195,5,),"")</f>
        <v/>
      </c>
      <c r="G105" s="66" t="str">
        <f>IFERROR(VLOOKUP(A105,BUFFS!$H$5:$AF$195,6,),"")</f>
        <v/>
      </c>
      <c r="H105" s="67" t="str">
        <f>IFERROR(VLOOKUP(A105,BUFFS!$H$5:$AF$195,7,),"")</f>
        <v/>
      </c>
      <c r="I105" s="66" t="str">
        <f>IFERROR(VLOOKUP(A105,BUFFS!$H$5:$AF$195,9,),"")</f>
        <v/>
      </c>
      <c r="J105" s="65" t="str">
        <f>IFERROR(VLOOKUP(A105,BUFFS!$H$5:$AF$195,10,),"")</f>
        <v/>
      </c>
      <c r="K105" s="66" t="str">
        <f>IFERROR(VLOOKUP(A105,BUFFS!$H$5:$AF$195,11,),"")</f>
        <v/>
      </c>
      <c r="L105" s="66" t="str">
        <f>IFERROR(VLOOKUP(A105,BUFFS!$H$5:$AF$195,12,),"")</f>
        <v/>
      </c>
      <c r="M105" s="66" t="str">
        <f>IFERROR(VLOOKUP(A105,BUFFS!$H$5:$AF$195,14,),"")</f>
        <v/>
      </c>
      <c r="N105" s="68" t="str">
        <f t="shared" ref="N105:N154" si="10">IFERROR(SUM(L105,ROUNDDOWN(MIN(B105,T$35)*M105,0)),"")</f>
        <v/>
      </c>
      <c r="O105" s="65" t="str">
        <f>IFERROR(VLOOKUP(A105,BUFFS!$H$5:$AF$195,15,),"")</f>
        <v/>
      </c>
      <c r="P105" s="66" t="str">
        <f>IFERROR(VLOOKUP(A105,BUFFS!$H$5:$AF$195,16,),"")</f>
        <v/>
      </c>
      <c r="Q105" s="66" t="str">
        <f>IFERROR(VLOOKUP(A105,BUFFS!$H$5:$AF$195,17,),"")</f>
        <v/>
      </c>
      <c r="R105" s="66" t="str">
        <f>IFERROR(VLOOKUP(A105,BUFFS!$H$5:$AF$195,19,),"")</f>
        <v/>
      </c>
      <c r="S105" s="69" t="str">
        <f t="shared" ref="S105:S154" si="11">IFERROR(SUM(Q105,ROUNDDOWN(MIN(B105,T$35)*R105,0)),"")</f>
        <v/>
      </c>
      <c r="T105" s="70" t="str">
        <f>IFERROR(VLOOKUP(A105,BUFFS!$H$5:$AF$195,20,),"")</f>
        <v/>
      </c>
    </row>
    <row r="106" spans="1:20" x14ac:dyDescent="0.35">
      <c r="A106" s="17"/>
      <c r="B106" s="18"/>
      <c r="C106" s="13"/>
      <c r="D106" s="31" t="str">
        <f>IFERROR(VLOOKUP(A106,BUFFS!$H$5:$AF$195,8,),"")</f>
        <v/>
      </c>
      <c r="E106" s="24" t="str">
        <f t="shared" si="9"/>
        <v/>
      </c>
      <c r="F106" s="65" t="str">
        <f>IFERROR(VLOOKUP(A106,BUFFS!$H$5:$AF$195,5,),"")</f>
        <v/>
      </c>
      <c r="G106" s="66" t="str">
        <f>IFERROR(VLOOKUP(A106,BUFFS!$H$5:$AF$195,6,),"")</f>
        <v/>
      </c>
      <c r="H106" s="67" t="str">
        <f>IFERROR(VLOOKUP(A106,BUFFS!$H$5:$AF$195,7,),"")</f>
        <v/>
      </c>
      <c r="I106" s="66" t="str">
        <f>IFERROR(VLOOKUP(A106,BUFFS!$H$5:$AF$195,9,),"")</f>
        <v/>
      </c>
      <c r="J106" s="65" t="str">
        <f>IFERROR(VLOOKUP(A106,BUFFS!$H$5:$AF$195,10,),"")</f>
        <v/>
      </c>
      <c r="K106" s="66" t="str">
        <f>IFERROR(VLOOKUP(A106,BUFFS!$H$5:$AF$195,11,),"")</f>
        <v/>
      </c>
      <c r="L106" s="66" t="str">
        <f>IFERROR(VLOOKUP(A106,BUFFS!$H$5:$AF$195,12,),"")</f>
        <v/>
      </c>
      <c r="M106" s="66" t="str">
        <f>IFERROR(VLOOKUP(A106,BUFFS!$H$5:$AF$195,14,),"")</f>
        <v/>
      </c>
      <c r="N106" s="68" t="str">
        <f t="shared" si="10"/>
        <v/>
      </c>
      <c r="O106" s="65" t="str">
        <f>IFERROR(VLOOKUP(A106,BUFFS!$H$5:$AF$195,15,),"")</f>
        <v/>
      </c>
      <c r="P106" s="66" t="str">
        <f>IFERROR(VLOOKUP(A106,BUFFS!$H$5:$AF$195,16,),"")</f>
        <v/>
      </c>
      <c r="Q106" s="66" t="str">
        <f>IFERROR(VLOOKUP(A106,BUFFS!$H$5:$AF$195,17,),"")</f>
        <v/>
      </c>
      <c r="R106" s="66" t="str">
        <f>IFERROR(VLOOKUP(A106,BUFFS!$H$5:$AF$195,19,),"")</f>
        <v/>
      </c>
      <c r="S106" s="69" t="str">
        <f t="shared" si="11"/>
        <v/>
      </c>
      <c r="T106" s="70" t="str">
        <f>IFERROR(VLOOKUP(A106,BUFFS!$H$5:$AF$195,20,),"")</f>
        <v/>
      </c>
    </row>
    <row r="107" spans="1:20" x14ac:dyDescent="0.35">
      <c r="A107" s="17"/>
      <c r="B107" s="18"/>
      <c r="C107" s="13"/>
      <c r="D107" s="31" t="str">
        <f>IFERROR(VLOOKUP(A107,BUFFS!$H$5:$AF$195,8,),"")</f>
        <v/>
      </c>
      <c r="E107" s="24" t="str">
        <f t="shared" si="9"/>
        <v/>
      </c>
      <c r="F107" s="65" t="str">
        <f>IFERROR(VLOOKUP(A107,BUFFS!$H$5:$AF$195,5,),"")</f>
        <v/>
      </c>
      <c r="G107" s="66" t="str">
        <f>IFERROR(VLOOKUP(A107,BUFFS!$H$5:$AF$195,6,),"")</f>
        <v/>
      </c>
      <c r="H107" s="67" t="str">
        <f>IFERROR(VLOOKUP(A107,BUFFS!$H$5:$AF$195,7,),"")</f>
        <v/>
      </c>
      <c r="I107" s="66" t="str">
        <f>IFERROR(VLOOKUP(A107,BUFFS!$H$5:$AF$195,9,),"")</f>
        <v/>
      </c>
      <c r="J107" s="65" t="str">
        <f>IFERROR(VLOOKUP(A107,BUFFS!$H$5:$AF$195,10,),"")</f>
        <v/>
      </c>
      <c r="K107" s="66" t="str">
        <f>IFERROR(VLOOKUP(A107,BUFFS!$H$5:$AF$195,11,),"")</f>
        <v/>
      </c>
      <c r="L107" s="66" t="str">
        <f>IFERROR(VLOOKUP(A107,BUFFS!$H$5:$AF$195,12,),"")</f>
        <v/>
      </c>
      <c r="M107" s="66" t="str">
        <f>IFERROR(VLOOKUP(A107,BUFFS!$H$5:$AF$195,14,),"")</f>
        <v/>
      </c>
      <c r="N107" s="68" t="str">
        <f t="shared" si="10"/>
        <v/>
      </c>
      <c r="O107" s="65" t="str">
        <f>IFERROR(VLOOKUP(A107,BUFFS!$H$5:$AF$195,15,),"")</f>
        <v/>
      </c>
      <c r="P107" s="66" t="str">
        <f>IFERROR(VLOOKUP(A107,BUFFS!$H$5:$AF$195,16,),"")</f>
        <v/>
      </c>
      <c r="Q107" s="66" t="str">
        <f>IFERROR(VLOOKUP(A107,BUFFS!$H$5:$AF$195,17,),"")</f>
        <v/>
      </c>
      <c r="R107" s="66" t="str">
        <f>IFERROR(VLOOKUP(A107,BUFFS!$H$5:$AF$195,19,),"")</f>
        <v/>
      </c>
      <c r="S107" s="69" t="str">
        <f t="shared" si="11"/>
        <v/>
      </c>
      <c r="T107" s="70" t="str">
        <f>IFERROR(VLOOKUP(A107,BUFFS!$H$5:$AF$195,20,),"")</f>
        <v/>
      </c>
    </row>
    <row r="108" spans="1:20" x14ac:dyDescent="0.35">
      <c r="A108" s="17"/>
      <c r="B108" s="18"/>
      <c r="C108" s="13"/>
      <c r="D108" s="31" t="str">
        <f>IFERROR(VLOOKUP(A108,BUFFS!$H$5:$AF$195,8,),"")</f>
        <v/>
      </c>
      <c r="E108" s="24" t="str">
        <f t="shared" si="9"/>
        <v/>
      </c>
      <c r="F108" s="65" t="str">
        <f>IFERROR(VLOOKUP(A108,BUFFS!$H$5:$AF$195,5,),"")</f>
        <v/>
      </c>
      <c r="G108" s="66" t="str">
        <f>IFERROR(VLOOKUP(A108,BUFFS!$H$5:$AF$195,6,),"")</f>
        <v/>
      </c>
      <c r="H108" s="67" t="str">
        <f>IFERROR(VLOOKUP(A108,BUFFS!$H$5:$AF$195,7,),"")</f>
        <v/>
      </c>
      <c r="I108" s="66" t="str">
        <f>IFERROR(VLOOKUP(A108,BUFFS!$H$5:$AF$195,9,),"")</f>
        <v/>
      </c>
      <c r="J108" s="65" t="str">
        <f>IFERROR(VLOOKUP(A108,BUFFS!$H$5:$AF$195,10,),"")</f>
        <v/>
      </c>
      <c r="K108" s="66" t="str">
        <f>IFERROR(VLOOKUP(A108,BUFFS!$H$5:$AF$195,11,),"")</f>
        <v/>
      </c>
      <c r="L108" s="66" t="str">
        <f>IFERROR(VLOOKUP(A108,BUFFS!$H$5:$AF$195,12,),"")</f>
        <v/>
      </c>
      <c r="M108" s="66" t="str">
        <f>IFERROR(VLOOKUP(A108,BUFFS!$H$5:$AF$195,14,),"")</f>
        <v/>
      </c>
      <c r="N108" s="68" t="str">
        <f t="shared" si="10"/>
        <v/>
      </c>
      <c r="O108" s="65" t="str">
        <f>IFERROR(VLOOKUP(A108,BUFFS!$H$5:$AF$195,15,),"")</f>
        <v/>
      </c>
      <c r="P108" s="66" t="str">
        <f>IFERROR(VLOOKUP(A108,BUFFS!$H$5:$AF$195,16,),"")</f>
        <v/>
      </c>
      <c r="Q108" s="66" t="str">
        <f>IFERROR(VLOOKUP(A108,BUFFS!$H$5:$AF$195,17,),"")</f>
        <v/>
      </c>
      <c r="R108" s="66" t="str">
        <f>IFERROR(VLOOKUP(A108,BUFFS!$H$5:$AF$195,19,),"")</f>
        <v/>
      </c>
      <c r="S108" s="69" t="str">
        <f t="shared" si="11"/>
        <v/>
      </c>
      <c r="T108" s="70" t="str">
        <f>IFERROR(VLOOKUP(A108,BUFFS!$H$5:$AF$195,20,),"")</f>
        <v/>
      </c>
    </row>
    <row r="109" spans="1:20" x14ac:dyDescent="0.35">
      <c r="A109" s="17"/>
      <c r="B109" s="18"/>
      <c r="C109" s="13"/>
      <c r="D109" s="31" t="str">
        <f>IFERROR(VLOOKUP(A109,BUFFS!$H$5:$AF$195,8,),"")</f>
        <v/>
      </c>
      <c r="E109" s="24" t="str">
        <f t="shared" si="9"/>
        <v/>
      </c>
      <c r="F109" s="65" t="str">
        <f>IFERROR(VLOOKUP(A109,BUFFS!$H$5:$AF$195,5,),"")</f>
        <v/>
      </c>
      <c r="G109" s="66" t="str">
        <f>IFERROR(VLOOKUP(A109,BUFFS!$H$5:$AF$195,6,),"")</f>
        <v/>
      </c>
      <c r="H109" s="67" t="str">
        <f>IFERROR(VLOOKUP(A109,BUFFS!$H$5:$AF$195,7,),"")</f>
        <v/>
      </c>
      <c r="I109" s="66" t="str">
        <f>IFERROR(VLOOKUP(A109,BUFFS!$H$5:$AF$195,9,),"")</f>
        <v/>
      </c>
      <c r="J109" s="65" t="str">
        <f>IFERROR(VLOOKUP(A109,BUFFS!$H$5:$AF$195,10,),"")</f>
        <v/>
      </c>
      <c r="K109" s="66" t="str">
        <f>IFERROR(VLOOKUP(A109,BUFFS!$H$5:$AF$195,11,),"")</f>
        <v/>
      </c>
      <c r="L109" s="66" t="str">
        <f>IFERROR(VLOOKUP(A109,BUFFS!$H$5:$AF$195,12,),"")</f>
        <v/>
      </c>
      <c r="M109" s="66" t="str">
        <f>IFERROR(VLOOKUP(A109,BUFFS!$H$5:$AF$195,14,),"")</f>
        <v/>
      </c>
      <c r="N109" s="68" t="str">
        <f t="shared" si="10"/>
        <v/>
      </c>
      <c r="O109" s="65" t="str">
        <f>IFERROR(VLOOKUP(A109,BUFFS!$H$5:$AF$195,15,),"")</f>
        <v/>
      </c>
      <c r="P109" s="66" t="str">
        <f>IFERROR(VLOOKUP(A109,BUFFS!$H$5:$AF$195,16,),"")</f>
        <v/>
      </c>
      <c r="Q109" s="66" t="str">
        <f>IFERROR(VLOOKUP(A109,BUFFS!$H$5:$AF$195,17,),"")</f>
        <v/>
      </c>
      <c r="R109" s="66" t="str">
        <f>IFERROR(VLOOKUP(A109,BUFFS!$H$5:$AF$195,19,),"")</f>
        <v/>
      </c>
      <c r="S109" s="69" t="str">
        <f t="shared" si="11"/>
        <v/>
      </c>
      <c r="T109" s="70" t="str">
        <f>IFERROR(VLOOKUP(A109,BUFFS!$H$5:$AF$195,20,),"")</f>
        <v/>
      </c>
    </row>
    <row r="110" spans="1:20" x14ac:dyDescent="0.35">
      <c r="A110" s="17"/>
      <c r="B110" s="18"/>
      <c r="C110" s="13"/>
      <c r="D110" s="31" t="str">
        <f>IFERROR(VLOOKUP(A110,BUFFS!$H$5:$AF$195,8,),"")</f>
        <v/>
      </c>
      <c r="E110" s="24" t="str">
        <f t="shared" si="9"/>
        <v/>
      </c>
      <c r="F110" s="65" t="str">
        <f>IFERROR(VLOOKUP(A110,BUFFS!$H$5:$AF$195,5,),"")</f>
        <v/>
      </c>
      <c r="G110" s="66" t="str">
        <f>IFERROR(VLOOKUP(A110,BUFFS!$H$5:$AF$195,6,),"")</f>
        <v/>
      </c>
      <c r="H110" s="67" t="str">
        <f>IFERROR(VLOOKUP(A110,BUFFS!$H$5:$AF$195,7,),"")</f>
        <v/>
      </c>
      <c r="I110" s="66" t="str">
        <f>IFERROR(VLOOKUP(A110,BUFFS!$H$5:$AF$195,9,),"")</f>
        <v/>
      </c>
      <c r="J110" s="65" t="str">
        <f>IFERROR(VLOOKUP(A110,BUFFS!$H$5:$AF$195,10,),"")</f>
        <v/>
      </c>
      <c r="K110" s="66" t="str">
        <f>IFERROR(VLOOKUP(A110,BUFFS!$H$5:$AF$195,11,),"")</f>
        <v/>
      </c>
      <c r="L110" s="66" t="str">
        <f>IFERROR(VLOOKUP(A110,BUFFS!$H$5:$AF$195,12,),"")</f>
        <v/>
      </c>
      <c r="M110" s="66" t="str">
        <f>IFERROR(VLOOKUP(A110,BUFFS!$H$5:$AF$195,14,),"")</f>
        <v/>
      </c>
      <c r="N110" s="68" t="str">
        <f t="shared" si="10"/>
        <v/>
      </c>
      <c r="O110" s="65" t="str">
        <f>IFERROR(VLOOKUP(A110,BUFFS!$H$5:$AF$195,15,),"")</f>
        <v/>
      </c>
      <c r="P110" s="66" t="str">
        <f>IFERROR(VLOOKUP(A110,BUFFS!$H$5:$AF$195,16,),"")</f>
        <v/>
      </c>
      <c r="Q110" s="66" t="str">
        <f>IFERROR(VLOOKUP(A110,BUFFS!$H$5:$AF$195,17,),"")</f>
        <v/>
      </c>
      <c r="R110" s="66" t="str">
        <f>IFERROR(VLOOKUP(A110,BUFFS!$H$5:$AF$195,19,),"")</f>
        <v/>
      </c>
      <c r="S110" s="69" t="str">
        <f t="shared" si="11"/>
        <v/>
      </c>
      <c r="T110" s="70" t="str">
        <f>IFERROR(VLOOKUP(A110,BUFFS!$H$5:$AF$195,20,),"")</f>
        <v/>
      </c>
    </row>
    <row r="111" spans="1:20" x14ac:dyDescent="0.35">
      <c r="A111" s="17"/>
      <c r="B111" s="18"/>
      <c r="C111" s="13"/>
      <c r="D111" s="31" t="str">
        <f>IFERROR(VLOOKUP(A111,BUFFS!$H$5:$AF$195,8,),"")</f>
        <v/>
      </c>
      <c r="E111" s="24" t="str">
        <f t="shared" si="9"/>
        <v/>
      </c>
      <c r="F111" s="65" t="str">
        <f>IFERROR(VLOOKUP(A111,BUFFS!$H$5:$AF$195,5,),"")</f>
        <v/>
      </c>
      <c r="G111" s="66" t="str">
        <f>IFERROR(VLOOKUP(A111,BUFFS!$H$5:$AF$195,6,),"")</f>
        <v/>
      </c>
      <c r="H111" s="67" t="str">
        <f>IFERROR(VLOOKUP(A111,BUFFS!$H$5:$AF$195,7,),"")</f>
        <v/>
      </c>
      <c r="I111" s="66" t="str">
        <f>IFERROR(VLOOKUP(A111,BUFFS!$H$5:$AF$195,9,),"")</f>
        <v/>
      </c>
      <c r="J111" s="65" t="str">
        <f>IFERROR(VLOOKUP(A111,BUFFS!$H$5:$AF$195,10,),"")</f>
        <v/>
      </c>
      <c r="K111" s="66" t="str">
        <f>IFERROR(VLOOKUP(A111,BUFFS!$H$5:$AF$195,11,),"")</f>
        <v/>
      </c>
      <c r="L111" s="66" t="str">
        <f>IFERROR(VLOOKUP(A111,BUFFS!$H$5:$AF$195,12,),"")</f>
        <v/>
      </c>
      <c r="M111" s="66" t="str">
        <f>IFERROR(VLOOKUP(A111,BUFFS!$H$5:$AF$195,14,),"")</f>
        <v/>
      </c>
      <c r="N111" s="68" t="str">
        <f t="shared" si="10"/>
        <v/>
      </c>
      <c r="O111" s="65" t="str">
        <f>IFERROR(VLOOKUP(A111,BUFFS!$H$5:$AF$195,15,),"")</f>
        <v/>
      </c>
      <c r="P111" s="66" t="str">
        <f>IFERROR(VLOOKUP(A111,BUFFS!$H$5:$AF$195,16,),"")</f>
        <v/>
      </c>
      <c r="Q111" s="66" t="str">
        <f>IFERROR(VLOOKUP(A111,BUFFS!$H$5:$AF$195,17,),"")</f>
        <v/>
      </c>
      <c r="R111" s="66" t="str">
        <f>IFERROR(VLOOKUP(A111,BUFFS!$H$5:$AF$195,19,),"")</f>
        <v/>
      </c>
      <c r="S111" s="69" t="str">
        <f t="shared" si="11"/>
        <v/>
      </c>
      <c r="T111" s="70" t="str">
        <f>IFERROR(VLOOKUP(A111,BUFFS!$H$5:$AF$195,20,),"")</f>
        <v/>
      </c>
    </row>
    <row r="112" spans="1:20" x14ac:dyDescent="0.35">
      <c r="A112" s="17"/>
      <c r="B112" s="18"/>
      <c r="C112" s="13"/>
      <c r="D112" s="31" t="str">
        <f>IFERROR(VLOOKUP(A112,BUFFS!$H$5:$AF$195,8,),"")</f>
        <v/>
      </c>
      <c r="E112" s="24" t="str">
        <f t="shared" si="9"/>
        <v/>
      </c>
      <c r="F112" s="65" t="str">
        <f>IFERROR(VLOOKUP(A112,BUFFS!$H$5:$AF$195,5,),"")</f>
        <v/>
      </c>
      <c r="G112" s="66" t="str">
        <f>IFERROR(VLOOKUP(A112,BUFFS!$H$5:$AF$195,6,),"")</f>
        <v/>
      </c>
      <c r="H112" s="67" t="str">
        <f>IFERROR(VLOOKUP(A112,BUFFS!$H$5:$AF$195,7,),"")</f>
        <v/>
      </c>
      <c r="I112" s="66" t="str">
        <f>IFERROR(VLOOKUP(A112,BUFFS!$H$5:$AF$195,9,),"")</f>
        <v/>
      </c>
      <c r="J112" s="65" t="str">
        <f>IFERROR(VLOOKUP(A112,BUFFS!$H$5:$AF$195,10,),"")</f>
        <v/>
      </c>
      <c r="K112" s="66" t="str">
        <f>IFERROR(VLOOKUP(A112,BUFFS!$H$5:$AF$195,11,),"")</f>
        <v/>
      </c>
      <c r="L112" s="66" t="str">
        <f>IFERROR(VLOOKUP(A112,BUFFS!$H$5:$AF$195,12,),"")</f>
        <v/>
      </c>
      <c r="M112" s="66" t="str">
        <f>IFERROR(VLOOKUP(A112,BUFFS!$H$5:$AF$195,14,),"")</f>
        <v/>
      </c>
      <c r="N112" s="68" t="str">
        <f t="shared" si="10"/>
        <v/>
      </c>
      <c r="O112" s="65" t="str">
        <f>IFERROR(VLOOKUP(A112,BUFFS!$H$5:$AF$195,15,),"")</f>
        <v/>
      </c>
      <c r="P112" s="66" t="str">
        <f>IFERROR(VLOOKUP(A112,BUFFS!$H$5:$AF$195,16,),"")</f>
        <v/>
      </c>
      <c r="Q112" s="66" t="str">
        <f>IFERROR(VLOOKUP(A112,BUFFS!$H$5:$AF$195,17,),"")</f>
        <v/>
      </c>
      <c r="R112" s="66" t="str">
        <f>IFERROR(VLOOKUP(A112,BUFFS!$H$5:$AF$195,19,),"")</f>
        <v/>
      </c>
      <c r="S112" s="69" t="str">
        <f t="shared" si="11"/>
        <v/>
      </c>
      <c r="T112" s="70" t="str">
        <f>IFERROR(VLOOKUP(A112,BUFFS!$H$5:$AF$195,20,),"")</f>
        <v/>
      </c>
    </row>
    <row r="113" spans="1:20" x14ac:dyDescent="0.35">
      <c r="A113" s="17"/>
      <c r="B113" s="18"/>
      <c r="C113" s="13"/>
      <c r="D113" s="31" t="str">
        <f>IFERROR(VLOOKUP(A113,BUFFS!$H$5:$AF$195,8,),"")</f>
        <v/>
      </c>
      <c r="E113" s="24" t="str">
        <f t="shared" si="9"/>
        <v/>
      </c>
      <c r="F113" s="65" t="str">
        <f>IFERROR(VLOOKUP(A113,BUFFS!$H$5:$AF$195,5,),"")</f>
        <v/>
      </c>
      <c r="G113" s="66" t="str">
        <f>IFERROR(VLOOKUP(A113,BUFFS!$H$5:$AF$195,6,),"")</f>
        <v/>
      </c>
      <c r="H113" s="67" t="str">
        <f>IFERROR(VLOOKUP(A113,BUFFS!$H$5:$AF$195,7,),"")</f>
        <v/>
      </c>
      <c r="I113" s="66" t="str">
        <f>IFERROR(VLOOKUP(A113,BUFFS!$H$5:$AF$195,9,),"")</f>
        <v/>
      </c>
      <c r="J113" s="65" t="str">
        <f>IFERROR(VLOOKUP(A113,BUFFS!$H$5:$AF$195,10,),"")</f>
        <v/>
      </c>
      <c r="K113" s="66" t="str">
        <f>IFERROR(VLOOKUP(A113,BUFFS!$H$5:$AF$195,11,),"")</f>
        <v/>
      </c>
      <c r="L113" s="66" t="str">
        <f>IFERROR(VLOOKUP(A113,BUFFS!$H$5:$AF$195,12,),"")</f>
        <v/>
      </c>
      <c r="M113" s="66" t="str">
        <f>IFERROR(VLOOKUP(A113,BUFFS!$H$5:$AF$195,14,),"")</f>
        <v/>
      </c>
      <c r="N113" s="68" t="str">
        <f t="shared" si="10"/>
        <v/>
      </c>
      <c r="O113" s="65" t="str">
        <f>IFERROR(VLOOKUP(A113,BUFFS!$H$5:$AF$195,15,),"")</f>
        <v/>
      </c>
      <c r="P113" s="66" t="str">
        <f>IFERROR(VLOOKUP(A113,BUFFS!$H$5:$AF$195,16,),"")</f>
        <v/>
      </c>
      <c r="Q113" s="66" t="str">
        <f>IFERROR(VLOOKUP(A113,BUFFS!$H$5:$AF$195,17,),"")</f>
        <v/>
      </c>
      <c r="R113" s="66" t="str">
        <f>IFERROR(VLOOKUP(A113,BUFFS!$H$5:$AF$195,19,),"")</f>
        <v/>
      </c>
      <c r="S113" s="69" t="str">
        <f t="shared" si="11"/>
        <v/>
      </c>
      <c r="T113" s="70" t="str">
        <f>IFERROR(VLOOKUP(A113,BUFFS!$H$5:$AF$195,20,),"")</f>
        <v/>
      </c>
    </row>
    <row r="114" spans="1:20" x14ac:dyDescent="0.35">
      <c r="A114" s="17"/>
      <c r="B114" s="18"/>
      <c r="C114" s="13"/>
      <c r="D114" s="31" t="str">
        <f>IFERROR(VLOOKUP(A114,BUFFS!$H$5:$AF$195,8,),"")</f>
        <v/>
      </c>
      <c r="E114" s="24" t="str">
        <f t="shared" si="9"/>
        <v/>
      </c>
      <c r="F114" s="65" t="str">
        <f>IFERROR(VLOOKUP(A114,BUFFS!$H$5:$AF$195,5,),"")</f>
        <v/>
      </c>
      <c r="G114" s="66" t="str">
        <f>IFERROR(VLOOKUP(A114,BUFFS!$H$5:$AF$195,6,),"")</f>
        <v/>
      </c>
      <c r="H114" s="67" t="str">
        <f>IFERROR(VLOOKUP(A114,BUFFS!$H$5:$AF$195,7,),"")</f>
        <v/>
      </c>
      <c r="I114" s="66" t="str">
        <f>IFERROR(VLOOKUP(A114,BUFFS!$H$5:$AF$195,9,),"")</f>
        <v/>
      </c>
      <c r="J114" s="65" t="str">
        <f>IFERROR(VLOOKUP(A114,BUFFS!$H$5:$AF$195,10,),"")</f>
        <v/>
      </c>
      <c r="K114" s="66" t="str">
        <f>IFERROR(VLOOKUP(A114,BUFFS!$H$5:$AF$195,11,),"")</f>
        <v/>
      </c>
      <c r="L114" s="66" t="str">
        <f>IFERROR(VLOOKUP(A114,BUFFS!$H$5:$AF$195,12,),"")</f>
        <v/>
      </c>
      <c r="M114" s="66" t="str">
        <f>IFERROR(VLOOKUP(A114,BUFFS!$H$5:$AF$195,14,),"")</f>
        <v/>
      </c>
      <c r="N114" s="68" t="str">
        <f t="shared" si="10"/>
        <v/>
      </c>
      <c r="O114" s="65" t="str">
        <f>IFERROR(VLOOKUP(A114,BUFFS!$H$5:$AF$195,15,),"")</f>
        <v/>
      </c>
      <c r="P114" s="66" t="str">
        <f>IFERROR(VLOOKUP(A114,BUFFS!$H$5:$AF$195,16,),"")</f>
        <v/>
      </c>
      <c r="Q114" s="66" t="str">
        <f>IFERROR(VLOOKUP(A114,BUFFS!$H$5:$AF$195,17,),"")</f>
        <v/>
      </c>
      <c r="R114" s="66" t="str">
        <f>IFERROR(VLOOKUP(A114,BUFFS!$H$5:$AF$195,19,),"")</f>
        <v/>
      </c>
      <c r="S114" s="69" t="str">
        <f t="shared" si="11"/>
        <v/>
      </c>
      <c r="T114" s="70" t="str">
        <f>IFERROR(VLOOKUP(A114,BUFFS!$H$5:$AF$195,20,),"")</f>
        <v/>
      </c>
    </row>
    <row r="115" spans="1:20" x14ac:dyDescent="0.35">
      <c r="A115" s="17"/>
      <c r="B115" s="18"/>
      <c r="C115" s="13"/>
      <c r="D115" s="31" t="str">
        <f>IFERROR(VLOOKUP(A115,BUFFS!$H$5:$AF$195,8,),"")</f>
        <v/>
      </c>
      <c r="E115" s="24" t="str">
        <f t="shared" si="9"/>
        <v/>
      </c>
      <c r="F115" s="65" t="str">
        <f>IFERROR(VLOOKUP(A115,BUFFS!$H$5:$AF$195,5,),"")</f>
        <v/>
      </c>
      <c r="G115" s="66" t="str">
        <f>IFERROR(VLOOKUP(A115,BUFFS!$H$5:$AF$195,6,),"")</f>
        <v/>
      </c>
      <c r="H115" s="67" t="str">
        <f>IFERROR(VLOOKUP(A115,BUFFS!$H$5:$AF$195,7,),"")</f>
        <v/>
      </c>
      <c r="I115" s="66" t="str">
        <f>IFERROR(VLOOKUP(A115,BUFFS!$H$5:$AF$195,9,),"")</f>
        <v/>
      </c>
      <c r="J115" s="65" t="str">
        <f>IFERROR(VLOOKUP(A115,BUFFS!$H$5:$AF$195,10,),"")</f>
        <v/>
      </c>
      <c r="K115" s="66" t="str">
        <f>IFERROR(VLOOKUP(A115,BUFFS!$H$5:$AF$195,11,),"")</f>
        <v/>
      </c>
      <c r="L115" s="66" t="str">
        <f>IFERROR(VLOOKUP(A115,BUFFS!$H$5:$AF$195,12,),"")</f>
        <v/>
      </c>
      <c r="M115" s="66" t="str">
        <f>IFERROR(VLOOKUP(A115,BUFFS!$H$5:$AF$195,14,),"")</f>
        <v/>
      </c>
      <c r="N115" s="68" t="str">
        <f t="shared" si="10"/>
        <v/>
      </c>
      <c r="O115" s="65" t="str">
        <f>IFERROR(VLOOKUP(A115,BUFFS!$H$5:$AF$195,15,),"")</f>
        <v/>
      </c>
      <c r="P115" s="66" t="str">
        <f>IFERROR(VLOOKUP(A115,BUFFS!$H$5:$AF$195,16,),"")</f>
        <v/>
      </c>
      <c r="Q115" s="66" t="str">
        <f>IFERROR(VLOOKUP(A115,BUFFS!$H$5:$AF$195,17,),"")</f>
        <v/>
      </c>
      <c r="R115" s="66" t="str">
        <f>IFERROR(VLOOKUP(A115,BUFFS!$H$5:$AF$195,19,),"")</f>
        <v/>
      </c>
      <c r="S115" s="69" t="str">
        <f t="shared" si="11"/>
        <v/>
      </c>
      <c r="T115" s="70" t="str">
        <f>IFERROR(VLOOKUP(A115,BUFFS!$H$5:$AF$195,20,),"")</f>
        <v/>
      </c>
    </row>
    <row r="116" spans="1:20" x14ac:dyDescent="0.35">
      <c r="A116" s="17"/>
      <c r="B116" s="18"/>
      <c r="C116" s="13"/>
      <c r="D116" s="31" t="str">
        <f>IFERROR(VLOOKUP(A116,BUFFS!$H$5:$AF$195,8,),"")</f>
        <v/>
      </c>
      <c r="E116" s="24" t="str">
        <f t="shared" si="9"/>
        <v/>
      </c>
      <c r="F116" s="65" t="str">
        <f>IFERROR(VLOOKUP(A116,BUFFS!$H$5:$AF$195,5,),"")</f>
        <v/>
      </c>
      <c r="G116" s="66" t="str">
        <f>IFERROR(VLOOKUP(A116,BUFFS!$H$5:$AF$195,6,),"")</f>
        <v/>
      </c>
      <c r="H116" s="67" t="str">
        <f>IFERROR(VLOOKUP(A116,BUFFS!$H$5:$AF$195,7,),"")</f>
        <v/>
      </c>
      <c r="I116" s="66" t="str">
        <f>IFERROR(VLOOKUP(A116,BUFFS!$H$5:$AF$195,9,),"")</f>
        <v/>
      </c>
      <c r="J116" s="65" t="str">
        <f>IFERROR(VLOOKUP(A116,BUFFS!$H$5:$AF$195,10,),"")</f>
        <v/>
      </c>
      <c r="K116" s="66" t="str">
        <f>IFERROR(VLOOKUP(A116,BUFFS!$H$5:$AF$195,11,),"")</f>
        <v/>
      </c>
      <c r="L116" s="66" t="str">
        <f>IFERROR(VLOOKUP(A116,BUFFS!$H$5:$AF$195,12,),"")</f>
        <v/>
      </c>
      <c r="M116" s="66" t="str">
        <f>IFERROR(VLOOKUP(A116,BUFFS!$H$5:$AF$195,14,),"")</f>
        <v/>
      </c>
      <c r="N116" s="68" t="str">
        <f t="shared" si="10"/>
        <v/>
      </c>
      <c r="O116" s="65" t="str">
        <f>IFERROR(VLOOKUP(A116,BUFFS!$H$5:$AF$195,15,),"")</f>
        <v/>
      </c>
      <c r="P116" s="66" t="str">
        <f>IFERROR(VLOOKUP(A116,BUFFS!$H$5:$AF$195,16,),"")</f>
        <v/>
      </c>
      <c r="Q116" s="66" t="str">
        <f>IFERROR(VLOOKUP(A116,BUFFS!$H$5:$AF$195,17,),"")</f>
        <v/>
      </c>
      <c r="R116" s="66" t="str">
        <f>IFERROR(VLOOKUP(A116,BUFFS!$H$5:$AF$195,19,),"")</f>
        <v/>
      </c>
      <c r="S116" s="69" t="str">
        <f t="shared" si="11"/>
        <v/>
      </c>
      <c r="T116" s="70" t="str">
        <f>IFERROR(VLOOKUP(A116,BUFFS!$H$5:$AF$195,20,),"")</f>
        <v/>
      </c>
    </row>
    <row r="117" spans="1:20" x14ac:dyDescent="0.35">
      <c r="A117" s="17"/>
      <c r="B117" s="18"/>
      <c r="C117" s="13"/>
      <c r="D117" s="31" t="str">
        <f>IFERROR(VLOOKUP(A117,BUFFS!$H$5:$AF$195,8,),"")</f>
        <v/>
      </c>
      <c r="E117" s="24" t="str">
        <f t="shared" si="9"/>
        <v/>
      </c>
      <c r="F117" s="65" t="str">
        <f>IFERROR(VLOOKUP(A117,BUFFS!$H$5:$AF$195,5,),"")</f>
        <v/>
      </c>
      <c r="G117" s="66" t="str">
        <f>IFERROR(VLOOKUP(A117,BUFFS!$H$5:$AF$195,6,),"")</f>
        <v/>
      </c>
      <c r="H117" s="67" t="str">
        <f>IFERROR(VLOOKUP(A117,BUFFS!$H$5:$AF$195,7,),"")</f>
        <v/>
      </c>
      <c r="I117" s="66" t="str">
        <f>IFERROR(VLOOKUP(A117,BUFFS!$H$5:$AF$195,9,),"")</f>
        <v/>
      </c>
      <c r="J117" s="65" t="str">
        <f>IFERROR(VLOOKUP(A117,BUFFS!$H$5:$AF$195,10,),"")</f>
        <v/>
      </c>
      <c r="K117" s="66" t="str">
        <f>IFERROR(VLOOKUP(A117,BUFFS!$H$5:$AF$195,11,),"")</f>
        <v/>
      </c>
      <c r="L117" s="66" t="str">
        <f>IFERROR(VLOOKUP(A117,BUFFS!$H$5:$AF$195,12,),"")</f>
        <v/>
      </c>
      <c r="M117" s="66" t="str">
        <f>IFERROR(VLOOKUP(A117,BUFFS!$H$5:$AF$195,14,),"")</f>
        <v/>
      </c>
      <c r="N117" s="68" t="str">
        <f t="shared" si="10"/>
        <v/>
      </c>
      <c r="O117" s="65" t="str">
        <f>IFERROR(VLOOKUP(A117,BUFFS!$H$5:$AF$195,15,),"")</f>
        <v/>
      </c>
      <c r="P117" s="66" t="str">
        <f>IFERROR(VLOOKUP(A117,BUFFS!$H$5:$AF$195,16,),"")</f>
        <v/>
      </c>
      <c r="Q117" s="66" t="str">
        <f>IFERROR(VLOOKUP(A117,BUFFS!$H$5:$AF$195,17,),"")</f>
        <v/>
      </c>
      <c r="R117" s="66" t="str">
        <f>IFERROR(VLOOKUP(A117,BUFFS!$H$5:$AF$195,19,),"")</f>
        <v/>
      </c>
      <c r="S117" s="69" t="str">
        <f t="shared" si="11"/>
        <v/>
      </c>
      <c r="T117" s="70" t="str">
        <f>IFERROR(VLOOKUP(A117,BUFFS!$H$5:$AF$195,20,),"")</f>
        <v/>
      </c>
    </row>
    <row r="118" spans="1:20" x14ac:dyDescent="0.35">
      <c r="A118" s="17"/>
      <c r="B118" s="18"/>
      <c r="C118" s="13"/>
      <c r="D118" s="31" t="str">
        <f>IFERROR(VLOOKUP(A118,BUFFS!$H$5:$AF$195,8,),"")</f>
        <v/>
      </c>
      <c r="E118" s="24" t="str">
        <f t="shared" si="9"/>
        <v/>
      </c>
      <c r="F118" s="65" t="str">
        <f>IFERROR(VLOOKUP(A118,BUFFS!$H$5:$AF$195,5,),"")</f>
        <v/>
      </c>
      <c r="G118" s="66" t="str">
        <f>IFERROR(VLOOKUP(A118,BUFFS!$H$5:$AF$195,6,),"")</f>
        <v/>
      </c>
      <c r="H118" s="67" t="str">
        <f>IFERROR(VLOOKUP(A118,BUFFS!$H$5:$AF$195,7,),"")</f>
        <v/>
      </c>
      <c r="I118" s="66" t="str">
        <f>IFERROR(VLOOKUP(A118,BUFFS!$H$5:$AF$195,9,),"")</f>
        <v/>
      </c>
      <c r="J118" s="65" t="str">
        <f>IFERROR(VLOOKUP(A118,BUFFS!$H$5:$AF$195,10,),"")</f>
        <v/>
      </c>
      <c r="K118" s="66" t="str">
        <f>IFERROR(VLOOKUP(A118,BUFFS!$H$5:$AF$195,11,),"")</f>
        <v/>
      </c>
      <c r="L118" s="66" t="str">
        <f>IFERROR(VLOOKUP(A118,BUFFS!$H$5:$AF$195,12,),"")</f>
        <v/>
      </c>
      <c r="M118" s="66" t="str">
        <f>IFERROR(VLOOKUP(A118,BUFFS!$H$5:$AF$195,14,),"")</f>
        <v/>
      </c>
      <c r="N118" s="68" t="str">
        <f t="shared" si="10"/>
        <v/>
      </c>
      <c r="O118" s="65" t="str">
        <f>IFERROR(VLOOKUP(A118,BUFFS!$H$5:$AF$195,15,),"")</f>
        <v/>
      </c>
      <c r="P118" s="66" t="str">
        <f>IFERROR(VLOOKUP(A118,BUFFS!$H$5:$AF$195,16,),"")</f>
        <v/>
      </c>
      <c r="Q118" s="66" t="str">
        <f>IFERROR(VLOOKUP(A118,BUFFS!$H$5:$AF$195,17,),"")</f>
        <v/>
      </c>
      <c r="R118" s="66" t="str">
        <f>IFERROR(VLOOKUP(A118,BUFFS!$H$5:$AF$195,19,),"")</f>
        <v/>
      </c>
      <c r="S118" s="69" t="str">
        <f t="shared" si="11"/>
        <v/>
      </c>
      <c r="T118" s="70" t="str">
        <f>IFERROR(VLOOKUP(A118,BUFFS!$H$5:$AF$195,20,),"")</f>
        <v/>
      </c>
    </row>
    <row r="119" spans="1:20" x14ac:dyDescent="0.35">
      <c r="A119" s="17"/>
      <c r="B119" s="18"/>
      <c r="C119" s="13"/>
      <c r="D119" s="31" t="str">
        <f>IFERROR(VLOOKUP(A119,BUFFS!$H$5:$AF$195,8,),"")</f>
        <v/>
      </c>
      <c r="E119" s="24" t="str">
        <f t="shared" si="9"/>
        <v/>
      </c>
      <c r="F119" s="65" t="str">
        <f>IFERROR(VLOOKUP(A119,BUFFS!$H$5:$AF$195,5,),"")</f>
        <v/>
      </c>
      <c r="G119" s="66" t="str">
        <f>IFERROR(VLOOKUP(A119,BUFFS!$H$5:$AF$195,6,),"")</f>
        <v/>
      </c>
      <c r="H119" s="67" t="str">
        <f>IFERROR(VLOOKUP(A119,BUFFS!$H$5:$AF$195,7,),"")</f>
        <v/>
      </c>
      <c r="I119" s="66" t="str">
        <f>IFERROR(VLOOKUP(A119,BUFFS!$H$5:$AF$195,9,),"")</f>
        <v/>
      </c>
      <c r="J119" s="65" t="str">
        <f>IFERROR(VLOOKUP(A119,BUFFS!$H$5:$AF$195,10,),"")</f>
        <v/>
      </c>
      <c r="K119" s="66" t="str">
        <f>IFERROR(VLOOKUP(A119,BUFFS!$H$5:$AF$195,11,),"")</f>
        <v/>
      </c>
      <c r="L119" s="66" t="str">
        <f>IFERROR(VLOOKUP(A119,BUFFS!$H$5:$AF$195,12,),"")</f>
        <v/>
      </c>
      <c r="M119" s="66" t="str">
        <f>IFERROR(VLOOKUP(A119,BUFFS!$H$5:$AF$195,14,),"")</f>
        <v/>
      </c>
      <c r="N119" s="68" t="str">
        <f t="shared" si="10"/>
        <v/>
      </c>
      <c r="O119" s="65" t="str">
        <f>IFERROR(VLOOKUP(A119,BUFFS!$H$5:$AF$195,15,),"")</f>
        <v/>
      </c>
      <c r="P119" s="66" t="str">
        <f>IFERROR(VLOOKUP(A119,BUFFS!$H$5:$AF$195,16,),"")</f>
        <v/>
      </c>
      <c r="Q119" s="66" t="str">
        <f>IFERROR(VLOOKUP(A119,BUFFS!$H$5:$AF$195,17,),"")</f>
        <v/>
      </c>
      <c r="R119" s="66" t="str">
        <f>IFERROR(VLOOKUP(A119,BUFFS!$H$5:$AF$195,19,),"")</f>
        <v/>
      </c>
      <c r="S119" s="69" t="str">
        <f t="shared" si="11"/>
        <v/>
      </c>
      <c r="T119" s="70" t="str">
        <f>IFERROR(VLOOKUP(A119,BUFFS!$H$5:$AF$195,20,),"")</f>
        <v/>
      </c>
    </row>
    <row r="120" spans="1:20" x14ac:dyDescent="0.35">
      <c r="A120" s="17"/>
      <c r="B120" s="18"/>
      <c r="C120" s="13"/>
      <c r="D120" s="31" t="str">
        <f>IFERROR(VLOOKUP(A120,BUFFS!$H$5:$AF$195,8,),"")</f>
        <v/>
      </c>
      <c r="E120" s="24" t="str">
        <f t="shared" si="9"/>
        <v/>
      </c>
      <c r="F120" s="65" t="str">
        <f>IFERROR(VLOOKUP(A120,BUFFS!$H$5:$AF$195,5,),"")</f>
        <v/>
      </c>
      <c r="G120" s="66" t="str">
        <f>IFERROR(VLOOKUP(A120,BUFFS!$H$5:$AF$195,6,),"")</f>
        <v/>
      </c>
      <c r="H120" s="67" t="str">
        <f>IFERROR(VLOOKUP(A120,BUFFS!$H$5:$AF$195,7,),"")</f>
        <v/>
      </c>
      <c r="I120" s="66" t="str">
        <f>IFERROR(VLOOKUP(A120,BUFFS!$H$5:$AF$195,9,),"")</f>
        <v/>
      </c>
      <c r="J120" s="65" t="str">
        <f>IFERROR(VLOOKUP(A120,BUFFS!$H$5:$AF$195,10,),"")</f>
        <v/>
      </c>
      <c r="K120" s="66" t="str">
        <f>IFERROR(VLOOKUP(A120,BUFFS!$H$5:$AF$195,11,),"")</f>
        <v/>
      </c>
      <c r="L120" s="66" t="str">
        <f>IFERROR(VLOOKUP(A120,BUFFS!$H$5:$AF$195,12,),"")</f>
        <v/>
      </c>
      <c r="M120" s="66" t="str">
        <f>IFERROR(VLOOKUP(A120,BUFFS!$H$5:$AF$195,14,),"")</f>
        <v/>
      </c>
      <c r="N120" s="68" t="str">
        <f t="shared" si="10"/>
        <v/>
      </c>
      <c r="O120" s="65" t="str">
        <f>IFERROR(VLOOKUP(A120,BUFFS!$H$5:$AF$195,15,),"")</f>
        <v/>
      </c>
      <c r="P120" s="66" t="str">
        <f>IFERROR(VLOOKUP(A120,BUFFS!$H$5:$AF$195,16,),"")</f>
        <v/>
      </c>
      <c r="Q120" s="66" t="str">
        <f>IFERROR(VLOOKUP(A120,BUFFS!$H$5:$AF$195,17,),"")</f>
        <v/>
      </c>
      <c r="R120" s="66" t="str">
        <f>IFERROR(VLOOKUP(A120,BUFFS!$H$5:$AF$195,19,),"")</f>
        <v/>
      </c>
      <c r="S120" s="69" t="str">
        <f t="shared" si="11"/>
        <v/>
      </c>
      <c r="T120" s="70" t="str">
        <f>IFERROR(VLOOKUP(A120,BUFFS!$H$5:$AF$195,20,),"")</f>
        <v/>
      </c>
    </row>
    <row r="121" spans="1:20" x14ac:dyDescent="0.35">
      <c r="A121" s="17"/>
      <c r="B121" s="18"/>
      <c r="C121" s="13"/>
      <c r="D121" s="31" t="str">
        <f>IFERROR(VLOOKUP(A121,BUFFS!$H$5:$AF$195,8,),"")</f>
        <v/>
      </c>
      <c r="E121" s="24" t="str">
        <f t="shared" si="9"/>
        <v/>
      </c>
      <c r="F121" s="65" t="str">
        <f>IFERROR(VLOOKUP(A121,BUFFS!$H$5:$AF$195,5,),"")</f>
        <v/>
      </c>
      <c r="G121" s="66" t="str">
        <f>IFERROR(VLOOKUP(A121,BUFFS!$H$5:$AF$195,6,),"")</f>
        <v/>
      </c>
      <c r="H121" s="67" t="str">
        <f>IFERROR(VLOOKUP(A121,BUFFS!$H$5:$AF$195,7,),"")</f>
        <v/>
      </c>
      <c r="I121" s="66" t="str">
        <f>IFERROR(VLOOKUP(A121,BUFFS!$H$5:$AF$195,9,),"")</f>
        <v/>
      </c>
      <c r="J121" s="65" t="str">
        <f>IFERROR(VLOOKUP(A121,BUFFS!$H$5:$AF$195,10,),"")</f>
        <v/>
      </c>
      <c r="K121" s="66" t="str">
        <f>IFERROR(VLOOKUP(A121,BUFFS!$H$5:$AF$195,11,),"")</f>
        <v/>
      </c>
      <c r="L121" s="66" t="str">
        <f>IFERROR(VLOOKUP(A121,BUFFS!$H$5:$AF$195,12,),"")</f>
        <v/>
      </c>
      <c r="M121" s="66" t="str">
        <f>IFERROR(VLOOKUP(A121,BUFFS!$H$5:$AF$195,14,),"")</f>
        <v/>
      </c>
      <c r="N121" s="68" t="str">
        <f t="shared" si="10"/>
        <v/>
      </c>
      <c r="O121" s="65" t="str">
        <f>IFERROR(VLOOKUP(A121,BUFFS!$H$5:$AF$195,15,),"")</f>
        <v/>
      </c>
      <c r="P121" s="66" t="str">
        <f>IFERROR(VLOOKUP(A121,BUFFS!$H$5:$AF$195,16,),"")</f>
        <v/>
      </c>
      <c r="Q121" s="66" t="str">
        <f>IFERROR(VLOOKUP(A121,BUFFS!$H$5:$AF$195,17,),"")</f>
        <v/>
      </c>
      <c r="R121" s="66" t="str">
        <f>IFERROR(VLOOKUP(A121,BUFFS!$H$5:$AF$195,19,),"")</f>
        <v/>
      </c>
      <c r="S121" s="69" t="str">
        <f t="shared" si="11"/>
        <v/>
      </c>
      <c r="T121" s="70" t="str">
        <f>IFERROR(VLOOKUP(A121,BUFFS!$H$5:$AF$195,20,),"")</f>
        <v/>
      </c>
    </row>
    <row r="122" spans="1:20" x14ac:dyDescent="0.35">
      <c r="A122" s="17"/>
      <c r="B122" s="18"/>
      <c r="C122" s="13"/>
      <c r="D122" s="31" t="str">
        <f>IFERROR(VLOOKUP(A122,BUFFS!$H$5:$AF$195,8,),"")</f>
        <v/>
      </c>
      <c r="E122" s="24" t="str">
        <f t="shared" si="9"/>
        <v/>
      </c>
      <c r="F122" s="65" t="str">
        <f>IFERROR(VLOOKUP(A122,BUFFS!$H$5:$AF$195,5,),"")</f>
        <v/>
      </c>
      <c r="G122" s="66" t="str">
        <f>IFERROR(VLOOKUP(A122,BUFFS!$H$5:$AF$195,6,),"")</f>
        <v/>
      </c>
      <c r="H122" s="67" t="str">
        <f>IFERROR(VLOOKUP(A122,BUFFS!$H$5:$AF$195,7,),"")</f>
        <v/>
      </c>
      <c r="I122" s="66" t="str">
        <f>IFERROR(VLOOKUP(A122,BUFFS!$H$5:$AF$195,9,),"")</f>
        <v/>
      </c>
      <c r="J122" s="65" t="str">
        <f>IFERROR(VLOOKUP(A122,BUFFS!$H$5:$AF$195,10,),"")</f>
        <v/>
      </c>
      <c r="K122" s="66" t="str">
        <f>IFERROR(VLOOKUP(A122,BUFFS!$H$5:$AF$195,11,),"")</f>
        <v/>
      </c>
      <c r="L122" s="66" t="str">
        <f>IFERROR(VLOOKUP(A122,BUFFS!$H$5:$AF$195,12,),"")</f>
        <v/>
      </c>
      <c r="M122" s="66" t="str">
        <f>IFERROR(VLOOKUP(A122,BUFFS!$H$5:$AF$195,14,),"")</f>
        <v/>
      </c>
      <c r="N122" s="68" t="str">
        <f t="shared" si="10"/>
        <v/>
      </c>
      <c r="O122" s="65" t="str">
        <f>IFERROR(VLOOKUP(A122,BUFFS!$H$5:$AF$195,15,),"")</f>
        <v/>
      </c>
      <c r="P122" s="66" t="str">
        <f>IFERROR(VLOOKUP(A122,BUFFS!$H$5:$AF$195,16,),"")</f>
        <v/>
      </c>
      <c r="Q122" s="66" t="str">
        <f>IFERROR(VLOOKUP(A122,BUFFS!$H$5:$AF$195,17,),"")</f>
        <v/>
      </c>
      <c r="R122" s="66" t="str">
        <f>IFERROR(VLOOKUP(A122,BUFFS!$H$5:$AF$195,19,),"")</f>
        <v/>
      </c>
      <c r="S122" s="69" t="str">
        <f t="shared" si="11"/>
        <v/>
      </c>
      <c r="T122" s="70" t="str">
        <f>IFERROR(VLOOKUP(A122,BUFFS!$H$5:$AF$195,20,),"")</f>
        <v/>
      </c>
    </row>
    <row r="123" spans="1:20" x14ac:dyDescent="0.35">
      <c r="A123" s="17"/>
      <c r="B123" s="18"/>
      <c r="C123" s="13"/>
      <c r="D123" s="31" t="str">
        <f>IFERROR(VLOOKUP(A123,BUFFS!$H$5:$AF$195,8,),"")</f>
        <v/>
      </c>
      <c r="E123" s="24" t="str">
        <f t="shared" si="9"/>
        <v/>
      </c>
      <c r="F123" s="65" t="str">
        <f>IFERROR(VLOOKUP(A123,BUFFS!$H$5:$AF$195,5,),"")</f>
        <v/>
      </c>
      <c r="G123" s="66" t="str">
        <f>IFERROR(VLOOKUP(A123,BUFFS!$H$5:$AF$195,6,),"")</f>
        <v/>
      </c>
      <c r="H123" s="67" t="str">
        <f>IFERROR(VLOOKUP(A123,BUFFS!$H$5:$AF$195,7,),"")</f>
        <v/>
      </c>
      <c r="I123" s="66" t="str">
        <f>IFERROR(VLOOKUP(A123,BUFFS!$H$5:$AF$195,9,),"")</f>
        <v/>
      </c>
      <c r="J123" s="65" t="str">
        <f>IFERROR(VLOOKUP(A123,BUFFS!$H$5:$AF$195,10,),"")</f>
        <v/>
      </c>
      <c r="K123" s="66" t="str">
        <f>IFERROR(VLOOKUP(A123,BUFFS!$H$5:$AF$195,11,),"")</f>
        <v/>
      </c>
      <c r="L123" s="66" t="str">
        <f>IFERROR(VLOOKUP(A123,BUFFS!$H$5:$AF$195,12,),"")</f>
        <v/>
      </c>
      <c r="M123" s="66" t="str">
        <f>IFERROR(VLOOKUP(A123,BUFFS!$H$5:$AF$195,14,),"")</f>
        <v/>
      </c>
      <c r="N123" s="68" t="str">
        <f t="shared" si="10"/>
        <v/>
      </c>
      <c r="O123" s="65" t="str">
        <f>IFERROR(VLOOKUP(A123,BUFFS!$H$5:$AF$195,15,),"")</f>
        <v/>
      </c>
      <c r="P123" s="66" t="str">
        <f>IFERROR(VLOOKUP(A123,BUFFS!$H$5:$AF$195,16,),"")</f>
        <v/>
      </c>
      <c r="Q123" s="66" t="str">
        <f>IFERROR(VLOOKUP(A123,BUFFS!$H$5:$AF$195,17,),"")</f>
        <v/>
      </c>
      <c r="R123" s="66" t="str">
        <f>IFERROR(VLOOKUP(A123,BUFFS!$H$5:$AF$195,19,),"")</f>
        <v/>
      </c>
      <c r="S123" s="69" t="str">
        <f t="shared" si="11"/>
        <v/>
      </c>
      <c r="T123" s="70" t="str">
        <f>IFERROR(VLOOKUP(A123,BUFFS!$H$5:$AF$195,20,),"")</f>
        <v/>
      </c>
    </row>
    <row r="124" spans="1:20" x14ac:dyDescent="0.35">
      <c r="A124" s="17"/>
      <c r="B124" s="18"/>
      <c r="C124" s="13"/>
      <c r="D124" s="31" t="str">
        <f>IFERROR(VLOOKUP(A124,BUFFS!$H$5:$AF$195,8,),"")</f>
        <v/>
      </c>
      <c r="E124" s="24" t="str">
        <f t="shared" si="9"/>
        <v/>
      </c>
      <c r="F124" s="65" t="str">
        <f>IFERROR(VLOOKUP(A124,BUFFS!$H$5:$AF$195,5,),"")</f>
        <v/>
      </c>
      <c r="G124" s="66" t="str">
        <f>IFERROR(VLOOKUP(A124,BUFFS!$H$5:$AF$195,6,),"")</f>
        <v/>
      </c>
      <c r="H124" s="67" t="str">
        <f>IFERROR(VLOOKUP(A124,BUFFS!$H$5:$AF$195,7,),"")</f>
        <v/>
      </c>
      <c r="I124" s="66" t="str">
        <f>IFERROR(VLOOKUP(A124,BUFFS!$H$5:$AF$195,9,),"")</f>
        <v/>
      </c>
      <c r="J124" s="65" t="str">
        <f>IFERROR(VLOOKUP(A124,BUFFS!$H$5:$AF$195,10,),"")</f>
        <v/>
      </c>
      <c r="K124" s="66" t="str">
        <f>IFERROR(VLOOKUP(A124,BUFFS!$H$5:$AF$195,11,),"")</f>
        <v/>
      </c>
      <c r="L124" s="66" t="str">
        <f>IFERROR(VLOOKUP(A124,BUFFS!$H$5:$AF$195,12,),"")</f>
        <v/>
      </c>
      <c r="M124" s="66" t="str">
        <f>IFERROR(VLOOKUP(A124,BUFFS!$H$5:$AF$195,14,),"")</f>
        <v/>
      </c>
      <c r="N124" s="68" t="str">
        <f t="shared" si="10"/>
        <v/>
      </c>
      <c r="O124" s="65" t="str">
        <f>IFERROR(VLOOKUP(A124,BUFFS!$H$5:$AF$195,15,),"")</f>
        <v/>
      </c>
      <c r="P124" s="66" t="str">
        <f>IFERROR(VLOOKUP(A124,BUFFS!$H$5:$AF$195,16,),"")</f>
        <v/>
      </c>
      <c r="Q124" s="66" t="str">
        <f>IFERROR(VLOOKUP(A124,BUFFS!$H$5:$AF$195,17,),"")</f>
        <v/>
      </c>
      <c r="R124" s="66" t="str">
        <f>IFERROR(VLOOKUP(A124,BUFFS!$H$5:$AF$195,19,),"")</f>
        <v/>
      </c>
      <c r="S124" s="69" t="str">
        <f t="shared" si="11"/>
        <v/>
      </c>
      <c r="T124" s="70" t="str">
        <f>IFERROR(VLOOKUP(A124,BUFFS!$H$5:$AF$195,20,),"")</f>
        <v/>
      </c>
    </row>
    <row r="125" spans="1:20" x14ac:dyDescent="0.35">
      <c r="A125" s="17"/>
      <c r="B125" s="18"/>
      <c r="C125" s="13"/>
      <c r="D125" s="31" t="str">
        <f>IFERROR(VLOOKUP(A125,BUFFS!$H$5:$AF$195,8,),"")</f>
        <v/>
      </c>
      <c r="E125" s="24" t="str">
        <f t="shared" si="9"/>
        <v/>
      </c>
      <c r="F125" s="65" t="str">
        <f>IFERROR(VLOOKUP(A125,BUFFS!$H$5:$AF$195,5,),"")</f>
        <v/>
      </c>
      <c r="G125" s="66" t="str">
        <f>IFERROR(VLOOKUP(A125,BUFFS!$H$5:$AF$195,6,),"")</f>
        <v/>
      </c>
      <c r="H125" s="67" t="str">
        <f>IFERROR(VLOOKUP(A125,BUFFS!$H$5:$AF$195,7,),"")</f>
        <v/>
      </c>
      <c r="I125" s="66" t="str">
        <f>IFERROR(VLOOKUP(A125,BUFFS!$H$5:$AF$195,9,),"")</f>
        <v/>
      </c>
      <c r="J125" s="65" t="str">
        <f>IFERROR(VLOOKUP(A125,BUFFS!$H$5:$AF$195,10,),"")</f>
        <v/>
      </c>
      <c r="K125" s="66" t="str">
        <f>IFERROR(VLOOKUP(A125,BUFFS!$H$5:$AF$195,11,),"")</f>
        <v/>
      </c>
      <c r="L125" s="66" t="str">
        <f>IFERROR(VLOOKUP(A125,BUFFS!$H$5:$AF$195,12,),"")</f>
        <v/>
      </c>
      <c r="M125" s="66" t="str">
        <f>IFERROR(VLOOKUP(A125,BUFFS!$H$5:$AF$195,14,),"")</f>
        <v/>
      </c>
      <c r="N125" s="68" t="str">
        <f t="shared" si="10"/>
        <v/>
      </c>
      <c r="O125" s="65" t="str">
        <f>IFERROR(VLOOKUP(A125,BUFFS!$H$5:$AF$195,15,),"")</f>
        <v/>
      </c>
      <c r="P125" s="66" t="str">
        <f>IFERROR(VLOOKUP(A125,BUFFS!$H$5:$AF$195,16,),"")</f>
        <v/>
      </c>
      <c r="Q125" s="66" t="str">
        <f>IFERROR(VLOOKUP(A125,BUFFS!$H$5:$AF$195,17,),"")</f>
        <v/>
      </c>
      <c r="R125" s="66" t="str">
        <f>IFERROR(VLOOKUP(A125,BUFFS!$H$5:$AF$195,19,),"")</f>
        <v/>
      </c>
      <c r="S125" s="69" t="str">
        <f t="shared" si="11"/>
        <v/>
      </c>
      <c r="T125" s="70" t="str">
        <f>IFERROR(VLOOKUP(A125,BUFFS!$H$5:$AF$195,20,),"")</f>
        <v/>
      </c>
    </row>
    <row r="126" spans="1:20" x14ac:dyDescent="0.35">
      <c r="A126" s="17"/>
      <c r="B126" s="18"/>
      <c r="C126" s="13"/>
      <c r="D126" s="31" t="str">
        <f>IFERROR(VLOOKUP(A126,BUFFS!$H$5:$AF$195,8,),"")</f>
        <v/>
      </c>
      <c r="E126" s="24" t="str">
        <f t="shared" si="9"/>
        <v/>
      </c>
      <c r="F126" s="65" t="str">
        <f>IFERROR(VLOOKUP(A126,BUFFS!$H$5:$AF$195,5,),"")</f>
        <v/>
      </c>
      <c r="G126" s="66" t="str">
        <f>IFERROR(VLOOKUP(A126,BUFFS!$H$5:$AF$195,6,),"")</f>
        <v/>
      </c>
      <c r="H126" s="67" t="str">
        <f>IFERROR(VLOOKUP(A126,BUFFS!$H$5:$AF$195,7,),"")</f>
        <v/>
      </c>
      <c r="I126" s="66" t="str">
        <f>IFERROR(VLOOKUP(A126,BUFFS!$H$5:$AF$195,9,),"")</f>
        <v/>
      </c>
      <c r="J126" s="65" t="str">
        <f>IFERROR(VLOOKUP(A126,BUFFS!$H$5:$AF$195,10,),"")</f>
        <v/>
      </c>
      <c r="K126" s="66" t="str">
        <f>IFERROR(VLOOKUP(A126,BUFFS!$H$5:$AF$195,11,),"")</f>
        <v/>
      </c>
      <c r="L126" s="66" t="str">
        <f>IFERROR(VLOOKUP(A126,BUFFS!$H$5:$AF$195,12,),"")</f>
        <v/>
      </c>
      <c r="M126" s="66" t="str">
        <f>IFERROR(VLOOKUP(A126,BUFFS!$H$5:$AF$195,14,),"")</f>
        <v/>
      </c>
      <c r="N126" s="68" t="str">
        <f t="shared" si="10"/>
        <v/>
      </c>
      <c r="O126" s="65" t="str">
        <f>IFERROR(VLOOKUP(A126,BUFFS!$H$5:$AF$195,15,),"")</f>
        <v/>
      </c>
      <c r="P126" s="66" t="str">
        <f>IFERROR(VLOOKUP(A126,BUFFS!$H$5:$AF$195,16,),"")</f>
        <v/>
      </c>
      <c r="Q126" s="66" t="str">
        <f>IFERROR(VLOOKUP(A126,BUFFS!$H$5:$AF$195,17,),"")</f>
        <v/>
      </c>
      <c r="R126" s="66" t="str">
        <f>IFERROR(VLOOKUP(A126,BUFFS!$H$5:$AF$195,19,),"")</f>
        <v/>
      </c>
      <c r="S126" s="69" t="str">
        <f t="shared" si="11"/>
        <v/>
      </c>
      <c r="T126" s="70" t="str">
        <f>IFERROR(VLOOKUP(A126,BUFFS!$H$5:$AF$195,20,),"")</f>
        <v/>
      </c>
    </row>
    <row r="127" spans="1:20" x14ac:dyDescent="0.35">
      <c r="A127" s="17"/>
      <c r="B127" s="18"/>
      <c r="C127" s="13"/>
      <c r="D127" s="31" t="str">
        <f>IFERROR(VLOOKUP(A127,BUFFS!$H$5:$AF$195,8,),"")</f>
        <v/>
      </c>
      <c r="E127" s="24" t="str">
        <f t="shared" si="9"/>
        <v/>
      </c>
      <c r="F127" s="65" t="str">
        <f>IFERROR(VLOOKUP(A127,BUFFS!$H$5:$AF$195,5,),"")</f>
        <v/>
      </c>
      <c r="G127" s="66" t="str">
        <f>IFERROR(VLOOKUP(A127,BUFFS!$H$5:$AF$195,6,),"")</f>
        <v/>
      </c>
      <c r="H127" s="67" t="str">
        <f>IFERROR(VLOOKUP(A127,BUFFS!$H$5:$AF$195,7,),"")</f>
        <v/>
      </c>
      <c r="I127" s="66" t="str">
        <f>IFERROR(VLOOKUP(A127,BUFFS!$H$5:$AF$195,9,),"")</f>
        <v/>
      </c>
      <c r="J127" s="65" t="str">
        <f>IFERROR(VLOOKUP(A127,BUFFS!$H$5:$AF$195,10,),"")</f>
        <v/>
      </c>
      <c r="K127" s="66" t="str">
        <f>IFERROR(VLOOKUP(A127,BUFFS!$H$5:$AF$195,11,),"")</f>
        <v/>
      </c>
      <c r="L127" s="66" t="str">
        <f>IFERROR(VLOOKUP(A127,BUFFS!$H$5:$AF$195,12,),"")</f>
        <v/>
      </c>
      <c r="M127" s="66" t="str">
        <f>IFERROR(VLOOKUP(A127,BUFFS!$H$5:$AF$195,14,),"")</f>
        <v/>
      </c>
      <c r="N127" s="68" t="str">
        <f t="shared" si="10"/>
        <v/>
      </c>
      <c r="O127" s="65" t="str">
        <f>IFERROR(VLOOKUP(A127,BUFFS!$H$5:$AF$195,15,),"")</f>
        <v/>
      </c>
      <c r="P127" s="66" t="str">
        <f>IFERROR(VLOOKUP(A127,BUFFS!$H$5:$AF$195,16,),"")</f>
        <v/>
      </c>
      <c r="Q127" s="66" t="str">
        <f>IFERROR(VLOOKUP(A127,BUFFS!$H$5:$AF$195,17,),"")</f>
        <v/>
      </c>
      <c r="R127" s="66" t="str">
        <f>IFERROR(VLOOKUP(A127,BUFFS!$H$5:$AF$195,19,),"")</f>
        <v/>
      </c>
      <c r="S127" s="69" t="str">
        <f t="shared" si="11"/>
        <v/>
      </c>
      <c r="T127" s="70" t="str">
        <f>IFERROR(VLOOKUP(A127,BUFFS!$H$5:$AF$195,20,),"")</f>
        <v/>
      </c>
    </row>
    <row r="128" spans="1:20" x14ac:dyDescent="0.35">
      <c r="A128" s="17"/>
      <c r="B128" s="18"/>
      <c r="C128" s="13"/>
      <c r="D128" s="31" t="str">
        <f>IFERROR(VLOOKUP(A128,BUFFS!$H$5:$AF$195,8,),"")</f>
        <v/>
      </c>
      <c r="E128" s="24" t="str">
        <f t="shared" si="9"/>
        <v/>
      </c>
      <c r="F128" s="65" t="str">
        <f>IFERROR(VLOOKUP(A128,BUFFS!$H$5:$AF$195,5,),"")</f>
        <v/>
      </c>
      <c r="G128" s="66" t="str">
        <f>IFERROR(VLOOKUP(A128,BUFFS!$H$5:$AF$195,6,),"")</f>
        <v/>
      </c>
      <c r="H128" s="67" t="str">
        <f>IFERROR(VLOOKUP(A128,BUFFS!$H$5:$AF$195,7,),"")</f>
        <v/>
      </c>
      <c r="I128" s="66" t="str">
        <f>IFERROR(VLOOKUP(A128,BUFFS!$H$5:$AF$195,9,),"")</f>
        <v/>
      </c>
      <c r="J128" s="65" t="str">
        <f>IFERROR(VLOOKUP(A128,BUFFS!$H$5:$AF$195,10,),"")</f>
        <v/>
      </c>
      <c r="K128" s="66" t="str">
        <f>IFERROR(VLOOKUP(A128,BUFFS!$H$5:$AF$195,11,),"")</f>
        <v/>
      </c>
      <c r="L128" s="66" t="str">
        <f>IFERROR(VLOOKUP(A128,BUFFS!$H$5:$AF$195,12,),"")</f>
        <v/>
      </c>
      <c r="M128" s="66" t="str">
        <f>IFERROR(VLOOKUP(A128,BUFFS!$H$5:$AF$195,14,),"")</f>
        <v/>
      </c>
      <c r="N128" s="68" t="str">
        <f t="shared" si="10"/>
        <v/>
      </c>
      <c r="O128" s="65" t="str">
        <f>IFERROR(VLOOKUP(A128,BUFFS!$H$5:$AF$195,15,),"")</f>
        <v/>
      </c>
      <c r="P128" s="66" t="str">
        <f>IFERROR(VLOOKUP(A128,BUFFS!$H$5:$AF$195,16,),"")</f>
        <v/>
      </c>
      <c r="Q128" s="66" t="str">
        <f>IFERROR(VLOOKUP(A128,BUFFS!$H$5:$AF$195,17,),"")</f>
        <v/>
      </c>
      <c r="R128" s="66" t="str">
        <f>IFERROR(VLOOKUP(A128,BUFFS!$H$5:$AF$195,19,),"")</f>
        <v/>
      </c>
      <c r="S128" s="69" t="str">
        <f t="shared" si="11"/>
        <v/>
      </c>
      <c r="T128" s="70" t="str">
        <f>IFERROR(VLOOKUP(A128,BUFFS!$H$5:$AF$195,20,),"")</f>
        <v/>
      </c>
    </row>
    <row r="129" spans="1:20" x14ac:dyDescent="0.35">
      <c r="A129" s="17"/>
      <c r="B129" s="18"/>
      <c r="C129" s="13"/>
      <c r="D129" s="31" t="str">
        <f>IFERROR(VLOOKUP(A129,BUFFS!$H$5:$AF$195,8,),"")</f>
        <v/>
      </c>
      <c r="E129" s="24" t="str">
        <f t="shared" si="9"/>
        <v/>
      </c>
      <c r="F129" s="65" t="str">
        <f>IFERROR(VLOOKUP(A129,BUFFS!$H$5:$AF$195,5,),"")</f>
        <v/>
      </c>
      <c r="G129" s="66" t="str">
        <f>IFERROR(VLOOKUP(A129,BUFFS!$H$5:$AF$195,6,),"")</f>
        <v/>
      </c>
      <c r="H129" s="67" t="str">
        <f>IFERROR(VLOOKUP(A129,BUFFS!$H$5:$AF$195,7,),"")</f>
        <v/>
      </c>
      <c r="I129" s="66" t="str">
        <f>IFERROR(VLOOKUP(A129,BUFFS!$H$5:$AF$195,9,),"")</f>
        <v/>
      </c>
      <c r="J129" s="65" t="str">
        <f>IFERROR(VLOOKUP(A129,BUFFS!$H$5:$AF$195,10,),"")</f>
        <v/>
      </c>
      <c r="K129" s="66" t="str">
        <f>IFERROR(VLOOKUP(A129,BUFFS!$H$5:$AF$195,11,),"")</f>
        <v/>
      </c>
      <c r="L129" s="66" t="str">
        <f>IFERROR(VLOOKUP(A129,BUFFS!$H$5:$AF$195,12,),"")</f>
        <v/>
      </c>
      <c r="M129" s="66" t="str">
        <f>IFERROR(VLOOKUP(A129,BUFFS!$H$5:$AF$195,14,),"")</f>
        <v/>
      </c>
      <c r="N129" s="68" t="str">
        <f t="shared" si="10"/>
        <v/>
      </c>
      <c r="O129" s="65" t="str">
        <f>IFERROR(VLOOKUP(A129,BUFFS!$H$5:$AF$195,15,),"")</f>
        <v/>
      </c>
      <c r="P129" s="66" t="str">
        <f>IFERROR(VLOOKUP(A129,BUFFS!$H$5:$AF$195,16,),"")</f>
        <v/>
      </c>
      <c r="Q129" s="66" t="str">
        <f>IFERROR(VLOOKUP(A129,BUFFS!$H$5:$AF$195,17,),"")</f>
        <v/>
      </c>
      <c r="R129" s="66" t="str">
        <f>IFERROR(VLOOKUP(A129,BUFFS!$H$5:$AF$195,19,),"")</f>
        <v/>
      </c>
      <c r="S129" s="69" t="str">
        <f t="shared" si="11"/>
        <v/>
      </c>
      <c r="T129" s="70" t="str">
        <f>IFERROR(VLOOKUP(A129,BUFFS!$H$5:$AF$195,20,),"")</f>
        <v/>
      </c>
    </row>
    <row r="130" spans="1:20" x14ac:dyDescent="0.35">
      <c r="A130" s="17"/>
      <c r="B130" s="18"/>
      <c r="C130" s="13"/>
      <c r="D130" s="31" t="str">
        <f>IFERROR(VLOOKUP(A130,BUFFS!$H$5:$AF$195,8,),"")</f>
        <v/>
      </c>
      <c r="E130" s="24" t="str">
        <f t="shared" si="9"/>
        <v/>
      </c>
      <c r="F130" s="65" t="str">
        <f>IFERROR(VLOOKUP(A130,BUFFS!$H$5:$AF$195,5,),"")</f>
        <v/>
      </c>
      <c r="G130" s="66" t="str">
        <f>IFERROR(VLOOKUP(A130,BUFFS!$H$5:$AF$195,6,),"")</f>
        <v/>
      </c>
      <c r="H130" s="67" t="str">
        <f>IFERROR(VLOOKUP(A130,BUFFS!$H$5:$AF$195,7,),"")</f>
        <v/>
      </c>
      <c r="I130" s="66" t="str">
        <f>IFERROR(VLOOKUP(A130,BUFFS!$H$5:$AF$195,9,),"")</f>
        <v/>
      </c>
      <c r="J130" s="65" t="str">
        <f>IFERROR(VLOOKUP(A130,BUFFS!$H$5:$AF$195,10,),"")</f>
        <v/>
      </c>
      <c r="K130" s="66" t="str">
        <f>IFERROR(VLOOKUP(A130,BUFFS!$H$5:$AF$195,11,),"")</f>
        <v/>
      </c>
      <c r="L130" s="66" t="str">
        <f>IFERROR(VLOOKUP(A130,BUFFS!$H$5:$AF$195,12,),"")</f>
        <v/>
      </c>
      <c r="M130" s="66" t="str">
        <f>IFERROR(VLOOKUP(A130,BUFFS!$H$5:$AF$195,14,),"")</f>
        <v/>
      </c>
      <c r="N130" s="68" t="str">
        <f t="shared" si="10"/>
        <v/>
      </c>
      <c r="O130" s="65" t="str">
        <f>IFERROR(VLOOKUP(A130,BUFFS!$H$5:$AF$195,15,),"")</f>
        <v/>
      </c>
      <c r="P130" s="66" t="str">
        <f>IFERROR(VLOOKUP(A130,BUFFS!$H$5:$AF$195,16,),"")</f>
        <v/>
      </c>
      <c r="Q130" s="66" t="str">
        <f>IFERROR(VLOOKUP(A130,BUFFS!$H$5:$AF$195,17,),"")</f>
        <v/>
      </c>
      <c r="R130" s="66" t="str">
        <f>IFERROR(VLOOKUP(A130,BUFFS!$H$5:$AF$195,19,),"")</f>
        <v/>
      </c>
      <c r="S130" s="69" t="str">
        <f t="shared" si="11"/>
        <v/>
      </c>
      <c r="T130" s="70" t="str">
        <f>IFERROR(VLOOKUP(A130,BUFFS!$H$5:$AF$195,20,),"")</f>
        <v/>
      </c>
    </row>
    <row r="131" spans="1:20" x14ac:dyDescent="0.35">
      <c r="A131" s="17"/>
      <c r="B131" s="18"/>
      <c r="C131" s="13"/>
      <c r="D131" s="31" t="str">
        <f>IFERROR(VLOOKUP(A131,BUFFS!$H$5:$AF$195,8,),"")</f>
        <v/>
      </c>
      <c r="E131" s="24" t="str">
        <f t="shared" si="9"/>
        <v/>
      </c>
      <c r="F131" s="65" t="str">
        <f>IFERROR(VLOOKUP(A131,BUFFS!$H$5:$AF$195,5,),"")</f>
        <v/>
      </c>
      <c r="G131" s="66" t="str">
        <f>IFERROR(VLOOKUP(A131,BUFFS!$H$5:$AF$195,6,),"")</f>
        <v/>
      </c>
      <c r="H131" s="67" t="str">
        <f>IFERROR(VLOOKUP(A131,BUFFS!$H$5:$AF$195,7,),"")</f>
        <v/>
      </c>
      <c r="I131" s="66" t="str">
        <f>IFERROR(VLOOKUP(A131,BUFFS!$H$5:$AF$195,9,),"")</f>
        <v/>
      </c>
      <c r="J131" s="65" t="str">
        <f>IFERROR(VLOOKUP(A131,BUFFS!$H$5:$AF$195,10,),"")</f>
        <v/>
      </c>
      <c r="K131" s="66" t="str">
        <f>IFERROR(VLOOKUP(A131,BUFFS!$H$5:$AF$195,11,),"")</f>
        <v/>
      </c>
      <c r="L131" s="66" t="str">
        <f>IFERROR(VLOOKUP(A131,BUFFS!$H$5:$AF$195,12,),"")</f>
        <v/>
      </c>
      <c r="M131" s="66" t="str">
        <f>IFERROR(VLOOKUP(A131,BUFFS!$H$5:$AF$195,14,),"")</f>
        <v/>
      </c>
      <c r="N131" s="68" t="str">
        <f t="shared" si="10"/>
        <v/>
      </c>
      <c r="O131" s="65" t="str">
        <f>IFERROR(VLOOKUP(A131,BUFFS!$H$5:$AF$195,15,),"")</f>
        <v/>
      </c>
      <c r="P131" s="66" t="str">
        <f>IFERROR(VLOOKUP(A131,BUFFS!$H$5:$AF$195,16,),"")</f>
        <v/>
      </c>
      <c r="Q131" s="66" t="str">
        <f>IFERROR(VLOOKUP(A131,BUFFS!$H$5:$AF$195,17,),"")</f>
        <v/>
      </c>
      <c r="R131" s="66" t="str">
        <f>IFERROR(VLOOKUP(A131,BUFFS!$H$5:$AF$195,19,),"")</f>
        <v/>
      </c>
      <c r="S131" s="69" t="str">
        <f t="shared" si="11"/>
        <v/>
      </c>
      <c r="T131" s="70" t="str">
        <f>IFERROR(VLOOKUP(A131,BUFFS!$H$5:$AF$195,20,),"")</f>
        <v/>
      </c>
    </row>
    <row r="132" spans="1:20" x14ac:dyDescent="0.35">
      <c r="A132" s="17"/>
      <c r="B132" s="18"/>
      <c r="C132" s="13"/>
      <c r="D132" s="31" t="str">
        <f>IFERROR(VLOOKUP(A132,BUFFS!$H$5:$AF$195,8,),"")</f>
        <v/>
      </c>
      <c r="E132" s="24" t="str">
        <f t="shared" si="9"/>
        <v/>
      </c>
      <c r="F132" s="65" t="str">
        <f>IFERROR(VLOOKUP(A132,BUFFS!$H$5:$AF$195,5,),"")</f>
        <v/>
      </c>
      <c r="G132" s="66" t="str">
        <f>IFERROR(VLOOKUP(A132,BUFFS!$H$5:$AF$195,6,),"")</f>
        <v/>
      </c>
      <c r="H132" s="67" t="str">
        <f>IFERROR(VLOOKUP(A132,BUFFS!$H$5:$AF$195,7,),"")</f>
        <v/>
      </c>
      <c r="I132" s="66" t="str">
        <f>IFERROR(VLOOKUP(A132,BUFFS!$H$5:$AF$195,9,),"")</f>
        <v/>
      </c>
      <c r="J132" s="65" t="str">
        <f>IFERROR(VLOOKUP(A132,BUFFS!$H$5:$AF$195,10,),"")</f>
        <v/>
      </c>
      <c r="K132" s="66" t="str">
        <f>IFERROR(VLOOKUP(A132,BUFFS!$H$5:$AF$195,11,),"")</f>
        <v/>
      </c>
      <c r="L132" s="66" t="str">
        <f>IFERROR(VLOOKUP(A132,BUFFS!$H$5:$AF$195,12,),"")</f>
        <v/>
      </c>
      <c r="M132" s="66" t="str">
        <f>IFERROR(VLOOKUP(A132,BUFFS!$H$5:$AF$195,14,),"")</f>
        <v/>
      </c>
      <c r="N132" s="68" t="str">
        <f t="shared" si="10"/>
        <v/>
      </c>
      <c r="O132" s="65" t="str">
        <f>IFERROR(VLOOKUP(A132,BUFFS!$H$5:$AF$195,15,),"")</f>
        <v/>
      </c>
      <c r="P132" s="66" t="str">
        <f>IFERROR(VLOOKUP(A132,BUFFS!$H$5:$AF$195,16,),"")</f>
        <v/>
      </c>
      <c r="Q132" s="66" t="str">
        <f>IFERROR(VLOOKUP(A132,BUFFS!$H$5:$AF$195,17,),"")</f>
        <v/>
      </c>
      <c r="R132" s="66" t="str">
        <f>IFERROR(VLOOKUP(A132,BUFFS!$H$5:$AF$195,19,),"")</f>
        <v/>
      </c>
      <c r="S132" s="69" t="str">
        <f t="shared" si="11"/>
        <v/>
      </c>
      <c r="T132" s="70" t="str">
        <f>IFERROR(VLOOKUP(A132,BUFFS!$H$5:$AF$195,20,),"")</f>
        <v/>
      </c>
    </row>
    <row r="133" spans="1:20" x14ac:dyDescent="0.35">
      <c r="A133" s="17"/>
      <c r="B133" s="18"/>
      <c r="C133" s="13"/>
      <c r="D133" s="31" t="str">
        <f>IFERROR(VLOOKUP(A133,BUFFS!$H$5:$AF$195,8,),"")</f>
        <v/>
      </c>
      <c r="E133" s="24" t="str">
        <f t="shared" si="9"/>
        <v/>
      </c>
      <c r="F133" s="65" t="str">
        <f>IFERROR(VLOOKUP(A133,BUFFS!$H$5:$AF$195,5,),"")</f>
        <v/>
      </c>
      <c r="G133" s="66" t="str">
        <f>IFERROR(VLOOKUP(A133,BUFFS!$H$5:$AF$195,6,),"")</f>
        <v/>
      </c>
      <c r="H133" s="67" t="str">
        <f>IFERROR(VLOOKUP(A133,BUFFS!$H$5:$AF$195,7,),"")</f>
        <v/>
      </c>
      <c r="I133" s="66" t="str">
        <f>IFERROR(VLOOKUP(A133,BUFFS!$H$5:$AF$195,9,),"")</f>
        <v/>
      </c>
      <c r="J133" s="65" t="str">
        <f>IFERROR(VLOOKUP(A133,BUFFS!$H$5:$AF$195,10,),"")</f>
        <v/>
      </c>
      <c r="K133" s="66" t="str">
        <f>IFERROR(VLOOKUP(A133,BUFFS!$H$5:$AF$195,11,),"")</f>
        <v/>
      </c>
      <c r="L133" s="66" t="str">
        <f>IFERROR(VLOOKUP(A133,BUFFS!$H$5:$AF$195,12,),"")</f>
        <v/>
      </c>
      <c r="M133" s="66" t="str">
        <f>IFERROR(VLOOKUP(A133,BUFFS!$H$5:$AF$195,14,),"")</f>
        <v/>
      </c>
      <c r="N133" s="68" t="str">
        <f t="shared" si="10"/>
        <v/>
      </c>
      <c r="O133" s="65" t="str">
        <f>IFERROR(VLOOKUP(A133,BUFFS!$H$5:$AF$195,15,),"")</f>
        <v/>
      </c>
      <c r="P133" s="66" t="str">
        <f>IFERROR(VLOOKUP(A133,BUFFS!$H$5:$AF$195,16,),"")</f>
        <v/>
      </c>
      <c r="Q133" s="66" t="str">
        <f>IFERROR(VLOOKUP(A133,BUFFS!$H$5:$AF$195,17,),"")</f>
        <v/>
      </c>
      <c r="R133" s="66" t="str">
        <f>IFERROR(VLOOKUP(A133,BUFFS!$H$5:$AF$195,19,),"")</f>
        <v/>
      </c>
      <c r="S133" s="69" t="str">
        <f t="shared" si="11"/>
        <v/>
      </c>
      <c r="T133" s="70" t="str">
        <f>IFERROR(VLOOKUP(A133,BUFFS!$H$5:$AF$195,20,),"")</f>
        <v/>
      </c>
    </row>
    <row r="134" spans="1:20" x14ac:dyDescent="0.35">
      <c r="A134" s="17"/>
      <c r="B134" s="18"/>
      <c r="C134" s="13"/>
      <c r="D134" s="31" t="str">
        <f>IFERROR(VLOOKUP(A134,BUFFS!$H$5:$AF$195,8,),"")</f>
        <v/>
      </c>
      <c r="E134" s="24" t="str">
        <f t="shared" si="9"/>
        <v/>
      </c>
      <c r="F134" s="65" t="str">
        <f>IFERROR(VLOOKUP(A134,BUFFS!$H$5:$AF$195,5,),"")</f>
        <v/>
      </c>
      <c r="G134" s="66" t="str">
        <f>IFERROR(VLOOKUP(A134,BUFFS!$H$5:$AF$195,6,),"")</f>
        <v/>
      </c>
      <c r="H134" s="67" t="str">
        <f>IFERROR(VLOOKUP(A134,BUFFS!$H$5:$AF$195,7,),"")</f>
        <v/>
      </c>
      <c r="I134" s="66" t="str">
        <f>IFERROR(VLOOKUP(A134,BUFFS!$H$5:$AF$195,9,),"")</f>
        <v/>
      </c>
      <c r="J134" s="65" t="str">
        <f>IFERROR(VLOOKUP(A134,BUFFS!$H$5:$AF$195,10,),"")</f>
        <v/>
      </c>
      <c r="K134" s="66" t="str">
        <f>IFERROR(VLOOKUP(A134,BUFFS!$H$5:$AF$195,11,),"")</f>
        <v/>
      </c>
      <c r="L134" s="66" t="str">
        <f>IFERROR(VLOOKUP(A134,BUFFS!$H$5:$AF$195,12,),"")</f>
        <v/>
      </c>
      <c r="M134" s="66" t="str">
        <f>IFERROR(VLOOKUP(A134,BUFFS!$H$5:$AF$195,14,),"")</f>
        <v/>
      </c>
      <c r="N134" s="68" t="str">
        <f t="shared" si="10"/>
        <v/>
      </c>
      <c r="O134" s="65" t="str">
        <f>IFERROR(VLOOKUP(A134,BUFFS!$H$5:$AF$195,15,),"")</f>
        <v/>
      </c>
      <c r="P134" s="66" t="str">
        <f>IFERROR(VLOOKUP(A134,BUFFS!$H$5:$AF$195,16,),"")</f>
        <v/>
      </c>
      <c r="Q134" s="66" t="str">
        <f>IFERROR(VLOOKUP(A134,BUFFS!$H$5:$AF$195,17,),"")</f>
        <v/>
      </c>
      <c r="R134" s="66" t="str">
        <f>IFERROR(VLOOKUP(A134,BUFFS!$H$5:$AF$195,19,),"")</f>
        <v/>
      </c>
      <c r="S134" s="69" t="str">
        <f t="shared" si="11"/>
        <v/>
      </c>
      <c r="T134" s="70" t="str">
        <f>IFERROR(VLOOKUP(A134,BUFFS!$H$5:$AF$195,20,),"")</f>
        <v/>
      </c>
    </row>
    <row r="135" spans="1:20" x14ac:dyDescent="0.35">
      <c r="A135" s="17"/>
      <c r="B135" s="18"/>
      <c r="C135" s="13"/>
      <c r="D135" s="31" t="str">
        <f>IFERROR(VLOOKUP(A135,BUFFS!$H$5:$AF$195,8,),"")</f>
        <v/>
      </c>
      <c r="E135" s="24" t="str">
        <f t="shared" si="9"/>
        <v/>
      </c>
      <c r="F135" s="65" t="str">
        <f>IFERROR(VLOOKUP(A135,BUFFS!$H$5:$AF$195,5,),"")</f>
        <v/>
      </c>
      <c r="G135" s="66" t="str">
        <f>IFERROR(VLOOKUP(A135,BUFFS!$H$5:$AF$195,6,),"")</f>
        <v/>
      </c>
      <c r="H135" s="67" t="str">
        <f>IFERROR(VLOOKUP(A135,BUFFS!$H$5:$AF$195,7,),"")</f>
        <v/>
      </c>
      <c r="I135" s="66" t="str">
        <f>IFERROR(VLOOKUP(A135,BUFFS!$H$5:$AF$195,9,),"")</f>
        <v/>
      </c>
      <c r="J135" s="65" t="str">
        <f>IFERROR(VLOOKUP(A135,BUFFS!$H$5:$AF$195,10,),"")</f>
        <v/>
      </c>
      <c r="K135" s="66" t="str">
        <f>IFERROR(VLOOKUP(A135,BUFFS!$H$5:$AF$195,11,),"")</f>
        <v/>
      </c>
      <c r="L135" s="66" t="str">
        <f>IFERROR(VLOOKUP(A135,BUFFS!$H$5:$AF$195,12,),"")</f>
        <v/>
      </c>
      <c r="M135" s="66" t="str">
        <f>IFERROR(VLOOKUP(A135,BUFFS!$H$5:$AF$195,14,),"")</f>
        <v/>
      </c>
      <c r="N135" s="68" t="str">
        <f t="shared" si="10"/>
        <v/>
      </c>
      <c r="O135" s="65" t="str">
        <f>IFERROR(VLOOKUP(A135,BUFFS!$H$5:$AF$195,15,),"")</f>
        <v/>
      </c>
      <c r="P135" s="66" t="str">
        <f>IFERROR(VLOOKUP(A135,BUFFS!$H$5:$AF$195,16,),"")</f>
        <v/>
      </c>
      <c r="Q135" s="66" t="str">
        <f>IFERROR(VLOOKUP(A135,BUFFS!$H$5:$AF$195,17,),"")</f>
        <v/>
      </c>
      <c r="R135" s="66" t="str">
        <f>IFERROR(VLOOKUP(A135,BUFFS!$H$5:$AF$195,19,),"")</f>
        <v/>
      </c>
      <c r="S135" s="69" t="str">
        <f t="shared" si="11"/>
        <v/>
      </c>
      <c r="T135" s="70" t="str">
        <f>IFERROR(VLOOKUP(A135,BUFFS!$H$5:$AF$195,20,),"")</f>
        <v/>
      </c>
    </row>
    <row r="136" spans="1:20" x14ac:dyDescent="0.35">
      <c r="A136" s="17"/>
      <c r="B136" s="18"/>
      <c r="C136" s="13"/>
      <c r="D136" s="31" t="str">
        <f>IFERROR(VLOOKUP(A136,BUFFS!$H$5:$AF$195,8,),"")</f>
        <v/>
      </c>
      <c r="E136" s="24" t="str">
        <f t="shared" si="9"/>
        <v/>
      </c>
      <c r="F136" s="65" t="str">
        <f>IFERROR(VLOOKUP(A136,BUFFS!$H$5:$AF$195,5,),"")</f>
        <v/>
      </c>
      <c r="G136" s="66" t="str">
        <f>IFERROR(VLOOKUP(A136,BUFFS!$H$5:$AF$195,6,),"")</f>
        <v/>
      </c>
      <c r="H136" s="67" t="str">
        <f>IFERROR(VLOOKUP(A136,BUFFS!$H$5:$AF$195,7,),"")</f>
        <v/>
      </c>
      <c r="I136" s="66" t="str">
        <f>IFERROR(VLOOKUP(A136,BUFFS!$H$5:$AF$195,9,),"")</f>
        <v/>
      </c>
      <c r="J136" s="65" t="str">
        <f>IFERROR(VLOOKUP(A136,BUFFS!$H$5:$AF$195,10,),"")</f>
        <v/>
      </c>
      <c r="K136" s="66" t="str">
        <f>IFERROR(VLOOKUP(A136,BUFFS!$H$5:$AF$195,11,),"")</f>
        <v/>
      </c>
      <c r="L136" s="66" t="str">
        <f>IFERROR(VLOOKUP(A136,BUFFS!$H$5:$AF$195,12,),"")</f>
        <v/>
      </c>
      <c r="M136" s="66" t="str">
        <f>IFERROR(VLOOKUP(A136,BUFFS!$H$5:$AF$195,14,),"")</f>
        <v/>
      </c>
      <c r="N136" s="68" t="str">
        <f t="shared" si="10"/>
        <v/>
      </c>
      <c r="O136" s="65" t="str">
        <f>IFERROR(VLOOKUP(A136,BUFFS!$H$5:$AF$195,15,),"")</f>
        <v/>
      </c>
      <c r="P136" s="66" t="str">
        <f>IFERROR(VLOOKUP(A136,BUFFS!$H$5:$AF$195,16,),"")</f>
        <v/>
      </c>
      <c r="Q136" s="66" t="str">
        <f>IFERROR(VLOOKUP(A136,BUFFS!$H$5:$AF$195,17,),"")</f>
        <v/>
      </c>
      <c r="R136" s="66" t="str">
        <f>IFERROR(VLOOKUP(A136,BUFFS!$H$5:$AF$195,19,),"")</f>
        <v/>
      </c>
      <c r="S136" s="69" t="str">
        <f t="shared" si="11"/>
        <v/>
      </c>
      <c r="T136" s="70" t="str">
        <f>IFERROR(VLOOKUP(A136,BUFFS!$H$5:$AF$195,20,),"")</f>
        <v/>
      </c>
    </row>
    <row r="137" spans="1:20" x14ac:dyDescent="0.35">
      <c r="A137" s="17"/>
      <c r="B137" s="18"/>
      <c r="C137" s="13"/>
      <c r="D137" s="31" t="str">
        <f>IFERROR(VLOOKUP(A137,BUFFS!$H$5:$AF$195,8,),"")</f>
        <v/>
      </c>
      <c r="E137" s="24" t="str">
        <f t="shared" si="9"/>
        <v/>
      </c>
      <c r="F137" s="65" t="str">
        <f>IFERROR(VLOOKUP(A137,BUFFS!$H$5:$AF$195,5,),"")</f>
        <v/>
      </c>
      <c r="G137" s="66" t="str">
        <f>IFERROR(VLOOKUP(A137,BUFFS!$H$5:$AF$195,6,),"")</f>
        <v/>
      </c>
      <c r="H137" s="67" t="str">
        <f>IFERROR(VLOOKUP(A137,BUFFS!$H$5:$AF$195,7,),"")</f>
        <v/>
      </c>
      <c r="I137" s="66" t="str">
        <f>IFERROR(VLOOKUP(A137,BUFFS!$H$5:$AF$195,9,),"")</f>
        <v/>
      </c>
      <c r="J137" s="65" t="str">
        <f>IFERROR(VLOOKUP(A137,BUFFS!$H$5:$AF$195,10,),"")</f>
        <v/>
      </c>
      <c r="K137" s="66" t="str">
        <f>IFERROR(VLOOKUP(A137,BUFFS!$H$5:$AF$195,11,),"")</f>
        <v/>
      </c>
      <c r="L137" s="66" t="str">
        <f>IFERROR(VLOOKUP(A137,BUFFS!$H$5:$AF$195,12,),"")</f>
        <v/>
      </c>
      <c r="M137" s="66" t="str">
        <f>IFERROR(VLOOKUP(A137,BUFFS!$H$5:$AF$195,14,),"")</f>
        <v/>
      </c>
      <c r="N137" s="68" t="str">
        <f t="shared" si="10"/>
        <v/>
      </c>
      <c r="O137" s="65" t="str">
        <f>IFERROR(VLOOKUP(A137,BUFFS!$H$5:$AF$195,15,),"")</f>
        <v/>
      </c>
      <c r="P137" s="66" t="str">
        <f>IFERROR(VLOOKUP(A137,BUFFS!$H$5:$AF$195,16,),"")</f>
        <v/>
      </c>
      <c r="Q137" s="66" t="str">
        <f>IFERROR(VLOOKUP(A137,BUFFS!$H$5:$AF$195,17,),"")</f>
        <v/>
      </c>
      <c r="R137" s="66" t="str">
        <f>IFERROR(VLOOKUP(A137,BUFFS!$H$5:$AF$195,19,),"")</f>
        <v/>
      </c>
      <c r="S137" s="69" t="str">
        <f t="shared" si="11"/>
        <v/>
      </c>
      <c r="T137" s="70" t="str">
        <f>IFERROR(VLOOKUP(A137,BUFFS!$H$5:$AF$195,20,),"")</f>
        <v/>
      </c>
    </row>
    <row r="138" spans="1:20" x14ac:dyDescent="0.35">
      <c r="A138" s="17"/>
      <c r="B138" s="18"/>
      <c r="C138" s="13"/>
      <c r="D138" s="31" t="str">
        <f>IFERROR(VLOOKUP(A138,BUFFS!$H$5:$AF$195,8,),"")</f>
        <v/>
      </c>
      <c r="E138" s="24" t="str">
        <f t="shared" si="9"/>
        <v/>
      </c>
      <c r="F138" s="65" t="str">
        <f>IFERROR(VLOOKUP(A138,BUFFS!$H$5:$AF$195,5,),"")</f>
        <v/>
      </c>
      <c r="G138" s="66" t="str">
        <f>IFERROR(VLOOKUP(A138,BUFFS!$H$5:$AF$195,6,),"")</f>
        <v/>
      </c>
      <c r="H138" s="67" t="str">
        <f>IFERROR(VLOOKUP(A138,BUFFS!$H$5:$AF$195,7,),"")</f>
        <v/>
      </c>
      <c r="I138" s="66" t="str">
        <f>IFERROR(VLOOKUP(A138,BUFFS!$H$5:$AF$195,9,),"")</f>
        <v/>
      </c>
      <c r="J138" s="65" t="str">
        <f>IFERROR(VLOOKUP(A138,BUFFS!$H$5:$AF$195,10,),"")</f>
        <v/>
      </c>
      <c r="K138" s="66" t="str">
        <f>IFERROR(VLOOKUP(A138,BUFFS!$H$5:$AF$195,11,),"")</f>
        <v/>
      </c>
      <c r="L138" s="66" t="str">
        <f>IFERROR(VLOOKUP(A138,BUFFS!$H$5:$AF$195,12,),"")</f>
        <v/>
      </c>
      <c r="M138" s="66" t="str">
        <f>IFERROR(VLOOKUP(A138,BUFFS!$H$5:$AF$195,14,),"")</f>
        <v/>
      </c>
      <c r="N138" s="68" t="str">
        <f t="shared" si="10"/>
        <v/>
      </c>
      <c r="O138" s="65" t="str">
        <f>IFERROR(VLOOKUP(A138,BUFFS!$H$5:$AF$195,15,),"")</f>
        <v/>
      </c>
      <c r="P138" s="66" t="str">
        <f>IFERROR(VLOOKUP(A138,BUFFS!$H$5:$AF$195,16,),"")</f>
        <v/>
      </c>
      <c r="Q138" s="66" t="str">
        <f>IFERROR(VLOOKUP(A138,BUFFS!$H$5:$AF$195,17,),"")</f>
        <v/>
      </c>
      <c r="R138" s="66" t="str">
        <f>IFERROR(VLOOKUP(A138,BUFFS!$H$5:$AF$195,19,),"")</f>
        <v/>
      </c>
      <c r="S138" s="69" t="str">
        <f t="shared" si="11"/>
        <v/>
      </c>
      <c r="T138" s="70" t="str">
        <f>IFERROR(VLOOKUP(A138,BUFFS!$H$5:$AF$195,20,),"")</f>
        <v/>
      </c>
    </row>
    <row r="139" spans="1:20" x14ac:dyDescent="0.35">
      <c r="A139" s="17"/>
      <c r="B139" s="18"/>
      <c r="C139" s="13"/>
      <c r="D139" s="31" t="str">
        <f>IFERROR(VLOOKUP(A139,BUFFS!$H$5:$AF$195,8,),"")</f>
        <v/>
      </c>
      <c r="E139" s="24" t="str">
        <f t="shared" si="9"/>
        <v/>
      </c>
      <c r="F139" s="65" t="str">
        <f>IFERROR(VLOOKUP(A139,BUFFS!$H$5:$AF$195,5,),"")</f>
        <v/>
      </c>
      <c r="G139" s="66" t="str">
        <f>IFERROR(VLOOKUP(A139,BUFFS!$H$5:$AF$195,6,),"")</f>
        <v/>
      </c>
      <c r="H139" s="67" t="str">
        <f>IFERROR(VLOOKUP(A139,BUFFS!$H$5:$AF$195,7,),"")</f>
        <v/>
      </c>
      <c r="I139" s="66" t="str">
        <f>IFERROR(VLOOKUP(A139,BUFFS!$H$5:$AF$195,9,),"")</f>
        <v/>
      </c>
      <c r="J139" s="65" t="str">
        <f>IFERROR(VLOOKUP(A139,BUFFS!$H$5:$AF$195,10,),"")</f>
        <v/>
      </c>
      <c r="K139" s="66" t="str">
        <f>IFERROR(VLOOKUP(A139,BUFFS!$H$5:$AF$195,11,),"")</f>
        <v/>
      </c>
      <c r="L139" s="66" t="str">
        <f>IFERROR(VLOOKUP(A139,BUFFS!$H$5:$AF$195,12,),"")</f>
        <v/>
      </c>
      <c r="M139" s="66" t="str">
        <f>IFERROR(VLOOKUP(A139,BUFFS!$H$5:$AF$195,14,),"")</f>
        <v/>
      </c>
      <c r="N139" s="68" t="str">
        <f t="shared" si="10"/>
        <v/>
      </c>
      <c r="O139" s="65" t="str">
        <f>IFERROR(VLOOKUP(A139,BUFFS!$H$5:$AF$195,15,),"")</f>
        <v/>
      </c>
      <c r="P139" s="66" t="str">
        <f>IFERROR(VLOOKUP(A139,BUFFS!$H$5:$AF$195,16,),"")</f>
        <v/>
      </c>
      <c r="Q139" s="66" t="str">
        <f>IFERROR(VLOOKUP(A139,BUFFS!$H$5:$AF$195,17,),"")</f>
        <v/>
      </c>
      <c r="R139" s="66" t="str">
        <f>IFERROR(VLOOKUP(A139,BUFFS!$H$5:$AF$195,19,),"")</f>
        <v/>
      </c>
      <c r="S139" s="69" t="str">
        <f t="shared" si="11"/>
        <v/>
      </c>
      <c r="T139" s="70" t="str">
        <f>IFERROR(VLOOKUP(A139,BUFFS!$H$5:$AF$195,20,),"")</f>
        <v/>
      </c>
    </row>
    <row r="140" spans="1:20" x14ac:dyDescent="0.35">
      <c r="A140" s="17"/>
      <c r="B140" s="18"/>
      <c r="C140" s="13"/>
      <c r="D140" s="31" t="str">
        <f>IFERROR(VLOOKUP(A140,BUFFS!$H$5:$AF$195,8,),"")</f>
        <v/>
      </c>
      <c r="E140" s="24" t="str">
        <f t="shared" si="9"/>
        <v/>
      </c>
      <c r="F140" s="65" t="str">
        <f>IFERROR(VLOOKUP(A140,BUFFS!$H$5:$AF$195,5,),"")</f>
        <v/>
      </c>
      <c r="G140" s="66" t="str">
        <f>IFERROR(VLOOKUP(A140,BUFFS!$H$5:$AF$195,6,),"")</f>
        <v/>
      </c>
      <c r="H140" s="67" t="str">
        <f>IFERROR(VLOOKUP(A140,BUFFS!$H$5:$AF$195,7,),"")</f>
        <v/>
      </c>
      <c r="I140" s="66" t="str">
        <f>IFERROR(VLOOKUP(A140,BUFFS!$H$5:$AF$195,9,),"")</f>
        <v/>
      </c>
      <c r="J140" s="65" t="str">
        <f>IFERROR(VLOOKUP(A140,BUFFS!$H$5:$AF$195,10,),"")</f>
        <v/>
      </c>
      <c r="K140" s="66" t="str">
        <f>IFERROR(VLOOKUP(A140,BUFFS!$H$5:$AF$195,11,),"")</f>
        <v/>
      </c>
      <c r="L140" s="66" t="str">
        <f>IFERROR(VLOOKUP(A140,BUFFS!$H$5:$AF$195,12,),"")</f>
        <v/>
      </c>
      <c r="M140" s="66" t="str">
        <f>IFERROR(VLOOKUP(A140,BUFFS!$H$5:$AF$195,14,),"")</f>
        <v/>
      </c>
      <c r="N140" s="68" t="str">
        <f t="shared" si="10"/>
        <v/>
      </c>
      <c r="O140" s="65" t="str">
        <f>IFERROR(VLOOKUP(A140,BUFFS!$H$5:$AF$195,15,),"")</f>
        <v/>
      </c>
      <c r="P140" s="66" t="str">
        <f>IFERROR(VLOOKUP(A140,BUFFS!$H$5:$AF$195,16,),"")</f>
        <v/>
      </c>
      <c r="Q140" s="66" t="str">
        <f>IFERROR(VLOOKUP(A140,BUFFS!$H$5:$AF$195,17,),"")</f>
        <v/>
      </c>
      <c r="R140" s="66" t="str">
        <f>IFERROR(VLOOKUP(A140,BUFFS!$H$5:$AF$195,19,),"")</f>
        <v/>
      </c>
      <c r="S140" s="69" t="str">
        <f t="shared" si="11"/>
        <v/>
      </c>
      <c r="T140" s="70" t="str">
        <f>IFERROR(VLOOKUP(A140,BUFFS!$H$5:$AF$195,20,),"")</f>
        <v/>
      </c>
    </row>
    <row r="141" spans="1:20" x14ac:dyDescent="0.35">
      <c r="A141" s="17"/>
      <c r="B141" s="18"/>
      <c r="C141" s="13"/>
      <c r="D141" s="31" t="str">
        <f>IFERROR(VLOOKUP(A141,BUFFS!$H$5:$AF$195,8,),"")</f>
        <v/>
      </c>
      <c r="E141" s="24" t="str">
        <f t="shared" si="9"/>
        <v/>
      </c>
      <c r="F141" s="65" t="str">
        <f>IFERROR(VLOOKUP(A141,BUFFS!$H$5:$AF$195,5,),"")</f>
        <v/>
      </c>
      <c r="G141" s="66" t="str">
        <f>IFERROR(VLOOKUP(A141,BUFFS!$H$5:$AF$195,6,),"")</f>
        <v/>
      </c>
      <c r="H141" s="67" t="str">
        <f>IFERROR(VLOOKUP(A141,BUFFS!$H$5:$AF$195,7,),"")</f>
        <v/>
      </c>
      <c r="I141" s="66" t="str">
        <f>IFERROR(VLOOKUP(A141,BUFFS!$H$5:$AF$195,9,),"")</f>
        <v/>
      </c>
      <c r="J141" s="65" t="str">
        <f>IFERROR(VLOOKUP(A141,BUFFS!$H$5:$AF$195,10,),"")</f>
        <v/>
      </c>
      <c r="K141" s="66" t="str">
        <f>IFERROR(VLOOKUP(A141,BUFFS!$H$5:$AF$195,11,),"")</f>
        <v/>
      </c>
      <c r="L141" s="66" t="str">
        <f>IFERROR(VLOOKUP(A141,BUFFS!$H$5:$AF$195,12,),"")</f>
        <v/>
      </c>
      <c r="M141" s="66" t="str">
        <f>IFERROR(VLOOKUP(A141,BUFFS!$H$5:$AF$195,14,),"")</f>
        <v/>
      </c>
      <c r="N141" s="68" t="str">
        <f t="shared" si="10"/>
        <v/>
      </c>
      <c r="O141" s="65" t="str">
        <f>IFERROR(VLOOKUP(A141,BUFFS!$H$5:$AF$195,15,),"")</f>
        <v/>
      </c>
      <c r="P141" s="66" t="str">
        <f>IFERROR(VLOOKUP(A141,BUFFS!$H$5:$AF$195,16,),"")</f>
        <v/>
      </c>
      <c r="Q141" s="66" t="str">
        <f>IFERROR(VLOOKUP(A141,BUFFS!$H$5:$AF$195,17,),"")</f>
        <v/>
      </c>
      <c r="R141" s="66" t="str">
        <f>IFERROR(VLOOKUP(A141,BUFFS!$H$5:$AF$195,19,),"")</f>
        <v/>
      </c>
      <c r="S141" s="69" t="str">
        <f t="shared" si="11"/>
        <v/>
      </c>
      <c r="T141" s="70" t="str">
        <f>IFERROR(VLOOKUP(A141,BUFFS!$H$5:$AF$195,20,),"")</f>
        <v/>
      </c>
    </row>
    <row r="142" spans="1:20" x14ac:dyDescent="0.35">
      <c r="A142" s="17"/>
      <c r="B142" s="18"/>
      <c r="C142" s="13"/>
      <c r="D142" s="31" t="str">
        <f>IFERROR(VLOOKUP(A142,BUFFS!$H$5:$AF$195,8,),"")</f>
        <v/>
      </c>
      <c r="E142" s="24" t="str">
        <f t="shared" si="9"/>
        <v/>
      </c>
      <c r="F142" s="65" t="str">
        <f>IFERROR(VLOOKUP(A142,BUFFS!$H$5:$AF$195,5,),"")</f>
        <v/>
      </c>
      <c r="G142" s="66" t="str">
        <f>IFERROR(VLOOKUP(A142,BUFFS!$H$5:$AF$195,6,),"")</f>
        <v/>
      </c>
      <c r="H142" s="67" t="str">
        <f>IFERROR(VLOOKUP(A142,BUFFS!$H$5:$AF$195,7,),"")</f>
        <v/>
      </c>
      <c r="I142" s="66" t="str">
        <f>IFERROR(VLOOKUP(A142,BUFFS!$H$5:$AF$195,9,),"")</f>
        <v/>
      </c>
      <c r="J142" s="65" t="str">
        <f>IFERROR(VLOOKUP(A142,BUFFS!$H$5:$AF$195,10,),"")</f>
        <v/>
      </c>
      <c r="K142" s="66" t="str">
        <f>IFERROR(VLOOKUP(A142,BUFFS!$H$5:$AF$195,11,),"")</f>
        <v/>
      </c>
      <c r="L142" s="66" t="str">
        <f>IFERROR(VLOOKUP(A142,BUFFS!$H$5:$AF$195,12,),"")</f>
        <v/>
      </c>
      <c r="M142" s="66" t="str">
        <f>IFERROR(VLOOKUP(A142,BUFFS!$H$5:$AF$195,14,),"")</f>
        <v/>
      </c>
      <c r="N142" s="68" t="str">
        <f t="shared" si="10"/>
        <v/>
      </c>
      <c r="O142" s="65" t="str">
        <f>IFERROR(VLOOKUP(A142,BUFFS!$H$5:$AF$195,15,),"")</f>
        <v/>
      </c>
      <c r="P142" s="66" t="str">
        <f>IFERROR(VLOOKUP(A142,BUFFS!$H$5:$AF$195,16,),"")</f>
        <v/>
      </c>
      <c r="Q142" s="66" t="str">
        <f>IFERROR(VLOOKUP(A142,BUFFS!$H$5:$AF$195,17,),"")</f>
        <v/>
      </c>
      <c r="R142" s="66" t="str">
        <f>IFERROR(VLOOKUP(A142,BUFFS!$H$5:$AF$195,19,),"")</f>
        <v/>
      </c>
      <c r="S142" s="69" t="str">
        <f t="shared" si="11"/>
        <v/>
      </c>
      <c r="T142" s="70" t="str">
        <f>IFERROR(VLOOKUP(A142,BUFFS!$H$5:$AF$195,20,),"")</f>
        <v/>
      </c>
    </row>
    <row r="143" spans="1:20" x14ac:dyDescent="0.35">
      <c r="A143" s="17"/>
      <c r="B143" s="18"/>
      <c r="C143" s="13"/>
      <c r="D143" s="31" t="str">
        <f>IFERROR(VLOOKUP(A143,BUFFS!$H$5:$AF$195,8,),"")</f>
        <v/>
      </c>
      <c r="E143" s="24" t="str">
        <f t="shared" si="9"/>
        <v/>
      </c>
      <c r="F143" s="65" t="str">
        <f>IFERROR(VLOOKUP(A143,BUFFS!$H$5:$AF$195,5,),"")</f>
        <v/>
      </c>
      <c r="G143" s="66" t="str">
        <f>IFERROR(VLOOKUP(A143,BUFFS!$H$5:$AF$195,6,),"")</f>
        <v/>
      </c>
      <c r="H143" s="67" t="str">
        <f>IFERROR(VLOOKUP(A143,BUFFS!$H$5:$AF$195,7,),"")</f>
        <v/>
      </c>
      <c r="I143" s="66" t="str">
        <f>IFERROR(VLOOKUP(A143,BUFFS!$H$5:$AF$195,9,),"")</f>
        <v/>
      </c>
      <c r="J143" s="65" t="str">
        <f>IFERROR(VLOOKUP(A143,BUFFS!$H$5:$AF$195,10,),"")</f>
        <v/>
      </c>
      <c r="K143" s="66" t="str">
        <f>IFERROR(VLOOKUP(A143,BUFFS!$H$5:$AF$195,11,),"")</f>
        <v/>
      </c>
      <c r="L143" s="66" t="str">
        <f>IFERROR(VLOOKUP(A143,BUFFS!$H$5:$AF$195,12,),"")</f>
        <v/>
      </c>
      <c r="M143" s="66" t="str">
        <f>IFERROR(VLOOKUP(A143,BUFFS!$H$5:$AF$195,14,),"")</f>
        <v/>
      </c>
      <c r="N143" s="68" t="str">
        <f t="shared" si="10"/>
        <v/>
      </c>
      <c r="O143" s="65" t="str">
        <f>IFERROR(VLOOKUP(A143,BUFFS!$H$5:$AF$195,15,),"")</f>
        <v/>
      </c>
      <c r="P143" s="66" t="str">
        <f>IFERROR(VLOOKUP(A143,BUFFS!$H$5:$AF$195,16,),"")</f>
        <v/>
      </c>
      <c r="Q143" s="66" t="str">
        <f>IFERROR(VLOOKUP(A143,BUFFS!$H$5:$AF$195,17,),"")</f>
        <v/>
      </c>
      <c r="R143" s="66" t="str">
        <f>IFERROR(VLOOKUP(A143,BUFFS!$H$5:$AF$195,19,),"")</f>
        <v/>
      </c>
      <c r="S143" s="69" t="str">
        <f t="shared" si="11"/>
        <v/>
      </c>
      <c r="T143" s="70" t="str">
        <f>IFERROR(VLOOKUP(A143,BUFFS!$H$5:$AF$195,20,),"")</f>
        <v/>
      </c>
    </row>
    <row r="144" spans="1:20" x14ac:dyDescent="0.35">
      <c r="A144" s="17"/>
      <c r="B144" s="18"/>
      <c r="C144" s="13"/>
      <c r="D144" s="31" t="str">
        <f>IFERROR(VLOOKUP(A144,BUFFS!$H$5:$AF$195,8,),"")</f>
        <v/>
      </c>
      <c r="E144" s="24" t="str">
        <f t="shared" si="9"/>
        <v/>
      </c>
      <c r="F144" s="65" t="str">
        <f>IFERROR(VLOOKUP(A144,BUFFS!$H$5:$AF$195,5,),"")</f>
        <v/>
      </c>
      <c r="G144" s="66" t="str">
        <f>IFERROR(VLOOKUP(A144,BUFFS!$H$5:$AF$195,6,),"")</f>
        <v/>
      </c>
      <c r="H144" s="67" t="str">
        <f>IFERROR(VLOOKUP(A144,BUFFS!$H$5:$AF$195,7,),"")</f>
        <v/>
      </c>
      <c r="I144" s="66" t="str">
        <f>IFERROR(VLOOKUP(A144,BUFFS!$H$5:$AF$195,9,),"")</f>
        <v/>
      </c>
      <c r="J144" s="65" t="str">
        <f>IFERROR(VLOOKUP(A144,BUFFS!$H$5:$AF$195,10,),"")</f>
        <v/>
      </c>
      <c r="K144" s="66" t="str">
        <f>IFERROR(VLOOKUP(A144,BUFFS!$H$5:$AF$195,11,),"")</f>
        <v/>
      </c>
      <c r="L144" s="66" t="str">
        <f>IFERROR(VLOOKUP(A144,BUFFS!$H$5:$AF$195,12,),"")</f>
        <v/>
      </c>
      <c r="M144" s="66" t="str">
        <f>IFERROR(VLOOKUP(A144,BUFFS!$H$5:$AF$195,14,),"")</f>
        <v/>
      </c>
      <c r="N144" s="68" t="str">
        <f t="shared" si="10"/>
        <v/>
      </c>
      <c r="O144" s="65" t="str">
        <f>IFERROR(VLOOKUP(A144,BUFFS!$H$5:$AF$195,15,),"")</f>
        <v/>
      </c>
      <c r="P144" s="66" t="str">
        <f>IFERROR(VLOOKUP(A144,BUFFS!$H$5:$AF$195,16,),"")</f>
        <v/>
      </c>
      <c r="Q144" s="66" t="str">
        <f>IFERROR(VLOOKUP(A144,BUFFS!$H$5:$AF$195,17,),"")</f>
        <v/>
      </c>
      <c r="R144" s="66" t="str">
        <f>IFERROR(VLOOKUP(A144,BUFFS!$H$5:$AF$195,19,),"")</f>
        <v/>
      </c>
      <c r="S144" s="69" t="str">
        <f t="shared" si="11"/>
        <v/>
      </c>
      <c r="T144" s="70" t="str">
        <f>IFERROR(VLOOKUP(A144,BUFFS!$H$5:$AF$195,20,),"")</f>
        <v/>
      </c>
    </row>
    <row r="145" spans="1:20" x14ac:dyDescent="0.35">
      <c r="A145" s="17"/>
      <c r="B145" s="18"/>
      <c r="C145" s="13"/>
      <c r="D145" s="31" t="str">
        <f>IFERROR(VLOOKUP(A145,BUFFS!$H$5:$AF$195,8,),"")</f>
        <v/>
      </c>
      <c r="E145" s="24" t="str">
        <f t="shared" si="9"/>
        <v/>
      </c>
      <c r="F145" s="65" t="str">
        <f>IFERROR(VLOOKUP(A145,BUFFS!$H$5:$AF$195,5,),"")</f>
        <v/>
      </c>
      <c r="G145" s="66" t="str">
        <f>IFERROR(VLOOKUP(A145,BUFFS!$H$5:$AF$195,6,),"")</f>
        <v/>
      </c>
      <c r="H145" s="67" t="str">
        <f>IFERROR(VLOOKUP(A145,BUFFS!$H$5:$AF$195,7,),"")</f>
        <v/>
      </c>
      <c r="I145" s="66" t="str">
        <f>IFERROR(VLOOKUP(A145,BUFFS!$H$5:$AF$195,9,),"")</f>
        <v/>
      </c>
      <c r="J145" s="65" t="str">
        <f>IFERROR(VLOOKUP(A145,BUFFS!$H$5:$AF$195,10,),"")</f>
        <v/>
      </c>
      <c r="K145" s="66" t="str">
        <f>IFERROR(VLOOKUP(A145,BUFFS!$H$5:$AF$195,11,),"")</f>
        <v/>
      </c>
      <c r="L145" s="66" t="str">
        <f>IFERROR(VLOOKUP(A145,BUFFS!$H$5:$AF$195,12,),"")</f>
        <v/>
      </c>
      <c r="M145" s="66" t="str">
        <f>IFERROR(VLOOKUP(A145,BUFFS!$H$5:$AF$195,14,),"")</f>
        <v/>
      </c>
      <c r="N145" s="68" t="str">
        <f t="shared" si="10"/>
        <v/>
      </c>
      <c r="O145" s="65" t="str">
        <f>IFERROR(VLOOKUP(A145,BUFFS!$H$5:$AF$195,15,),"")</f>
        <v/>
      </c>
      <c r="P145" s="66" t="str">
        <f>IFERROR(VLOOKUP(A145,BUFFS!$H$5:$AF$195,16,),"")</f>
        <v/>
      </c>
      <c r="Q145" s="66" t="str">
        <f>IFERROR(VLOOKUP(A145,BUFFS!$H$5:$AF$195,17,),"")</f>
        <v/>
      </c>
      <c r="R145" s="66" t="str">
        <f>IFERROR(VLOOKUP(A145,BUFFS!$H$5:$AF$195,19,),"")</f>
        <v/>
      </c>
      <c r="S145" s="69" t="str">
        <f t="shared" si="11"/>
        <v/>
      </c>
      <c r="T145" s="70" t="str">
        <f>IFERROR(VLOOKUP(A145,BUFFS!$H$5:$AF$195,20,),"")</f>
        <v/>
      </c>
    </row>
    <row r="146" spans="1:20" x14ac:dyDescent="0.35">
      <c r="A146" s="17"/>
      <c r="B146" s="18"/>
      <c r="C146" s="13"/>
      <c r="D146" s="31" t="str">
        <f>IFERROR(VLOOKUP(A146,BUFFS!$H$5:$AF$195,8,),"")</f>
        <v/>
      </c>
      <c r="E146" s="24" t="str">
        <f t="shared" si="9"/>
        <v/>
      </c>
      <c r="F146" s="65" t="str">
        <f>IFERROR(VLOOKUP(A146,BUFFS!$H$5:$AF$195,5,),"")</f>
        <v/>
      </c>
      <c r="G146" s="66" t="str">
        <f>IFERROR(VLOOKUP(A146,BUFFS!$H$5:$AF$195,6,),"")</f>
        <v/>
      </c>
      <c r="H146" s="67" t="str">
        <f>IFERROR(VLOOKUP(A146,BUFFS!$H$5:$AF$195,7,),"")</f>
        <v/>
      </c>
      <c r="I146" s="66" t="str">
        <f>IFERROR(VLOOKUP(A146,BUFFS!$H$5:$AF$195,9,),"")</f>
        <v/>
      </c>
      <c r="J146" s="65" t="str">
        <f>IFERROR(VLOOKUP(A146,BUFFS!$H$5:$AF$195,10,),"")</f>
        <v/>
      </c>
      <c r="K146" s="66" t="str">
        <f>IFERROR(VLOOKUP(A146,BUFFS!$H$5:$AF$195,11,),"")</f>
        <v/>
      </c>
      <c r="L146" s="66" t="str">
        <f>IFERROR(VLOOKUP(A146,BUFFS!$H$5:$AF$195,12,),"")</f>
        <v/>
      </c>
      <c r="M146" s="66" t="str">
        <f>IFERROR(VLOOKUP(A146,BUFFS!$H$5:$AF$195,14,),"")</f>
        <v/>
      </c>
      <c r="N146" s="68" t="str">
        <f t="shared" si="10"/>
        <v/>
      </c>
      <c r="O146" s="65" t="str">
        <f>IFERROR(VLOOKUP(A146,BUFFS!$H$5:$AF$195,15,),"")</f>
        <v/>
      </c>
      <c r="P146" s="66" t="str">
        <f>IFERROR(VLOOKUP(A146,BUFFS!$H$5:$AF$195,16,),"")</f>
        <v/>
      </c>
      <c r="Q146" s="66" t="str">
        <f>IFERROR(VLOOKUP(A146,BUFFS!$H$5:$AF$195,17,),"")</f>
        <v/>
      </c>
      <c r="R146" s="66" t="str">
        <f>IFERROR(VLOOKUP(A146,BUFFS!$H$5:$AF$195,19,),"")</f>
        <v/>
      </c>
      <c r="S146" s="69" t="str">
        <f t="shared" si="11"/>
        <v/>
      </c>
      <c r="T146" s="70" t="str">
        <f>IFERROR(VLOOKUP(A146,BUFFS!$H$5:$AF$195,20,),"")</f>
        <v/>
      </c>
    </row>
    <row r="147" spans="1:20" x14ac:dyDescent="0.35">
      <c r="A147" s="17"/>
      <c r="B147" s="18"/>
      <c r="C147" s="13"/>
      <c r="D147" s="31" t="str">
        <f>IFERROR(VLOOKUP(A147,BUFFS!$H$5:$AF$195,8,),"")</f>
        <v/>
      </c>
      <c r="E147" s="24" t="str">
        <f t="shared" si="9"/>
        <v/>
      </c>
      <c r="F147" s="65" t="str">
        <f>IFERROR(VLOOKUP(A147,BUFFS!$H$5:$AF$195,5,),"")</f>
        <v/>
      </c>
      <c r="G147" s="66" t="str">
        <f>IFERROR(VLOOKUP(A147,BUFFS!$H$5:$AF$195,6,),"")</f>
        <v/>
      </c>
      <c r="H147" s="67" t="str">
        <f>IFERROR(VLOOKUP(A147,BUFFS!$H$5:$AF$195,7,),"")</f>
        <v/>
      </c>
      <c r="I147" s="66" t="str">
        <f>IFERROR(VLOOKUP(A147,BUFFS!$H$5:$AF$195,9,),"")</f>
        <v/>
      </c>
      <c r="J147" s="65" t="str">
        <f>IFERROR(VLOOKUP(A147,BUFFS!$H$5:$AF$195,10,),"")</f>
        <v/>
      </c>
      <c r="K147" s="66" t="str">
        <f>IFERROR(VLOOKUP(A147,BUFFS!$H$5:$AF$195,11,),"")</f>
        <v/>
      </c>
      <c r="L147" s="66" t="str">
        <f>IFERROR(VLOOKUP(A147,BUFFS!$H$5:$AF$195,12,),"")</f>
        <v/>
      </c>
      <c r="M147" s="66" t="str">
        <f>IFERROR(VLOOKUP(A147,BUFFS!$H$5:$AF$195,14,),"")</f>
        <v/>
      </c>
      <c r="N147" s="68" t="str">
        <f t="shared" si="10"/>
        <v/>
      </c>
      <c r="O147" s="65" t="str">
        <f>IFERROR(VLOOKUP(A147,BUFFS!$H$5:$AF$195,15,),"")</f>
        <v/>
      </c>
      <c r="P147" s="66" t="str">
        <f>IFERROR(VLOOKUP(A147,BUFFS!$H$5:$AF$195,16,),"")</f>
        <v/>
      </c>
      <c r="Q147" s="66" t="str">
        <f>IFERROR(VLOOKUP(A147,BUFFS!$H$5:$AF$195,17,),"")</f>
        <v/>
      </c>
      <c r="R147" s="66" t="str">
        <f>IFERROR(VLOOKUP(A147,BUFFS!$H$5:$AF$195,19,),"")</f>
        <v/>
      </c>
      <c r="S147" s="69" t="str">
        <f t="shared" si="11"/>
        <v/>
      </c>
      <c r="T147" s="70" t="str">
        <f>IFERROR(VLOOKUP(A147,BUFFS!$H$5:$AF$195,20,),"")</f>
        <v/>
      </c>
    </row>
    <row r="148" spans="1:20" x14ac:dyDescent="0.35">
      <c r="A148" s="17"/>
      <c r="B148" s="18"/>
      <c r="C148" s="13"/>
      <c r="D148" s="31" t="str">
        <f>IFERROR(VLOOKUP(A148,BUFFS!$H$5:$AF$195,8,),"")</f>
        <v/>
      </c>
      <c r="E148" s="24" t="str">
        <f t="shared" si="9"/>
        <v/>
      </c>
      <c r="F148" s="65" t="str">
        <f>IFERROR(VLOOKUP(A148,BUFFS!$H$5:$AF$195,5,),"")</f>
        <v/>
      </c>
      <c r="G148" s="66" t="str">
        <f>IFERROR(VLOOKUP(A148,BUFFS!$H$5:$AF$195,6,),"")</f>
        <v/>
      </c>
      <c r="H148" s="67" t="str">
        <f>IFERROR(VLOOKUP(A148,BUFFS!$H$5:$AF$195,7,),"")</f>
        <v/>
      </c>
      <c r="I148" s="66" t="str">
        <f>IFERROR(VLOOKUP(A148,BUFFS!$H$5:$AF$195,9,),"")</f>
        <v/>
      </c>
      <c r="J148" s="65" t="str">
        <f>IFERROR(VLOOKUP(A148,BUFFS!$H$5:$AF$195,10,),"")</f>
        <v/>
      </c>
      <c r="K148" s="66" t="str">
        <f>IFERROR(VLOOKUP(A148,BUFFS!$H$5:$AF$195,11,),"")</f>
        <v/>
      </c>
      <c r="L148" s="66" t="str">
        <f>IFERROR(VLOOKUP(A148,BUFFS!$H$5:$AF$195,12,),"")</f>
        <v/>
      </c>
      <c r="M148" s="66" t="str">
        <f>IFERROR(VLOOKUP(A148,BUFFS!$H$5:$AF$195,14,),"")</f>
        <v/>
      </c>
      <c r="N148" s="68" t="str">
        <f t="shared" si="10"/>
        <v/>
      </c>
      <c r="O148" s="65" t="str">
        <f>IFERROR(VLOOKUP(A148,BUFFS!$H$5:$AF$195,15,),"")</f>
        <v/>
      </c>
      <c r="P148" s="66" t="str">
        <f>IFERROR(VLOOKUP(A148,BUFFS!$H$5:$AF$195,16,),"")</f>
        <v/>
      </c>
      <c r="Q148" s="66" t="str">
        <f>IFERROR(VLOOKUP(A148,BUFFS!$H$5:$AF$195,17,),"")</f>
        <v/>
      </c>
      <c r="R148" s="66" t="str">
        <f>IFERROR(VLOOKUP(A148,BUFFS!$H$5:$AF$195,19,),"")</f>
        <v/>
      </c>
      <c r="S148" s="69" t="str">
        <f t="shared" si="11"/>
        <v/>
      </c>
      <c r="T148" s="70" t="str">
        <f>IFERROR(VLOOKUP(A148,BUFFS!$H$5:$AF$195,20,),"")</f>
        <v/>
      </c>
    </row>
    <row r="149" spans="1:20" x14ac:dyDescent="0.35">
      <c r="A149" s="17"/>
      <c r="B149" s="18"/>
      <c r="C149" s="13"/>
      <c r="D149" s="31" t="str">
        <f>IFERROR(VLOOKUP(A149,BUFFS!$H$5:$AF$195,8,),"")</f>
        <v/>
      </c>
      <c r="E149" s="24" t="str">
        <f t="shared" si="9"/>
        <v/>
      </c>
      <c r="F149" s="65" t="str">
        <f>IFERROR(VLOOKUP(A149,BUFFS!$H$5:$AF$195,5,),"")</f>
        <v/>
      </c>
      <c r="G149" s="66" t="str">
        <f>IFERROR(VLOOKUP(A149,BUFFS!$H$5:$AF$195,6,),"")</f>
        <v/>
      </c>
      <c r="H149" s="67" t="str">
        <f>IFERROR(VLOOKUP(A149,BUFFS!$H$5:$AF$195,7,),"")</f>
        <v/>
      </c>
      <c r="I149" s="66" t="str">
        <f>IFERROR(VLOOKUP(A149,BUFFS!$H$5:$AF$195,9,),"")</f>
        <v/>
      </c>
      <c r="J149" s="65" t="str">
        <f>IFERROR(VLOOKUP(A149,BUFFS!$H$5:$AF$195,10,),"")</f>
        <v/>
      </c>
      <c r="K149" s="66" t="str">
        <f>IFERROR(VLOOKUP(A149,BUFFS!$H$5:$AF$195,11,),"")</f>
        <v/>
      </c>
      <c r="L149" s="66" t="str">
        <f>IFERROR(VLOOKUP(A149,BUFFS!$H$5:$AF$195,12,),"")</f>
        <v/>
      </c>
      <c r="M149" s="66" t="str">
        <f>IFERROR(VLOOKUP(A149,BUFFS!$H$5:$AF$195,14,),"")</f>
        <v/>
      </c>
      <c r="N149" s="68" t="str">
        <f t="shared" si="10"/>
        <v/>
      </c>
      <c r="O149" s="65" t="str">
        <f>IFERROR(VLOOKUP(A149,BUFFS!$H$5:$AF$195,15,),"")</f>
        <v/>
      </c>
      <c r="P149" s="66" t="str">
        <f>IFERROR(VLOOKUP(A149,BUFFS!$H$5:$AF$195,16,),"")</f>
        <v/>
      </c>
      <c r="Q149" s="66" t="str">
        <f>IFERROR(VLOOKUP(A149,BUFFS!$H$5:$AF$195,17,),"")</f>
        <v/>
      </c>
      <c r="R149" s="66" t="str">
        <f>IFERROR(VLOOKUP(A149,BUFFS!$H$5:$AF$195,19,),"")</f>
        <v/>
      </c>
      <c r="S149" s="69" t="str">
        <f t="shared" si="11"/>
        <v/>
      </c>
      <c r="T149" s="70" t="str">
        <f>IFERROR(VLOOKUP(A149,BUFFS!$H$5:$AF$195,20,),"")</f>
        <v/>
      </c>
    </row>
    <row r="150" spans="1:20" x14ac:dyDescent="0.35">
      <c r="A150" s="17"/>
      <c r="B150" s="18"/>
      <c r="C150" s="13"/>
      <c r="D150" s="31" t="str">
        <f>IFERROR(VLOOKUP(A150,BUFFS!$H$5:$AF$195,8,),"")</f>
        <v/>
      </c>
      <c r="E150" s="24" t="str">
        <f t="shared" si="9"/>
        <v/>
      </c>
      <c r="F150" s="65" t="str">
        <f>IFERROR(VLOOKUP(A150,BUFFS!$H$5:$AF$195,5,),"")</f>
        <v/>
      </c>
      <c r="G150" s="66" t="str">
        <f>IFERROR(VLOOKUP(A150,BUFFS!$H$5:$AF$195,6,),"")</f>
        <v/>
      </c>
      <c r="H150" s="67" t="str">
        <f>IFERROR(VLOOKUP(A150,BUFFS!$H$5:$AF$195,7,),"")</f>
        <v/>
      </c>
      <c r="I150" s="66" t="str">
        <f>IFERROR(VLOOKUP(A150,BUFFS!$H$5:$AF$195,9,),"")</f>
        <v/>
      </c>
      <c r="J150" s="65" t="str">
        <f>IFERROR(VLOOKUP(A150,BUFFS!$H$5:$AF$195,10,),"")</f>
        <v/>
      </c>
      <c r="K150" s="66" t="str">
        <f>IFERROR(VLOOKUP(A150,BUFFS!$H$5:$AF$195,11,),"")</f>
        <v/>
      </c>
      <c r="L150" s="66" t="str">
        <f>IFERROR(VLOOKUP(A150,BUFFS!$H$5:$AF$195,12,),"")</f>
        <v/>
      </c>
      <c r="M150" s="66" t="str">
        <f>IFERROR(VLOOKUP(A150,BUFFS!$H$5:$AF$195,14,),"")</f>
        <v/>
      </c>
      <c r="N150" s="68" t="str">
        <f t="shared" si="10"/>
        <v/>
      </c>
      <c r="O150" s="65" t="str">
        <f>IFERROR(VLOOKUP(A150,BUFFS!$H$5:$AF$195,15,),"")</f>
        <v/>
      </c>
      <c r="P150" s="66" t="str">
        <f>IFERROR(VLOOKUP(A150,BUFFS!$H$5:$AF$195,16,),"")</f>
        <v/>
      </c>
      <c r="Q150" s="66" t="str">
        <f>IFERROR(VLOOKUP(A150,BUFFS!$H$5:$AF$195,17,),"")</f>
        <v/>
      </c>
      <c r="R150" s="66" t="str">
        <f>IFERROR(VLOOKUP(A150,BUFFS!$H$5:$AF$195,19,),"")</f>
        <v/>
      </c>
      <c r="S150" s="69" t="str">
        <f t="shared" si="11"/>
        <v/>
      </c>
      <c r="T150" s="70" t="str">
        <f>IFERROR(VLOOKUP(A150,BUFFS!$H$5:$AF$195,20,),"")</f>
        <v/>
      </c>
    </row>
    <row r="151" spans="1:20" x14ac:dyDescent="0.35">
      <c r="A151" s="17"/>
      <c r="B151" s="18"/>
      <c r="C151" s="13"/>
      <c r="D151" s="31" t="str">
        <f>IFERROR(VLOOKUP(A151,BUFFS!$H$5:$AF$195,8,),"")</f>
        <v/>
      </c>
      <c r="E151" s="24" t="str">
        <f t="shared" si="9"/>
        <v/>
      </c>
      <c r="F151" s="65" t="str">
        <f>IFERROR(VLOOKUP(A151,BUFFS!$H$5:$AF$195,5,),"")</f>
        <v/>
      </c>
      <c r="G151" s="66" t="str">
        <f>IFERROR(VLOOKUP(A151,BUFFS!$H$5:$AF$195,6,),"")</f>
        <v/>
      </c>
      <c r="H151" s="67" t="str">
        <f>IFERROR(VLOOKUP(A151,BUFFS!$H$5:$AF$195,7,),"")</f>
        <v/>
      </c>
      <c r="I151" s="66" t="str">
        <f>IFERROR(VLOOKUP(A151,BUFFS!$H$5:$AF$195,9,),"")</f>
        <v/>
      </c>
      <c r="J151" s="65" t="str">
        <f>IFERROR(VLOOKUP(A151,BUFFS!$H$5:$AF$195,10,),"")</f>
        <v/>
      </c>
      <c r="K151" s="66" t="str">
        <f>IFERROR(VLOOKUP(A151,BUFFS!$H$5:$AF$195,11,),"")</f>
        <v/>
      </c>
      <c r="L151" s="66" t="str">
        <f>IFERROR(VLOOKUP(A151,BUFFS!$H$5:$AF$195,12,),"")</f>
        <v/>
      </c>
      <c r="M151" s="66" t="str">
        <f>IFERROR(VLOOKUP(A151,BUFFS!$H$5:$AF$195,14,),"")</f>
        <v/>
      </c>
      <c r="N151" s="68" t="str">
        <f t="shared" si="10"/>
        <v/>
      </c>
      <c r="O151" s="65" t="str">
        <f>IFERROR(VLOOKUP(A151,BUFFS!$H$5:$AF$195,15,),"")</f>
        <v/>
      </c>
      <c r="P151" s="66" t="str">
        <f>IFERROR(VLOOKUP(A151,BUFFS!$H$5:$AF$195,16,),"")</f>
        <v/>
      </c>
      <c r="Q151" s="66" t="str">
        <f>IFERROR(VLOOKUP(A151,BUFFS!$H$5:$AF$195,17,),"")</f>
        <v/>
      </c>
      <c r="R151" s="66" t="str">
        <f>IFERROR(VLOOKUP(A151,BUFFS!$H$5:$AF$195,19,),"")</f>
        <v/>
      </c>
      <c r="S151" s="69" t="str">
        <f t="shared" si="11"/>
        <v/>
      </c>
      <c r="T151" s="70" t="str">
        <f>IFERROR(VLOOKUP(A151,BUFFS!$H$5:$AF$195,20,),"")</f>
        <v/>
      </c>
    </row>
    <row r="152" spans="1:20" x14ac:dyDescent="0.35">
      <c r="A152" s="17"/>
      <c r="B152" s="18"/>
      <c r="C152" s="13"/>
      <c r="D152" s="31" t="str">
        <f>IFERROR(VLOOKUP(A152,BUFFS!$H$5:$AF$195,8,),"")</f>
        <v/>
      </c>
      <c r="E152" s="24" t="str">
        <f t="shared" si="9"/>
        <v/>
      </c>
      <c r="F152" s="65" t="str">
        <f>IFERROR(VLOOKUP(A152,BUFFS!$H$5:$AF$195,5,),"")</f>
        <v/>
      </c>
      <c r="G152" s="66" t="str">
        <f>IFERROR(VLOOKUP(A152,BUFFS!$H$5:$AF$195,6,),"")</f>
        <v/>
      </c>
      <c r="H152" s="67" t="str">
        <f>IFERROR(VLOOKUP(A152,BUFFS!$H$5:$AF$195,7,),"")</f>
        <v/>
      </c>
      <c r="I152" s="66" t="str">
        <f>IFERROR(VLOOKUP(A152,BUFFS!$H$5:$AF$195,9,),"")</f>
        <v/>
      </c>
      <c r="J152" s="65" t="str">
        <f>IFERROR(VLOOKUP(A152,BUFFS!$H$5:$AF$195,10,),"")</f>
        <v/>
      </c>
      <c r="K152" s="66" t="str">
        <f>IFERROR(VLOOKUP(A152,BUFFS!$H$5:$AF$195,11,),"")</f>
        <v/>
      </c>
      <c r="L152" s="66" t="str">
        <f>IFERROR(VLOOKUP(A152,BUFFS!$H$5:$AF$195,12,),"")</f>
        <v/>
      </c>
      <c r="M152" s="66" t="str">
        <f>IFERROR(VLOOKUP(A152,BUFFS!$H$5:$AF$195,14,),"")</f>
        <v/>
      </c>
      <c r="N152" s="68" t="str">
        <f t="shared" si="10"/>
        <v/>
      </c>
      <c r="O152" s="65" t="str">
        <f>IFERROR(VLOOKUP(A152,BUFFS!$H$5:$AF$195,15,),"")</f>
        <v/>
      </c>
      <c r="P152" s="66" t="str">
        <f>IFERROR(VLOOKUP(A152,BUFFS!$H$5:$AF$195,16,),"")</f>
        <v/>
      </c>
      <c r="Q152" s="66" t="str">
        <f>IFERROR(VLOOKUP(A152,BUFFS!$H$5:$AF$195,17,),"")</f>
        <v/>
      </c>
      <c r="R152" s="66" t="str">
        <f>IFERROR(VLOOKUP(A152,BUFFS!$H$5:$AF$195,19,),"")</f>
        <v/>
      </c>
      <c r="S152" s="69" t="str">
        <f t="shared" si="11"/>
        <v/>
      </c>
      <c r="T152" s="70" t="str">
        <f>IFERROR(VLOOKUP(A152,BUFFS!$H$5:$AF$195,20,),"")</f>
        <v/>
      </c>
    </row>
    <row r="153" spans="1:20" x14ac:dyDescent="0.35">
      <c r="A153" s="17"/>
      <c r="B153" s="18"/>
      <c r="C153" s="13"/>
      <c r="D153" s="31" t="str">
        <f>IFERROR(VLOOKUP(A153,BUFFS!$H$5:$AF$195,8,),"")</f>
        <v/>
      </c>
      <c r="E153" s="24" t="str">
        <f t="shared" si="9"/>
        <v/>
      </c>
      <c r="F153" s="65" t="str">
        <f>IFERROR(VLOOKUP(A153,BUFFS!$H$5:$AF$195,5,),"")</f>
        <v/>
      </c>
      <c r="G153" s="66" t="str">
        <f>IFERROR(VLOOKUP(A153,BUFFS!$H$5:$AF$195,6,),"")</f>
        <v/>
      </c>
      <c r="H153" s="67" t="str">
        <f>IFERROR(VLOOKUP(A153,BUFFS!$H$5:$AF$195,7,),"")</f>
        <v/>
      </c>
      <c r="I153" s="66" t="str">
        <f>IFERROR(VLOOKUP(A153,BUFFS!$H$5:$AF$195,9,),"")</f>
        <v/>
      </c>
      <c r="J153" s="65" t="str">
        <f>IFERROR(VLOOKUP(A153,BUFFS!$H$5:$AF$195,10,),"")</f>
        <v/>
      </c>
      <c r="K153" s="66" t="str">
        <f>IFERROR(VLOOKUP(A153,BUFFS!$H$5:$AF$195,11,),"")</f>
        <v/>
      </c>
      <c r="L153" s="66" t="str">
        <f>IFERROR(VLOOKUP(A153,BUFFS!$H$5:$AF$195,12,),"")</f>
        <v/>
      </c>
      <c r="M153" s="66" t="str">
        <f>IFERROR(VLOOKUP(A153,BUFFS!$H$5:$AF$195,14,),"")</f>
        <v/>
      </c>
      <c r="N153" s="68" t="str">
        <f t="shared" si="10"/>
        <v/>
      </c>
      <c r="O153" s="65" t="str">
        <f>IFERROR(VLOOKUP(A153,BUFFS!$H$5:$AF$195,15,),"")</f>
        <v/>
      </c>
      <c r="P153" s="66" t="str">
        <f>IFERROR(VLOOKUP(A153,BUFFS!$H$5:$AF$195,16,),"")</f>
        <v/>
      </c>
      <c r="Q153" s="66" t="str">
        <f>IFERROR(VLOOKUP(A153,BUFFS!$H$5:$AF$195,17,),"")</f>
        <v/>
      </c>
      <c r="R153" s="66" t="str">
        <f>IFERROR(VLOOKUP(A153,BUFFS!$H$5:$AF$195,19,),"")</f>
        <v/>
      </c>
      <c r="S153" s="69" t="str">
        <f t="shared" si="11"/>
        <v/>
      </c>
      <c r="T153" s="70" t="str">
        <f>IFERROR(VLOOKUP(A153,BUFFS!$H$5:$AF$195,20,),"")</f>
        <v/>
      </c>
    </row>
    <row r="154" spans="1:20" x14ac:dyDescent="0.35">
      <c r="A154" s="17"/>
      <c r="B154" s="18"/>
      <c r="C154" s="13"/>
      <c r="D154" s="31" t="str">
        <f>IFERROR(VLOOKUP(A154,BUFFS!$H$5:$AF$195,8,),"")</f>
        <v/>
      </c>
      <c r="E154" s="24" t="str">
        <f t="shared" si="9"/>
        <v/>
      </c>
      <c r="F154" s="65" t="str">
        <f>IFERROR(VLOOKUP(A154,BUFFS!$H$5:$AF$195,5,),"")</f>
        <v/>
      </c>
      <c r="G154" s="66" t="str">
        <f>IFERROR(VLOOKUP(A154,BUFFS!$H$5:$AF$195,6,),"")</f>
        <v/>
      </c>
      <c r="H154" s="67" t="str">
        <f>IFERROR(VLOOKUP(A154,BUFFS!$H$5:$AF$195,7,),"")</f>
        <v/>
      </c>
      <c r="I154" s="66" t="str">
        <f>IFERROR(VLOOKUP(A154,BUFFS!$H$5:$AF$195,9,),"")</f>
        <v/>
      </c>
      <c r="J154" s="65" t="str">
        <f>IFERROR(VLOOKUP(A154,BUFFS!$H$5:$AF$195,10,),"")</f>
        <v/>
      </c>
      <c r="K154" s="66" t="str">
        <f>IFERROR(VLOOKUP(A154,BUFFS!$H$5:$AF$195,11,),"")</f>
        <v/>
      </c>
      <c r="L154" s="66" t="str">
        <f>IFERROR(VLOOKUP(A154,BUFFS!$H$5:$AF$195,12,),"")</f>
        <v/>
      </c>
      <c r="M154" s="66" t="str">
        <f>IFERROR(VLOOKUP(A154,BUFFS!$H$5:$AF$195,14,),"")</f>
        <v/>
      </c>
      <c r="N154" s="68" t="str">
        <f t="shared" si="10"/>
        <v/>
      </c>
      <c r="O154" s="65" t="str">
        <f>IFERROR(VLOOKUP(A154,BUFFS!$H$5:$AF$195,15,),"")</f>
        <v/>
      </c>
      <c r="P154" s="66" t="str">
        <f>IFERROR(VLOOKUP(A154,BUFFS!$H$5:$AF$195,16,),"")</f>
        <v/>
      </c>
      <c r="Q154" s="66" t="str">
        <f>IFERROR(VLOOKUP(A154,BUFFS!$H$5:$AF$195,17,),"")</f>
        <v/>
      </c>
      <c r="R154" s="66" t="str">
        <f>IFERROR(VLOOKUP(A154,BUFFS!$H$5:$AF$195,19,),"")</f>
        <v/>
      </c>
      <c r="S154" s="69" t="str">
        <f t="shared" si="11"/>
        <v/>
      </c>
      <c r="T154" s="70" t="str">
        <f>IFERROR(VLOOKUP(A154,BUFFS!$H$5:$AF$195,20,),"")</f>
        <v/>
      </c>
    </row>
    <row r="155" spans="1:20" x14ac:dyDescent="0.35">
      <c r="A155" s="17"/>
      <c r="B155" s="18"/>
      <c r="C155" s="13"/>
      <c r="D155" s="31" t="str">
        <f>IFERROR(VLOOKUP(A155,BUFFS!$H$5:$AF$195,8,),"")</f>
        <v/>
      </c>
      <c r="E155" s="24" t="str">
        <f t="shared" ref="E155:E163" si="12">IFERROR(SUM(H155,ROUNDDOWN(MIN(B155,T$35)*I155,0)),"")</f>
        <v/>
      </c>
      <c r="F155" s="65" t="str">
        <f>IFERROR(VLOOKUP(A155,BUFFS!$H$5:$AF$195,5,),"")</f>
        <v/>
      </c>
      <c r="G155" s="66" t="str">
        <f>IFERROR(VLOOKUP(A155,BUFFS!$H$5:$AF$195,6,),"")</f>
        <v/>
      </c>
      <c r="H155" s="67" t="str">
        <f>IFERROR(VLOOKUP(A155,BUFFS!$H$5:$AF$195,7,),"")</f>
        <v/>
      </c>
      <c r="I155" s="66" t="str">
        <f>IFERROR(VLOOKUP(A155,BUFFS!$H$5:$AF$195,9,),"")</f>
        <v/>
      </c>
      <c r="J155" s="65" t="str">
        <f>IFERROR(VLOOKUP(A155,BUFFS!$H$5:$AF$195,10,),"")</f>
        <v/>
      </c>
      <c r="K155" s="66" t="str">
        <f>IFERROR(VLOOKUP(A155,BUFFS!$H$5:$AF$195,11,),"")</f>
        <v/>
      </c>
      <c r="L155" s="66" t="str">
        <f>IFERROR(VLOOKUP(A155,BUFFS!$H$5:$AF$195,12,),"")</f>
        <v/>
      </c>
      <c r="M155" s="66" t="str">
        <f>IFERROR(VLOOKUP(A155,BUFFS!$H$5:$AF$195,14,),"")</f>
        <v/>
      </c>
      <c r="N155" s="68" t="str">
        <f t="shared" ref="N155:N163" si="13">IFERROR(SUM(L155,ROUNDDOWN(MIN(B155,T$35)*M155,0)),"")</f>
        <v/>
      </c>
      <c r="O155" s="65" t="str">
        <f>IFERROR(VLOOKUP(A155,BUFFS!$H$5:$AF$195,15,),"")</f>
        <v/>
      </c>
      <c r="P155" s="66" t="str">
        <f>IFERROR(VLOOKUP(A155,BUFFS!$H$5:$AF$195,16,),"")</f>
        <v/>
      </c>
      <c r="Q155" s="66" t="str">
        <f>IFERROR(VLOOKUP(A155,BUFFS!$H$5:$AF$195,17,),"")</f>
        <v/>
      </c>
      <c r="R155" s="66" t="str">
        <f>IFERROR(VLOOKUP(A155,BUFFS!$H$5:$AF$195,19,),"")</f>
        <v/>
      </c>
      <c r="S155" s="69" t="str">
        <f t="shared" ref="S155:S163" si="14">IFERROR(SUM(Q155,ROUNDDOWN(MIN(B155,T$35)*R155,0)),"")</f>
        <v/>
      </c>
      <c r="T155" s="70" t="str">
        <f>IFERROR(VLOOKUP(A155,BUFFS!$H$5:$AF$195,20,),"")</f>
        <v/>
      </c>
    </row>
    <row r="156" spans="1:20" x14ac:dyDescent="0.35">
      <c r="A156" s="17"/>
      <c r="B156" s="18"/>
      <c r="C156" s="13"/>
      <c r="D156" s="31" t="str">
        <f>IFERROR(VLOOKUP(A156,BUFFS!$H$5:$AF$195,8,),"")</f>
        <v/>
      </c>
      <c r="E156" s="24" t="str">
        <f t="shared" si="12"/>
        <v/>
      </c>
      <c r="F156" s="65" t="str">
        <f>IFERROR(VLOOKUP(A156,BUFFS!$H$5:$AF$195,5,),"")</f>
        <v/>
      </c>
      <c r="G156" s="66" t="str">
        <f>IFERROR(VLOOKUP(A156,BUFFS!$H$5:$AF$195,6,),"")</f>
        <v/>
      </c>
      <c r="H156" s="67" t="str">
        <f>IFERROR(VLOOKUP(A156,BUFFS!$H$5:$AF$195,7,),"")</f>
        <v/>
      </c>
      <c r="I156" s="66" t="str">
        <f>IFERROR(VLOOKUP(A156,BUFFS!$H$5:$AF$195,9,),"")</f>
        <v/>
      </c>
      <c r="J156" s="65" t="str">
        <f>IFERROR(VLOOKUP(A156,BUFFS!$H$5:$AF$195,10,),"")</f>
        <v/>
      </c>
      <c r="K156" s="66" t="str">
        <f>IFERROR(VLOOKUP(A156,BUFFS!$H$5:$AF$195,11,),"")</f>
        <v/>
      </c>
      <c r="L156" s="66" t="str">
        <f>IFERROR(VLOOKUP(A156,BUFFS!$H$5:$AF$195,12,),"")</f>
        <v/>
      </c>
      <c r="M156" s="66" t="str">
        <f>IFERROR(VLOOKUP(A156,BUFFS!$H$5:$AF$195,14,),"")</f>
        <v/>
      </c>
      <c r="N156" s="68" t="str">
        <f t="shared" si="13"/>
        <v/>
      </c>
      <c r="O156" s="65" t="str">
        <f>IFERROR(VLOOKUP(A156,BUFFS!$H$5:$AF$195,15,),"")</f>
        <v/>
      </c>
      <c r="P156" s="66" t="str">
        <f>IFERROR(VLOOKUP(A156,BUFFS!$H$5:$AF$195,16,),"")</f>
        <v/>
      </c>
      <c r="Q156" s="66" t="str">
        <f>IFERROR(VLOOKUP(A156,BUFFS!$H$5:$AF$195,17,),"")</f>
        <v/>
      </c>
      <c r="R156" s="66" t="str">
        <f>IFERROR(VLOOKUP(A156,BUFFS!$H$5:$AF$195,19,),"")</f>
        <v/>
      </c>
      <c r="S156" s="69" t="str">
        <f t="shared" si="14"/>
        <v/>
      </c>
      <c r="T156" s="70" t="str">
        <f>IFERROR(VLOOKUP(A156,BUFFS!$H$5:$AF$195,20,),"")</f>
        <v/>
      </c>
    </row>
    <row r="157" spans="1:20" x14ac:dyDescent="0.35">
      <c r="A157" s="17"/>
      <c r="B157" s="18"/>
      <c r="C157" s="13"/>
      <c r="D157" s="31" t="str">
        <f>IFERROR(VLOOKUP(A157,BUFFS!$H$5:$AF$195,8,),"")</f>
        <v/>
      </c>
      <c r="E157" s="24" t="str">
        <f t="shared" si="12"/>
        <v/>
      </c>
      <c r="F157" s="65" t="str">
        <f>IFERROR(VLOOKUP(A157,BUFFS!$H$5:$AF$195,5,),"")</f>
        <v/>
      </c>
      <c r="G157" s="66" t="str">
        <f>IFERROR(VLOOKUP(A157,BUFFS!$H$5:$AF$195,6,),"")</f>
        <v/>
      </c>
      <c r="H157" s="67" t="str">
        <f>IFERROR(VLOOKUP(A157,BUFFS!$H$5:$AF$195,7,),"")</f>
        <v/>
      </c>
      <c r="I157" s="66" t="str">
        <f>IFERROR(VLOOKUP(A157,BUFFS!$H$5:$AF$195,9,),"")</f>
        <v/>
      </c>
      <c r="J157" s="65" t="str">
        <f>IFERROR(VLOOKUP(A157,BUFFS!$H$5:$AF$195,10,),"")</f>
        <v/>
      </c>
      <c r="K157" s="66" t="str">
        <f>IFERROR(VLOOKUP(A157,BUFFS!$H$5:$AF$195,11,),"")</f>
        <v/>
      </c>
      <c r="L157" s="66" t="str">
        <f>IFERROR(VLOOKUP(A157,BUFFS!$H$5:$AF$195,12,),"")</f>
        <v/>
      </c>
      <c r="M157" s="66" t="str">
        <f>IFERROR(VLOOKUP(A157,BUFFS!$H$5:$AF$195,14,),"")</f>
        <v/>
      </c>
      <c r="N157" s="68" t="str">
        <f t="shared" si="13"/>
        <v/>
      </c>
      <c r="O157" s="65" t="str">
        <f>IFERROR(VLOOKUP(A157,BUFFS!$H$5:$AF$195,15,),"")</f>
        <v/>
      </c>
      <c r="P157" s="66" t="str">
        <f>IFERROR(VLOOKUP(A157,BUFFS!$H$5:$AF$195,16,),"")</f>
        <v/>
      </c>
      <c r="Q157" s="66" t="str">
        <f>IFERROR(VLOOKUP(A157,BUFFS!$H$5:$AF$195,17,),"")</f>
        <v/>
      </c>
      <c r="R157" s="66" t="str">
        <f>IFERROR(VLOOKUP(A157,BUFFS!$H$5:$AF$195,19,),"")</f>
        <v/>
      </c>
      <c r="S157" s="69" t="str">
        <f t="shared" si="14"/>
        <v/>
      </c>
      <c r="T157" s="70" t="str">
        <f>IFERROR(VLOOKUP(A157,BUFFS!$H$5:$AF$195,20,),"")</f>
        <v/>
      </c>
    </row>
    <row r="158" spans="1:20" x14ac:dyDescent="0.35">
      <c r="A158" s="17"/>
      <c r="B158" s="18"/>
      <c r="C158" s="13"/>
      <c r="D158" s="31" t="str">
        <f>IFERROR(VLOOKUP(A158,BUFFS!$H$5:$AF$195,8,),"")</f>
        <v/>
      </c>
      <c r="E158" s="24" t="str">
        <f t="shared" si="12"/>
        <v/>
      </c>
      <c r="F158" s="65" t="str">
        <f>IFERROR(VLOOKUP(A158,BUFFS!$H$5:$AF$195,5,),"")</f>
        <v/>
      </c>
      <c r="G158" s="66" t="str">
        <f>IFERROR(VLOOKUP(A158,BUFFS!$H$5:$AF$195,6,),"")</f>
        <v/>
      </c>
      <c r="H158" s="67" t="str">
        <f>IFERROR(VLOOKUP(A158,BUFFS!$H$5:$AF$195,7,),"")</f>
        <v/>
      </c>
      <c r="I158" s="66" t="str">
        <f>IFERROR(VLOOKUP(A158,BUFFS!$H$5:$AF$195,9,),"")</f>
        <v/>
      </c>
      <c r="J158" s="65" t="str">
        <f>IFERROR(VLOOKUP(A158,BUFFS!$H$5:$AF$195,10,),"")</f>
        <v/>
      </c>
      <c r="K158" s="66" t="str">
        <f>IFERROR(VLOOKUP(A158,BUFFS!$H$5:$AF$195,11,),"")</f>
        <v/>
      </c>
      <c r="L158" s="66" t="str">
        <f>IFERROR(VLOOKUP(A158,BUFFS!$H$5:$AF$195,12,),"")</f>
        <v/>
      </c>
      <c r="M158" s="66" t="str">
        <f>IFERROR(VLOOKUP(A158,BUFFS!$H$5:$AF$195,14,),"")</f>
        <v/>
      </c>
      <c r="N158" s="68" t="str">
        <f t="shared" si="13"/>
        <v/>
      </c>
      <c r="O158" s="65" t="str">
        <f>IFERROR(VLOOKUP(A158,BUFFS!$H$5:$AF$195,15,),"")</f>
        <v/>
      </c>
      <c r="P158" s="66" t="str">
        <f>IFERROR(VLOOKUP(A158,BUFFS!$H$5:$AF$195,16,),"")</f>
        <v/>
      </c>
      <c r="Q158" s="66" t="str">
        <f>IFERROR(VLOOKUP(A158,BUFFS!$H$5:$AF$195,17,),"")</f>
        <v/>
      </c>
      <c r="R158" s="66" t="str">
        <f>IFERROR(VLOOKUP(A158,BUFFS!$H$5:$AF$195,19,),"")</f>
        <v/>
      </c>
      <c r="S158" s="69" t="str">
        <f t="shared" si="14"/>
        <v/>
      </c>
      <c r="T158" s="70" t="str">
        <f>IFERROR(VLOOKUP(A158,BUFFS!$H$5:$AF$195,20,),"")</f>
        <v/>
      </c>
    </row>
    <row r="159" spans="1:20" x14ac:dyDescent="0.35">
      <c r="A159" s="17"/>
      <c r="B159" s="18"/>
      <c r="C159" s="13"/>
      <c r="D159" s="31" t="str">
        <f>IFERROR(VLOOKUP(A159,BUFFS!$H$5:$AF$195,8,),"")</f>
        <v/>
      </c>
      <c r="E159" s="24" t="str">
        <f t="shared" si="12"/>
        <v/>
      </c>
      <c r="F159" s="65" t="str">
        <f>IFERROR(VLOOKUP(A159,BUFFS!$H$5:$AF$195,5,),"")</f>
        <v/>
      </c>
      <c r="G159" s="66" t="str">
        <f>IFERROR(VLOOKUP(A159,BUFFS!$H$5:$AF$195,6,),"")</f>
        <v/>
      </c>
      <c r="H159" s="67" t="str">
        <f>IFERROR(VLOOKUP(A159,BUFFS!$H$5:$AF$195,7,),"")</f>
        <v/>
      </c>
      <c r="I159" s="66" t="str">
        <f>IFERROR(VLOOKUP(A159,BUFFS!$H$5:$AF$195,9,),"")</f>
        <v/>
      </c>
      <c r="J159" s="65" t="str">
        <f>IFERROR(VLOOKUP(A159,BUFFS!$H$5:$AF$195,10,),"")</f>
        <v/>
      </c>
      <c r="K159" s="66" t="str">
        <f>IFERROR(VLOOKUP(A159,BUFFS!$H$5:$AF$195,11,),"")</f>
        <v/>
      </c>
      <c r="L159" s="66" t="str">
        <f>IFERROR(VLOOKUP(A159,BUFFS!$H$5:$AF$195,12,),"")</f>
        <v/>
      </c>
      <c r="M159" s="66" t="str">
        <f>IFERROR(VLOOKUP(A159,BUFFS!$H$5:$AF$195,14,),"")</f>
        <v/>
      </c>
      <c r="N159" s="68" t="str">
        <f t="shared" si="13"/>
        <v/>
      </c>
      <c r="O159" s="65" t="str">
        <f>IFERROR(VLOOKUP(A159,BUFFS!$H$5:$AF$195,15,),"")</f>
        <v/>
      </c>
      <c r="P159" s="66" t="str">
        <f>IFERROR(VLOOKUP(A159,BUFFS!$H$5:$AF$195,16,),"")</f>
        <v/>
      </c>
      <c r="Q159" s="66" t="str">
        <f>IFERROR(VLOOKUP(A159,BUFFS!$H$5:$AF$195,17,),"")</f>
        <v/>
      </c>
      <c r="R159" s="66" t="str">
        <f>IFERROR(VLOOKUP(A159,BUFFS!$H$5:$AF$195,19,),"")</f>
        <v/>
      </c>
      <c r="S159" s="69" t="str">
        <f t="shared" si="14"/>
        <v/>
      </c>
      <c r="T159" s="70" t="str">
        <f>IFERROR(VLOOKUP(A159,BUFFS!$H$5:$AF$195,20,),"")</f>
        <v/>
      </c>
    </row>
    <row r="160" spans="1:20" x14ac:dyDescent="0.35">
      <c r="A160" s="17"/>
      <c r="B160" s="18"/>
      <c r="C160" s="13"/>
      <c r="D160" s="31" t="str">
        <f>IFERROR(VLOOKUP(A160,BUFFS!$H$5:$AF$195,8,),"")</f>
        <v/>
      </c>
      <c r="E160" s="24" t="str">
        <f t="shared" si="12"/>
        <v/>
      </c>
      <c r="F160" s="65" t="str">
        <f>IFERROR(VLOOKUP(A160,BUFFS!$H$5:$AF$195,5,),"")</f>
        <v/>
      </c>
      <c r="G160" s="66" t="str">
        <f>IFERROR(VLOOKUP(A160,BUFFS!$H$5:$AF$195,6,),"")</f>
        <v/>
      </c>
      <c r="H160" s="67" t="str">
        <f>IFERROR(VLOOKUP(A160,BUFFS!$H$5:$AF$195,7,),"")</f>
        <v/>
      </c>
      <c r="I160" s="66" t="str">
        <f>IFERROR(VLOOKUP(A160,BUFFS!$H$5:$AF$195,9,),"")</f>
        <v/>
      </c>
      <c r="J160" s="65" t="str">
        <f>IFERROR(VLOOKUP(A160,BUFFS!$H$5:$AF$195,10,),"")</f>
        <v/>
      </c>
      <c r="K160" s="66" t="str">
        <f>IFERROR(VLOOKUP(A160,BUFFS!$H$5:$AF$195,11,),"")</f>
        <v/>
      </c>
      <c r="L160" s="66" t="str">
        <f>IFERROR(VLOOKUP(A160,BUFFS!$H$5:$AF$195,12,),"")</f>
        <v/>
      </c>
      <c r="M160" s="66" t="str">
        <f>IFERROR(VLOOKUP(A160,BUFFS!$H$5:$AF$195,14,),"")</f>
        <v/>
      </c>
      <c r="N160" s="68" t="str">
        <f t="shared" si="13"/>
        <v/>
      </c>
      <c r="O160" s="65" t="str">
        <f>IFERROR(VLOOKUP(A160,BUFFS!$H$5:$AF$195,15,),"")</f>
        <v/>
      </c>
      <c r="P160" s="66" t="str">
        <f>IFERROR(VLOOKUP(A160,BUFFS!$H$5:$AF$195,16,),"")</f>
        <v/>
      </c>
      <c r="Q160" s="66" t="str">
        <f>IFERROR(VLOOKUP(A160,BUFFS!$H$5:$AF$195,17,),"")</f>
        <v/>
      </c>
      <c r="R160" s="66" t="str">
        <f>IFERROR(VLOOKUP(A160,BUFFS!$H$5:$AF$195,19,),"")</f>
        <v/>
      </c>
      <c r="S160" s="69" t="str">
        <f t="shared" si="14"/>
        <v/>
      </c>
      <c r="T160" s="70" t="str">
        <f>IFERROR(VLOOKUP(A160,BUFFS!$H$5:$AF$195,20,),"")</f>
        <v/>
      </c>
    </row>
    <row r="161" spans="1:20" x14ac:dyDescent="0.35">
      <c r="A161" s="17"/>
      <c r="B161" s="18"/>
      <c r="C161" s="13"/>
      <c r="D161" s="31" t="str">
        <f>IFERROR(VLOOKUP(A161,BUFFS!$H$5:$AF$195,8,),"")</f>
        <v/>
      </c>
      <c r="E161" s="24" t="str">
        <f t="shared" si="12"/>
        <v/>
      </c>
      <c r="F161" s="65" t="str">
        <f>IFERROR(VLOOKUP(A161,BUFFS!$H$5:$AF$195,5,),"")</f>
        <v/>
      </c>
      <c r="G161" s="66" t="str">
        <f>IFERROR(VLOOKUP(A161,BUFFS!$H$5:$AF$195,6,),"")</f>
        <v/>
      </c>
      <c r="H161" s="67" t="str">
        <f>IFERROR(VLOOKUP(A161,BUFFS!$H$5:$AF$195,7,),"")</f>
        <v/>
      </c>
      <c r="I161" s="66" t="str">
        <f>IFERROR(VLOOKUP(A161,BUFFS!$H$5:$AF$195,9,),"")</f>
        <v/>
      </c>
      <c r="J161" s="65" t="str">
        <f>IFERROR(VLOOKUP(A161,BUFFS!$H$5:$AF$195,10,),"")</f>
        <v/>
      </c>
      <c r="K161" s="66" t="str">
        <f>IFERROR(VLOOKUP(A161,BUFFS!$H$5:$AF$195,11,),"")</f>
        <v/>
      </c>
      <c r="L161" s="66" t="str">
        <f>IFERROR(VLOOKUP(A161,BUFFS!$H$5:$AF$195,12,),"")</f>
        <v/>
      </c>
      <c r="M161" s="66" t="str">
        <f>IFERROR(VLOOKUP(A161,BUFFS!$H$5:$AF$195,14,),"")</f>
        <v/>
      </c>
      <c r="N161" s="68" t="str">
        <f t="shared" si="13"/>
        <v/>
      </c>
      <c r="O161" s="65" t="str">
        <f>IFERROR(VLOOKUP(A161,BUFFS!$H$5:$AF$195,15,),"")</f>
        <v/>
      </c>
      <c r="P161" s="66" t="str">
        <f>IFERROR(VLOOKUP(A161,BUFFS!$H$5:$AF$195,16,),"")</f>
        <v/>
      </c>
      <c r="Q161" s="66" t="str">
        <f>IFERROR(VLOOKUP(A161,BUFFS!$H$5:$AF$195,17,),"")</f>
        <v/>
      </c>
      <c r="R161" s="66" t="str">
        <f>IFERROR(VLOOKUP(A161,BUFFS!$H$5:$AF$195,19,),"")</f>
        <v/>
      </c>
      <c r="S161" s="69" t="str">
        <f t="shared" si="14"/>
        <v/>
      </c>
      <c r="T161" s="70" t="str">
        <f>IFERROR(VLOOKUP(A161,BUFFS!$H$5:$AF$195,20,),"")</f>
        <v/>
      </c>
    </row>
    <row r="162" spans="1:20" x14ac:dyDescent="0.35">
      <c r="A162" s="17"/>
      <c r="B162" s="18"/>
      <c r="C162" s="13"/>
      <c r="D162" s="31" t="str">
        <f>IFERROR(VLOOKUP(A162,BUFFS!$H$5:$AF$195,8,),"")</f>
        <v/>
      </c>
      <c r="E162" s="24" t="str">
        <f t="shared" si="12"/>
        <v/>
      </c>
      <c r="F162" s="65" t="str">
        <f>IFERROR(VLOOKUP(A162,BUFFS!$H$5:$AF$195,5,),"")</f>
        <v/>
      </c>
      <c r="G162" s="66" t="str">
        <f>IFERROR(VLOOKUP(A162,BUFFS!$H$5:$AF$195,6,),"")</f>
        <v/>
      </c>
      <c r="H162" s="67" t="str">
        <f>IFERROR(VLOOKUP(A162,BUFFS!$H$5:$AF$195,7,),"")</f>
        <v/>
      </c>
      <c r="I162" s="66" t="str">
        <f>IFERROR(VLOOKUP(A162,BUFFS!$H$5:$AF$195,9,),"")</f>
        <v/>
      </c>
      <c r="J162" s="65" t="str">
        <f>IFERROR(VLOOKUP(A162,BUFFS!$H$5:$AF$195,10,),"")</f>
        <v/>
      </c>
      <c r="K162" s="66" t="str">
        <f>IFERROR(VLOOKUP(A162,BUFFS!$H$5:$AF$195,11,),"")</f>
        <v/>
      </c>
      <c r="L162" s="66" t="str">
        <f>IFERROR(VLOOKUP(A162,BUFFS!$H$5:$AF$195,12,),"")</f>
        <v/>
      </c>
      <c r="M162" s="66" t="str">
        <f>IFERROR(VLOOKUP(A162,BUFFS!$H$5:$AF$195,14,),"")</f>
        <v/>
      </c>
      <c r="N162" s="68" t="str">
        <f t="shared" si="13"/>
        <v/>
      </c>
      <c r="O162" s="65" t="str">
        <f>IFERROR(VLOOKUP(A162,BUFFS!$H$5:$AF$195,15,),"")</f>
        <v/>
      </c>
      <c r="P162" s="66" t="str">
        <f>IFERROR(VLOOKUP(A162,BUFFS!$H$5:$AF$195,16,),"")</f>
        <v/>
      </c>
      <c r="Q162" s="66" t="str">
        <f>IFERROR(VLOOKUP(A162,BUFFS!$H$5:$AF$195,17,),"")</f>
        <v/>
      </c>
      <c r="R162" s="66" t="str">
        <f>IFERROR(VLOOKUP(A162,BUFFS!$H$5:$AF$195,19,),"")</f>
        <v/>
      </c>
      <c r="S162" s="69" t="str">
        <f t="shared" si="14"/>
        <v/>
      </c>
      <c r="T162" s="70" t="str">
        <f>IFERROR(VLOOKUP(A162,BUFFS!$H$5:$AF$195,20,),"")</f>
        <v/>
      </c>
    </row>
    <row r="163" spans="1:20" x14ac:dyDescent="0.35">
      <c r="A163" s="17"/>
      <c r="B163" s="18"/>
      <c r="C163" s="13"/>
      <c r="D163" s="31" t="str">
        <f>IFERROR(VLOOKUP(A163,BUFFS!$H$5:$AF$195,8,),"")</f>
        <v/>
      </c>
      <c r="E163" s="24" t="str">
        <f t="shared" si="12"/>
        <v/>
      </c>
      <c r="F163" s="65" t="str">
        <f>IFERROR(VLOOKUP(A163,BUFFS!$H$5:$AF$195,5,),"")</f>
        <v/>
      </c>
      <c r="G163" s="66" t="str">
        <f>IFERROR(VLOOKUP(A163,BUFFS!$H$5:$AF$195,6,),"")</f>
        <v/>
      </c>
      <c r="H163" s="67" t="str">
        <f>IFERROR(VLOOKUP(A163,BUFFS!$H$5:$AF$195,7,),"")</f>
        <v/>
      </c>
      <c r="I163" s="66" t="str">
        <f>IFERROR(VLOOKUP(A163,BUFFS!$H$5:$AF$195,9,),"")</f>
        <v/>
      </c>
      <c r="J163" s="65" t="str">
        <f>IFERROR(VLOOKUP(A163,BUFFS!$H$5:$AF$195,10,),"")</f>
        <v/>
      </c>
      <c r="K163" s="66" t="str">
        <f>IFERROR(VLOOKUP(A163,BUFFS!$H$5:$AF$195,11,),"")</f>
        <v/>
      </c>
      <c r="L163" s="66" t="str">
        <f>IFERROR(VLOOKUP(A163,BUFFS!$H$5:$AF$195,12,),"")</f>
        <v/>
      </c>
      <c r="M163" s="66" t="str">
        <f>IFERROR(VLOOKUP(A163,BUFFS!$H$5:$AF$195,14,),"")</f>
        <v/>
      </c>
      <c r="N163" s="68" t="str">
        <f t="shared" si="13"/>
        <v/>
      </c>
      <c r="O163" s="65" t="str">
        <f>IFERROR(VLOOKUP(A163,BUFFS!$H$5:$AF$195,15,),"")</f>
        <v/>
      </c>
      <c r="P163" s="66" t="str">
        <f>IFERROR(VLOOKUP(A163,BUFFS!$H$5:$AF$195,16,),"")</f>
        <v/>
      </c>
      <c r="Q163" s="66" t="str">
        <f>IFERROR(VLOOKUP(A163,BUFFS!$H$5:$AF$195,17,),"")</f>
        <v/>
      </c>
      <c r="R163" s="66" t="str">
        <f>IFERROR(VLOOKUP(A163,BUFFS!$H$5:$AF$195,19,),"")</f>
        <v/>
      </c>
      <c r="S163" s="69" t="str">
        <f t="shared" si="14"/>
        <v/>
      </c>
      <c r="T163" s="70" t="str">
        <f>IFERROR(VLOOKUP(A163,BUFFS!$H$5:$AF$195,20,),"")</f>
        <v/>
      </c>
    </row>
    <row r="164" spans="1:20" x14ac:dyDescent="0.35">
      <c r="A164" s="17"/>
      <c r="B164" s="18"/>
      <c r="C164" s="13"/>
      <c r="D164" s="31"/>
      <c r="E164" s="24"/>
      <c r="F164" s="71"/>
      <c r="G164" s="72"/>
      <c r="H164" s="73"/>
      <c r="I164" s="72"/>
      <c r="J164" s="71"/>
      <c r="K164" s="72"/>
      <c r="L164" s="72"/>
      <c r="M164" s="72"/>
      <c r="N164" s="74"/>
      <c r="O164" s="71"/>
      <c r="P164" s="72"/>
      <c r="Q164" s="72"/>
      <c r="R164" s="72"/>
      <c r="S164" s="74"/>
      <c r="T164" s="75"/>
    </row>
    <row r="165" spans="1:20" x14ac:dyDescent="0.35">
      <c r="A165" s="17"/>
      <c r="B165" s="18"/>
      <c r="C165" s="13"/>
      <c r="D165" s="31"/>
      <c r="E165" s="24"/>
      <c r="F165" s="71"/>
      <c r="G165" s="72"/>
      <c r="H165" s="73"/>
      <c r="I165" s="72"/>
      <c r="J165" s="71"/>
      <c r="K165" s="72"/>
      <c r="L165" s="72"/>
      <c r="M165" s="72"/>
      <c r="N165" s="74"/>
      <c r="O165" s="71"/>
      <c r="P165" s="72"/>
      <c r="Q165" s="72"/>
      <c r="R165" s="72"/>
      <c r="S165" s="74"/>
      <c r="T165" s="75"/>
    </row>
    <row r="166" spans="1:20" x14ac:dyDescent="0.35">
      <c r="A166" s="17"/>
      <c r="B166" s="18"/>
      <c r="C166" s="13"/>
      <c r="D166" s="31"/>
      <c r="E166" s="24"/>
      <c r="F166" s="71"/>
      <c r="G166" s="72"/>
      <c r="H166" s="73"/>
      <c r="I166" s="72"/>
      <c r="J166" s="71"/>
      <c r="K166" s="72"/>
      <c r="L166" s="72"/>
      <c r="M166" s="72"/>
      <c r="N166" s="74"/>
      <c r="O166" s="71"/>
      <c r="P166" s="72"/>
      <c r="Q166" s="72"/>
      <c r="R166" s="72"/>
      <c r="S166" s="74"/>
      <c r="T166" s="75"/>
    </row>
    <row r="167" spans="1:20" x14ac:dyDescent="0.35">
      <c r="A167" s="17"/>
      <c r="B167" s="18"/>
      <c r="C167" s="13"/>
      <c r="D167" s="31"/>
      <c r="E167" s="24"/>
      <c r="F167" s="71"/>
      <c r="G167" s="72"/>
      <c r="H167" s="73"/>
      <c r="I167" s="72"/>
      <c r="J167" s="71"/>
      <c r="K167" s="72"/>
      <c r="L167" s="72"/>
      <c r="M167" s="72"/>
      <c r="N167" s="74"/>
      <c r="O167" s="71"/>
      <c r="P167" s="72"/>
      <c r="Q167" s="72"/>
      <c r="R167" s="72"/>
      <c r="S167" s="74"/>
      <c r="T167" s="75"/>
    </row>
    <row r="168" spans="1:20" x14ac:dyDescent="0.35">
      <c r="A168" s="17"/>
      <c r="B168" s="18"/>
      <c r="C168" s="13"/>
      <c r="D168" s="31"/>
      <c r="E168" s="24"/>
      <c r="F168" s="71"/>
      <c r="G168" s="72"/>
      <c r="H168" s="73"/>
      <c r="I168" s="72"/>
      <c r="J168" s="71"/>
      <c r="K168" s="72"/>
      <c r="L168" s="72"/>
      <c r="M168" s="72"/>
      <c r="N168" s="74"/>
      <c r="O168" s="71"/>
      <c r="P168" s="72"/>
      <c r="Q168" s="72"/>
      <c r="R168" s="72"/>
      <c r="S168" s="74"/>
      <c r="T168" s="75"/>
    </row>
    <row r="169" spans="1:20" x14ac:dyDescent="0.35">
      <c r="A169" s="17"/>
      <c r="B169" s="18"/>
      <c r="C169" s="13"/>
      <c r="D169" s="31"/>
      <c r="E169" s="24"/>
      <c r="F169" s="71"/>
      <c r="G169" s="72"/>
      <c r="H169" s="73"/>
      <c r="I169" s="72"/>
      <c r="J169" s="71"/>
      <c r="K169" s="72"/>
      <c r="L169" s="72"/>
      <c r="M169" s="72"/>
      <c r="N169" s="74"/>
      <c r="O169" s="71"/>
      <c r="P169" s="72"/>
      <c r="Q169" s="72"/>
      <c r="R169" s="72"/>
      <c r="S169" s="74"/>
      <c r="T169" s="75"/>
    </row>
    <row r="170" spans="1:20" x14ac:dyDescent="0.35">
      <c r="A170" s="17"/>
      <c r="B170" s="18"/>
      <c r="C170" s="13"/>
      <c r="D170" s="31"/>
      <c r="E170" s="24"/>
      <c r="F170" s="71"/>
      <c r="G170" s="72"/>
      <c r="H170" s="73"/>
      <c r="I170" s="72"/>
      <c r="J170" s="71"/>
      <c r="K170" s="72"/>
      <c r="L170" s="72"/>
      <c r="M170" s="72"/>
      <c r="N170" s="74"/>
      <c r="O170" s="71"/>
      <c r="P170" s="72"/>
      <c r="Q170" s="72"/>
      <c r="R170" s="72"/>
      <c r="S170" s="74"/>
      <c r="T170" s="75"/>
    </row>
    <row r="171" spans="1:20" x14ac:dyDescent="0.35">
      <c r="A171" s="17"/>
      <c r="B171" s="18"/>
      <c r="C171" s="13"/>
      <c r="D171" s="31"/>
      <c r="E171" s="24"/>
      <c r="F171" s="71"/>
      <c r="G171" s="72"/>
      <c r="H171" s="73"/>
      <c r="I171" s="72"/>
      <c r="J171" s="71"/>
      <c r="K171" s="72"/>
      <c r="L171" s="72"/>
      <c r="M171" s="72"/>
      <c r="N171" s="74"/>
      <c r="O171" s="71"/>
      <c r="P171" s="72"/>
      <c r="Q171" s="72"/>
      <c r="R171" s="72"/>
      <c r="S171" s="74"/>
      <c r="T171" s="75"/>
    </row>
    <row r="172" spans="1:20" x14ac:dyDescent="0.35">
      <c r="A172" s="17"/>
      <c r="B172" s="18"/>
      <c r="C172" s="13"/>
      <c r="D172" s="31"/>
      <c r="E172" s="24"/>
      <c r="F172" s="71"/>
      <c r="G172" s="72"/>
      <c r="H172" s="73"/>
      <c r="I172" s="72"/>
      <c r="J172" s="71"/>
      <c r="K172" s="72"/>
      <c r="L172" s="72"/>
      <c r="M172" s="72"/>
      <c r="N172" s="74"/>
      <c r="O172" s="71"/>
      <c r="P172" s="72"/>
      <c r="Q172" s="72"/>
      <c r="R172" s="72"/>
      <c r="S172" s="74"/>
      <c r="T172" s="75"/>
    </row>
    <row r="173" spans="1:20" x14ac:dyDescent="0.35">
      <c r="A173" s="17"/>
      <c r="B173" s="18"/>
      <c r="C173" s="13"/>
      <c r="D173" s="31"/>
      <c r="E173" s="24"/>
      <c r="F173" s="71"/>
      <c r="G173" s="72"/>
      <c r="H173" s="73"/>
      <c r="I173" s="72"/>
      <c r="J173" s="71"/>
      <c r="K173" s="72"/>
      <c r="L173" s="72"/>
      <c r="M173" s="72"/>
      <c r="N173" s="74"/>
      <c r="O173" s="71"/>
      <c r="P173" s="72"/>
      <c r="Q173" s="72"/>
      <c r="R173" s="72"/>
      <c r="S173" s="74"/>
      <c r="T173" s="75"/>
    </row>
    <row r="174" spans="1:20" x14ac:dyDescent="0.35">
      <c r="A174" s="17"/>
      <c r="B174" s="18"/>
      <c r="C174" s="13"/>
      <c r="D174" s="31"/>
      <c r="E174" s="24"/>
      <c r="F174" s="71"/>
      <c r="G174" s="72"/>
      <c r="H174" s="73"/>
      <c r="I174" s="72"/>
      <c r="J174" s="71"/>
      <c r="K174" s="72"/>
      <c r="L174" s="72"/>
      <c r="M174" s="72"/>
      <c r="N174" s="74"/>
      <c r="O174" s="71"/>
      <c r="P174" s="72"/>
      <c r="Q174" s="72"/>
      <c r="R174" s="72"/>
      <c r="S174" s="74"/>
      <c r="T174" s="75"/>
    </row>
    <row r="175" spans="1:20" x14ac:dyDescent="0.35">
      <c r="A175" s="17"/>
      <c r="B175" s="18"/>
      <c r="C175" s="13"/>
      <c r="D175" s="31"/>
      <c r="E175" s="24"/>
      <c r="F175" s="71"/>
      <c r="G175" s="72"/>
      <c r="H175" s="73"/>
      <c r="I175" s="72"/>
      <c r="J175" s="71"/>
      <c r="K175" s="72"/>
      <c r="L175" s="72"/>
      <c r="M175" s="72"/>
      <c r="N175" s="74"/>
      <c r="O175" s="71"/>
      <c r="P175" s="72"/>
      <c r="Q175" s="72"/>
      <c r="R175" s="72"/>
      <c r="S175" s="74"/>
      <c r="T175" s="75"/>
    </row>
    <row r="176" spans="1:20" x14ac:dyDescent="0.35">
      <c r="A176" s="17"/>
      <c r="B176" s="18"/>
      <c r="C176" s="13"/>
      <c r="D176" s="31"/>
      <c r="E176" s="24"/>
      <c r="F176" s="71"/>
      <c r="G176" s="72"/>
      <c r="H176" s="73"/>
      <c r="I176" s="72"/>
      <c r="J176" s="71"/>
      <c r="K176" s="72"/>
      <c r="L176" s="72"/>
      <c r="M176" s="72"/>
      <c r="N176" s="74"/>
      <c r="O176" s="71"/>
      <c r="P176" s="72"/>
      <c r="Q176" s="72"/>
      <c r="R176" s="72"/>
      <c r="S176" s="74"/>
      <c r="T176" s="75"/>
    </row>
    <row r="177" spans="1:20" x14ac:dyDescent="0.35">
      <c r="A177" s="17"/>
      <c r="B177" s="18"/>
      <c r="C177" s="13"/>
      <c r="D177" s="31"/>
      <c r="E177" s="24"/>
      <c r="F177" s="71"/>
      <c r="G177" s="72"/>
      <c r="H177" s="73"/>
      <c r="I177" s="72"/>
      <c r="J177" s="71"/>
      <c r="K177" s="72"/>
      <c r="L177" s="72"/>
      <c r="M177" s="72"/>
      <c r="N177" s="74"/>
      <c r="O177" s="71"/>
      <c r="P177" s="72"/>
      <c r="Q177" s="72"/>
      <c r="R177" s="72"/>
      <c r="S177" s="74"/>
      <c r="T177" s="75"/>
    </row>
    <row r="178" spans="1:20" x14ac:dyDescent="0.35">
      <c r="A178" s="17"/>
      <c r="B178" s="18"/>
      <c r="C178" s="13"/>
      <c r="D178" s="31"/>
      <c r="E178" s="24"/>
      <c r="F178" s="71"/>
      <c r="G178" s="72"/>
      <c r="H178" s="73"/>
      <c r="I178" s="72"/>
      <c r="J178" s="71"/>
      <c r="K178" s="72"/>
      <c r="L178" s="72"/>
      <c r="M178" s="72"/>
      <c r="N178" s="74"/>
      <c r="O178" s="71"/>
      <c r="P178" s="72"/>
      <c r="Q178" s="72"/>
      <c r="R178" s="72"/>
      <c r="S178" s="74"/>
      <c r="T178" s="75"/>
    </row>
    <row r="179" spans="1:20" x14ac:dyDescent="0.35">
      <c r="A179" s="17"/>
      <c r="B179" s="18"/>
      <c r="C179" s="13"/>
      <c r="D179" s="31"/>
      <c r="E179" s="24"/>
      <c r="F179" s="71"/>
      <c r="G179" s="72"/>
      <c r="H179" s="73"/>
      <c r="I179" s="72"/>
      <c r="J179" s="71"/>
      <c r="K179" s="72"/>
      <c r="L179" s="72"/>
      <c r="M179" s="72"/>
      <c r="N179" s="74"/>
      <c r="O179" s="71"/>
      <c r="P179" s="72"/>
      <c r="Q179" s="72"/>
      <c r="R179" s="72"/>
      <c r="S179" s="74"/>
      <c r="T179" s="75"/>
    </row>
    <row r="180" spans="1:20" x14ac:dyDescent="0.35">
      <c r="A180" s="17"/>
      <c r="B180" s="18"/>
      <c r="C180" s="13"/>
      <c r="D180" s="31"/>
      <c r="E180" s="24"/>
      <c r="F180" s="71"/>
      <c r="G180" s="72"/>
      <c r="H180" s="73"/>
      <c r="I180" s="72"/>
      <c r="J180" s="71"/>
      <c r="K180" s="72"/>
      <c r="L180" s="72"/>
      <c r="M180" s="72"/>
      <c r="N180" s="74"/>
      <c r="O180" s="71"/>
      <c r="P180" s="72"/>
      <c r="Q180" s="72"/>
      <c r="R180" s="72"/>
      <c r="S180" s="74"/>
      <c r="T180" s="75"/>
    </row>
    <row r="181" spans="1:20" x14ac:dyDescent="0.35">
      <c r="A181" s="17"/>
      <c r="B181" s="18"/>
      <c r="C181" s="13"/>
      <c r="D181" s="31"/>
      <c r="E181" s="24"/>
      <c r="F181" s="71"/>
      <c r="G181" s="72"/>
      <c r="H181" s="73"/>
      <c r="I181" s="72"/>
      <c r="J181" s="71"/>
      <c r="K181" s="72"/>
      <c r="L181" s="72"/>
      <c r="M181" s="72"/>
      <c r="N181" s="74"/>
      <c r="O181" s="71"/>
      <c r="P181" s="72"/>
      <c r="Q181" s="72"/>
      <c r="R181" s="72"/>
      <c r="S181" s="74"/>
      <c r="T181" s="75"/>
    </row>
    <row r="182" spans="1:20" x14ac:dyDescent="0.35">
      <c r="A182" s="17"/>
      <c r="B182" s="18"/>
      <c r="C182" s="13"/>
      <c r="D182" s="31"/>
      <c r="E182" s="24"/>
      <c r="F182" s="71"/>
      <c r="G182" s="72"/>
      <c r="H182" s="73"/>
      <c r="I182" s="72"/>
      <c r="J182" s="71"/>
      <c r="K182" s="72"/>
      <c r="L182" s="72"/>
      <c r="M182" s="72"/>
      <c r="N182" s="74"/>
      <c r="O182" s="71"/>
      <c r="P182" s="72"/>
      <c r="Q182" s="72"/>
      <c r="R182" s="72"/>
      <c r="S182" s="74"/>
      <c r="T182" s="75"/>
    </row>
    <row r="183" spans="1:20" x14ac:dyDescent="0.35">
      <c r="A183" s="17"/>
      <c r="B183" s="18"/>
      <c r="C183" s="13"/>
      <c r="D183" s="31"/>
      <c r="E183" s="24"/>
      <c r="F183" s="71"/>
      <c r="G183" s="72"/>
      <c r="H183" s="73"/>
      <c r="I183" s="72"/>
      <c r="J183" s="71"/>
      <c r="K183" s="72"/>
      <c r="L183" s="72"/>
      <c r="M183" s="72"/>
      <c r="N183" s="74"/>
      <c r="O183" s="71"/>
      <c r="P183" s="72"/>
      <c r="Q183" s="72"/>
      <c r="R183" s="72"/>
      <c r="S183" s="74"/>
      <c r="T183" s="75"/>
    </row>
    <row r="184" spans="1:20" x14ac:dyDescent="0.35">
      <c r="A184" s="17"/>
      <c r="B184" s="18"/>
      <c r="C184" s="13"/>
      <c r="D184" s="31"/>
      <c r="E184" s="24"/>
      <c r="F184" s="71"/>
      <c r="G184" s="72"/>
      <c r="H184" s="73"/>
      <c r="I184" s="72"/>
      <c r="J184" s="71"/>
      <c r="K184" s="72"/>
      <c r="L184" s="72"/>
      <c r="M184" s="72"/>
      <c r="N184" s="74"/>
      <c r="O184" s="71"/>
      <c r="P184" s="72"/>
      <c r="Q184" s="72"/>
      <c r="R184" s="72"/>
      <c r="S184" s="74"/>
      <c r="T184" s="75"/>
    </row>
    <row r="185" spans="1:20" x14ac:dyDescent="0.35">
      <c r="A185" s="17"/>
      <c r="B185" s="18"/>
      <c r="C185" s="13"/>
      <c r="D185" s="31"/>
      <c r="E185" s="24"/>
      <c r="F185" s="71"/>
      <c r="G185" s="72"/>
      <c r="H185" s="73"/>
      <c r="I185" s="72"/>
      <c r="J185" s="71"/>
      <c r="K185" s="72"/>
      <c r="L185" s="72"/>
      <c r="M185" s="72"/>
      <c r="N185" s="74"/>
      <c r="O185" s="71"/>
      <c r="P185" s="72"/>
      <c r="Q185" s="72"/>
      <c r="R185" s="72"/>
      <c r="S185" s="74"/>
      <c r="T185" s="75"/>
    </row>
    <row r="186" spans="1:20" x14ac:dyDescent="0.35">
      <c r="A186" s="17"/>
      <c r="B186" s="18"/>
      <c r="C186" s="13"/>
      <c r="D186" s="31"/>
      <c r="E186" s="24"/>
      <c r="F186" s="71"/>
      <c r="G186" s="72"/>
      <c r="H186" s="73"/>
      <c r="I186" s="72"/>
      <c r="J186" s="71"/>
      <c r="K186" s="72"/>
      <c r="L186" s="72"/>
      <c r="M186" s="72"/>
      <c r="N186" s="74"/>
      <c r="O186" s="71"/>
      <c r="P186" s="72"/>
      <c r="Q186" s="72"/>
      <c r="R186" s="72"/>
      <c r="S186" s="74"/>
      <c r="T186" s="75"/>
    </row>
    <row r="187" spans="1:20" x14ac:dyDescent="0.35">
      <c r="A187" s="17"/>
      <c r="B187" s="18"/>
      <c r="C187" s="13"/>
      <c r="D187" s="31"/>
      <c r="E187" s="24"/>
      <c r="F187" s="71"/>
      <c r="G187" s="72"/>
      <c r="H187" s="73"/>
      <c r="I187" s="72"/>
      <c r="J187" s="71"/>
      <c r="K187" s="72"/>
      <c r="L187" s="72"/>
      <c r="M187" s="72"/>
      <c r="N187" s="74"/>
      <c r="O187" s="71"/>
      <c r="P187" s="72"/>
      <c r="Q187" s="72"/>
      <c r="R187" s="72"/>
      <c r="S187" s="74"/>
      <c r="T187" s="75"/>
    </row>
    <row r="188" spans="1:20" x14ac:dyDescent="0.35">
      <c r="A188" s="17"/>
      <c r="B188" s="18"/>
      <c r="C188" s="13"/>
      <c r="D188" s="31"/>
      <c r="E188" s="24"/>
      <c r="F188" s="71"/>
      <c r="G188" s="72"/>
      <c r="H188" s="73"/>
      <c r="I188" s="72"/>
      <c r="J188" s="71"/>
      <c r="K188" s="72"/>
      <c r="L188" s="72"/>
      <c r="M188" s="72"/>
      <c r="N188" s="74"/>
      <c r="O188" s="71"/>
      <c r="P188" s="72"/>
      <c r="Q188" s="72"/>
      <c r="R188" s="72"/>
      <c r="S188" s="74"/>
      <c r="T188" s="75"/>
    </row>
    <row r="189" spans="1:20" x14ac:dyDescent="0.35">
      <c r="A189" s="17"/>
      <c r="B189" s="18"/>
      <c r="C189" s="13"/>
      <c r="D189" s="31"/>
      <c r="E189" s="24"/>
      <c r="F189" s="71"/>
      <c r="G189" s="72"/>
      <c r="H189" s="73"/>
      <c r="I189" s="72"/>
      <c r="J189" s="71"/>
      <c r="K189" s="72"/>
      <c r="L189" s="72"/>
      <c r="M189" s="72"/>
      <c r="N189" s="74"/>
      <c r="O189" s="71"/>
      <c r="P189" s="72"/>
      <c r="Q189" s="72"/>
      <c r="R189" s="72"/>
      <c r="S189" s="74"/>
      <c r="T189" s="75"/>
    </row>
    <row r="190" spans="1:20" x14ac:dyDescent="0.35">
      <c r="A190" s="17"/>
      <c r="B190" s="18"/>
      <c r="C190" s="13"/>
      <c r="D190" s="31"/>
      <c r="E190" s="24"/>
      <c r="F190" s="71"/>
      <c r="G190" s="72"/>
      <c r="H190" s="73"/>
      <c r="I190" s="72"/>
      <c r="J190" s="71"/>
      <c r="K190" s="72"/>
      <c r="L190" s="72"/>
      <c r="M190" s="72"/>
      <c r="N190" s="74"/>
      <c r="O190" s="71"/>
      <c r="P190" s="72"/>
      <c r="Q190" s="72"/>
      <c r="R190" s="72"/>
      <c r="S190" s="74"/>
      <c r="T190" s="75"/>
    </row>
    <row r="191" spans="1:20" x14ac:dyDescent="0.35">
      <c r="A191" s="17"/>
      <c r="B191" s="18"/>
      <c r="C191" s="13"/>
      <c r="D191" s="31"/>
      <c r="E191" s="24"/>
      <c r="F191" s="71"/>
      <c r="G191" s="72"/>
      <c r="H191" s="73"/>
      <c r="I191" s="72"/>
      <c r="J191" s="71"/>
      <c r="K191" s="72"/>
      <c r="L191" s="72"/>
      <c r="M191" s="72"/>
      <c r="N191" s="74"/>
      <c r="O191" s="71"/>
      <c r="P191" s="72"/>
      <c r="Q191" s="72"/>
      <c r="R191" s="72"/>
      <c r="S191" s="74"/>
      <c r="T191" s="75"/>
    </row>
    <row r="192" spans="1:20" x14ac:dyDescent="0.35">
      <c r="A192" s="17"/>
      <c r="B192" s="18"/>
      <c r="C192" s="13"/>
      <c r="D192" s="31"/>
      <c r="E192" s="24"/>
      <c r="F192" s="71"/>
      <c r="G192" s="72"/>
      <c r="H192" s="73"/>
      <c r="I192" s="72"/>
      <c r="J192" s="71"/>
      <c r="K192" s="72"/>
      <c r="L192" s="72"/>
      <c r="M192" s="72"/>
      <c r="N192" s="74"/>
      <c r="O192" s="71"/>
      <c r="P192" s="72"/>
      <c r="Q192" s="72"/>
      <c r="R192" s="72"/>
      <c r="S192" s="74"/>
      <c r="T192" s="75"/>
    </row>
    <row r="193" spans="1:20" x14ac:dyDescent="0.35">
      <c r="A193" s="17"/>
      <c r="B193" s="18"/>
      <c r="C193" s="13"/>
      <c r="D193" s="31"/>
      <c r="E193" s="24"/>
      <c r="F193" s="71"/>
      <c r="G193" s="72"/>
      <c r="H193" s="73"/>
      <c r="I193" s="72"/>
      <c r="J193" s="71"/>
      <c r="K193" s="72"/>
      <c r="L193" s="72"/>
      <c r="M193" s="72"/>
      <c r="N193" s="74"/>
      <c r="O193" s="71"/>
      <c r="P193" s="72"/>
      <c r="Q193" s="72"/>
      <c r="R193" s="72"/>
      <c r="S193" s="74"/>
      <c r="T193" s="75"/>
    </row>
    <row r="194" spans="1:20" x14ac:dyDescent="0.35">
      <c r="A194" s="17"/>
      <c r="B194" s="18"/>
      <c r="C194" s="13"/>
      <c r="D194" s="31"/>
      <c r="E194" s="24"/>
      <c r="F194" s="71"/>
      <c r="G194" s="72"/>
      <c r="H194" s="73"/>
      <c r="I194" s="72"/>
      <c r="J194" s="71"/>
      <c r="K194" s="72"/>
      <c r="L194" s="72"/>
      <c r="M194" s="72"/>
      <c r="N194" s="74"/>
      <c r="O194" s="71"/>
      <c r="P194" s="72"/>
      <c r="Q194" s="72"/>
      <c r="R194" s="72"/>
      <c r="S194" s="74"/>
      <c r="T194" s="75"/>
    </row>
    <row r="195" spans="1:20" x14ac:dyDescent="0.35">
      <c r="A195" s="17"/>
      <c r="B195" s="18"/>
      <c r="C195" s="13"/>
      <c r="D195" s="31"/>
      <c r="E195" s="24"/>
      <c r="F195" s="71"/>
      <c r="G195" s="72"/>
      <c r="H195" s="73"/>
      <c r="I195" s="72"/>
      <c r="J195" s="71"/>
      <c r="K195" s="72"/>
      <c r="L195" s="72"/>
      <c r="M195" s="72"/>
      <c r="N195" s="74"/>
      <c r="O195" s="71"/>
      <c r="P195" s="72"/>
      <c r="Q195" s="72"/>
      <c r="R195" s="72"/>
      <c r="S195" s="74"/>
      <c r="T195" s="75"/>
    </row>
    <row r="196" spans="1:20" x14ac:dyDescent="0.35">
      <c r="A196" s="17"/>
      <c r="B196" s="18"/>
      <c r="C196" s="13"/>
      <c r="D196" s="31"/>
      <c r="E196" s="24"/>
      <c r="F196" s="71"/>
      <c r="G196" s="72"/>
      <c r="H196" s="73"/>
      <c r="I196" s="72"/>
      <c r="J196" s="71"/>
      <c r="K196" s="72"/>
      <c r="L196" s="72"/>
      <c r="M196" s="72"/>
      <c r="N196" s="74"/>
      <c r="O196" s="71"/>
      <c r="P196" s="72"/>
      <c r="Q196" s="72"/>
      <c r="R196" s="72"/>
      <c r="S196" s="74"/>
      <c r="T196" s="75"/>
    </row>
    <row r="197" spans="1:20" x14ac:dyDescent="0.35">
      <c r="A197" s="17"/>
      <c r="B197" s="18"/>
      <c r="C197" s="13"/>
      <c r="D197" s="31"/>
      <c r="E197" s="24"/>
      <c r="F197" s="71"/>
      <c r="G197" s="72"/>
      <c r="H197" s="73"/>
      <c r="I197" s="72"/>
      <c r="J197" s="71"/>
      <c r="K197" s="72"/>
      <c r="L197" s="72"/>
      <c r="M197" s="72"/>
      <c r="N197" s="74"/>
      <c r="O197" s="71"/>
      <c r="P197" s="72"/>
      <c r="Q197" s="72"/>
      <c r="R197" s="72"/>
      <c r="S197" s="74"/>
      <c r="T197" s="75"/>
    </row>
    <row r="198" spans="1:20" x14ac:dyDescent="0.35">
      <c r="A198" s="17"/>
      <c r="B198" s="18"/>
      <c r="C198" s="13"/>
      <c r="D198" s="31"/>
      <c r="E198" s="24"/>
      <c r="F198" s="71"/>
      <c r="G198" s="72"/>
      <c r="H198" s="73"/>
      <c r="I198" s="72"/>
      <c r="J198" s="71"/>
      <c r="K198" s="72"/>
      <c r="L198" s="72"/>
      <c r="M198" s="72"/>
      <c r="N198" s="74"/>
      <c r="O198" s="71"/>
      <c r="P198" s="72"/>
      <c r="Q198" s="72"/>
      <c r="R198" s="72"/>
      <c r="S198" s="74"/>
      <c r="T198" s="75"/>
    </row>
    <row r="199" spans="1:20" x14ac:dyDescent="0.35">
      <c r="A199" s="17"/>
      <c r="B199" s="18"/>
      <c r="C199" s="13"/>
      <c r="D199" s="31"/>
      <c r="E199" s="24"/>
      <c r="F199" s="71"/>
      <c r="G199" s="72"/>
      <c r="H199" s="73"/>
      <c r="I199" s="72"/>
      <c r="J199" s="71"/>
      <c r="K199" s="72"/>
      <c r="L199" s="72"/>
      <c r="M199" s="72"/>
      <c r="N199" s="74"/>
      <c r="O199" s="71"/>
      <c r="P199" s="72"/>
      <c r="Q199" s="72"/>
      <c r="R199" s="72"/>
      <c r="S199" s="74"/>
      <c r="T199" s="75"/>
    </row>
    <row r="200" spans="1:20" x14ac:dyDescent="0.35">
      <c r="A200" s="17"/>
      <c r="B200" s="18"/>
      <c r="C200" s="13"/>
      <c r="D200" s="31"/>
      <c r="E200" s="24"/>
      <c r="F200" s="71"/>
      <c r="G200" s="72"/>
      <c r="H200" s="73"/>
      <c r="I200" s="72"/>
      <c r="J200" s="71"/>
      <c r="K200" s="72"/>
      <c r="L200" s="72"/>
      <c r="M200" s="72"/>
      <c r="N200" s="74"/>
      <c r="O200" s="71"/>
      <c r="P200" s="72"/>
      <c r="Q200" s="72"/>
      <c r="R200" s="72"/>
      <c r="S200" s="74"/>
      <c r="T200" s="75"/>
    </row>
    <row r="201" spans="1:20" x14ac:dyDescent="0.35">
      <c r="A201" s="17"/>
      <c r="B201" s="18"/>
      <c r="C201" s="13"/>
      <c r="D201" s="31"/>
      <c r="E201" s="24"/>
      <c r="F201" s="71"/>
      <c r="G201" s="72"/>
      <c r="H201" s="73"/>
      <c r="I201" s="72"/>
      <c r="J201" s="71"/>
      <c r="K201" s="72"/>
      <c r="L201" s="72"/>
      <c r="M201" s="72"/>
      <c r="N201" s="74"/>
      <c r="O201" s="71"/>
      <c r="P201" s="72"/>
      <c r="Q201" s="72"/>
      <c r="R201" s="72"/>
      <c r="S201" s="74"/>
      <c r="T201" s="75"/>
    </row>
    <row r="202" spans="1:20" x14ac:dyDescent="0.35">
      <c r="A202" s="17"/>
      <c r="B202" s="18"/>
      <c r="C202" s="13"/>
      <c r="D202" s="31"/>
      <c r="E202" s="24"/>
      <c r="F202" s="71"/>
      <c r="G202" s="72"/>
      <c r="H202" s="73"/>
      <c r="I202" s="72"/>
      <c r="J202" s="71"/>
      <c r="K202" s="72"/>
      <c r="L202" s="72"/>
      <c r="M202" s="72"/>
      <c r="N202" s="74"/>
      <c r="O202" s="71"/>
      <c r="P202" s="72"/>
      <c r="Q202" s="72"/>
      <c r="R202" s="72"/>
      <c r="S202" s="74"/>
      <c r="T202" s="75"/>
    </row>
    <row r="203" spans="1:20" x14ac:dyDescent="0.35">
      <c r="A203" s="17"/>
      <c r="B203" s="18"/>
      <c r="C203" s="13"/>
      <c r="D203" s="31"/>
      <c r="E203" s="24"/>
      <c r="F203" s="71"/>
      <c r="G203" s="72"/>
      <c r="H203" s="73"/>
      <c r="I203" s="72"/>
      <c r="J203" s="71"/>
      <c r="K203" s="72"/>
      <c r="L203" s="72"/>
      <c r="M203" s="72"/>
      <c r="N203" s="74"/>
      <c r="O203" s="71"/>
      <c r="P203" s="72"/>
      <c r="Q203" s="72"/>
      <c r="R203" s="72"/>
      <c r="S203" s="74"/>
      <c r="T203" s="75"/>
    </row>
    <row r="204" spans="1:20" x14ac:dyDescent="0.35">
      <c r="A204" s="17"/>
      <c r="B204" s="18"/>
      <c r="C204" s="13"/>
      <c r="D204" s="31"/>
      <c r="E204" s="24"/>
      <c r="F204" s="71"/>
      <c r="G204" s="72"/>
      <c r="H204" s="73"/>
      <c r="I204" s="72"/>
      <c r="J204" s="71"/>
      <c r="K204" s="72"/>
      <c r="L204" s="72"/>
      <c r="M204" s="72"/>
      <c r="N204" s="74"/>
      <c r="O204" s="71"/>
      <c r="P204" s="72"/>
      <c r="Q204" s="72"/>
      <c r="R204" s="72"/>
      <c r="S204" s="74"/>
      <c r="T204" s="75"/>
    </row>
    <row r="205" spans="1:20" x14ac:dyDescent="0.35">
      <c r="A205" s="17"/>
      <c r="B205" s="18"/>
      <c r="C205" s="13"/>
      <c r="D205" s="31"/>
      <c r="E205" s="24"/>
      <c r="F205" s="71"/>
      <c r="G205" s="72"/>
      <c r="H205" s="73"/>
      <c r="I205" s="72"/>
      <c r="J205" s="71"/>
      <c r="K205" s="72"/>
      <c r="L205" s="72"/>
      <c r="M205" s="72"/>
      <c r="N205" s="74"/>
      <c r="O205" s="71"/>
      <c r="P205" s="72"/>
      <c r="Q205" s="72"/>
      <c r="R205" s="72"/>
      <c r="S205" s="74"/>
      <c r="T205" s="75"/>
    </row>
    <row r="206" spans="1:20" x14ac:dyDescent="0.35">
      <c r="A206" s="17"/>
      <c r="B206" s="18"/>
      <c r="C206" s="13"/>
      <c r="D206" s="31"/>
      <c r="E206" s="24"/>
      <c r="F206" s="71"/>
      <c r="G206" s="72"/>
      <c r="H206" s="73"/>
      <c r="I206" s="72"/>
      <c r="J206" s="71"/>
      <c r="K206" s="72"/>
      <c r="L206" s="72"/>
      <c r="M206" s="72"/>
      <c r="N206" s="74"/>
      <c r="O206" s="71"/>
      <c r="P206" s="72"/>
      <c r="Q206" s="72"/>
      <c r="R206" s="72"/>
      <c r="S206" s="74"/>
      <c r="T206" s="75"/>
    </row>
    <row r="207" spans="1:20" x14ac:dyDescent="0.35">
      <c r="A207" s="17"/>
      <c r="B207" s="18"/>
      <c r="C207" s="13"/>
      <c r="D207" s="31"/>
      <c r="E207" s="24"/>
      <c r="F207" s="71"/>
      <c r="G207" s="72"/>
      <c r="H207" s="73"/>
      <c r="I207" s="72"/>
      <c r="J207" s="71"/>
      <c r="K207" s="72"/>
      <c r="L207" s="72"/>
      <c r="M207" s="72"/>
      <c r="N207" s="74"/>
      <c r="O207" s="71"/>
      <c r="P207" s="72"/>
      <c r="Q207" s="72"/>
      <c r="R207" s="72"/>
      <c r="S207" s="74"/>
      <c r="T207" s="75"/>
    </row>
    <row r="208" spans="1:20" x14ac:dyDescent="0.35">
      <c r="A208" s="17"/>
      <c r="B208" s="18"/>
      <c r="C208" s="13"/>
      <c r="D208" s="31"/>
      <c r="E208" s="24"/>
      <c r="F208" s="71"/>
      <c r="G208" s="72"/>
      <c r="H208" s="73"/>
      <c r="I208" s="72"/>
      <c r="J208" s="71"/>
      <c r="K208" s="72"/>
      <c r="L208" s="72"/>
      <c r="M208" s="72"/>
      <c r="N208" s="74"/>
      <c r="O208" s="71"/>
      <c r="P208" s="72"/>
      <c r="Q208" s="72"/>
      <c r="R208" s="72"/>
      <c r="S208" s="74"/>
      <c r="T208" s="75"/>
    </row>
    <row r="209" spans="1:21" x14ac:dyDescent="0.35">
      <c r="A209" s="17"/>
      <c r="B209" s="18"/>
      <c r="C209" s="13"/>
      <c r="D209" s="31"/>
      <c r="E209" s="24"/>
      <c r="F209" s="71"/>
      <c r="G209" s="72"/>
      <c r="H209" s="73"/>
      <c r="I209" s="72"/>
      <c r="J209" s="71"/>
      <c r="K209" s="72"/>
      <c r="L209" s="72"/>
      <c r="M209" s="72"/>
      <c r="N209" s="74"/>
      <c r="O209" s="71"/>
      <c r="P209" s="72"/>
      <c r="Q209" s="72"/>
      <c r="R209" s="72"/>
      <c r="S209" s="74"/>
      <c r="T209" s="75"/>
      <c r="U209" s="33"/>
    </row>
    <row r="210" spans="1:21" x14ac:dyDescent="0.35">
      <c r="A210" s="17"/>
      <c r="B210" s="18"/>
      <c r="C210" s="13"/>
      <c r="D210" s="31"/>
      <c r="E210" s="24"/>
      <c r="F210" s="71"/>
      <c r="G210" s="72"/>
      <c r="H210" s="73"/>
      <c r="I210" s="72"/>
      <c r="J210" s="71"/>
      <c r="K210" s="72"/>
      <c r="L210" s="72"/>
      <c r="M210" s="72"/>
      <c r="N210" s="74"/>
      <c r="O210" s="71"/>
      <c r="P210" s="72"/>
      <c r="Q210" s="72"/>
      <c r="R210" s="72"/>
      <c r="S210" s="74"/>
      <c r="T210" s="75"/>
      <c r="U210" s="33"/>
    </row>
    <row r="211" spans="1:21" x14ac:dyDescent="0.35">
      <c r="A211" s="17"/>
      <c r="B211" s="18"/>
      <c r="C211" s="13"/>
      <c r="D211" s="31"/>
      <c r="E211" s="24"/>
      <c r="F211" s="71"/>
      <c r="G211" s="72"/>
      <c r="H211" s="73"/>
      <c r="I211" s="72"/>
      <c r="J211" s="71"/>
      <c r="K211" s="72"/>
      <c r="L211" s="72"/>
      <c r="M211" s="72"/>
      <c r="N211" s="74"/>
      <c r="O211" s="71"/>
      <c r="P211" s="72"/>
      <c r="Q211" s="72"/>
      <c r="R211" s="72"/>
      <c r="S211" s="74"/>
      <c r="T211" s="75"/>
      <c r="U211" s="33"/>
    </row>
    <row r="212" spans="1:21" x14ac:dyDescent="0.35">
      <c r="A212" s="17"/>
      <c r="B212" s="18"/>
      <c r="C212" s="13"/>
      <c r="D212" s="31"/>
      <c r="E212" s="24"/>
      <c r="F212" s="71"/>
      <c r="G212" s="72"/>
      <c r="H212" s="73"/>
      <c r="I212" s="72"/>
      <c r="J212" s="71"/>
      <c r="K212" s="72"/>
      <c r="L212" s="72"/>
      <c r="M212" s="72"/>
      <c r="N212" s="74"/>
      <c r="O212" s="71"/>
      <c r="P212" s="72"/>
      <c r="Q212" s="72"/>
      <c r="R212" s="72"/>
      <c r="S212" s="74"/>
      <c r="T212" s="75"/>
      <c r="U212" s="33"/>
    </row>
    <row r="213" spans="1:21" x14ac:dyDescent="0.35">
      <c r="A213" s="17"/>
      <c r="B213" s="18"/>
      <c r="C213" s="13"/>
      <c r="D213" s="31"/>
      <c r="E213" s="24"/>
      <c r="F213" s="71"/>
      <c r="G213" s="72"/>
      <c r="H213" s="73"/>
      <c r="I213" s="72"/>
      <c r="J213" s="71"/>
      <c r="K213" s="72"/>
      <c r="L213" s="72"/>
      <c r="M213" s="72"/>
      <c r="N213" s="74"/>
      <c r="O213" s="71"/>
      <c r="P213" s="72"/>
      <c r="Q213" s="72"/>
      <c r="R213" s="72"/>
      <c r="S213" s="74"/>
      <c r="T213" s="75"/>
    </row>
    <row r="214" spans="1:21" x14ac:dyDescent="0.35">
      <c r="A214" s="17"/>
      <c r="B214" s="18"/>
      <c r="C214" s="13"/>
      <c r="D214" s="31"/>
      <c r="E214" s="24"/>
      <c r="F214" s="71"/>
      <c r="G214" s="72"/>
      <c r="H214" s="73"/>
      <c r="I214" s="72"/>
      <c r="J214" s="71"/>
      <c r="K214" s="72"/>
      <c r="L214" s="72"/>
      <c r="M214" s="72"/>
      <c r="N214" s="74"/>
      <c r="O214" s="71"/>
      <c r="P214" s="72"/>
      <c r="Q214" s="72"/>
      <c r="R214" s="72"/>
      <c r="S214" s="74"/>
      <c r="T214" s="75"/>
    </row>
    <row r="215" spans="1:21" x14ac:dyDescent="0.35">
      <c r="A215" s="17"/>
      <c r="B215" s="18"/>
      <c r="C215" s="13"/>
      <c r="D215" s="31"/>
      <c r="E215" s="24"/>
      <c r="F215" s="71"/>
      <c r="G215" s="72"/>
      <c r="H215" s="73"/>
      <c r="I215" s="72"/>
      <c r="J215" s="71"/>
      <c r="K215" s="72"/>
      <c r="L215" s="72"/>
      <c r="M215" s="72"/>
      <c r="N215" s="74"/>
      <c r="O215" s="71"/>
      <c r="P215" s="72"/>
      <c r="Q215" s="72"/>
      <c r="R215" s="72"/>
      <c r="S215" s="74"/>
      <c r="T215" s="75"/>
    </row>
    <row r="216" spans="1:21" x14ac:dyDescent="0.35">
      <c r="A216" s="17"/>
      <c r="B216" s="18"/>
      <c r="C216" s="13"/>
      <c r="D216" s="31"/>
      <c r="E216" s="24"/>
      <c r="F216" s="71"/>
      <c r="G216" s="72"/>
      <c r="H216" s="73"/>
      <c r="I216" s="72"/>
      <c r="J216" s="71"/>
      <c r="K216" s="72"/>
      <c r="L216" s="72"/>
      <c r="M216" s="72"/>
      <c r="N216" s="74"/>
      <c r="O216" s="71"/>
      <c r="P216" s="72"/>
      <c r="Q216" s="72"/>
      <c r="R216" s="72"/>
      <c r="S216" s="74"/>
      <c r="T216" s="75"/>
    </row>
    <row r="217" spans="1:21" x14ac:dyDescent="0.35">
      <c r="A217" s="17"/>
      <c r="B217" s="18"/>
      <c r="C217" s="13"/>
      <c r="D217" s="31"/>
      <c r="E217" s="24"/>
      <c r="F217" s="71"/>
      <c r="G217" s="72"/>
      <c r="H217" s="73"/>
      <c r="I217" s="72"/>
      <c r="J217" s="71"/>
      <c r="K217" s="72"/>
      <c r="L217" s="72"/>
      <c r="M217" s="72"/>
      <c r="N217" s="74"/>
      <c r="O217" s="71"/>
      <c r="P217" s="72"/>
      <c r="Q217" s="72"/>
      <c r="R217" s="72"/>
      <c r="S217" s="74"/>
      <c r="T217" s="75"/>
    </row>
    <row r="218" spans="1:21" x14ac:dyDescent="0.35">
      <c r="A218" s="17"/>
      <c r="B218" s="18"/>
      <c r="C218" s="13"/>
      <c r="D218" s="31"/>
      <c r="E218" s="24"/>
      <c r="F218" s="71"/>
      <c r="G218" s="72"/>
      <c r="H218" s="73"/>
      <c r="I218" s="72"/>
      <c r="J218" s="71"/>
      <c r="K218" s="72"/>
      <c r="L218" s="72"/>
      <c r="M218" s="72"/>
      <c r="N218" s="74"/>
      <c r="O218" s="71"/>
      <c r="P218" s="72"/>
      <c r="Q218" s="72"/>
      <c r="R218" s="72"/>
      <c r="S218" s="74"/>
      <c r="T218" s="75"/>
    </row>
    <row r="219" spans="1:21" x14ac:dyDescent="0.35">
      <c r="A219" s="17"/>
      <c r="B219" s="18"/>
      <c r="C219" s="13"/>
      <c r="D219" s="31"/>
      <c r="E219" s="24"/>
      <c r="F219" s="71"/>
      <c r="G219" s="72"/>
      <c r="H219" s="73"/>
      <c r="I219" s="72"/>
      <c r="J219" s="71"/>
      <c r="K219" s="72"/>
      <c r="L219" s="72"/>
      <c r="M219" s="72"/>
      <c r="N219" s="74"/>
      <c r="O219" s="71"/>
      <c r="P219" s="72"/>
      <c r="Q219" s="72"/>
      <c r="R219" s="72"/>
      <c r="S219" s="74"/>
      <c r="T219" s="75"/>
    </row>
    <row r="220" spans="1:21" x14ac:dyDescent="0.35">
      <c r="A220" s="17"/>
      <c r="B220" s="18"/>
      <c r="C220" s="13"/>
      <c r="D220" s="31"/>
      <c r="E220" s="24"/>
      <c r="F220" s="71"/>
      <c r="G220" s="72"/>
      <c r="H220" s="73"/>
      <c r="I220" s="72"/>
      <c r="J220" s="71"/>
      <c r="K220" s="72"/>
      <c r="L220" s="72"/>
      <c r="M220" s="72"/>
      <c r="N220" s="74"/>
      <c r="O220" s="71"/>
      <c r="P220" s="72"/>
      <c r="Q220" s="72"/>
      <c r="R220" s="72"/>
      <c r="S220" s="74"/>
      <c r="T220" s="75"/>
    </row>
    <row r="221" spans="1:21" x14ac:dyDescent="0.35">
      <c r="A221" s="17"/>
      <c r="B221" s="18"/>
      <c r="C221" s="13"/>
      <c r="D221" s="31"/>
      <c r="E221" s="24"/>
      <c r="F221" s="71"/>
      <c r="G221" s="72"/>
      <c r="H221" s="73"/>
      <c r="I221" s="72"/>
      <c r="J221" s="71"/>
      <c r="K221" s="72"/>
      <c r="L221" s="72"/>
      <c r="M221" s="72"/>
      <c r="N221" s="74"/>
      <c r="O221" s="71"/>
      <c r="P221" s="72"/>
      <c r="Q221" s="72"/>
      <c r="R221" s="72"/>
      <c r="S221" s="74"/>
      <c r="T221" s="75"/>
    </row>
    <row r="222" spans="1:21" x14ac:dyDescent="0.35">
      <c r="A222" s="17"/>
      <c r="B222" s="18"/>
      <c r="C222" s="13"/>
      <c r="D222" s="31"/>
      <c r="E222" s="24"/>
      <c r="F222" s="71"/>
      <c r="G222" s="72"/>
      <c r="H222" s="73"/>
      <c r="I222" s="72"/>
      <c r="J222" s="71"/>
      <c r="K222" s="72"/>
      <c r="L222" s="72"/>
      <c r="M222" s="72"/>
      <c r="N222" s="74"/>
      <c r="O222" s="71"/>
      <c r="P222" s="72"/>
      <c r="Q222" s="72"/>
      <c r="R222" s="72"/>
      <c r="S222" s="74"/>
      <c r="T222" s="75"/>
    </row>
    <row r="223" spans="1:21" x14ac:dyDescent="0.35">
      <c r="A223" s="17"/>
      <c r="B223" s="18"/>
      <c r="C223" s="13"/>
      <c r="D223" s="31"/>
      <c r="E223" s="24"/>
      <c r="F223" s="71"/>
      <c r="G223" s="72"/>
      <c r="H223" s="73"/>
      <c r="I223" s="72"/>
      <c r="J223" s="71"/>
      <c r="K223" s="72"/>
      <c r="L223" s="72"/>
      <c r="M223" s="72"/>
      <c r="N223" s="74"/>
      <c r="O223" s="71"/>
      <c r="P223" s="72"/>
      <c r="Q223" s="72"/>
      <c r="R223" s="72"/>
      <c r="S223" s="74"/>
      <c r="T223" s="75"/>
    </row>
    <row r="224" spans="1:21" x14ac:dyDescent="0.35">
      <c r="A224" s="17"/>
      <c r="B224" s="18"/>
      <c r="C224" s="13"/>
      <c r="D224" s="31"/>
      <c r="E224" s="24"/>
      <c r="F224" s="71"/>
      <c r="G224" s="72"/>
      <c r="H224" s="73"/>
      <c r="I224" s="72"/>
      <c r="J224" s="71"/>
      <c r="K224" s="72"/>
      <c r="L224" s="72"/>
      <c r="M224" s="72"/>
      <c r="N224" s="74"/>
      <c r="O224" s="71"/>
      <c r="P224" s="72"/>
      <c r="Q224" s="72"/>
      <c r="R224" s="72"/>
      <c r="S224" s="74"/>
      <c r="T224" s="75"/>
    </row>
    <row r="225" spans="1:20" x14ac:dyDescent="0.35">
      <c r="A225" s="17"/>
      <c r="B225" s="18"/>
      <c r="C225" s="13"/>
      <c r="D225" s="31"/>
      <c r="E225" s="24"/>
      <c r="F225" s="71"/>
      <c r="G225" s="72"/>
      <c r="H225" s="73"/>
      <c r="I225" s="72"/>
      <c r="J225" s="71"/>
      <c r="K225" s="72"/>
      <c r="L225" s="72"/>
      <c r="M225" s="72"/>
      <c r="N225" s="74"/>
      <c r="O225" s="71"/>
      <c r="P225" s="72"/>
      <c r="Q225" s="72"/>
      <c r="R225" s="72"/>
      <c r="S225" s="74"/>
      <c r="T225" s="75"/>
    </row>
    <row r="226" spans="1:20" x14ac:dyDescent="0.35">
      <c r="A226" s="17"/>
      <c r="B226" s="18"/>
      <c r="C226" s="13"/>
      <c r="D226" s="31"/>
      <c r="E226" s="24"/>
      <c r="F226" s="71"/>
      <c r="G226" s="72"/>
      <c r="H226" s="73"/>
      <c r="I226" s="72"/>
      <c r="J226" s="71"/>
      <c r="K226" s="72"/>
      <c r="L226" s="72"/>
      <c r="M226" s="72"/>
      <c r="N226" s="74"/>
      <c r="O226" s="71"/>
      <c r="P226" s="72"/>
      <c r="Q226" s="72"/>
      <c r="R226" s="72"/>
      <c r="S226" s="74"/>
      <c r="T226" s="75"/>
    </row>
    <row r="227" spans="1:20" x14ac:dyDescent="0.35">
      <c r="A227" s="17"/>
      <c r="B227" s="18"/>
      <c r="C227" s="13"/>
      <c r="D227" s="31"/>
      <c r="E227" s="24"/>
      <c r="F227" s="71"/>
      <c r="G227" s="72"/>
      <c r="H227" s="73"/>
      <c r="I227" s="72"/>
      <c r="J227" s="71"/>
      <c r="K227" s="72"/>
      <c r="L227" s="72"/>
      <c r="M227" s="72"/>
      <c r="N227" s="74"/>
      <c r="O227" s="71"/>
      <c r="P227" s="72"/>
      <c r="Q227" s="72"/>
      <c r="R227" s="72"/>
      <c r="S227" s="74"/>
      <c r="T227" s="75"/>
    </row>
    <row r="228" spans="1:20" x14ac:dyDescent="0.35">
      <c r="A228" s="17"/>
      <c r="B228" s="18"/>
      <c r="C228" s="13"/>
      <c r="D228" s="31"/>
      <c r="E228" s="24"/>
      <c r="F228" s="71"/>
      <c r="G228" s="72"/>
      <c r="H228" s="73"/>
      <c r="I228" s="72"/>
      <c r="J228" s="71"/>
      <c r="K228" s="72"/>
      <c r="L228" s="72"/>
      <c r="M228" s="72"/>
      <c r="N228" s="74"/>
      <c r="O228" s="71"/>
      <c r="P228" s="72"/>
      <c r="Q228" s="72"/>
      <c r="R228" s="72"/>
      <c r="S228" s="74"/>
      <c r="T228" s="75"/>
    </row>
    <row r="229" spans="1:20" x14ac:dyDescent="0.35">
      <c r="A229" s="17"/>
      <c r="B229" s="18"/>
      <c r="C229" s="13"/>
      <c r="D229" s="31"/>
      <c r="E229" s="24"/>
      <c r="F229" s="71"/>
      <c r="G229" s="72"/>
      <c r="H229" s="73"/>
      <c r="I229" s="72"/>
      <c r="J229" s="71"/>
      <c r="K229" s="72"/>
      <c r="L229" s="72"/>
      <c r="M229" s="72"/>
      <c r="N229" s="74"/>
      <c r="O229" s="71"/>
      <c r="P229" s="72"/>
      <c r="Q229" s="72"/>
      <c r="R229" s="72"/>
      <c r="S229" s="74"/>
      <c r="T229" s="75"/>
    </row>
    <row r="230" spans="1:20" x14ac:dyDescent="0.35">
      <c r="A230" s="17"/>
      <c r="B230" s="18"/>
      <c r="C230" s="13"/>
      <c r="D230" s="31"/>
      <c r="E230" s="24"/>
      <c r="F230" s="71"/>
      <c r="G230" s="72"/>
      <c r="H230" s="73"/>
      <c r="I230" s="72"/>
      <c r="J230" s="71"/>
      <c r="K230" s="72"/>
      <c r="L230" s="72"/>
      <c r="M230" s="72"/>
      <c r="N230" s="74"/>
      <c r="O230" s="71"/>
      <c r="P230" s="72"/>
      <c r="Q230" s="72"/>
      <c r="R230" s="72"/>
      <c r="S230" s="74"/>
      <c r="T230" s="75"/>
    </row>
    <row r="231" spans="1:20" x14ac:dyDescent="0.35">
      <c r="A231" s="17"/>
      <c r="B231" s="18"/>
      <c r="C231" s="13"/>
      <c r="D231" s="31"/>
      <c r="E231" s="24"/>
      <c r="F231" s="71"/>
      <c r="G231" s="72"/>
      <c r="H231" s="73"/>
      <c r="I231" s="72"/>
      <c r="J231" s="71"/>
      <c r="K231" s="72"/>
      <c r="L231" s="72"/>
      <c r="M231" s="72"/>
      <c r="N231" s="74"/>
      <c r="O231" s="71"/>
      <c r="P231" s="72"/>
      <c r="Q231" s="72"/>
      <c r="R231" s="72"/>
      <c r="S231" s="74"/>
      <c r="T231" s="75"/>
    </row>
    <row r="232" spans="1:20" x14ac:dyDescent="0.35">
      <c r="A232" s="17"/>
      <c r="B232" s="18"/>
      <c r="C232" s="13"/>
      <c r="D232" s="31"/>
      <c r="E232" s="24"/>
      <c r="F232" s="71"/>
      <c r="G232" s="72"/>
      <c r="H232" s="73"/>
      <c r="I232" s="72"/>
      <c r="J232" s="71"/>
      <c r="K232" s="72"/>
      <c r="L232" s="72"/>
      <c r="M232" s="72"/>
      <c r="N232" s="74"/>
      <c r="O232" s="71"/>
      <c r="P232" s="72"/>
      <c r="Q232" s="72"/>
      <c r="R232" s="72"/>
      <c r="S232" s="74"/>
      <c r="T232" s="75"/>
    </row>
    <row r="233" spans="1:20" x14ac:dyDescent="0.35">
      <c r="A233" s="17"/>
      <c r="B233" s="18"/>
      <c r="C233" s="13"/>
      <c r="D233" s="31"/>
      <c r="E233" s="24"/>
      <c r="F233" s="71"/>
      <c r="G233" s="72"/>
      <c r="H233" s="73"/>
      <c r="I233" s="72"/>
      <c r="J233" s="71"/>
      <c r="K233" s="72"/>
      <c r="L233" s="72"/>
      <c r="M233" s="72"/>
      <c r="N233" s="74"/>
      <c r="O233" s="71"/>
      <c r="P233" s="72"/>
      <c r="Q233" s="72"/>
      <c r="R233" s="72"/>
      <c r="S233" s="74"/>
      <c r="T233" s="75"/>
    </row>
    <row r="234" spans="1:20" x14ac:dyDescent="0.35">
      <c r="A234" s="17"/>
      <c r="B234" s="18"/>
      <c r="C234" s="13"/>
      <c r="D234" s="31"/>
      <c r="E234" s="24"/>
      <c r="F234" s="71"/>
      <c r="G234" s="72"/>
      <c r="H234" s="73"/>
      <c r="I234" s="72"/>
      <c r="J234" s="71"/>
      <c r="K234" s="72"/>
      <c r="L234" s="72"/>
      <c r="M234" s="72"/>
      <c r="N234" s="74"/>
      <c r="O234" s="71"/>
      <c r="P234" s="72"/>
      <c r="Q234" s="72"/>
      <c r="R234" s="72"/>
      <c r="S234" s="74"/>
      <c r="T234" s="75"/>
    </row>
    <row r="235" spans="1:20" x14ac:dyDescent="0.35">
      <c r="A235" s="17"/>
      <c r="B235" s="18"/>
      <c r="C235" s="13"/>
      <c r="D235" s="31"/>
      <c r="E235" s="24"/>
      <c r="F235" s="71"/>
      <c r="G235" s="72"/>
      <c r="H235" s="73"/>
      <c r="I235" s="72"/>
      <c r="J235" s="71"/>
      <c r="K235" s="72"/>
      <c r="L235" s="72"/>
      <c r="M235" s="72"/>
      <c r="N235" s="74"/>
      <c r="O235" s="71"/>
      <c r="P235" s="72"/>
      <c r="Q235" s="72"/>
      <c r="R235" s="72"/>
      <c r="S235" s="74"/>
      <c r="T235" s="75"/>
    </row>
    <row r="236" spans="1:20" x14ac:dyDescent="0.35">
      <c r="A236" s="17"/>
      <c r="B236" s="18"/>
      <c r="C236" s="13"/>
      <c r="D236" s="31"/>
      <c r="E236" s="24"/>
      <c r="F236" s="71"/>
      <c r="G236" s="72"/>
      <c r="H236" s="73"/>
      <c r="I236" s="72"/>
      <c r="J236" s="71"/>
      <c r="K236" s="72"/>
      <c r="L236" s="72"/>
      <c r="M236" s="72"/>
      <c r="N236" s="74"/>
      <c r="O236" s="71"/>
      <c r="P236" s="72"/>
      <c r="Q236" s="72"/>
      <c r="R236" s="72"/>
      <c r="S236" s="74"/>
      <c r="T236" s="75"/>
    </row>
    <row r="237" spans="1:20" x14ac:dyDescent="0.35">
      <c r="A237" s="17"/>
      <c r="B237" s="18"/>
      <c r="C237" s="13"/>
      <c r="D237" s="31"/>
      <c r="E237" s="24"/>
      <c r="F237" s="71"/>
      <c r="G237" s="72"/>
      <c r="H237" s="73"/>
      <c r="I237" s="72"/>
      <c r="J237" s="71"/>
      <c r="K237" s="72"/>
      <c r="L237" s="72"/>
      <c r="M237" s="72"/>
      <c r="N237" s="74"/>
      <c r="O237" s="71"/>
      <c r="P237" s="72"/>
      <c r="Q237" s="72"/>
      <c r="R237" s="72"/>
      <c r="S237" s="74"/>
      <c r="T237" s="75"/>
    </row>
    <row r="238" spans="1:20" x14ac:dyDescent="0.35">
      <c r="A238" s="17"/>
      <c r="B238" s="18"/>
      <c r="C238" s="13"/>
      <c r="D238" s="31"/>
      <c r="E238" s="24"/>
      <c r="F238" s="71"/>
      <c r="G238" s="72"/>
      <c r="H238" s="73"/>
      <c r="I238" s="72"/>
      <c r="J238" s="71"/>
      <c r="K238" s="72"/>
      <c r="L238" s="72"/>
      <c r="M238" s="72"/>
      <c r="N238" s="74"/>
      <c r="O238" s="71"/>
      <c r="P238" s="72"/>
      <c r="Q238" s="72"/>
      <c r="R238" s="72"/>
      <c r="S238" s="74"/>
      <c r="T238" s="75"/>
    </row>
    <row r="239" spans="1:20" x14ac:dyDescent="0.35">
      <c r="A239" s="17"/>
      <c r="B239" s="18"/>
      <c r="C239" s="13"/>
      <c r="D239" s="31"/>
      <c r="E239" s="24"/>
      <c r="F239" s="71"/>
      <c r="G239" s="72"/>
      <c r="H239" s="73"/>
      <c r="I239" s="72"/>
      <c r="J239" s="71"/>
      <c r="K239" s="72"/>
      <c r="L239" s="72"/>
      <c r="M239" s="72"/>
      <c r="N239" s="74"/>
      <c r="O239" s="71"/>
      <c r="P239" s="72"/>
      <c r="Q239" s="72"/>
      <c r="R239" s="72"/>
      <c r="S239" s="74"/>
      <c r="T239" s="75"/>
    </row>
    <row r="240" spans="1:20" x14ac:dyDescent="0.35">
      <c r="A240" s="17"/>
      <c r="B240" s="18"/>
      <c r="C240" s="13"/>
      <c r="D240" s="31"/>
      <c r="E240" s="24"/>
      <c r="F240" s="71"/>
      <c r="G240" s="72"/>
      <c r="H240" s="73"/>
      <c r="I240" s="72"/>
      <c r="J240" s="71"/>
      <c r="K240" s="72"/>
      <c r="L240" s="72"/>
      <c r="M240" s="72"/>
      <c r="N240" s="74"/>
      <c r="O240" s="71"/>
      <c r="P240" s="72"/>
      <c r="Q240" s="72"/>
      <c r="R240" s="72"/>
      <c r="S240" s="74"/>
      <c r="T240" s="75"/>
    </row>
    <row r="241" spans="1:20" x14ac:dyDescent="0.35">
      <c r="A241" s="17"/>
      <c r="B241" s="18"/>
      <c r="C241" s="13"/>
      <c r="D241" s="31"/>
      <c r="E241" s="24"/>
      <c r="F241" s="71"/>
      <c r="G241" s="72"/>
      <c r="H241" s="73"/>
      <c r="I241" s="72"/>
      <c r="J241" s="71"/>
      <c r="K241" s="72"/>
      <c r="L241" s="72"/>
      <c r="M241" s="72"/>
      <c r="N241" s="74"/>
      <c r="O241" s="71"/>
      <c r="P241" s="72"/>
      <c r="Q241" s="72"/>
      <c r="R241" s="72"/>
      <c r="S241" s="74"/>
      <c r="T241" s="75"/>
    </row>
    <row r="242" spans="1:20" x14ac:dyDescent="0.35">
      <c r="A242" s="17"/>
      <c r="B242" s="18"/>
      <c r="C242" s="13"/>
      <c r="D242" s="31"/>
      <c r="E242" s="24"/>
      <c r="F242" s="71"/>
      <c r="G242" s="72"/>
      <c r="H242" s="73"/>
      <c r="I242" s="72"/>
      <c r="J242" s="71"/>
      <c r="K242" s="72"/>
      <c r="L242" s="72"/>
      <c r="M242" s="72"/>
      <c r="N242" s="74"/>
      <c r="O242" s="71"/>
      <c r="P242" s="72"/>
      <c r="Q242" s="72"/>
      <c r="R242" s="72"/>
      <c r="S242" s="74"/>
      <c r="T242" s="75"/>
    </row>
    <row r="243" spans="1:20" x14ac:dyDescent="0.35">
      <c r="A243" s="17"/>
      <c r="B243" s="18"/>
      <c r="C243" s="13"/>
      <c r="D243" s="31"/>
      <c r="E243" s="24"/>
      <c r="F243" s="71"/>
      <c r="G243" s="72"/>
      <c r="H243" s="73"/>
      <c r="I243" s="72"/>
      <c r="J243" s="71"/>
      <c r="K243" s="72"/>
      <c r="L243" s="72"/>
      <c r="M243" s="72"/>
      <c r="N243" s="74"/>
      <c r="O243" s="71"/>
      <c r="P243" s="72"/>
      <c r="Q243" s="72"/>
      <c r="R243" s="72"/>
      <c r="S243" s="74"/>
      <c r="T243" s="75"/>
    </row>
    <row r="244" spans="1:20" x14ac:dyDescent="0.35">
      <c r="A244" s="17"/>
      <c r="B244" s="18"/>
      <c r="C244" s="13"/>
      <c r="D244" s="31"/>
      <c r="E244" s="24"/>
      <c r="F244" s="71"/>
      <c r="G244" s="72"/>
      <c r="H244" s="73"/>
      <c r="I244" s="72"/>
      <c r="J244" s="71"/>
      <c r="K244" s="72"/>
      <c r="L244" s="72"/>
      <c r="M244" s="72"/>
      <c r="N244" s="74"/>
      <c r="O244" s="71"/>
      <c r="P244" s="72"/>
      <c r="Q244" s="72"/>
      <c r="R244" s="72"/>
      <c r="S244" s="74"/>
      <c r="T244" s="75"/>
    </row>
    <row r="245" spans="1:20" x14ac:dyDescent="0.35">
      <c r="A245" s="17"/>
      <c r="B245" s="18"/>
      <c r="C245" s="13"/>
      <c r="D245" s="31"/>
      <c r="E245" s="24"/>
      <c r="F245" s="71"/>
      <c r="G245" s="72"/>
      <c r="H245" s="73"/>
      <c r="I245" s="72"/>
      <c r="J245" s="71"/>
      <c r="K245" s="72"/>
      <c r="L245" s="72"/>
      <c r="M245" s="72"/>
      <c r="N245" s="74"/>
      <c r="O245" s="71"/>
      <c r="P245" s="72"/>
      <c r="Q245" s="72"/>
      <c r="R245" s="72"/>
      <c r="S245" s="74"/>
      <c r="T245" s="75"/>
    </row>
    <row r="246" spans="1:20" x14ac:dyDescent="0.35">
      <c r="A246" s="17"/>
      <c r="B246" s="18"/>
      <c r="C246" s="13"/>
      <c r="D246" s="31"/>
      <c r="E246" s="24"/>
      <c r="F246" s="71"/>
      <c r="G246" s="72"/>
      <c r="H246" s="73"/>
      <c r="I246" s="72"/>
      <c r="J246" s="71"/>
      <c r="K246" s="72"/>
      <c r="L246" s="72"/>
      <c r="M246" s="72"/>
      <c r="N246" s="74"/>
      <c r="O246" s="71"/>
      <c r="P246" s="72"/>
      <c r="Q246" s="72"/>
      <c r="R246" s="72"/>
      <c r="S246" s="74"/>
      <c r="T246" s="75"/>
    </row>
    <row r="247" spans="1:20" x14ac:dyDescent="0.35">
      <c r="A247" s="17"/>
      <c r="B247" s="18"/>
      <c r="C247" s="13"/>
      <c r="D247" s="31"/>
      <c r="E247" s="24"/>
      <c r="F247" s="71"/>
      <c r="G247" s="72"/>
      <c r="H247" s="73"/>
      <c r="I247" s="72"/>
      <c r="J247" s="71"/>
      <c r="K247" s="72"/>
      <c r="L247" s="72"/>
      <c r="M247" s="72"/>
      <c r="N247" s="74"/>
      <c r="O247" s="71"/>
      <c r="P247" s="72"/>
      <c r="Q247" s="72"/>
      <c r="R247" s="72"/>
      <c r="S247" s="74"/>
      <c r="T247" s="75"/>
    </row>
    <row r="248" spans="1:20" x14ac:dyDescent="0.35">
      <c r="A248" s="17"/>
      <c r="B248" s="18"/>
      <c r="C248" s="13"/>
      <c r="D248" s="31"/>
      <c r="E248" s="24"/>
      <c r="F248" s="71"/>
      <c r="G248" s="72"/>
      <c r="H248" s="73"/>
      <c r="I248" s="72"/>
      <c r="J248" s="71"/>
      <c r="K248" s="72"/>
      <c r="L248" s="72"/>
      <c r="M248" s="72"/>
      <c r="N248" s="74"/>
      <c r="O248" s="71"/>
      <c r="P248" s="72"/>
      <c r="Q248" s="72"/>
      <c r="R248" s="72"/>
      <c r="S248" s="74"/>
      <c r="T248" s="75"/>
    </row>
    <row r="249" spans="1:20" x14ac:dyDescent="0.35">
      <c r="A249" s="17"/>
      <c r="B249" s="18"/>
      <c r="C249" s="13"/>
      <c r="D249" s="31"/>
      <c r="E249" s="24"/>
      <c r="F249" s="71"/>
      <c r="G249" s="72"/>
      <c r="H249" s="73"/>
      <c r="I249" s="72"/>
      <c r="J249" s="71"/>
      <c r="K249" s="72"/>
      <c r="L249" s="72"/>
      <c r="M249" s="72"/>
      <c r="N249" s="74"/>
      <c r="O249" s="71"/>
      <c r="P249" s="72"/>
      <c r="Q249" s="72"/>
      <c r="R249" s="72"/>
      <c r="S249" s="74"/>
      <c r="T249" s="75"/>
    </row>
    <row r="250" spans="1:20" x14ac:dyDescent="0.35">
      <c r="A250" s="17"/>
      <c r="B250" s="18"/>
      <c r="C250" s="13"/>
      <c r="D250" s="31"/>
      <c r="E250" s="24"/>
      <c r="F250" s="71"/>
      <c r="G250" s="72"/>
      <c r="H250" s="73"/>
      <c r="I250" s="72"/>
      <c r="J250" s="71"/>
      <c r="K250" s="72"/>
      <c r="L250" s="72"/>
      <c r="M250" s="72"/>
      <c r="N250" s="74"/>
      <c r="O250" s="71"/>
      <c r="P250" s="72"/>
      <c r="Q250" s="72"/>
      <c r="R250" s="72"/>
      <c r="S250" s="74"/>
      <c r="T250" s="75"/>
    </row>
    <row r="251" spans="1:20" x14ac:dyDescent="0.35">
      <c r="A251" s="17"/>
      <c r="B251" s="18"/>
      <c r="C251" s="13"/>
      <c r="D251" s="31"/>
      <c r="E251" s="24"/>
      <c r="F251" s="71"/>
      <c r="G251" s="72"/>
      <c r="H251" s="73"/>
      <c r="I251" s="72"/>
      <c r="J251" s="71"/>
      <c r="K251" s="72"/>
      <c r="L251" s="72"/>
      <c r="M251" s="72"/>
      <c r="N251" s="74"/>
      <c r="O251" s="71"/>
      <c r="P251" s="72"/>
      <c r="Q251" s="72"/>
      <c r="R251" s="72"/>
      <c r="S251" s="74"/>
      <c r="T251" s="75"/>
    </row>
    <row r="252" spans="1:20" x14ac:dyDescent="0.35">
      <c r="A252" s="17"/>
      <c r="B252" s="18"/>
      <c r="C252" s="13"/>
      <c r="D252" s="31"/>
      <c r="E252" s="24"/>
      <c r="F252" s="71"/>
      <c r="G252" s="72"/>
      <c r="H252" s="73"/>
      <c r="I252" s="72"/>
      <c r="J252" s="71"/>
      <c r="K252" s="72"/>
      <c r="L252" s="72"/>
      <c r="M252" s="72"/>
      <c r="N252" s="74"/>
      <c r="O252" s="71"/>
      <c r="P252" s="72"/>
      <c r="Q252" s="72"/>
      <c r="R252" s="72"/>
      <c r="S252" s="74"/>
      <c r="T252" s="75"/>
    </row>
    <row r="253" spans="1:20" x14ac:dyDescent="0.35">
      <c r="A253" s="17"/>
      <c r="B253" s="18"/>
      <c r="C253" s="13"/>
      <c r="D253" s="31"/>
      <c r="E253" s="24"/>
      <c r="F253" s="71"/>
      <c r="G253" s="72"/>
      <c r="H253" s="73"/>
      <c r="I253" s="72"/>
      <c r="J253" s="71"/>
      <c r="K253" s="72"/>
      <c r="L253" s="72"/>
      <c r="M253" s="72"/>
      <c r="N253" s="74"/>
      <c r="O253" s="71"/>
      <c r="P253" s="72"/>
      <c r="Q253" s="72"/>
      <c r="R253" s="72"/>
      <c r="S253" s="74"/>
      <c r="T253" s="75"/>
    </row>
    <row r="254" spans="1:20" x14ac:dyDescent="0.35">
      <c r="A254" s="17"/>
      <c r="B254" s="18"/>
      <c r="C254" s="13"/>
      <c r="D254" s="31"/>
      <c r="E254" s="24"/>
      <c r="F254" s="71"/>
      <c r="G254" s="72"/>
      <c r="H254" s="73"/>
      <c r="I254" s="72"/>
      <c r="J254" s="71"/>
      <c r="K254" s="72"/>
      <c r="L254" s="72"/>
      <c r="M254" s="72"/>
      <c r="N254" s="74"/>
      <c r="O254" s="71"/>
      <c r="P254" s="72"/>
      <c r="Q254" s="72"/>
      <c r="R254" s="72"/>
      <c r="S254" s="74"/>
      <c r="T254" s="75"/>
    </row>
    <row r="255" spans="1:20" x14ac:dyDescent="0.35">
      <c r="A255" s="17"/>
      <c r="B255" s="18"/>
      <c r="C255" s="13"/>
      <c r="D255" s="31"/>
      <c r="E255" s="24"/>
      <c r="F255" s="71"/>
      <c r="G255" s="72"/>
      <c r="H255" s="73"/>
      <c r="I255" s="72"/>
      <c r="J255" s="71"/>
      <c r="K255" s="72"/>
      <c r="L255" s="72"/>
      <c r="M255" s="72"/>
      <c r="N255" s="74"/>
      <c r="O255" s="71"/>
      <c r="P255" s="72"/>
      <c r="Q255" s="72"/>
      <c r="R255" s="72"/>
      <c r="S255" s="74"/>
      <c r="T255" s="75"/>
    </row>
    <row r="256" spans="1:20" x14ac:dyDescent="0.35">
      <c r="A256" s="17"/>
      <c r="B256" s="18"/>
      <c r="C256" s="13"/>
      <c r="D256" s="31"/>
      <c r="E256" s="24"/>
      <c r="F256" s="71"/>
      <c r="G256" s="72"/>
      <c r="H256" s="73"/>
      <c r="I256" s="72"/>
      <c r="J256" s="71"/>
      <c r="K256" s="72"/>
      <c r="L256" s="72"/>
      <c r="M256" s="72"/>
      <c r="N256" s="74"/>
      <c r="O256" s="71"/>
      <c r="P256" s="72"/>
      <c r="Q256" s="72"/>
      <c r="R256" s="72"/>
      <c r="S256" s="74"/>
      <c r="T256" s="75"/>
    </row>
    <row r="257" spans="1:20" x14ac:dyDescent="0.35">
      <c r="A257" s="17"/>
      <c r="B257" s="18"/>
      <c r="C257" s="13"/>
      <c r="D257" s="31"/>
      <c r="E257" s="24"/>
      <c r="F257" s="71"/>
      <c r="G257" s="72"/>
      <c r="H257" s="73"/>
      <c r="I257" s="72"/>
      <c r="J257" s="71"/>
      <c r="K257" s="72"/>
      <c r="L257" s="72"/>
      <c r="M257" s="72"/>
      <c r="N257" s="74"/>
      <c r="O257" s="71"/>
      <c r="P257" s="72"/>
      <c r="Q257" s="72"/>
      <c r="R257" s="72"/>
      <c r="S257" s="74"/>
      <c r="T257" s="75"/>
    </row>
    <row r="258" spans="1:20" x14ac:dyDescent="0.35">
      <c r="A258" s="17"/>
      <c r="B258" s="18"/>
      <c r="C258" s="13"/>
      <c r="D258" s="31"/>
      <c r="E258" s="24"/>
      <c r="F258" s="71"/>
      <c r="G258" s="72"/>
      <c r="H258" s="73"/>
      <c r="I258" s="72"/>
      <c r="J258" s="71"/>
      <c r="K258" s="72"/>
      <c r="L258" s="72"/>
      <c r="M258" s="72"/>
      <c r="N258" s="74"/>
      <c r="O258" s="71"/>
      <c r="P258" s="72"/>
      <c r="Q258" s="72"/>
      <c r="R258" s="72"/>
      <c r="S258" s="74"/>
      <c r="T258" s="75"/>
    </row>
    <row r="259" spans="1:20" x14ac:dyDescent="0.35">
      <c r="A259" s="17"/>
      <c r="B259" s="18"/>
      <c r="C259" s="13"/>
      <c r="D259" s="31"/>
      <c r="E259" s="24"/>
      <c r="F259" s="71"/>
      <c r="G259" s="72"/>
      <c r="H259" s="73"/>
      <c r="I259" s="72"/>
      <c r="J259" s="71"/>
      <c r="K259" s="72"/>
      <c r="L259" s="72"/>
      <c r="M259" s="72"/>
      <c r="N259" s="74"/>
      <c r="O259" s="71"/>
      <c r="P259" s="72"/>
      <c r="Q259" s="72"/>
      <c r="R259" s="72"/>
      <c r="S259" s="74"/>
      <c r="T259" s="75"/>
    </row>
    <row r="260" spans="1:20" x14ac:dyDescent="0.35">
      <c r="A260" s="17"/>
      <c r="B260" s="18"/>
      <c r="C260" s="13"/>
      <c r="D260" s="31"/>
      <c r="E260" s="24"/>
      <c r="F260" s="71"/>
      <c r="G260" s="72"/>
      <c r="H260" s="73"/>
      <c r="I260" s="72"/>
      <c r="J260" s="71"/>
      <c r="K260" s="72"/>
      <c r="L260" s="72"/>
      <c r="M260" s="72"/>
      <c r="N260" s="74"/>
      <c r="O260" s="71"/>
      <c r="P260" s="72"/>
      <c r="Q260" s="72"/>
      <c r="R260" s="72"/>
      <c r="S260" s="74"/>
      <c r="T260" s="75"/>
    </row>
    <row r="261" spans="1:20" x14ac:dyDescent="0.35">
      <c r="A261" s="17"/>
      <c r="B261" s="18"/>
      <c r="C261" s="13"/>
      <c r="D261" s="31"/>
      <c r="E261" s="24"/>
      <c r="F261" s="71"/>
      <c r="G261" s="72"/>
      <c r="H261" s="73"/>
      <c r="I261" s="72"/>
      <c r="J261" s="71"/>
      <c r="K261" s="72"/>
      <c r="L261" s="72"/>
      <c r="M261" s="72"/>
      <c r="N261" s="74"/>
      <c r="O261" s="71"/>
      <c r="P261" s="72"/>
      <c r="Q261" s="72"/>
      <c r="R261" s="72"/>
      <c r="S261" s="74"/>
      <c r="T261" s="75"/>
    </row>
    <row r="262" spans="1:20" x14ac:dyDescent="0.35">
      <c r="A262" s="17"/>
      <c r="B262" s="18"/>
      <c r="C262" s="13"/>
      <c r="D262" s="31"/>
      <c r="E262" s="24"/>
      <c r="F262" s="71"/>
      <c r="G262" s="72"/>
      <c r="H262" s="73"/>
      <c r="I262" s="72"/>
      <c r="J262" s="71"/>
      <c r="K262" s="72"/>
      <c r="L262" s="72"/>
      <c r="M262" s="72"/>
      <c r="N262" s="74"/>
      <c r="O262" s="71"/>
      <c r="P262" s="72"/>
      <c r="Q262" s="72"/>
      <c r="R262" s="72"/>
      <c r="S262" s="74"/>
      <c r="T262" s="75"/>
    </row>
    <row r="263" spans="1:20" x14ac:dyDescent="0.35">
      <c r="A263" s="17"/>
      <c r="B263" s="18"/>
      <c r="C263" s="13"/>
      <c r="D263" s="31"/>
      <c r="E263" s="24"/>
      <c r="F263" s="71"/>
      <c r="G263" s="72"/>
      <c r="H263" s="73"/>
      <c r="I263" s="72"/>
      <c r="J263" s="71"/>
      <c r="K263" s="72"/>
      <c r="L263" s="72"/>
      <c r="M263" s="72"/>
      <c r="N263" s="74"/>
      <c r="O263" s="71"/>
      <c r="P263" s="72"/>
      <c r="Q263" s="72"/>
      <c r="R263" s="72"/>
      <c r="S263" s="74"/>
      <c r="T263" s="75"/>
    </row>
    <row r="264" spans="1:20" x14ac:dyDescent="0.35">
      <c r="A264" s="17"/>
      <c r="B264" s="18"/>
      <c r="C264" s="13"/>
      <c r="D264" s="31"/>
      <c r="E264" s="24"/>
      <c r="F264" s="71"/>
      <c r="G264" s="72"/>
      <c r="H264" s="73"/>
      <c r="I264" s="72"/>
      <c r="J264" s="71"/>
      <c r="K264" s="72"/>
      <c r="L264" s="72"/>
      <c r="M264" s="72"/>
      <c r="N264" s="74"/>
      <c r="O264" s="71"/>
      <c r="P264" s="72"/>
      <c r="Q264" s="72"/>
      <c r="R264" s="72"/>
      <c r="S264" s="74"/>
      <c r="T264" s="75"/>
    </row>
    <row r="265" spans="1:20" x14ac:dyDescent="0.35">
      <c r="A265" s="17"/>
      <c r="B265" s="18"/>
      <c r="C265" s="13"/>
      <c r="D265" s="31"/>
      <c r="E265" s="24"/>
      <c r="F265" s="71"/>
      <c r="G265" s="72"/>
      <c r="H265" s="73"/>
      <c r="I265" s="72"/>
      <c r="J265" s="71"/>
      <c r="K265" s="72"/>
      <c r="L265" s="72"/>
      <c r="M265" s="72"/>
      <c r="N265" s="74"/>
      <c r="O265" s="71"/>
      <c r="P265" s="72"/>
      <c r="Q265" s="72"/>
      <c r="R265" s="72"/>
      <c r="S265" s="74"/>
      <c r="T265" s="75"/>
    </row>
    <row r="266" spans="1:20" x14ac:dyDescent="0.35">
      <c r="A266" s="17"/>
      <c r="B266" s="18"/>
      <c r="C266" s="13"/>
      <c r="D266" s="31"/>
      <c r="E266" s="24"/>
      <c r="F266" s="71"/>
      <c r="G266" s="72"/>
      <c r="H266" s="73"/>
      <c r="I266" s="72"/>
      <c r="J266" s="71"/>
      <c r="K266" s="72"/>
      <c r="L266" s="72"/>
      <c r="M266" s="72"/>
      <c r="N266" s="74"/>
      <c r="O266" s="71"/>
      <c r="P266" s="72"/>
      <c r="Q266" s="72"/>
      <c r="R266" s="72"/>
      <c r="S266" s="74"/>
      <c r="T266" s="75"/>
    </row>
    <row r="267" spans="1:20" x14ac:dyDescent="0.35">
      <c r="A267" s="17"/>
      <c r="B267" s="18"/>
      <c r="C267" s="13"/>
      <c r="D267" s="31"/>
      <c r="E267" s="24"/>
      <c r="F267" s="71"/>
      <c r="G267" s="72"/>
      <c r="H267" s="73"/>
      <c r="I267" s="72"/>
      <c r="J267" s="71"/>
      <c r="K267" s="72"/>
      <c r="L267" s="72"/>
      <c r="M267" s="72"/>
      <c r="N267" s="74"/>
      <c r="O267" s="71"/>
      <c r="P267" s="72"/>
      <c r="Q267" s="72"/>
      <c r="R267" s="72"/>
      <c r="S267" s="74"/>
      <c r="T267" s="75"/>
    </row>
    <row r="268" spans="1:20" x14ac:dyDescent="0.35">
      <c r="A268" s="17"/>
      <c r="B268" s="18"/>
      <c r="C268" s="13"/>
      <c r="D268" s="31"/>
      <c r="E268" s="24"/>
      <c r="F268" s="71"/>
      <c r="G268" s="72"/>
      <c r="H268" s="73"/>
      <c r="I268" s="72"/>
      <c r="J268" s="71"/>
      <c r="K268" s="72"/>
      <c r="L268" s="72"/>
      <c r="M268" s="72"/>
      <c r="N268" s="74"/>
      <c r="O268" s="71"/>
      <c r="P268" s="72"/>
      <c r="Q268" s="72"/>
      <c r="R268" s="72"/>
      <c r="S268" s="74"/>
      <c r="T268" s="75"/>
    </row>
    <row r="269" spans="1:20" x14ac:dyDescent="0.35">
      <c r="A269" s="17"/>
      <c r="B269" s="18"/>
      <c r="C269" s="13"/>
      <c r="D269" s="31"/>
      <c r="E269" s="24"/>
      <c r="F269" s="71"/>
      <c r="G269" s="72"/>
      <c r="H269" s="73"/>
      <c r="I269" s="72"/>
      <c r="J269" s="71"/>
      <c r="K269" s="72"/>
      <c r="L269" s="72"/>
      <c r="M269" s="72"/>
      <c r="N269" s="74"/>
      <c r="O269" s="71"/>
      <c r="P269" s="72"/>
      <c r="Q269" s="72"/>
      <c r="R269" s="72"/>
      <c r="S269" s="74"/>
      <c r="T269" s="75"/>
    </row>
    <row r="270" spans="1:20" x14ac:dyDescent="0.35">
      <c r="A270" s="17"/>
      <c r="B270" s="18"/>
      <c r="C270" s="13"/>
      <c r="D270" s="31"/>
      <c r="E270" s="24"/>
      <c r="F270" s="71"/>
      <c r="G270" s="72"/>
      <c r="H270" s="73"/>
      <c r="I270" s="72"/>
      <c r="J270" s="71"/>
      <c r="K270" s="72"/>
      <c r="L270" s="72"/>
      <c r="M270" s="72"/>
      <c r="N270" s="74"/>
      <c r="O270" s="71"/>
      <c r="P270" s="72"/>
      <c r="Q270" s="72"/>
      <c r="R270" s="72"/>
      <c r="S270" s="74"/>
      <c r="T270" s="75"/>
    </row>
    <row r="271" spans="1:20" x14ac:dyDescent="0.35">
      <c r="A271" s="17"/>
      <c r="B271" s="18"/>
      <c r="C271" s="13"/>
      <c r="D271" s="31"/>
      <c r="E271" s="24"/>
      <c r="F271" s="71"/>
      <c r="G271" s="72"/>
      <c r="H271" s="73"/>
      <c r="I271" s="72"/>
      <c r="J271" s="71"/>
      <c r="K271" s="72"/>
      <c r="L271" s="72"/>
      <c r="M271" s="72"/>
      <c r="N271" s="74"/>
      <c r="O271" s="71"/>
      <c r="P271" s="72"/>
      <c r="Q271" s="72"/>
      <c r="R271" s="72"/>
      <c r="S271" s="74"/>
      <c r="T271" s="75"/>
    </row>
    <row r="272" spans="1:20" x14ac:dyDescent="0.35">
      <c r="A272" s="17"/>
      <c r="B272" s="18"/>
      <c r="C272" s="13"/>
      <c r="D272" s="31"/>
      <c r="E272" s="24"/>
      <c r="F272" s="71"/>
      <c r="G272" s="72"/>
      <c r="H272" s="73"/>
      <c r="I272" s="72"/>
      <c r="J272" s="71"/>
      <c r="K272" s="72"/>
      <c r="L272" s="72"/>
      <c r="M272" s="72"/>
      <c r="N272" s="74"/>
      <c r="O272" s="71"/>
      <c r="P272" s="72"/>
      <c r="Q272" s="72"/>
      <c r="R272" s="72"/>
      <c r="S272" s="74"/>
      <c r="T272" s="75"/>
    </row>
    <row r="273" spans="1:20" x14ac:dyDescent="0.35">
      <c r="A273" s="17"/>
      <c r="B273" s="18"/>
      <c r="C273" s="13"/>
      <c r="D273" s="31"/>
      <c r="E273" s="24"/>
      <c r="F273" s="71"/>
      <c r="G273" s="72"/>
      <c r="H273" s="73"/>
      <c r="I273" s="72"/>
      <c r="J273" s="71"/>
      <c r="K273" s="72"/>
      <c r="L273" s="72"/>
      <c r="M273" s="72"/>
      <c r="N273" s="74"/>
      <c r="O273" s="71"/>
      <c r="P273" s="72"/>
      <c r="Q273" s="72"/>
      <c r="R273" s="72"/>
      <c r="S273" s="74"/>
      <c r="T273" s="75"/>
    </row>
    <row r="274" spans="1:20" x14ac:dyDescent="0.35">
      <c r="A274" s="17"/>
      <c r="B274" s="18"/>
      <c r="C274" s="13"/>
      <c r="D274" s="31"/>
      <c r="E274" s="24"/>
      <c r="F274" s="71"/>
      <c r="G274" s="72"/>
      <c r="H274" s="73"/>
      <c r="I274" s="72"/>
      <c r="J274" s="71"/>
      <c r="K274" s="72"/>
      <c r="L274" s="72"/>
      <c r="M274" s="72"/>
      <c r="N274" s="74"/>
      <c r="O274" s="71"/>
      <c r="P274" s="72"/>
      <c r="Q274" s="72"/>
      <c r="R274" s="72"/>
      <c r="S274" s="74"/>
      <c r="T274" s="75"/>
    </row>
    <row r="275" spans="1:20" x14ac:dyDescent="0.35">
      <c r="A275" s="17"/>
      <c r="B275" s="18"/>
      <c r="C275" s="13"/>
      <c r="D275" s="31"/>
      <c r="E275" s="24"/>
      <c r="F275" s="71"/>
      <c r="G275" s="72"/>
      <c r="H275" s="73"/>
      <c r="I275" s="72"/>
      <c r="J275" s="71"/>
      <c r="K275" s="72"/>
      <c r="L275" s="72"/>
      <c r="M275" s="72"/>
      <c r="N275" s="74"/>
      <c r="O275" s="71"/>
      <c r="P275" s="72"/>
      <c r="Q275" s="72"/>
      <c r="R275" s="72"/>
      <c r="S275" s="74"/>
      <c r="T275" s="75"/>
    </row>
    <row r="276" spans="1:20" x14ac:dyDescent="0.35">
      <c r="A276" s="17"/>
      <c r="B276" s="18"/>
      <c r="C276" s="13"/>
      <c r="D276" s="31"/>
      <c r="E276" s="24"/>
      <c r="F276" s="71"/>
      <c r="G276" s="72"/>
      <c r="H276" s="73"/>
      <c r="I276" s="72"/>
      <c r="J276" s="71"/>
      <c r="K276" s="72"/>
      <c r="L276" s="72"/>
      <c r="M276" s="72"/>
      <c r="N276" s="74"/>
      <c r="O276" s="71"/>
      <c r="P276" s="72"/>
      <c r="Q276" s="72"/>
      <c r="R276" s="72"/>
      <c r="S276" s="74"/>
      <c r="T276" s="75"/>
    </row>
    <row r="277" spans="1:20" x14ac:dyDescent="0.35">
      <c r="A277" s="17"/>
      <c r="B277" s="18"/>
      <c r="C277" s="13"/>
      <c r="D277" s="31"/>
      <c r="E277" s="24"/>
      <c r="F277" s="71"/>
      <c r="G277" s="72"/>
      <c r="H277" s="73"/>
      <c r="I277" s="72"/>
      <c r="J277" s="71"/>
      <c r="K277" s="72"/>
      <c r="L277" s="72"/>
      <c r="M277" s="72"/>
      <c r="N277" s="74"/>
      <c r="O277" s="71"/>
      <c r="P277" s="72"/>
      <c r="Q277" s="72"/>
      <c r="R277" s="72"/>
      <c r="S277" s="74"/>
      <c r="T277" s="75"/>
    </row>
    <row r="278" spans="1:20" x14ac:dyDescent="0.35">
      <c r="A278" s="17"/>
      <c r="B278" s="18"/>
      <c r="C278" s="13"/>
      <c r="D278" s="31"/>
      <c r="E278" s="24"/>
      <c r="F278" s="71"/>
      <c r="G278" s="72"/>
      <c r="H278" s="73"/>
      <c r="I278" s="72"/>
      <c r="J278" s="71"/>
      <c r="K278" s="72"/>
      <c r="L278" s="72"/>
      <c r="M278" s="72"/>
      <c r="N278" s="74"/>
      <c r="O278" s="71"/>
      <c r="P278" s="72"/>
      <c r="Q278" s="72"/>
      <c r="R278" s="72"/>
      <c r="S278" s="74"/>
      <c r="T278" s="75"/>
    </row>
    <row r="279" spans="1:20" x14ac:dyDescent="0.35">
      <c r="A279" s="17"/>
      <c r="B279" s="18"/>
      <c r="C279" s="13"/>
      <c r="D279" s="31"/>
      <c r="E279" s="24"/>
      <c r="F279" s="71"/>
      <c r="G279" s="72"/>
      <c r="H279" s="73"/>
      <c r="I279" s="72"/>
      <c r="J279" s="71"/>
      <c r="K279" s="72"/>
      <c r="L279" s="72"/>
      <c r="M279" s="72"/>
      <c r="N279" s="74"/>
      <c r="O279" s="71"/>
      <c r="P279" s="72"/>
      <c r="Q279" s="72"/>
      <c r="R279" s="72"/>
      <c r="S279" s="74"/>
      <c r="T279" s="75"/>
    </row>
    <row r="280" spans="1:20" x14ac:dyDescent="0.35">
      <c r="A280" s="17"/>
      <c r="B280" s="18"/>
      <c r="C280" s="13"/>
      <c r="D280" s="31"/>
      <c r="E280" s="24"/>
      <c r="F280" s="71"/>
      <c r="G280" s="72"/>
      <c r="H280" s="73"/>
      <c r="I280" s="72"/>
      <c r="J280" s="71"/>
      <c r="K280" s="72"/>
      <c r="L280" s="72"/>
      <c r="M280" s="72"/>
      <c r="N280" s="74"/>
      <c r="O280" s="71"/>
      <c r="P280" s="72"/>
      <c r="Q280" s="72"/>
      <c r="R280" s="72"/>
      <c r="S280" s="74"/>
      <c r="T280" s="75"/>
    </row>
    <row r="281" spans="1:20" x14ac:dyDescent="0.35">
      <c r="A281" s="17"/>
      <c r="B281" s="18"/>
      <c r="C281" s="13"/>
      <c r="D281" s="31"/>
      <c r="E281" s="24"/>
      <c r="F281" s="71"/>
      <c r="G281" s="72"/>
      <c r="H281" s="73"/>
      <c r="I281" s="72"/>
      <c r="J281" s="71"/>
      <c r="K281" s="72"/>
      <c r="L281" s="72"/>
      <c r="M281" s="72"/>
      <c r="N281" s="74"/>
      <c r="O281" s="71"/>
      <c r="P281" s="72"/>
      <c r="Q281" s="72"/>
      <c r="R281" s="72"/>
      <c r="S281" s="74"/>
      <c r="T281" s="75"/>
    </row>
    <row r="282" spans="1:20" x14ac:dyDescent="0.35">
      <c r="A282" s="17"/>
      <c r="B282" s="18"/>
      <c r="C282" s="13"/>
      <c r="D282" s="31"/>
      <c r="E282" s="24"/>
      <c r="F282" s="71"/>
      <c r="G282" s="72"/>
      <c r="H282" s="73"/>
      <c r="I282" s="72"/>
      <c r="J282" s="71"/>
      <c r="K282" s="72"/>
      <c r="L282" s="72"/>
      <c r="M282" s="72"/>
      <c r="N282" s="74"/>
      <c r="O282" s="71"/>
      <c r="P282" s="72"/>
      <c r="Q282" s="72"/>
      <c r="R282" s="72"/>
      <c r="S282" s="74"/>
      <c r="T282" s="75"/>
    </row>
    <row r="283" spans="1:20" x14ac:dyDescent="0.35">
      <c r="A283" s="17"/>
      <c r="B283" s="18"/>
      <c r="C283" s="13"/>
      <c r="D283" s="31"/>
      <c r="E283" s="24"/>
      <c r="F283" s="71"/>
      <c r="G283" s="72"/>
      <c r="H283" s="73"/>
      <c r="I283" s="72"/>
      <c r="J283" s="71"/>
      <c r="K283" s="72"/>
      <c r="L283" s="72"/>
      <c r="M283" s="72"/>
      <c r="N283" s="74"/>
      <c r="O283" s="71"/>
      <c r="P283" s="72"/>
      <c r="Q283" s="72"/>
      <c r="R283" s="72"/>
      <c r="S283" s="74"/>
      <c r="T283" s="75"/>
    </row>
    <row r="284" spans="1:20" x14ac:dyDescent="0.35">
      <c r="A284" s="17"/>
      <c r="B284" s="18"/>
      <c r="C284" s="13"/>
      <c r="D284" s="31"/>
      <c r="E284" s="24"/>
      <c r="F284" s="71"/>
      <c r="G284" s="72"/>
      <c r="H284" s="73"/>
      <c r="I284" s="72"/>
      <c r="J284" s="71"/>
      <c r="K284" s="72"/>
      <c r="L284" s="72"/>
      <c r="M284" s="72"/>
      <c r="N284" s="74"/>
      <c r="O284" s="71"/>
      <c r="P284" s="72"/>
      <c r="Q284" s="72"/>
      <c r="R284" s="72"/>
      <c r="S284" s="74"/>
      <c r="T284" s="75"/>
    </row>
    <row r="285" spans="1:20" x14ac:dyDescent="0.35">
      <c r="A285" s="17"/>
      <c r="B285" s="18"/>
      <c r="C285" s="13"/>
      <c r="D285" s="31"/>
      <c r="E285" s="24"/>
      <c r="F285" s="71"/>
      <c r="G285" s="72"/>
      <c r="H285" s="73"/>
      <c r="I285" s="72"/>
      <c r="J285" s="71"/>
      <c r="K285" s="72"/>
      <c r="L285" s="72"/>
      <c r="M285" s="72"/>
      <c r="N285" s="74"/>
      <c r="O285" s="71"/>
      <c r="P285" s="72"/>
      <c r="Q285" s="72"/>
      <c r="R285" s="72"/>
      <c r="S285" s="74"/>
      <c r="T285" s="75"/>
    </row>
    <row r="286" spans="1:20" x14ac:dyDescent="0.35">
      <c r="A286" s="17"/>
      <c r="B286" s="18"/>
      <c r="C286" s="13"/>
      <c r="D286" s="31"/>
      <c r="E286" s="24"/>
      <c r="F286" s="71"/>
      <c r="G286" s="72"/>
      <c r="H286" s="73"/>
      <c r="I286" s="72"/>
      <c r="J286" s="71"/>
      <c r="K286" s="72"/>
      <c r="L286" s="72"/>
      <c r="M286" s="72"/>
      <c r="N286" s="74"/>
      <c r="O286" s="71"/>
      <c r="P286" s="72"/>
      <c r="Q286" s="72"/>
      <c r="R286" s="72"/>
      <c r="S286" s="74"/>
      <c r="T286" s="75"/>
    </row>
    <row r="287" spans="1:20" x14ac:dyDescent="0.35">
      <c r="A287" s="17"/>
      <c r="B287" s="18"/>
      <c r="C287" s="13"/>
      <c r="D287" s="31"/>
      <c r="E287" s="24"/>
      <c r="F287" s="71"/>
      <c r="G287" s="72"/>
      <c r="H287" s="73"/>
      <c r="I287" s="72"/>
      <c r="J287" s="71"/>
      <c r="K287" s="72"/>
      <c r="L287" s="72"/>
      <c r="M287" s="72"/>
      <c r="N287" s="74"/>
      <c r="O287" s="71"/>
      <c r="P287" s="72"/>
      <c r="Q287" s="72"/>
      <c r="R287" s="72"/>
      <c r="S287" s="74"/>
      <c r="T287" s="75"/>
    </row>
    <row r="288" spans="1:20" x14ac:dyDescent="0.35">
      <c r="A288" s="17"/>
      <c r="B288" s="18"/>
      <c r="C288" s="13"/>
      <c r="D288" s="31"/>
      <c r="E288" s="24"/>
      <c r="F288" s="71"/>
      <c r="G288" s="72"/>
      <c r="H288" s="73"/>
      <c r="I288" s="72"/>
      <c r="J288" s="71"/>
      <c r="K288" s="72"/>
      <c r="L288" s="72"/>
      <c r="M288" s="72"/>
      <c r="N288" s="74"/>
      <c r="O288" s="71"/>
      <c r="P288" s="72"/>
      <c r="Q288" s="72"/>
      <c r="R288" s="72"/>
      <c r="S288" s="74"/>
      <c r="T288" s="75"/>
    </row>
    <row r="289" spans="1:20" x14ac:dyDescent="0.35">
      <c r="A289" s="17"/>
      <c r="B289" s="18"/>
      <c r="C289" s="13"/>
      <c r="D289" s="31"/>
      <c r="E289" s="24"/>
      <c r="F289" s="71"/>
      <c r="G289" s="72"/>
      <c r="H289" s="73"/>
      <c r="I289" s="72"/>
      <c r="J289" s="71"/>
      <c r="K289" s="72"/>
      <c r="L289" s="72"/>
      <c r="M289" s="72"/>
      <c r="N289" s="74"/>
      <c r="O289" s="71"/>
      <c r="P289" s="72"/>
      <c r="Q289" s="72"/>
      <c r="R289" s="72"/>
      <c r="S289" s="74"/>
      <c r="T289" s="75"/>
    </row>
    <row r="290" spans="1:20" x14ac:dyDescent="0.35">
      <c r="A290" s="17"/>
      <c r="B290" s="18"/>
      <c r="C290" s="13"/>
      <c r="D290" s="31"/>
      <c r="E290" s="24"/>
      <c r="F290" s="71"/>
      <c r="G290" s="72"/>
      <c r="H290" s="73"/>
      <c r="I290" s="72"/>
      <c r="J290" s="71"/>
      <c r="K290" s="72"/>
      <c r="L290" s="72"/>
      <c r="M290" s="72"/>
      <c r="N290" s="74"/>
      <c r="O290" s="71"/>
      <c r="P290" s="72"/>
      <c r="Q290" s="72"/>
      <c r="R290" s="72"/>
      <c r="S290" s="74"/>
      <c r="T290" s="75"/>
    </row>
    <row r="291" spans="1:20" x14ac:dyDescent="0.35">
      <c r="A291" s="17"/>
      <c r="B291" s="18"/>
      <c r="C291" s="13"/>
      <c r="D291" s="31"/>
      <c r="E291" s="24"/>
      <c r="F291" s="71"/>
      <c r="G291" s="72"/>
      <c r="H291" s="73"/>
      <c r="I291" s="72"/>
      <c r="J291" s="71"/>
      <c r="K291" s="72"/>
      <c r="L291" s="72"/>
      <c r="M291" s="72"/>
      <c r="N291" s="74"/>
      <c r="O291" s="71"/>
      <c r="P291" s="72"/>
      <c r="Q291" s="72"/>
      <c r="R291" s="72"/>
      <c r="S291" s="74"/>
      <c r="T291" s="75"/>
    </row>
    <row r="292" spans="1:20" x14ac:dyDescent="0.35">
      <c r="A292" s="17"/>
      <c r="B292" s="18"/>
      <c r="C292" s="13"/>
      <c r="D292" s="31"/>
      <c r="E292" s="24"/>
      <c r="F292" s="71"/>
      <c r="G292" s="72"/>
      <c r="H292" s="73"/>
      <c r="I292" s="72"/>
      <c r="J292" s="71"/>
      <c r="K292" s="72"/>
      <c r="L292" s="72"/>
      <c r="M292" s="72"/>
      <c r="N292" s="74"/>
      <c r="O292" s="71"/>
      <c r="P292" s="72"/>
      <c r="Q292" s="72"/>
      <c r="R292" s="72"/>
      <c r="S292" s="74"/>
      <c r="T292" s="75"/>
    </row>
    <row r="293" spans="1:20" x14ac:dyDescent="0.35">
      <c r="A293" s="17"/>
      <c r="B293" s="18"/>
      <c r="C293" s="13"/>
      <c r="D293" s="31"/>
      <c r="E293" s="24"/>
      <c r="F293" s="71"/>
      <c r="G293" s="72"/>
      <c r="H293" s="73"/>
      <c r="I293" s="72"/>
      <c r="J293" s="71"/>
      <c r="K293" s="72"/>
      <c r="L293" s="72"/>
      <c r="M293" s="72"/>
      <c r="N293" s="74"/>
      <c r="O293" s="71"/>
      <c r="P293" s="72"/>
      <c r="Q293" s="72"/>
      <c r="R293" s="72"/>
      <c r="S293" s="74"/>
      <c r="T293" s="75"/>
    </row>
    <row r="294" spans="1:20" x14ac:dyDescent="0.35">
      <c r="A294" s="17"/>
      <c r="B294" s="18"/>
      <c r="C294" s="13"/>
      <c r="D294" s="31"/>
      <c r="E294" s="24"/>
      <c r="F294" s="71"/>
      <c r="G294" s="72"/>
      <c r="H294" s="73"/>
      <c r="I294" s="72"/>
      <c r="J294" s="71"/>
      <c r="K294" s="72"/>
      <c r="L294" s="72"/>
      <c r="M294" s="72"/>
      <c r="N294" s="74"/>
      <c r="O294" s="71"/>
      <c r="P294" s="72"/>
      <c r="Q294" s="72"/>
      <c r="R294" s="72"/>
      <c r="S294" s="74"/>
      <c r="T294" s="75"/>
    </row>
    <row r="295" spans="1:20" x14ac:dyDescent="0.35">
      <c r="A295" s="17"/>
      <c r="B295" s="18"/>
      <c r="C295" s="13"/>
      <c r="D295" s="31"/>
      <c r="E295" s="24"/>
      <c r="F295" s="71"/>
      <c r="G295" s="72"/>
      <c r="H295" s="73"/>
      <c r="I295" s="72"/>
      <c r="J295" s="71"/>
      <c r="K295" s="72"/>
      <c r="L295" s="72"/>
      <c r="M295" s="72"/>
      <c r="N295" s="74"/>
      <c r="O295" s="71"/>
      <c r="P295" s="72"/>
      <c r="Q295" s="72"/>
      <c r="R295" s="72"/>
      <c r="S295" s="74"/>
      <c r="T295" s="75"/>
    </row>
    <row r="296" spans="1:20" x14ac:dyDescent="0.35">
      <c r="A296" s="17"/>
      <c r="B296" s="18"/>
      <c r="C296" s="13"/>
      <c r="D296" s="31"/>
      <c r="E296" s="24"/>
      <c r="F296" s="71"/>
      <c r="G296" s="72"/>
      <c r="H296" s="73"/>
      <c r="I296" s="72"/>
      <c r="J296" s="71"/>
      <c r="K296" s="72"/>
      <c r="L296" s="72"/>
      <c r="M296" s="72"/>
      <c r="N296" s="74"/>
      <c r="O296" s="71"/>
      <c r="P296" s="72"/>
      <c r="Q296" s="72"/>
      <c r="R296" s="72"/>
      <c r="S296" s="74"/>
      <c r="T296" s="75"/>
    </row>
    <row r="297" spans="1:20" x14ac:dyDescent="0.35">
      <c r="A297" s="17"/>
      <c r="B297" s="18"/>
      <c r="C297" s="13"/>
      <c r="D297" s="31"/>
      <c r="E297" s="24"/>
      <c r="F297" s="71"/>
      <c r="G297" s="72"/>
      <c r="H297" s="73"/>
      <c r="I297" s="72"/>
      <c r="J297" s="71"/>
      <c r="K297" s="72"/>
      <c r="L297" s="72"/>
      <c r="M297" s="72"/>
      <c r="N297" s="74"/>
      <c r="O297" s="71"/>
      <c r="P297" s="72"/>
      <c r="Q297" s="72"/>
      <c r="R297" s="72"/>
      <c r="S297" s="74"/>
      <c r="T297" s="75"/>
    </row>
    <row r="298" spans="1:20" x14ac:dyDescent="0.35">
      <c r="A298" s="17"/>
      <c r="B298" s="18"/>
      <c r="C298" s="13"/>
      <c r="D298" s="31"/>
      <c r="E298" s="24"/>
      <c r="F298" s="71"/>
      <c r="G298" s="72"/>
      <c r="H298" s="73"/>
      <c r="I298" s="72"/>
      <c r="J298" s="71"/>
      <c r="K298" s="72"/>
      <c r="L298" s="72"/>
      <c r="M298" s="72"/>
      <c r="N298" s="74"/>
      <c r="O298" s="71"/>
      <c r="P298" s="72"/>
      <c r="Q298" s="72"/>
      <c r="R298" s="72"/>
      <c r="S298" s="74"/>
      <c r="T298" s="75"/>
    </row>
    <row r="299" spans="1:20" x14ac:dyDescent="0.35">
      <c r="A299" s="17"/>
      <c r="B299" s="18"/>
      <c r="C299" s="13"/>
      <c r="D299" s="31"/>
      <c r="E299" s="24"/>
      <c r="F299" s="71"/>
      <c r="G299" s="72"/>
      <c r="H299" s="73"/>
      <c r="I299" s="72"/>
      <c r="J299" s="71"/>
      <c r="K299" s="72"/>
      <c r="L299" s="72"/>
      <c r="M299" s="72"/>
      <c r="N299" s="74"/>
      <c r="O299" s="71"/>
      <c r="P299" s="72"/>
      <c r="Q299" s="72"/>
      <c r="R299" s="72"/>
      <c r="S299" s="74"/>
      <c r="T299" s="75"/>
    </row>
    <row r="300" spans="1:20" x14ac:dyDescent="0.35">
      <c r="A300" s="17"/>
      <c r="B300" s="18"/>
      <c r="C300" s="13"/>
      <c r="D300" s="31"/>
      <c r="E300" s="24"/>
      <c r="F300" s="71"/>
      <c r="G300" s="72"/>
      <c r="H300" s="73"/>
      <c r="I300" s="72"/>
      <c r="J300" s="71"/>
      <c r="K300" s="72"/>
      <c r="L300" s="72"/>
      <c r="M300" s="72"/>
      <c r="N300" s="74"/>
      <c r="O300" s="71"/>
      <c r="P300" s="72"/>
      <c r="Q300" s="72"/>
      <c r="R300" s="72"/>
      <c r="S300" s="74"/>
      <c r="T300" s="75"/>
    </row>
    <row r="301" spans="1:20" x14ac:dyDescent="0.35">
      <c r="A301" s="17"/>
      <c r="B301" s="18"/>
      <c r="C301" s="13"/>
      <c r="D301" s="31"/>
      <c r="E301" s="24"/>
      <c r="F301" s="71"/>
      <c r="G301" s="72"/>
      <c r="H301" s="73"/>
      <c r="I301" s="72"/>
      <c r="J301" s="71"/>
      <c r="K301" s="72"/>
      <c r="L301" s="72"/>
      <c r="M301" s="72"/>
      <c r="N301" s="74"/>
      <c r="O301" s="71"/>
      <c r="P301" s="72"/>
      <c r="Q301" s="72"/>
      <c r="R301" s="72"/>
      <c r="S301" s="74"/>
      <c r="T301" s="75"/>
    </row>
    <row r="302" spans="1:20" x14ac:dyDescent="0.35">
      <c r="A302" s="17"/>
      <c r="B302" s="18"/>
      <c r="C302" s="13"/>
      <c r="D302" s="31"/>
      <c r="E302" s="24"/>
      <c r="F302" s="71"/>
      <c r="G302" s="72"/>
      <c r="H302" s="73"/>
      <c r="I302" s="72"/>
      <c r="J302" s="71"/>
      <c r="K302" s="72"/>
      <c r="L302" s="72"/>
      <c r="M302" s="72"/>
      <c r="N302" s="74"/>
      <c r="O302" s="71"/>
      <c r="P302" s="72"/>
      <c r="Q302" s="72"/>
      <c r="R302" s="72"/>
      <c r="S302" s="74"/>
      <c r="T302" s="75"/>
    </row>
    <row r="303" spans="1:20" x14ac:dyDescent="0.35">
      <c r="A303" s="17"/>
      <c r="B303" s="18"/>
      <c r="C303" s="13"/>
      <c r="D303" s="31"/>
      <c r="E303" s="24"/>
      <c r="F303" s="71"/>
      <c r="G303" s="72"/>
      <c r="H303" s="73"/>
      <c r="I303" s="72"/>
      <c r="J303" s="71"/>
      <c r="K303" s="72"/>
      <c r="L303" s="72"/>
      <c r="M303" s="72"/>
      <c r="N303" s="74"/>
      <c r="O303" s="71"/>
      <c r="P303" s="72"/>
      <c r="Q303" s="72"/>
      <c r="R303" s="72"/>
      <c r="S303" s="74"/>
      <c r="T303" s="75"/>
    </row>
    <row r="304" spans="1:20" x14ac:dyDescent="0.35">
      <c r="A304" s="17"/>
      <c r="B304" s="18"/>
      <c r="C304" s="13"/>
      <c r="D304" s="31"/>
      <c r="E304" s="24"/>
      <c r="F304" s="71"/>
      <c r="G304" s="72"/>
      <c r="H304" s="73"/>
      <c r="I304" s="72"/>
      <c r="J304" s="71"/>
      <c r="K304" s="72"/>
      <c r="L304" s="72"/>
      <c r="M304" s="72"/>
      <c r="N304" s="74"/>
      <c r="O304" s="71"/>
      <c r="P304" s="72"/>
      <c r="Q304" s="72"/>
      <c r="R304" s="72"/>
      <c r="S304" s="74"/>
      <c r="T304" s="75"/>
    </row>
    <row r="305" spans="1:20" x14ac:dyDescent="0.35">
      <c r="A305" s="17"/>
      <c r="B305" s="18"/>
      <c r="C305" s="13"/>
      <c r="D305" s="31"/>
      <c r="E305" s="24"/>
      <c r="F305" s="71"/>
      <c r="G305" s="72"/>
      <c r="H305" s="73"/>
      <c r="I305" s="72"/>
      <c r="J305" s="71"/>
      <c r="K305" s="72"/>
      <c r="L305" s="72"/>
      <c r="M305" s="72"/>
      <c r="N305" s="74"/>
      <c r="O305" s="71"/>
      <c r="P305" s="72"/>
      <c r="Q305" s="72"/>
      <c r="R305" s="72"/>
      <c r="S305" s="74"/>
      <c r="T305" s="75"/>
    </row>
    <row r="306" spans="1:20" x14ac:dyDescent="0.35">
      <c r="A306" s="17"/>
      <c r="B306" s="18"/>
      <c r="C306" s="13"/>
      <c r="D306" s="31"/>
      <c r="E306" s="24"/>
      <c r="F306" s="71"/>
      <c r="G306" s="72"/>
      <c r="H306" s="73"/>
      <c r="I306" s="72"/>
      <c r="J306" s="71"/>
      <c r="K306" s="72"/>
      <c r="L306" s="72"/>
      <c r="M306" s="72"/>
      <c r="N306" s="74"/>
      <c r="O306" s="71"/>
      <c r="P306" s="72"/>
      <c r="Q306" s="72"/>
      <c r="R306" s="72"/>
      <c r="S306" s="74"/>
      <c r="T306" s="75"/>
    </row>
    <row r="307" spans="1:20" x14ac:dyDescent="0.35">
      <c r="A307" s="17"/>
      <c r="B307" s="18"/>
      <c r="C307" s="13"/>
      <c r="D307" s="31"/>
      <c r="E307" s="24"/>
      <c r="F307" s="71"/>
      <c r="G307" s="72"/>
      <c r="H307" s="73"/>
      <c r="I307" s="72"/>
      <c r="J307" s="71"/>
      <c r="K307" s="72"/>
      <c r="L307" s="72"/>
      <c r="M307" s="72"/>
      <c r="N307" s="74"/>
      <c r="O307" s="71"/>
      <c r="P307" s="72"/>
      <c r="Q307" s="72"/>
      <c r="R307" s="72"/>
      <c r="S307" s="74"/>
      <c r="T307" s="75"/>
    </row>
    <row r="308" spans="1:20" x14ac:dyDescent="0.35">
      <c r="A308" s="17"/>
      <c r="B308" s="18"/>
      <c r="C308" s="13"/>
      <c r="D308" s="31"/>
      <c r="E308" s="24"/>
      <c r="F308" s="71"/>
      <c r="G308" s="72"/>
      <c r="H308" s="73"/>
      <c r="I308" s="72"/>
      <c r="J308" s="71"/>
      <c r="K308" s="72"/>
      <c r="L308" s="72"/>
      <c r="M308" s="72"/>
      <c r="N308" s="74"/>
      <c r="O308" s="71"/>
      <c r="P308" s="72"/>
      <c r="Q308" s="72"/>
      <c r="R308" s="72"/>
      <c r="S308" s="74"/>
      <c r="T308" s="75"/>
    </row>
    <row r="309" spans="1:20" x14ac:dyDescent="0.35">
      <c r="A309" s="17"/>
      <c r="B309" s="18"/>
      <c r="C309" s="13"/>
      <c r="D309" s="31"/>
      <c r="E309" s="24"/>
      <c r="F309" s="71"/>
      <c r="G309" s="72"/>
      <c r="H309" s="73"/>
      <c r="I309" s="72"/>
      <c r="J309" s="71"/>
      <c r="K309" s="72"/>
      <c r="L309" s="72"/>
      <c r="M309" s="72"/>
      <c r="N309" s="74"/>
      <c r="O309" s="71"/>
      <c r="P309" s="72"/>
      <c r="Q309" s="72"/>
      <c r="R309" s="72"/>
      <c r="S309" s="74"/>
      <c r="T309" s="75"/>
    </row>
    <row r="310" spans="1:20" x14ac:dyDescent="0.35">
      <c r="A310" s="17"/>
      <c r="B310" s="18"/>
      <c r="C310" s="13"/>
      <c r="D310" s="31"/>
      <c r="E310" s="24"/>
      <c r="F310" s="71"/>
      <c r="G310" s="72"/>
      <c r="H310" s="73"/>
      <c r="I310" s="72"/>
      <c r="J310" s="71"/>
      <c r="K310" s="72"/>
      <c r="L310" s="72"/>
      <c r="M310" s="72"/>
      <c r="N310" s="74"/>
      <c r="O310" s="71"/>
      <c r="P310" s="72"/>
      <c r="Q310" s="72"/>
      <c r="R310" s="72"/>
      <c r="S310" s="74"/>
      <c r="T310" s="75"/>
    </row>
    <row r="311" spans="1:20" x14ac:dyDescent="0.35">
      <c r="A311" s="17"/>
      <c r="B311" s="18"/>
      <c r="C311" s="13"/>
      <c r="D311" s="31"/>
      <c r="E311" s="24"/>
      <c r="F311" s="71"/>
      <c r="G311" s="72"/>
      <c r="H311" s="73"/>
      <c r="I311" s="72"/>
      <c r="J311" s="71"/>
      <c r="K311" s="72"/>
      <c r="L311" s="72"/>
      <c r="M311" s="72"/>
      <c r="N311" s="74"/>
      <c r="O311" s="71"/>
      <c r="P311" s="72"/>
      <c r="Q311" s="72"/>
      <c r="R311" s="72"/>
      <c r="S311" s="74"/>
      <c r="T311" s="75"/>
    </row>
    <row r="312" spans="1:20" x14ac:dyDescent="0.35">
      <c r="A312" s="17"/>
      <c r="B312" s="18"/>
      <c r="C312" s="13"/>
      <c r="D312" s="31"/>
      <c r="E312" s="24"/>
      <c r="F312" s="71"/>
      <c r="G312" s="72"/>
      <c r="H312" s="73"/>
      <c r="I312" s="72"/>
      <c r="J312" s="71"/>
      <c r="K312" s="72"/>
      <c r="L312" s="72"/>
      <c r="M312" s="72"/>
      <c r="N312" s="74"/>
      <c r="O312" s="71"/>
      <c r="P312" s="72"/>
      <c r="Q312" s="72"/>
      <c r="R312" s="72"/>
      <c r="S312" s="74"/>
      <c r="T312" s="75"/>
    </row>
    <row r="313" spans="1:20" x14ac:dyDescent="0.35">
      <c r="A313" s="17"/>
      <c r="B313" s="18"/>
      <c r="C313" s="13"/>
      <c r="D313" s="31"/>
      <c r="E313" s="24"/>
      <c r="F313" s="71"/>
      <c r="G313" s="72"/>
      <c r="H313" s="73"/>
      <c r="I313" s="72"/>
      <c r="J313" s="71"/>
      <c r="K313" s="72"/>
      <c r="L313" s="72"/>
      <c r="M313" s="72"/>
      <c r="N313" s="74"/>
      <c r="O313" s="71"/>
      <c r="P313" s="72"/>
      <c r="Q313" s="72"/>
      <c r="R313" s="72"/>
      <c r="S313" s="74"/>
      <c r="T313" s="75"/>
    </row>
    <row r="314" spans="1:20" x14ac:dyDescent="0.35">
      <c r="A314" s="17"/>
      <c r="B314" s="18"/>
      <c r="C314" s="13"/>
      <c r="D314" s="31"/>
      <c r="E314" s="24"/>
      <c r="F314" s="71"/>
      <c r="G314" s="72"/>
      <c r="H314" s="73"/>
      <c r="I314" s="72"/>
      <c r="J314" s="71"/>
      <c r="K314" s="72"/>
      <c r="L314" s="72"/>
      <c r="M314" s="72"/>
      <c r="N314" s="74"/>
      <c r="O314" s="71"/>
      <c r="P314" s="72"/>
      <c r="Q314" s="72"/>
      <c r="R314" s="72"/>
      <c r="S314" s="74"/>
      <c r="T314" s="75"/>
    </row>
    <row r="315" spans="1:20" x14ac:dyDescent="0.35">
      <c r="A315" s="17"/>
      <c r="B315" s="18"/>
      <c r="C315" s="13"/>
      <c r="D315" s="31"/>
      <c r="E315" s="24"/>
      <c r="F315" s="71"/>
      <c r="G315" s="72"/>
      <c r="H315" s="73"/>
      <c r="I315" s="72"/>
      <c r="J315" s="71"/>
      <c r="K315" s="72"/>
      <c r="L315" s="72"/>
      <c r="M315" s="72"/>
      <c r="N315" s="74"/>
      <c r="O315" s="71"/>
      <c r="P315" s="72"/>
      <c r="Q315" s="72"/>
      <c r="R315" s="72"/>
      <c r="S315" s="74"/>
      <c r="T315" s="75"/>
    </row>
    <row r="316" spans="1:20" x14ac:dyDescent="0.35">
      <c r="A316" s="17"/>
      <c r="B316" s="18"/>
      <c r="C316" s="13"/>
      <c r="D316" s="31"/>
      <c r="E316" s="24"/>
      <c r="F316" s="71"/>
      <c r="G316" s="72"/>
      <c r="H316" s="73"/>
      <c r="I316" s="72"/>
      <c r="J316" s="71"/>
      <c r="K316" s="72"/>
      <c r="L316" s="72"/>
      <c r="M316" s="72"/>
      <c r="N316" s="74"/>
      <c r="O316" s="71"/>
      <c r="P316" s="72"/>
      <c r="Q316" s="72"/>
      <c r="R316" s="72"/>
      <c r="S316" s="74"/>
      <c r="T316" s="75"/>
    </row>
    <row r="317" spans="1:20" x14ac:dyDescent="0.35">
      <c r="A317" s="17"/>
      <c r="B317" s="18"/>
      <c r="C317" s="13"/>
      <c r="D317" s="31"/>
      <c r="E317" s="24"/>
      <c r="F317" s="71"/>
      <c r="G317" s="72"/>
      <c r="H317" s="73"/>
      <c r="I317" s="72"/>
      <c r="J317" s="71"/>
      <c r="K317" s="72"/>
      <c r="L317" s="72"/>
      <c r="M317" s="72"/>
      <c r="N317" s="74"/>
      <c r="O317" s="71"/>
      <c r="P317" s="72"/>
      <c r="Q317" s="72"/>
      <c r="R317" s="72"/>
      <c r="S317" s="74"/>
      <c r="T317" s="75"/>
    </row>
    <row r="318" spans="1:20" x14ac:dyDescent="0.35">
      <c r="A318" s="17"/>
      <c r="B318" s="18"/>
      <c r="C318" s="13"/>
      <c r="D318" s="31"/>
      <c r="E318" s="24"/>
      <c r="F318" s="71"/>
      <c r="G318" s="72"/>
      <c r="H318" s="73"/>
      <c r="I318" s="72"/>
      <c r="J318" s="71"/>
      <c r="K318" s="72"/>
      <c r="L318" s="72"/>
      <c r="M318" s="72"/>
      <c r="N318" s="74"/>
      <c r="O318" s="71"/>
      <c r="P318" s="72"/>
      <c r="Q318" s="72"/>
      <c r="R318" s="72"/>
      <c r="S318" s="74"/>
      <c r="T318" s="75"/>
    </row>
    <row r="319" spans="1:20" x14ac:dyDescent="0.35">
      <c r="A319" s="17"/>
      <c r="B319" s="18"/>
      <c r="C319" s="13"/>
      <c r="D319" s="31"/>
      <c r="E319" s="24"/>
      <c r="F319" s="71"/>
      <c r="G319" s="72"/>
      <c r="H319" s="73"/>
      <c r="I319" s="72"/>
      <c r="J319" s="71"/>
      <c r="K319" s="72"/>
      <c r="L319" s="72"/>
      <c r="M319" s="72"/>
      <c r="N319" s="74"/>
      <c r="O319" s="71"/>
      <c r="P319" s="72"/>
      <c r="Q319" s="72"/>
      <c r="R319" s="72"/>
      <c r="S319" s="74"/>
      <c r="T319" s="75"/>
    </row>
    <row r="320" spans="1:20" x14ac:dyDescent="0.35">
      <c r="A320" s="17"/>
      <c r="B320" s="18"/>
      <c r="C320" s="13"/>
      <c r="D320" s="31"/>
      <c r="E320" s="24"/>
      <c r="F320" s="71"/>
      <c r="G320" s="72"/>
      <c r="H320" s="73"/>
      <c r="I320" s="72"/>
      <c r="J320" s="71"/>
      <c r="K320" s="72"/>
      <c r="L320" s="72"/>
      <c r="M320" s="72"/>
      <c r="N320" s="74"/>
      <c r="O320" s="71"/>
      <c r="P320" s="72"/>
      <c r="Q320" s="72"/>
      <c r="R320" s="72"/>
      <c r="S320" s="74"/>
      <c r="T320" s="75"/>
    </row>
    <row r="321" spans="1:20" x14ac:dyDescent="0.35">
      <c r="A321" s="17"/>
      <c r="B321" s="18"/>
      <c r="C321" s="13"/>
      <c r="D321" s="31"/>
      <c r="E321" s="24"/>
      <c r="F321" s="71"/>
      <c r="G321" s="72"/>
      <c r="H321" s="73"/>
      <c r="I321" s="72"/>
      <c r="J321" s="71"/>
      <c r="K321" s="72"/>
      <c r="L321" s="72"/>
      <c r="M321" s="72"/>
      <c r="N321" s="74"/>
      <c r="O321" s="71"/>
      <c r="P321" s="72"/>
      <c r="Q321" s="72"/>
      <c r="R321" s="72"/>
      <c r="S321" s="74"/>
      <c r="T321" s="75"/>
    </row>
    <row r="322" spans="1:20" x14ac:dyDescent="0.35">
      <c r="A322" s="17"/>
      <c r="B322" s="18"/>
      <c r="C322" s="13"/>
      <c r="D322" s="31"/>
      <c r="E322" s="24"/>
      <c r="F322" s="71"/>
      <c r="G322" s="72"/>
      <c r="H322" s="73"/>
      <c r="I322" s="72"/>
      <c r="J322" s="71"/>
      <c r="K322" s="72"/>
      <c r="L322" s="72"/>
      <c r="M322" s="72"/>
      <c r="N322" s="74"/>
      <c r="O322" s="71"/>
      <c r="P322" s="72"/>
      <c r="Q322" s="72"/>
      <c r="R322" s="72"/>
      <c r="S322" s="74"/>
      <c r="T322" s="75"/>
    </row>
    <row r="323" spans="1:20" x14ac:dyDescent="0.35">
      <c r="A323" s="17"/>
      <c r="B323" s="18"/>
      <c r="C323" s="13"/>
      <c r="D323" s="31"/>
      <c r="E323" s="24"/>
      <c r="F323" s="71"/>
      <c r="G323" s="72"/>
      <c r="H323" s="73"/>
      <c r="I323" s="72"/>
      <c r="J323" s="71"/>
      <c r="K323" s="72"/>
      <c r="L323" s="72"/>
      <c r="M323" s="72"/>
      <c r="N323" s="74"/>
      <c r="O323" s="71"/>
      <c r="P323" s="72"/>
      <c r="Q323" s="72"/>
      <c r="R323" s="72"/>
      <c r="S323" s="74"/>
      <c r="T323" s="75"/>
    </row>
    <row r="324" spans="1:20" x14ac:dyDescent="0.35">
      <c r="A324" s="17"/>
      <c r="B324" s="18"/>
      <c r="C324" s="13"/>
      <c r="D324" s="31"/>
      <c r="E324" s="24"/>
      <c r="F324" s="71"/>
      <c r="G324" s="72"/>
      <c r="H324" s="73"/>
      <c r="I324" s="72"/>
      <c r="J324" s="71"/>
      <c r="K324" s="72"/>
      <c r="L324" s="72"/>
      <c r="M324" s="72"/>
      <c r="N324" s="74"/>
      <c r="O324" s="71"/>
      <c r="P324" s="72"/>
      <c r="Q324" s="72"/>
      <c r="R324" s="72"/>
      <c r="S324" s="74"/>
      <c r="T324" s="75"/>
    </row>
    <row r="325" spans="1:20" x14ac:dyDescent="0.35">
      <c r="A325" s="17"/>
      <c r="B325" s="18"/>
      <c r="C325" s="13"/>
      <c r="D325" s="31"/>
      <c r="E325" s="24"/>
      <c r="F325" s="71"/>
      <c r="G325" s="72"/>
      <c r="H325" s="73"/>
      <c r="I325" s="72"/>
      <c r="J325" s="71"/>
      <c r="K325" s="72"/>
      <c r="L325" s="72"/>
      <c r="M325" s="72"/>
      <c r="N325" s="74"/>
      <c r="O325" s="71"/>
      <c r="P325" s="72"/>
      <c r="Q325" s="72"/>
      <c r="R325" s="72"/>
      <c r="S325" s="74"/>
      <c r="T325" s="75"/>
    </row>
    <row r="326" spans="1:20" x14ac:dyDescent="0.35">
      <c r="A326" s="17"/>
      <c r="B326" s="18"/>
      <c r="C326" s="13"/>
      <c r="D326" s="31"/>
      <c r="E326" s="24"/>
      <c r="F326" s="71"/>
      <c r="G326" s="72"/>
      <c r="H326" s="73"/>
      <c r="I326" s="72"/>
      <c r="J326" s="71"/>
      <c r="K326" s="72"/>
      <c r="L326" s="72"/>
      <c r="M326" s="72"/>
      <c r="N326" s="74"/>
      <c r="O326" s="71"/>
      <c r="P326" s="72"/>
      <c r="Q326" s="72"/>
      <c r="R326" s="72"/>
      <c r="S326" s="74"/>
      <c r="T326" s="75"/>
    </row>
    <row r="327" spans="1:20" x14ac:dyDescent="0.35">
      <c r="A327" s="17"/>
      <c r="B327" s="18"/>
      <c r="C327" s="13"/>
      <c r="D327" s="31"/>
      <c r="E327" s="24"/>
      <c r="F327" s="71"/>
      <c r="G327" s="72"/>
      <c r="H327" s="73"/>
      <c r="I327" s="72"/>
      <c r="J327" s="71"/>
      <c r="K327" s="72"/>
      <c r="L327" s="72"/>
      <c r="M327" s="72"/>
      <c r="N327" s="74"/>
      <c r="O327" s="71"/>
      <c r="P327" s="72"/>
      <c r="Q327" s="72"/>
      <c r="R327" s="72"/>
      <c r="S327" s="74"/>
      <c r="T327" s="75"/>
    </row>
    <row r="328" spans="1:20" x14ac:dyDescent="0.35">
      <c r="A328" s="17"/>
      <c r="B328" s="18"/>
      <c r="C328" s="13"/>
      <c r="D328" s="31"/>
      <c r="E328" s="24"/>
      <c r="F328" s="71"/>
      <c r="G328" s="72"/>
      <c r="H328" s="73"/>
      <c r="I328" s="72"/>
      <c r="J328" s="71"/>
      <c r="K328" s="72"/>
      <c r="L328" s="72"/>
      <c r="M328" s="72"/>
      <c r="N328" s="74"/>
      <c r="O328" s="71"/>
      <c r="P328" s="72"/>
      <c r="Q328" s="72"/>
      <c r="R328" s="72"/>
      <c r="S328" s="74"/>
      <c r="T328" s="75"/>
    </row>
    <row r="329" spans="1:20" x14ac:dyDescent="0.35">
      <c r="A329" s="17"/>
      <c r="B329" s="18"/>
      <c r="C329" s="13"/>
      <c r="D329" s="31"/>
      <c r="E329" s="24"/>
      <c r="F329" s="71"/>
      <c r="G329" s="72"/>
      <c r="H329" s="73"/>
      <c r="I329" s="72"/>
      <c r="J329" s="71"/>
      <c r="K329" s="72"/>
      <c r="L329" s="72"/>
      <c r="M329" s="72"/>
      <c r="N329" s="74"/>
      <c r="O329" s="71"/>
      <c r="P329" s="72"/>
      <c r="Q329" s="72"/>
      <c r="R329" s="72"/>
      <c r="S329" s="74"/>
      <c r="T329" s="75"/>
    </row>
    <row r="330" spans="1:20" x14ac:dyDescent="0.35">
      <c r="A330" s="17"/>
      <c r="B330" s="18"/>
      <c r="C330" s="13"/>
      <c r="D330" s="31"/>
      <c r="E330" s="24"/>
      <c r="F330" s="71"/>
      <c r="G330" s="72"/>
      <c r="H330" s="73"/>
      <c r="I330" s="72"/>
      <c r="J330" s="71"/>
      <c r="K330" s="72"/>
      <c r="L330" s="72"/>
      <c r="M330" s="72"/>
      <c r="N330" s="74"/>
      <c r="O330" s="71"/>
      <c r="P330" s="72"/>
      <c r="Q330" s="72"/>
      <c r="R330" s="72"/>
      <c r="S330" s="74"/>
      <c r="T330" s="75"/>
    </row>
    <row r="331" spans="1:20" x14ac:dyDescent="0.35">
      <c r="A331" s="17"/>
      <c r="B331" s="18"/>
      <c r="C331" s="13"/>
      <c r="D331" s="31"/>
      <c r="E331" s="24"/>
      <c r="F331" s="71"/>
      <c r="G331" s="72"/>
      <c r="H331" s="73"/>
      <c r="I331" s="72"/>
      <c r="J331" s="71"/>
      <c r="K331" s="72"/>
      <c r="L331" s="72"/>
      <c r="M331" s="72"/>
      <c r="N331" s="74"/>
      <c r="O331" s="71"/>
      <c r="P331" s="72"/>
      <c r="Q331" s="72"/>
      <c r="R331" s="72"/>
      <c r="S331" s="74"/>
      <c r="T331" s="75"/>
    </row>
    <row r="332" spans="1:20" x14ac:dyDescent="0.35">
      <c r="A332" s="17"/>
      <c r="B332" s="18"/>
      <c r="C332" s="13"/>
      <c r="D332" s="31"/>
      <c r="E332" s="24"/>
      <c r="F332" s="71"/>
      <c r="G332" s="72"/>
      <c r="H332" s="73"/>
      <c r="I332" s="72"/>
      <c r="J332" s="71"/>
      <c r="K332" s="72"/>
      <c r="L332" s="72"/>
      <c r="M332" s="72"/>
      <c r="N332" s="74"/>
      <c r="O332" s="71"/>
      <c r="P332" s="72"/>
      <c r="Q332" s="72"/>
      <c r="R332" s="72"/>
      <c r="S332" s="74"/>
      <c r="T332" s="75"/>
    </row>
    <row r="333" spans="1:20" x14ac:dyDescent="0.35">
      <c r="A333" s="17"/>
      <c r="B333" s="18"/>
      <c r="C333" s="13"/>
      <c r="D333" s="31"/>
      <c r="E333" s="24"/>
      <c r="F333" s="71"/>
      <c r="G333" s="72"/>
      <c r="H333" s="73"/>
      <c r="I333" s="72"/>
      <c r="J333" s="71"/>
      <c r="K333" s="72"/>
      <c r="L333" s="72"/>
      <c r="M333" s="72"/>
      <c r="N333" s="74"/>
      <c r="O333" s="71"/>
      <c r="P333" s="72"/>
      <c r="Q333" s="72"/>
      <c r="R333" s="72"/>
      <c r="S333" s="74"/>
      <c r="T333" s="75"/>
    </row>
    <row r="334" spans="1:20" x14ac:dyDescent="0.35">
      <c r="A334" s="17"/>
      <c r="B334" s="18"/>
      <c r="C334" s="13"/>
      <c r="D334" s="31"/>
      <c r="E334" s="24"/>
      <c r="F334" s="71"/>
      <c r="G334" s="72"/>
      <c r="H334" s="73"/>
      <c r="I334" s="72"/>
      <c r="J334" s="71"/>
      <c r="K334" s="72"/>
      <c r="L334" s="72"/>
      <c r="M334" s="72"/>
      <c r="N334" s="74"/>
      <c r="O334" s="71"/>
      <c r="P334" s="72"/>
      <c r="Q334" s="72"/>
      <c r="R334" s="72"/>
      <c r="S334" s="74"/>
      <c r="T334" s="75"/>
    </row>
    <row r="335" spans="1:20" x14ac:dyDescent="0.35">
      <c r="A335" s="17"/>
      <c r="B335" s="18"/>
      <c r="C335" s="13"/>
      <c r="D335" s="31"/>
      <c r="E335" s="24"/>
      <c r="F335" s="71"/>
      <c r="G335" s="72"/>
      <c r="H335" s="73"/>
      <c r="I335" s="72"/>
      <c r="J335" s="71"/>
      <c r="K335" s="72"/>
      <c r="L335" s="72"/>
      <c r="M335" s="72"/>
      <c r="N335" s="74"/>
      <c r="O335" s="71"/>
      <c r="P335" s="72"/>
      <c r="Q335" s="72"/>
      <c r="R335" s="72"/>
      <c r="S335" s="74"/>
      <c r="T335" s="75"/>
    </row>
    <row r="336" spans="1:20" x14ac:dyDescent="0.35">
      <c r="A336" s="17"/>
      <c r="B336" s="18"/>
      <c r="C336" s="13"/>
      <c r="D336" s="31"/>
      <c r="E336" s="24"/>
      <c r="F336" s="71"/>
      <c r="G336" s="72"/>
      <c r="H336" s="73"/>
      <c r="I336" s="72"/>
      <c r="J336" s="71"/>
      <c r="K336" s="72"/>
      <c r="L336" s="72"/>
      <c r="M336" s="72"/>
      <c r="N336" s="74"/>
      <c r="O336" s="71"/>
      <c r="P336" s="72"/>
      <c r="Q336" s="72"/>
      <c r="R336" s="72"/>
      <c r="S336" s="74"/>
      <c r="T336" s="75"/>
    </row>
    <row r="337" spans="1:20" x14ac:dyDescent="0.35">
      <c r="A337" s="17"/>
      <c r="B337" s="18"/>
      <c r="C337" s="13"/>
      <c r="D337" s="31"/>
      <c r="E337" s="24"/>
      <c r="F337" s="71"/>
      <c r="G337" s="72"/>
      <c r="H337" s="73"/>
      <c r="I337" s="72"/>
      <c r="J337" s="71"/>
      <c r="K337" s="72"/>
      <c r="L337" s="72"/>
      <c r="M337" s="72"/>
      <c r="N337" s="74"/>
      <c r="O337" s="71"/>
      <c r="P337" s="72"/>
      <c r="Q337" s="72"/>
      <c r="R337" s="72"/>
      <c r="S337" s="74"/>
      <c r="T337" s="75"/>
    </row>
    <row r="338" spans="1:20" x14ac:dyDescent="0.35">
      <c r="A338" s="17"/>
      <c r="B338" s="18"/>
      <c r="C338" s="13"/>
      <c r="D338" s="31"/>
      <c r="E338" s="24"/>
      <c r="F338" s="71"/>
      <c r="G338" s="72"/>
      <c r="H338" s="73"/>
      <c r="I338" s="72"/>
      <c r="J338" s="71"/>
      <c r="K338" s="72"/>
      <c r="L338" s="72"/>
      <c r="M338" s="72"/>
      <c r="N338" s="74"/>
      <c r="O338" s="71"/>
      <c r="P338" s="72"/>
      <c r="Q338" s="72"/>
      <c r="R338" s="72"/>
      <c r="S338" s="74"/>
      <c r="T338" s="75"/>
    </row>
    <row r="339" spans="1:20" x14ac:dyDescent="0.35">
      <c r="A339" s="17"/>
      <c r="B339" s="18"/>
      <c r="C339" s="13"/>
      <c r="D339" s="31"/>
      <c r="E339" s="24"/>
      <c r="F339" s="71"/>
      <c r="G339" s="72"/>
      <c r="H339" s="73"/>
      <c r="I339" s="72"/>
      <c r="J339" s="71"/>
      <c r="K339" s="72"/>
      <c r="L339" s="72"/>
      <c r="M339" s="72"/>
      <c r="N339" s="74"/>
      <c r="O339" s="71"/>
      <c r="P339" s="72"/>
      <c r="Q339" s="72"/>
      <c r="R339" s="72"/>
      <c r="S339" s="74"/>
      <c r="T339" s="75"/>
    </row>
    <row r="340" spans="1:20" x14ac:dyDescent="0.35">
      <c r="A340" s="17"/>
      <c r="B340" s="18"/>
      <c r="C340" s="13"/>
      <c r="D340" s="31"/>
      <c r="E340" s="24"/>
      <c r="F340" s="71"/>
      <c r="G340" s="72"/>
      <c r="H340" s="73"/>
      <c r="I340" s="72"/>
      <c r="J340" s="71"/>
      <c r="K340" s="72"/>
      <c r="L340" s="72"/>
      <c r="M340" s="72"/>
      <c r="N340" s="74"/>
      <c r="O340" s="71"/>
      <c r="P340" s="72"/>
      <c r="Q340" s="72"/>
      <c r="R340" s="72"/>
      <c r="S340" s="74"/>
      <c r="T340" s="75"/>
    </row>
    <row r="341" spans="1:20" x14ac:dyDescent="0.35">
      <c r="A341" s="17"/>
      <c r="B341" s="18"/>
      <c r="C341" s="13"/>
      <c r="D341" s="31"/>
      <c r="E341" s="24"/>
      <c r="F341" s="71"/>
      <c r="G341" s="72"/>
      <c r="H341" s="73"/>
      <c r="I341" s="72"/>
      <c r="J341" s="71"/>
      <c r="K341" s="72"/>
      <c r="L341" s="72"/>
      <c r="M341" s="72"/>
      <c r="N341" s="74"/>
      <c r="O341" s="71"/>
      <c r="P341" s="72"/>
      <c r="Q341" s="72"/>
      <c r="R341" s="72"/>
      <c r="S341" s="74"/>
      <c r="T341" s="75"/>
    </row>
    <row r="342" spans="1:20" x14ac:dyDescent="0.35">
      <c r="A342" s="17"/>
      <c r="B342" s="18"/>
      <c r="C342" s="13"/>
      <c r="D342" s="31"/>
      <c r="E342" s="24"/>
      <c r="F342" s="71"/>
      <c r="G342" s="72"/>
      <c r="H342" s="73"/>
      <c r="I342" s="72"/>
      <c r="J342" s="71"/>
      <c r="K342" s="72"/>
      <c r="L342" s="72"/>
      <c r="M342" s="72"/>
      <c r="N342" s="74"/>
      <c r="O342" s="71"/>
      <c r="P342" s="72"/>
      <c r="Q342" s="72"/>
      <c r="R342" s="72"/>
      <c r="S342" s="74"/>
      <c r="T342" s="75"/>
    </row>
    <row r="343" spans="1:20" x14ac:dyDescent="0.35">
      <c r="A343" s="17"/>
      <c r="B343" s="18"/>
      <c r="C343" s="13"/>
      <c r="D343" s="31"/>
      <c r="E343" s="24"/>
      <c r="F343" s="71"/>
      <c r="G343" s="72"/>
      <c r="H343" s="73"/>
      <c r="I343" s="72"/>
      <c r="J343" s="71"/>
      <c r="K343" s="72"/>
      <c r="L343" s="72"/>
      <c r="M343" s="72"/>
      <c r="N343" s="74"/>
      <c r="O343" s="71"/>
      <c r="P343" s="72"/>
      <c r="Q343" s="72"/>
      <c r="R343" s="72"/>
      <c r="S343" s="74"/>
      <c r="T343" s="75"/>
    </row>
    <row r="344" spans="1:20" x14ac:dyDescent="0.35">
      <c r="A344" s="17"/>
      <c r="B344" s="18"/>
      <c r="C344" s="13"/>
      <c r="D344" s="31"/>
      <c r="E344" s="24"/>
      <c r="F344" s="71"/>
      <c r="G344" s="72"/>
      <c r="H344" s="73"/>
      <c r="I344" s="72"/>
      <c r="J344" s="71"/>
      <c r="K344" s="72"/>
      <c r="L344" s="72"/>
      <c r="M344" s="72"/>
      <c r="N344" s="74"/>
      <c r="O344" s="71"/>
      <c r="P344" s="72"/>
      <c r="Q344" s="72"/>
      <c r="R344" s="72"/>
      <c r="S344" s="74"/>
      <c r="T344" s="75"/>
    </row>
    <row r="345" spans="1:20" x14ac:dyDescent="0.35">
      <c r="A345" s="17"/>
      <c r="B345" s="18"/>
      <c r="C345" s="13"/>
      <c r="D345" s="31"/>
      <c r="E345" s="24"/>
      <c r="F345" s="71"/>
      <c r="G345" s="72"/>
      <c r="H345" s="73"/>
      <c r="I345" s="72"/>
      <c r="J345" s="71"/>
      <c r="K345" s="72"/>
      <c r="L345" s="72"/>
      <c r="M345" s="72"/>
      <c r="N345" s="74"/>
      <c r="O345" s="71"/>
      <c r="P345" s="72"/>
      <c r="Q345" s="72"/>
      <c r="R345" s="72"/>
      <c r="S345" s="74"/>
      <c r="T345" s="75"/>
    </row>
    <row r="346" spans="1:20" x14ac:dyDescent="0.35">
      <c r="A346" s="17"/>
      <c r="B346" s="18"/>
      <c r="C346" s="13"/>
      <c r="D346" s="31"/>
      <c r="E346" s="24"/>
      <c r="F346" s="71"/>
      <c r="G346" s="72"/>
      <c r="H346" s="73"/>
      <c r="I346" s="72"/>
      <c r="J346" s="71"/>
      <c r="K346" s="72"/>
      <c r="L346" s="72"/>
      <c r="M346" s="72"/>
      <c r="N346" s="74"/>
      <c r="O346" s="71"/>
      <c r="P346" s="72"/>
      <c r="Q346" s="72"/>
      <c r="R346" s="72"/>
      <c r="S346" s="74"/>
      <c r="T346" s="75"/>
    </row>
    <row r="347" spans="1:20" x14ac:dyDescent="0.35">
      <c r="A347" s="17"/>
      <c r="B347" s="18"/>
      <c r="C347" s="13"/>
      <c r="D347" s="31"/>
      <c r="E347" s="24"/>
      <c r="F347" s="71"/>
      <c r="G347" s="72"/>
      <c r="H347" s="73"/>
      <c r="I347" s="72"/>
      <c r="J347" s="71"/>
      <c r="K347" s="72"/>
      <c r="L347" s="72"/>
      <c r="M347" s="72"/>
      <c r="N347" s="74"/>
      <c r="O347" s="71"/>
      <c r="P347" s="72"/>
      <c r="Q347" s="72"/>
      <c r="R347" s="72"/>
      <c r="S347" s="74"/>
      <c r="T347" s="75"/>
    </row>
    <row r="348" spans="1:20" x14ac:dyDescent="0.35">
      <c r="A348" s="17"/>
      <c r="B348" s="18"/>
      <c r="C348" s="13"/>
      <c r="D348" s="31"/>
      <c r="E348" s="24"/>
      <c r="F348" s="71"/>
      <c r="G348" s="72"/>
      <c r="H348" s="73"/>
      <c r="I348" s="72"/>
      <c r="J348" s="71"/>
      <c r="K348" s="72"/>
      <c r="L348" s="72"/>
      <c r="M348" s="72"/>
      <c r="N348" s="74"/>
      <c r="O348" s="71"/>
      <c r="P348" s="72"/>
      <c r="Q348" s="72"/>
      <c r="R348" s="72"/>
      <c r="S348" s="74"/>
      <c r="T348" s="75"/>
    </row>
    <row r="349" spans="1:20" x14ac:dyDescent="0.35">
      <c r="A349" s="17"/>
      <c r="B349" s="18"/>
      <c r="C349" s="13"/>
      <c r="D349" s="31"/>
      <c r="E349" s="24"/>
      <c r="F349" s="71"/>
      <c r="G349" s="72"/>
      <c r="H349" s="73"/>
      <c r="I349" s="72"/>
      <c r="J349" s="71"/>
      <c r="K349" s="72"/>
      <c r="L349" s="72"/>
      <c r="M349" s="72"/>
      <c r="N349" s="74"/>
      <c r="O349" s="71"/>
      <c r="P349" s="72"/>
      <c r="Q349" s="72"/>
      <c r="R349" s="72"/>
      <c r="S349" s="74"/>
      <c r="T349" s="75"/>
    </row>
    <row r="350" spans="1:20" x14ac:dyDescent="0.35">
      <c r="A350" s="17"/>
      <c r="B350" s="18"/>
      <c r="C350" s="13"/>
      <c r="D350" s="31"/>
      <c r="E350" s="24"/>
      <c r="F350" s="71"/>
      <c r="G350" s="72"/>
      <c r="H350" s="73"/>
      <c r="I350" s="72"/>
      <c r="J350" s="71"/>
      <c r="K350" s="72"/>
      <c r="L350" s="72"/>
      <c r="M350" s="72"/>
      <c r="N350" s="74"/>
      <c r="O350" s="71"/>
      <c r="P350" s="72"/>
      <c r="Q350" s="72"/>
      <c r="R350" s="72"/>
      <c r="S350" s="74"/>
      <c r="T350" s="75"/>
    </row>
    <row r="351" spans="1:20" x14ac:dyDescent="0.35">
      <c r="A351" s="17"/>
      <c r="B351" s="18"/>
      <c r="C351" s="13"/>
      <c r="D351" s="31"/>
      <c r="E351" s="24"/>
      <c r="F351" s="71"/>
      <c r="G351" s="72"/>
      <c r="H351" s="73"/>
      <c r="I351" s="72"/>
      <c r="J351" s="71"/>
      <c r="K351" s="72"/>
      <c r="L351" s="72"/>
      <c r="M351" s="72"/>
      <c r="N351" s="74"/>
      <c r="O351" s="71"/>
      <c r="P351" s="72"/>
      <c r="Q351" s="72"/>
      <c r="R351" s="72"/>
      <c r="S351" s="74"/>
      <c r="T351" s="75"/>
    </row>
    <row r="352" spans="1:20" x14ac:dyDescent="0.35">
      <c r="A352" s="17"/>
      <c r="B352" s="18"/>
      <c r="C352" s="13"/>
      <c r="D352" s="31"/>
      <c r="E352" s="24"/>
      <c r="F352" s="71"/>
      <c r="G352" s="72"/>
      <c r="H352" s="73"/>
      <c r="I352" s="72"/>
      <c r="J352" s="71"/>
      <c r="K352" s="72"/>
      <c r="L352" s="72"/>
      <c r="M352" s="72"/>
      <c r="N352" s="74"/>
      <c r="O352" s="71"/>
      <c r="P352" s="72"/>
      <c r="Q352" s="72"/>
      <c r="R352" s="72"/>
      <c r="S352" s="74"/>
      <c r="T352" s="75"/>
    </row>
    <row r="353" spans="1:20" x14ac:dyDescent="0.35">
      <c r="A353" s="17"/>
      <c r="B353" s="18"/>
      <c r="C353" s="13"/>
      <c r="D353" s="31"/>
      <c r="E353" s="24"/>
      <c r="F353" s="71"/>
      <c r="G353" s="72"/>
      <c r="H353" s="73"/>
      <c r="I353" s="72"/>
      <c r="J353" s="71"/>
      <c r="K353" s="72"/>
      <c r="L353" s="72"/>
      <c r="M353" s="72"/>
      <c r="N353" s="74"/>
      <c r="O353" s="71"/>
      <c r="P353" s="72"/>
      <c r="Q353" s="72"/>
      <c r="R353" s="72"/>
      <c r="S353" s="74"/>
      <c r="T353" s="75"/>
    </row>
    <row r="354" spans="1:20" x14ac:dyDescent="0.35">
      <c r="A354" s="17"/>
      <c r="B354" s="18"/>
      <c r="C354" s="13"/>
      <c r="D354" s="31"/>
      <c r="E354" s="24"/>
      <c r="F354" s="71"/>
      <c r="G354" s="72"/>
      <c r="H354" s="73"/>
      <c r="I354" s="72"/>
      <c r="J354" s="71"/>
      <c r="K354" s="72"/>
      <c r="L354" s="72"/>
      <c r="M354" s="72"/>
      <c r="N354" s="74"/>
      <c r="O354" s="71"/>
      <c r="P354" s="72"/>
      <c r="Q354" s="72"/>
      <c r="R354" s="72"/>
      <c r="S354" s="74"/>
      <c r="T354" s="75"/>
    </row>
    <row r="355" spans="1:20" x14ac:dyDescent="0.35">
      <c r="A355" s="17"/>
      <c r="B355" s="18"/>
      <c r="C355" s="13"/>
      <c r="D355" s="31"/>
      <c r="E355" s="24"/>
      <c r="F355" s="71"/>
      <c r="G355" s="72"/>
      <c r="H355" s="73"/>
      <c r="I355" s="72"/>
      <c r="J355" s="71"/>
      <c r="K355" s="72"/>
      <c r="L355" s="72"/>
      <c r="M355" s="72"/>
      <c r="N355" s="74"/>
      <c r="O355" s="71"/>
      <c r="P355" s="72"/>
      <c r="Q355" s="72"/>
      <c r="R355" s="72"/>
      <c r="S355" s="74"/>
      <c r="T355" s="75"/>
    </row>
    <row r="356" spans="1:20" x14ac:dyDescent="0.35">
      <c r="A356" s="17"/>
      <c r="B356" s="18"/>
      <c r="C356" s="13"/>
      <c r="D356" s="31"/>
      <c r="E356" s="24"/>
      <c r="F356" s="71"/>
      <c r="G356" s="72"/>
      <c r="H356" s="73"/>
      <c r="I356" s="72"/>
      <c r="J356" s="71"/>
      <c r="K356" s="72"/>
      <c r="L356" s="72"/>
      <c r="M356" s="72"/>
      <c r="N356" s="74"/>
      <c r="O356" s="71"/>
      <c r="P356" s="72"/>
      <c r="Q356" s="72"/>
      <c r="R356" s="72"/>
      <c r="S356" s="74"/>
      <c r="T356" s="75"/>
    </row>
    <row r="357" spans="1:20" x14ac:dyDescent="0.35">
      <c r="A357" s="17"/>
      <c r="B357" s="18"/>
      <c r="C357" s="13"/>
      <c r="D357" s="31"/>
      <c r="E357" s="24"/>
      <c r="F357" s="71"/>
      <c r="G357" s="72"/>
      <c r="H357" s="73"/>
      <c r="I357" s="72"/>
      <c r="J357" s="71"/>
      <c r="K357" s="72"/>
      <c r="L357" s="72"/>
      <c r="M357" s="72"/>
      <c r="N357" s="74"/>
      <c r="O357" s="71"/>
      <c r="P357" s="72"/>
      <c r="Q357" s="72"/>
      <c r="R357" s="72"/>
      <c r="S357" s="74"/>
      <c r="T357" s="75"/>
    </row>
    <row r="358" spans="1:20" x14ac:dyDescent="0.35">
      <c r="A358" s="17"/>
      <c r="B358" s="18"/>
      <c r="C358" s="13"/>
      <c r="D358" s="31"/>
      <c r="E358" s="24"/>
      <c r="F358" s="71"/>
      <c r="G358" s="72"/>
      <c r="H358" s="73"/>
      <c r="I358" s="72"/>
      <c r="J358" s="71"/>
      <c r="K358" s="72"/>
      <c r="L358" s="72"/>
      <c r="M358" s="72"/>
      <c r="N358" s="74"/>
      <c r="O358" s="71"/>
      <c r="P358" s="72"/>
      <c r="Q358" s="72"/>
      <c r="R358" s="72"/>
      <c r="S358" s="74"/>
      <c r="T358" s="75"/>
    </row>
    <row r="359" spans="1:20" x14ac:dyDescent="0.35">
      <c r="A359" s="17"/>
      <c r="B359" s="18"/>
      <c r="C359" s="13"/>
      <c r="D359" s="31"/>
      <c r="E359" s="24"/>
      <c r="F359" s="71"/>
      <c r="G359" s="72"/>
      <c r="H359" s="73"/>
      <c r="I359" s="72"/>
      <c r="J359" s="71"/>
      <c r="K359" s="72"/>
      <c r="L359" s="72"/>
      <c r="M359" s="72"/>
      <c r="N359" s="74"/>
      <c r="O359" s="71"/>
      <c r="P359" s="72"/>
      <c r="Q359" s="72"/>
      <c r="R359" s="72"/>
      <c r="S359" s="74"/>
      <c r="T359" s="75"/>
    </row>
    <row r="360" spans="1:20" x14ac:dyDescent="0.35">
      <c r="A360" s="17"/>
      <c r="B360" s="18"/>
      <c r="C360" s="13"/>
      <c r="D360" s="31"/>
      <c r="E360" s="24"/>
      <c r="F360" s="71"/>
      <c r="G360" s="72"/>
      <c r="H360" s="73"/>
      <c r="I360" s="72"/>
      <c r="J360" s="71"/>
      <c r="K360" s="72"/>
      <c r="L360" s="72"/>
      <c r="M360" s="72"/>
      <c r="N360" s="74"/>
      <c r="O360" s="71"/>
      <c r="P360" s="72"/>
      <c r="Q360" s="72"/>
      <c r="R360" s="72"/>
      <c r="S360" s="74"/>
      <c r="T360" s="75"/>
    </row>
    <row r="361" spans="1:20" x14ac:dyDescent="0.35">
      <c r="A361" s="17"/>
      <c r="B361" s="18"/>
      <c r="C361" s="13"/>
      <c r="D361" s="31"/>
      <c r="E361" s="24"/>
      <c r="F361" s="71"/>
      <c r="G361" s="72"/>
      <c r="H361" s="73"/>
      <c r="I361" s="72"/>
      <c r="J361" s="71"/>
      <c r="K361" s="72"/>
      <c r="L361" s="72"/>
      <c r="M361" s="72"/>
      <c r="N361" s="74"/>
      <c r="O361" s="71"/>
      <c r="P361" s="72"/>
      <c r="Q361" s="72"/>
      <c r="R361" s="72"/>
      <c r="S361" s="74"/>
      <c r="T361" s="75"/>
    </row>
    <row r="362" spans="1:20" x14ac:dyDescent="0.35">
      <c r="A362" s="17"/>
      <c r="B362" s="18"/>
      <c r="C362" s="13"/>
      <c r="D362" s="31"/>
      <c r="E362" s="24"/>
      <c r="F362" s="71"/>
      <c r="G362" s="72"/>
      <c r="H362" s="73"/>
      <c r="I362" s="72"/>
      <c r="J362" s="71"/>
      <c r="K362" s="72"/>
      <c r="L362" s="72"/>
      <c r="M362" s="72"/>
      <c r="N362" s="74"/>
      <c r="O362" s="71"/>
      <c r="P362" s="72"/>
      <c r="Q362" s="72"/>
      <c r="R362" s="72"/>
      <c r="S362" s="74"/>
      <c r="T362" s="75"/>
    </row>
    <row r="363" spans="1:20" x14ac:dyDescent="0.35">
      <c r="A363" s="17"/>
      <c r="B363" s="18"/>
      <c r="C363" s="13"/>
      <c r="D363" s="31"/>
      <c r="E363" s="24"/>
      <c r="F363" s="71"/>
      <c r="G363" s="72"/>
      <c r="H363" s="73"/>
      <c r="I363" s="72"/>
      <c r="J363" s="71"/>
      <c r="K363" s="72"/>
      <c r="L363" s="72"/>
      <c r="M363" s="72"/>
      <c r="N363" s="74"/>
      <c r="O363" s="71"/>
      <c r="P363" s="72"/>
      <c r="Q363" s="72"/>
      <c r="R363" s="72"/>
      <c r="S363" s="74"/>
      <c r="T363" s="75"/>
    </row>
    <row r="364" spans="1:20" x14ac:dyDescent="0.35">
      <c r="A364" s="17"/>
      <c r="B364" s="18"/>
      <c r="C364" s="13"/>
      <c r="D364" s="31"/>
      <c r="E364" s="24"/>
      <c r="F364" s="71"/>
      <c r="G364" s="72"/>
      <c r="H364" s="73"/>
      <c r="I364" s="72"/>
      <c r="J364" s="71"/>
      <c r="K364" s="72"/>
      <c r="L364" s="72"/>
      <c r="M364" s="72"/>
      <c r="N364" s="74"/>
      <c r="O364" s="71"/>
      <c r="P364" s="72"/>
      <c r="Q364" s="72"/>
      <c r="R364" s="72"/>
      <c r="S364" s="74"/>
      <c r="T364" s="75"/>
    </row>
    <row r="365" spans="1:20" x14ac:dyDescent="0.35">
      <c r="A365" s="17"/>
      <c r="B365" s="18"/>
      <c r="C365" s="13"/>
      <c r="D365" s="31"/>
      <c r="E365" s="24"/>
      <c r="F365" s="71"/>
      <c r="G365" s="72"/>
      <c r="H365" s="73"/>
      <c r="I365" s="72"/>
      <c r="J365" s="71"/>
      <c r="K365" s="72"/>
      <c r="L365" s="72"/>
      <c r="M365" s="72"/>
      <c r="N365" s="74"/>
      <c r="O365" s="71"/>
      <c r="P365" s="72"/>
      <c r="Q365" s="72"/>
      <c r="R365" s="72"/>
      <c r="S365" s="74"/>
      <c r="T365" s="75"/>
    </row>
    <row r="366" spans="1:20" x14ac:dyDescent="0.35">
      <c r="A366" s="17"/>
      <c r="B366" s="18"/>
      <c r="C366" s="13"/>
      <c r="D366" s="31"/>
      <c r="E366" s="24"/>
      <c r="F366" s="71"/>
      <c r="G366" s="72"/>
      <c r="H366" s="73"/>
      <c r="I366" s="72"/>
      <c r="J366" s="71"/>
      <c r="K366" s="72"/>
      <c r="L366" s="72"/>
      <c r="M366" s="72"/>
      <c r="N366" s="74"/>
      <c r="O366" s="71"/>
      <c r="P366" s="72"/>
      <c r="Q366" s="72"/>
      <c r="R366" s="72"/>
      <c r="S366" s="74"/>
      <c r="T366" s="75"/>
    </row>
    <row r="367" spans="1:20" x14ac:dyDescent="0.35">
      <c r="A367" s="17"/>
      <c r="B367" s="18"/>
      <c r="C367" s="13"/>
      <c r="D367" s="31"/>
      <c r="E367" s="24"/>
      <c r="F367" s="71"/>
      <c r="G367" s="72"/>
      <c r="H367" s="73"/>
      <c r="I367" s="72"/>
      <c r="J367" s="71"/>
      <c r="K367" s="72"/>
      <c r="L367" s="72"/>
      <c r="M367" s="72"/>
      <c r="N367" s="74"/>
      <c r="O367" s="71"/>
      <c r="P367" s="72"/>
      <c r="Q367" s="72"/>
      <c r="R367" s="72"/>
      <c r="S367" s="74"/>
      <c r="T367" s="75"/>
    </row>
    <row r="368" spans="1:20" x14ac:dyDescent="0.35">
      <c r="A368" s="17"/>
      <c r="B368" s="18"/>
      <c r="C368" s="13"/>
      <c r="D368" s="31"/>
      <c r="E368" s="24"/>
      <c r="F368" s="71"/>
      <c r="G368" s="72"/>
      <c r="H368" s="73"/>
      <c r="I368" s="72"/>
      <c r="J368" s="71"/>
      <c r="K368" s="72"/>
      <c r="L368" s="72"/>
      <c r="M368" s="72"/>
      <c r="N368" s="74"/>
      <c r="O368" s="71"/>
      <c r="P368" s="72"/>
      <c r="Q368" s="72"/>
      <c r="R368" s="72"/>
      <c r="S368" s="74"/>
      <c r="T368" s="75"/>
    </row>
    <row r="369" spans="1:20" x14ac:dyDescent="0.35">
      <c r="A369" s="17"/>
      <c r="B369" s="18"/>
      <c r="C369" s="13"/>
      <c r="D369" s="31"/>
      <c r="E369" s="24"/>
      <c r="F369" s="71"/>
      <c r="G369" s="72"/>
      <c r="H369" s="73"/>
      <c r="I369" s="72"/>
      <c r="J369" s="71"/>
      <c r="K369" s="72"/>
      <c r="L369" s="72"/>
      <c r="M369" s="72"/>
      <c r="N369" s="74"/>
      <c r="O369" s="71"/>
      <c r="P369" s="72"/>
      <c r="Q369" s="72"/>
      <c r="R369" s="72"/>
      <c r="S369" s="74"/>
      <c r="T369" s="75"/>
    </row>
    <row r="370" spans="1:20" x14ac:dyDescent="0.35">
      <c r="A370" s="17"/>
      <c r="B370" s="18"/>
      <c r="C370" s="13"/>
      <c r="D370" s="31"/>
      <c r="E370" s="24"/>
      <c r="F370" s="71"/>
      <c r="G370" s="72"/>
      <c r="H370" s="73"/>
      <c r="I370" s="72"/>
      <c r="J370" s="71"/>
      <c r="K370" s="72"/>
      <c r="L370" s="72"/>
      <c r="M370" s="72"/>
      <c r="N370" s="74"/>
      <c r="O370" s="71"/>
      <c r="P370" s="72"/>
      <c r="Q370" s="72"/>
      <c r="R370" s="72"/>
      <c r="S370" s="74"/>
      <c r="T370" s="75"/>
    </row>
    <row r="371" spans="1:20" x14ac:dyDescent="0.35">
      <c r="A371" s="17"/>
      <c r="B371" s="18"/>
      <c r="C371" s="13"/>
      <c r="D371" s="31"/>
      <c r="E371" s="24"/>
      <c r="F371" s="71"/>
      <c r="G371" s="72"/>
      <c r="H371" s="73"/>
      <c r="I371" s="72"/>
      <c r="J371" s="71"/>
      <c r="K371" s="72"/>
      <c r="L371" s="72"/>
      <c r="M371" s="72"/>
      <c r="N371" s="74"/>
      <c r="O371" s="71"/>
      <c r="P371" s="72"/>
      <c r="Q371" s="72"/>
      <c r="R371" s="72"/>
      <c r="S371" s="74"/>
      <c r="T371" s="75"/>
    </row>
    <row r="372" spans="1:20" x14ac:dyDescent="0.35">
      <c r="A372" s="17"/>
      <c r="B372" s="18"/>
      <c r="C372" s="13"/>
      <c r="D372" s="31"/>
      <c r="E372" s="24"/>
      <c r="F372" s="71"/>
      <c r="G372" s="72"/>
      <c r="H372" s="73"/>
      <c r="I372" s="72"/>
      <c r="J372" s="71"/>
      <c r="K372" s="72"/>
      <c r="L372" s="72"/>
      <c r="M372" s="72"/>
      <c r="N372" s="74"/>
      <c r="O372" s="71"/>
      <c r="P372" s="72"/>
      <c r="Q372" s="72"/>
      <c r="R372" s="72"/>
      <c r="S372" s="74"/>
      <c r="T372" s="75"/>
    </row>
    <row r="373" spans="1:20" x14ac:dyDescent="0.35">
      <c r="A373" s="17"/>
      <c r="B373" s="18"/>
      <c r="C373" s="13"/>
      <c r="D373" s="31"/>
      <c r="E373" s="24"/>
      <c r="F373" s="71"/>
      <c r="G373" s="72"/>
      <c r="H373" s="73"/>
      <c r="I373" s="72"/>
      <c r="J373" s="71"/>
      <c r="K373" s="72"/>
      <c r="L373" s="72"/>
      <c r="M373" s="72"/>
      <c r="N373" s="74"/>
      <c r="O373" s="71"/>
      <c r="P373" s="72"/>
      <c r="Q373" s="72"/>
      <c r="R373" s="72"/>
      <c r="S373" s="74"/>
      <c r="T373" s="75"/>
    </row>
    <row r="374" spans="1:20" x14ac:dyDescent="0.35">
      <c r="A374" s="17"/>
      <c r="B374" s="18"/>
      <c r="C374" s="13"/>
      <c r="D374" s="31"/>
      <c r="E374" s="24"/>
      <c r="F374" s="71"/>
      <c r="G374" s="72"/>
      <c r="H374" s="73"/>
      <c r="I374" s="72"/>
      <c r="J374" s="71"/>
      <c r="K374" s="72"/>
      <c r="L374" s="72"/>
      <c r="M374" s="72"/>
      <c r="N374" s="74"/>
      <c r="O374" s="71"/>
      <c r="P374" s="72"/>
      <c r="Q374" s="72"/>
      <c r="R374" s="72"/>
      <c r="S374" s="74"/>
      <c r="T374" s="75"/>
    </row>
    <row r="375" spans="1:20" x14ac:dyDescent="0.35">
      <c r="A375" s="17"/>
      <c r="B375" s="18"/>
      <c r="C375" s="13"/>
      <c r="D375" s="31"/>
      <c r="E375" s="24"/>
      <c r="F375" s="71"/>
      <c r="G375" s="72"/>
      <c r="H375" s="73"/>
      <c r="I375" s="72"/>
      <c r="J375" s="71"/>
      <c r="K375" s="72"/>
      <c r="L375" s="72"/>
      <c r="M375" s="72"/>
      <c r="N375" s="74"/>
      <c r="O375" s="71"/>
      <c r="P375" s="72"/>
      <c r="Q375" s="72"/>
      <c r="R375" s="72"/>
      <c r="S375" s="74"/>
      <c r="T375" s="75"/>
    </row>
    <row r="376" spans="1:20" x14ac:dyDescent="0.35">
      <c r="A376" s="17"/>
      <c r="B376" s="18"/>
      <c r="C376" s="13"/>
      <c r="D376" s="31"/>
      <c r="E376" s="24"/>
      <c r="F376" s="71"/>
      <c r="G376" s="72"/>
      <c r="H376" s="73"/>
      <c r="I376" s="72"/>
      <c r="J376" s="71"/>
      <c r="K376" s="72"/>
      <c r="L376" s="72"/>
      <c r="M376" s="72"/>
      <c r="N376" s="74"/>
      <c r="O376" s="71"/>
      <c r="P376" s="72"/>
      <c r="Q376" s="72"/>
      <c r="R376" s="72"/>
      <c r="S376" s="74"/>
      <c r="T376" s="75"/>
    </row>
    <row r="377" spans="1:20" x14ac:dyDescent="0.35">
      <c r="A377" s="17"/>
      <c r="B377" s="18"/>
      <c r="C377" s="13"/>
      <c r="D377" s="31"/>
      <c r="E377" s="24"/>
      <c r="F377" s="71"/>
      <c r="G377" s="72"/>
      <c r="H377" s="73"/>
      <c r="I377" s="72"/>
      <c r="J377" s="71"/>
      <c r="K377" s="72"/>
      <c r="L377" s="72"/>
      <c r="M377" s="72"/>
      <c r="N377" s="74"/>
      <c r="O377" s="71"/>
      <c r="P377" s="72"/>
      <c r="Q377" s="72"/>
      <c r="R377" s="72"/>
      <c r="S377" s="74"/>
      <c r="T377" s="75"/>
    </row>
    <row r="378" spans="1:20" x14ac:dyDescent="0.35">
      <c r="A378" s="17"/>
      <c r="B378" s="18"/>
      <c r="C378" s="13"/>
      <c r="D378" s="31"/>
      <c r="E378" s="24"/>
      <c r="F378" s="71"/>
      <c r="G378" s="72"/>
      <c r="H378" s="73"/>
      <c r="I378" s="72"/>
      <c r="J378" s="71"/>
      <c r="K378" s="72"/>
      <c r="L378" s="72"/>
      <c r="M378" s="72"/>
      <c r="N378" s="74"/>
      <c r="O378" s="71"/>
      <c r="P378" s="72"/>
      <c r="Q378" s="72"/>
      <c r="R378" s="72"/>
      <c r="S378" s="74"/>
      <c r="T378" s="75"/>
    </row>
    <row r="379" spans="1:20" x14ac:dyDescent="0.35">
      <c r="A379" s="17"/>
      <c r="B379" s="18"/>
      <c r="C379" s="13"/>
      <c r="D379" s="31"/>
      <c r="E379" s="24"/>
      <c r="F379" s="71"/>
      <c r="G379" s="72"/>
      <c r="H379" s="73"/>
      <c r="I379" s="72"/>
      <c r="J379" s="71"/>
      <c r="K379" s="72"/>
      <c r="L379" s="72"/>
      <c r="M379" s="72"/>
      <c r="N379" s="74"/>
      <c r="O379" s="71"/>
      <c r="P379" s="72"/>
      <c r="Q379" s="72"/>
      <c r="R379" s="72"/>
      <c r="S379" s="74"/>
      <c r="T379" s="75"/>
    </row>
    <row r="380" spans="1:20" x14ac:dyDescent="0.35">
      <c r="A380" s="17"/>
      <c r="B380" s="18"/>
      <c r="C380" s="13"/>
      <c r="D380" s="31"/>
      <c r="E380" s="24"/>
      <c r="F380" s="71"/>
      <c r="G380" s="72"/>
      <c r="H380" s="73"/>
      <c r="I380" s="72"/>
      <c r="J380" s="71"/>
      <c r="K380" s="72"/>
      <c r="L380" s="72"/>
      <c r="M380" s="72"/>
      <c r="N380" s="74"/>
      <c r="O380" s="71"/>
      <c r="P380" s="72"/>
      <c r="Q380" s="72"/>
      <c r="R380" s="72"/>
      <c r="S380" s="74"/>
      <c r="T380" s="75"/>
    </row>
    <row r="381" spans="1:20" x14ac:dyDescent="0.35">
      <c r="A381" s="17"/>
      <c r="B381" s="18"/>
      <c r="C381" s="13"/>
      <c r="D381" s="31"/>
      <c r="E381" s="24"/>
      <c r="F381" s="71"/>
      <c r="G381" s="72"/>
      <c r="H381" s="73"/>
      <c r="I381" s="72"/>
      <c r="J381" s="71"/>
      <c r="K381" s="72"/>
      <c r="L381" s="72"/>
      <c r="M381" s="72"/>
      <c r="N381" s="74"/>
      <c r="O381" s="71"/>
      <c r="P381" s="72"/>
      <c r="Q381" s="72"/>
      <c r="R381" s="72"/>
      <c r="S381" s="74"/>
      <c r="T381" s="75"/>
    </row>
    <row r="382" spans="1:20" x14ac:dyDescent="0.35">
      <c r="A382" s="17"/>
      <c r="B382" s="18"/>
      <c r="C382" s="13"/>
      <c r="D382" s="31"/>
      <c r="E382" s="24"/>
      <c r="F382" s="71"/>
      <c r="G382" s="72"/>
      <c r="H382" s="73"/>
      <c r="I382" s="72"/>
      <c r="J382" s="71"/>
      <c r="K382" s="72"/>
      <c r="L382" s="72"/>
      <c r="M382" s="72"/>
      <c r="N382" s="74"/>
      <c r="O382" s="71"/>
      <c r="P382" s="72"/>
      <c r="Q382" s="72"/>
      <c r="R382" s="72"/>
      <c r="S382" s="74"/>
      <c r="T382" s="75"/>
    </row>
    <row r="383" spans="1:20" x14ac:dyDescent="0.35">
      <c r="A383" s="17"/>
      <c r="B383" s="18"/>
      <c r="C383" s="13"/>
      <c r="D383" s="31"/>
      <c r="E383" s="24"/>
      <c r="F383" s="71"/>
      <c r="G383" s="72"/>
      <c r="H383" s="73"/>
      <c r="I383" s="72"/>
      <c r="J383" s="71"/>
      <c r="K383" s="72"/>
      <c r="L383" s="72"/>
      <c r="M383" s="72"/>
      <c r="N383" s="74"/>
      <c r="O383" s="71"/>
      <c r="P383" s="72"/>
      <c r="Q383" s="72"/>
      <c r="R383" s="72"/>
      <c r="S383" s="74"/>
      <c r="T383" s="75"/>
    </row>
    <row r="384" spans="1:20" x14ac:dyDescent="0.35">
      <c r="A384" s="17"/>
      <c r="B384" s="18"/>
      <c r="C384" s="13"/>
      <c r="D384" s="31"/>
      <c r="E384" s="24"/>
      <c r="F384" s="71"/>
      <c r="G384" s="72"/>
      <c r="H384" s="73"/>
      <c r="I384" s="72"/>
      <c r="J384" s="71"/>
      <c r="K384" s="72"/>
      <c r="L384" s="72"/>
      <c r="M384" s="72"/>
      <c r="N384" s="74"/>
      <c r="O384" s="71"/>
      <c r="P384" s="72"/>
      <c r="Q384" s="72"/>
      <c r="R384" s="72"/>
      <c r="S384" s="74"/>
      <c r="T384" s="75"/>
    </row>
    <row r="385" spans="1:20" x14ac:dyDescent="0.35">
      <c r="A385" s="17"/>
      <c r="B385" s="18"/>
      <c r="C385" s="13"/>
      <c r="D385" s="31"/>
      <c r="E385" s="24"/>
      <c r="F385" s="71"/>
      <c r="G385" s="72"/>
      <c r="H385" s="73"/>
      <c r="I385" s="72"/>
      <c r="J385" s="71"/>
      <c r="K385" s="72"/>
      <c r="L385" s="72"/>
      <c r="M385" s="72"/>
      <c r="N385" s="74"/>
      <c r="O385" s="71"/>
      <c r="P385" s="72"/>
      <c r="Q385" s="72"/>
      <c r="R385" s="72"/>
      <c r="S385" s="74"/>
      <c r="T385" s="75"/>
    </row>
    <row r="386" spans="1:20" x14ac:dyDescent="0.35">
      <c r="A386" s="17"/>
      <c r="B386" s="18"/>
      <c r="C386" s="13"/>
      <c r="D386" s="31"/>
      <c r="E386" s="24"/>
      <c r="F386" s="71"/>
      <c r="G386" s="72"/>
      <c r="H386" s="73"/>
      <c r="I386" s="72"/>
      <c r="J386" s="71"/>
      <c r="K386" s="72"/>
      <c r="L386" s="72"/>
      <c r="M386" s="72"/>
      <c r="N386" s="74"/>
      <c r="O386" s="71"/>
      <c r="P386" s="72"/>
      <c r="Q386" s="72"/>
      <c r="R386" s="72"/>
      <c r="S386" s="74"/>
      <c r="T386" s="75"/>
    </row>
    <row r="387" spans="1:20" x14ac:dyDescent="0.35">
      <c r="A387" s="17"/>
      <c r="B387" s="18"/>
      <c r="C387" s="13"/>
      <c r="D387" s="31"/>
      <c r="E387" s="24"/>
      <c r="F387" s="71"/>
      <c r="G387" s="72"/>
      <c r="H387" s="73"/>
      <c r="I387" s="72"/>
      <c r="J387" s="71"/>
      <c r="K387" s="72"/>
      <c r="L387" s="72"/>
      <c r="M387" s="72"/>
      <c r="N387" s="74"/>
      <c r="O387" s="71"/>
      <c r="P387" s="72"/>
      <c r="Q387" s="72"/>
      <c r="R387" s="72"/>
      <c r="S387" s="74"/>
      <c r="T387" s="75"/>
    </row>
    <row r="388" spans="1:20" x14ac:dyDescent="0.35">
      <c r="A388" s="17"/>
      <c r="B388" s="18"/>
      <c r="C388" s="13"/>
      <c r="D388" s="31"/>
      <c r="E388" s="24"/>
      <c r="F388" s="71"/>
      <c r="G388" s="72"/>
      <c r="H388" s="73"/>
      <c r="I388" s="72"/>
      <c r="J388" s="71"/>
      <c r="K388" s="72"/>
      <c r="L388" s="72"/>
      <c r="M388" s="72"/>
      <c r="N388" s="74"/>
      <c r="O388" s="71"/>
      <c r="P388" s="72"/>
      <c r="Q388" s="72"/>
      <c r="R388" s="72"/>
      <c r="S388" s="74"/>
      <c r="T388" s="75"/>
    </row>
    <row r="389" spans="1:20" x14ac:dyDescent="0.35">
      <c r="A389" s="17"/>
      <c r="B389" s="18"/>
      <c r="C389" s="13"/>
      <c r="D389" s="31"/>
      <c r="E389" s="24"/>
      <c r="F389" s="71"/>
      <c r="G389" s="72"/>
      <c r="H389" s="73"/>
      <c r="I389" s="72"/>
      <c r="J389" s="71"/>
      <c r="K389" s="72"/>
      <c r="L389" s="72"/>
      <c r="M389" s="72"/>
      <c r="N389" s="74"/>
      <c r="O389" s="71"/>
      <c r="P389" s="72"/>
      <c r="Q389" s="72"/>
      <c r="R389" s="72"/>
      <c r="S389" s="74"/>
      <c r="T389" s="75"/>
    </row>
    <row r="390" spans="1:20" x14ac:dyDescent="0.35">
      <c r="A390" s="17"/>
      <c r="B390" s="18"/>
      <c r="C390" s="13"/>
      <c r="D390" s="31"/>
      <c r="E390" s="24"/>
      <c r="F390" s="71"/>
      <c r="G390" s="72"/>
      <c r="H390" s="73"/>
      <c r="I390" s="72"/>
      <c r="J390" s="71"/>
      <c r="K390" s="72"/>
      <c r="L390" s="72"/>
      <c r="M390" s="72"/>
      <c r="N390" s="74"/>
      <c r="O390" s="71"/>
      <c r="P390" s="72"/>
      <c r="Q390" s="72"/>
      <c r="R390" s="72"/>
      <c r="S390" s="74"/>
      <c r="T390" s="75"/>
    </row>
    <row r="391" spans="1:20" x14ac:dyDescent="0.35">
      <c r="A391" s="17"/>
      <c r="B391" s="18"/>
      <c r="C391" s="13"/>
      <c r="D391" s="31"/>
      <c r="E391" s="24"/>
      <c r="F391" s="71"/>
      <c r="G391" s="72"/>
      <c r="H391" s="73"/>
      <c r="I391" s="72"/>
      <c r="J391" s="71"/>
      <c r="K391" s="72"/>
      <c r="L391" s="72"/>
      <c r="M391" s="72"/>
      <c r="N391" s="74"/>
      <c r="O391" s="71"/>
      <c r="P391" s="72"/>
      <c r="Q391" s="72"/>
      <c r="R391" s="72"/>
      <c r="S391" s="74"/>
      <c r="T391" s="75"/>
    </row>
    <row r="392" spans="1:20" x14ac:dyDescent="0.35">
      <c r="A392" s="17"/>
      <c r="B392" s="18"/>
      <c r="C392" s="13"/>
      <c r="D392" s="31"/>
      <c r="E392" s="24"/>
      <c r="F392" s="71"/>
      <c r="G392" s="72"/>
      <c r="H392" s="73"/>
      <c r="I392" s="72"/>
      <c r="J392" s="71"/>
      <c r="K392" s="72"/>
      <c r="L392" s="72"/>
      <c r="M392" s="72"/>
      <c r="N392" s="74"/>
      <c r="O392" s="71"/>
      <c r="P392" s="72"/>
      <c r="Q392" s="72"/>
      <c r="R392" s="72"/>
      <c r="S392" s="74"/>
      <c r="T392" s="75"/>
    </row>
    <row r="393" spans="1:20" x14ac:dyDescent="0.35">
      <c r="A393" s="17"/>
      <c r="B393" s="18"/>
      <c r="C393" s="13"/>
      <c r="D393" s="31"/>
      <c r="E393" s="24"/>
      <c r="F393" s="71"/>
      <c r="G393" s="72"/>
      <c r="H393" s="73"/>
      <c r="I393" s="72"/>
      <c r="J393" s="71"/>
      <c r="K393" s="72"/>
      <c r="L393" s="72"/>
      <c r="M393" s="72"/>
      <c r="N393" s="74"/>
      <c r="O393" s="71"/>
      <c r="P393" s="72"/>
      <c r="Q393" s="72"/>
      <c r="R393" s="72"/>
      <c r="S393" s="74"/>
      <c r="T393" s="75"/>
    </row>
    <row r="394" spans="1:20" x14ac:dyDescent="0.35">
      <c r="A394" s="17"/>
      <c r="B394" s="18"/>
      <c r="C394" s="13"/>
      <c r="D394" s="31"/>
      <c r="E394" s="24"/>
      <c r="F394" s="71"/>
      <c r="G394" s="72"/>
      <c r="H394" s="73"/>
      <c r="I394" s="72"/>
      <c r="J394" s="71"/>
      <c r="K394" s="72"/>
      <c r="L394" s="72"/>
      <c r="M394" s="72"/>
      <c r="N394" s="74"/>
      <c r="O394" s="71"/>
      <c r="P394" s="72"/>
      <c r="Q394" s="72"/>
      <c r="R394" s="72"/>
      <c r="S394" s="74"/>
      <c r="T394" s="75"/>
    </row>
    <row r="395" spans="1:20" x14ac:dyDescent="0.35">
      <c r="A395" s="17"/>
      <c r="B395" s="18"/>
      <c r="C395" s="13"/>
      <c r="D395" s="31"/>
      <c r="E395" s="24"/>
      <c r="F395" s="71"/>
      <c r="G395" s="72"/>
      <c r="H395" s="73"/>
      <c r="I395" s="72"/>
      <c r="J395" s="71"/>
      <c r="K395" s="72"/>
      <c r="L395" s="72"/>
      <c r="M395" s="72"/>
      <c r="N395" s="74"/>
      <c r="O395" s="71"/>
      <c r="P395" s="72"/>
      <c r="Q395" s="72"/>
      <c r="R395" s="72"/>
      <c r="S395" s="74"/>
      <c r="T395" s="75"/>
    </row>
    <row r="396" spans="1:20" x14ac:dyDescent="0.35">
      <c r="A396" s="17"/>
      <c r="B396" s="18"/>
      <c r="C396" s="13"/>
      <c r="D396" s="31"/>
      <c r="E396" s="24"/>
      <c r="F396" s="71"/>
      <c r="G396" s="72"/>
      <c r="H396" s="73"/>
      <c r="I396" s="72"/>
      <c r="J396" s="71"/>
      <c r="K396" s="72"/>
      <c r="L396" s="72"/>
      <c r="M396" s="72"/>
      <c r="N396" s="74"/>
      <c r="O396" s="71"/>
      <c r="P396" s="72"/>
      <c r="Q396" s="72"/>
      <c r="R396" s="72"/>
      <c r="S396" s="74"/>
      <c r="T396" s="75"/>
    </row>
    <row r="397" spans="1:20" x14ac:dyDescent="0.35">
      <c r="A397" s="17"/>
      <c r="B397" s="18"/>
      <c r="C397" s="13"/>
      <c r="D397" s="31"/>
      <c r="E397" s="24"/>
      <c r="F397" s="71"/>
      <c r="G397" s="72"/>
      <c r="H397" s="73"/>
      <c r="I397" s="72"/>
      <c r="J397" s="71"/>
      <c r="K397" s="72"/>
      <c r="L397" s="72"/>
      <c r="M397" s="72"/>
      <c r="N397" s="74"/>
      <c r="O397" s="71"/>
      <c r="P397" s="72"/>
      <c r="Q397" s="72"/>
      <c r="R397" s="72"/>
      <c r="S397" s="74"/>
      <c r="T397" s="75"/>
    </row>
    <row r="398" spans="1:20" x14ac:dyDescent="0.35">
      <c r="A398" s="17"/>
      <c r="B398" s="18"/>
      <c r="C398" s="13"/>
      <c r="D398" s="31"/>
      <c r="E398" s="24"/>
      <c r="F398" s="71"/>
      <c r="G398" s="72"/>
      <c r="H398" s="73"/>
      <c r="I398" s="72"/>
      <c r="J398" s="71"/>
      <c r="K398" s="72"/>
      <c r="L398" s="72"/>
      <c r="M398" s="72"/>
      <c r="N398" s="74"/>
      <c r="O398" s="71"/>
      <c r="P398" s="72"/>
      <c r="Q398" s="72"/>
      <c r="R398" s="72"/>
      <c r="S398" s="74"/>
      <c r="T398" s="75"/>
    </row>
    <row r="399" spans="1:20" x14ac:dyDescent="0.35">
      <c r="A399" s="17"/>
      <c r="B399" s="18"/>
      <c r="C399" s="13"/>
      <c r="D399" s="31"/>
      <c r="E399" s="24"/>
      <c r="F399" s="71"/>
      <c r="G399" s="72"/>
      <c r="H399" s="73"/>
      <c r="I399" s="72"/>
      <c r="J399" s="71"/>
      <c r="K399" s="72"/>
      <c r="L399" s="72"/>
      <c r="M399" s="72"/>
      <c r="N399" s="74"/>
      <c r="O399" s="71"/>
      <c r="P399" s="72"/>
      <c r="Q399" s="72"/>
      <c r="R399" s="72"/>
      <c r="S399" s="74"/>
      <c r="T399" s="75"/>
    </row>
    <row r="400" spans="1:20" x14ac:dyDescent="0.35">
      <c r="A400" s="17"/>
      <c r="B400" s="18"/>
      <c r="C400" s="13"/>
      <c r="D400" s="31"/>
      <c r="E400" s="24"/>
      <c r="F400" s="71"/>
      <c r="G400" s="72"/>
      <c r="H400" s="73"/>
      <c r="I400" s="72"/>
      <c r="J400" s="71"/>
      <c r="K400" s="72"/>
      <c r="L400" s="72"/>
      <c r="M400" s="72"/>
      <c r="N400" s="74"/>
      <c r="O400" s="71"/>
      <c r="P400" s="72"/>
      <c r="Q400" s="72"/>
      <c r="R400" s="72"/>
      <c r="S400" s="74"/>
      <c r="T400" s="75"/>
    </row>
    <row r="401" spans="1:20" x14ac:dyDescent="0.35">
      <c r="A401" s="17"/>
      <c r="B401" s="18"/>
      <c r="C401" s="13"/>
      <c r="D401" s="31"/>
      <c r="E401" s="24"/>
      <c r="F401" s="71"/>
      <c r="G401" s="72"/>
      <c r="H401" s="73"/>
      <c r="I401" s="72"/>
      <c r="J401" s="71"/>
      <c r="K401" s="72"/>
      <c r="L401" s="72"/>
      <c r="M401" s="72"/>
      <c r="N401" s="74"/>
      <c r="O401" s="71"/>
      <c r="P401" s="72"/>
      <c r="Q401" s="72"/>
      <c r="R401" s="72"/>
      <c r="S401" s="74"/>
      <c r="T401" s="75"/>
    </row>
    <row r="402" spans="1:20" x14ac:dyDescent="0.35">
      <c r="A402" s="17"/>
      <c r="B402" s="18"/>
      <c r="C402" s="13"/>
      <c r="D402" s="31"/>
      <c r="E402" s="24"/>
      <c r="F402" s="71"/>
      <c r="G402" s="72"/>
      <c r="H402" s="73"/>
      <c r="I402" s="72"/>
      <c r="J402" s="71"/>
      <c r="K402" s="72"/>
      <c r="L402" s="72"/>
      <c r="M402" s="72"/>
      <c r="N402" s="74"/>
      <c r="O402" s="71"/>
      <c r="P402" s="72"/>
      <c r="Q402" s="72"/>
      <c r="R402" s="72"/>
      <c r="S402" s="74"/>
      <c r="T402" s="75"/>
    </row>
    <row r="403" spans="1:20" x14ac:dyDescent="0.35">
      <c r="A403" s="17"/>
      <c r="B403" s="18"/>
      <c r="C403" s="13"/>
      <c r="D403" s="31"/>
      <c r="E403" s="24"/>
      <c r="F403" s="71"/>
      <c r="G403" s="72"/>
      <c r="H403" s="73"/>
      <c r="I403" s="72"/>
      <c r="J403" s="71"/>
      <c r="K403" s="72"/>
      <c r="L403" s="72"/>
      <c r="M403" s="72"/>
      <c r="N403" s="74"/>
      <c r="O403" s="71"/>
      <c r="P403" s="72"/>
      <c r="Q403" s="72"/>
      <c r="R403" s="72"/>
      <c r="S403" s="74"/>
      <c r="T403" s="75"/>
    </row>
    <row r="404" spans="1:20" x14ac:dyDescent="0.35">
      <c r="A404" s="17"/>
      <c r="B404" s="18"/>
      <c r="C404" s="13"/>
      <c r="D404" s="31"/>
      <c r="E404" s="24"/>
      <c r="F404" s="71"/>
      <c r="G404" s="72"/>
      <c r="H404" s="73"/>
      <c r="I404" s="72"/>
      <c r="J404" s="71"/>
      <c r="K404" s="72"/>
      <c r="L404" s="72"/>
      <c r="M404" s="72"/>
      <c r="N404" s="74"/>
      <c r="O404" s="71"/>
      <c r="P404" s="72"/>
      <c r="Q404" s="72"/>
      <c r="R404" s="72"/>
      <c r="S404" s="74"/>
      <c r="T404" s="75"/>
    </row>
    <row r="405" spans="1:20" x14ac:dyDescent="0.35">
      <c r="A405" s="17"/>
      <c r="B405" s="18"/>
      <c r="C405" s="13"/>
      <c r="D405" s="31"/>
      <c r="E405" s="24"/>
      <c r="F405" s="71"/>
      <c r="G405" s="72"/>
      <c r="H405" s="73"/>
      <c r="I405" s="72"/>
      <c r="J405" s="71"/>
      <c r="K405" s="72"/>
      <c r="L405" s="72"/>
      <c r="M405" s="72"/>
      <c r="N405" s="74"/>
      <c r="O405" s="71"/>
      <c r="P405" s="72"/>
      <c r="Q405" s="72"/>
      <c r="R405" s="72"/>
      <c r="S405" s="74"/>
      <c r="T405" s="75"/>
    </row>
    <row r="406" spans="1:20" x14ac:dyDescent="0.35">
      <c r="A406" s="17"/>
      <c r="B406" s="18"/>
      <c r="C406" s="13"/>
      <c r="D406" s="31"/>
      <c r="E406" s="24"/>
      <c r="F406" s="71"/>
      <c r="G406" s="72"/>
      <c r="H406" s="73"/>
      <c r="I406" s="72"/>
      <c r="J406" s="71"/>
      <c r="K406" s="72"/>
      <c r="L406" s="72"/>
      <c r="M406" s="72"/>
      <c r="N406" s="74"/>
      <c r="O406" s="71"/>
      <c r="P406" s="72"/>
      <c r="Q406" s="72"/>
      <c r="R406" s="72"/>
      <c r="S406" s="74"/>
      <c r="T406" s="75"/>
    </row>
    <row r="407" spans="1:20" x14ac:dyDescent="0.35">
      <c r="A407" s="17"/>
      <c r="B407" s="18"/>
      <c r="C407" s="13"/>
      <c r="D407" s="31"/>
      <c r="E407" s="24"/>
      <c r="F407" s="71"/>
      <c r="G407" s="72"/>
      <c r="H407" s="73"/>
      <c r="I407" s="72"/>
      <c r="J407" s="71"/>
      <c r="K407" s="72"/>
      <c r="L407" s="72"/>
      <c r="M407" s="72"/>
      <c r="N407" s="74"/>
      <c r="O407" s="71"/>
      <c r="P407" s="72"/>
      <c r="Q407" s="72"/>
      <c r="R407" s="72"/>
      <c r="S407" s="74"/>
      <c r="T407" s="75"/>
    </row>
    <row r="408" spans="1:20" x14ac:dyDescent="0.35">
      <c r="A408" s="17"/>
      <c r="B408" s="18"/>
      <c r="C408" s="13"/>
      <c r="D408" s="31"/>
      <c r="E408" s="24"/>
      <c r="F408" s="71"/>
      <c r="G408" s="72"/>
      <c r="H408" s="73"/>
      <c r="I408" s="72"/>
      <c r="J408" s="71"/>
      <c r="K408" s="72"/>
      <c r="L408" s="72"/>
      <c r="M408" s="72"/>
      <c r="N408" s="74"/>
      <c r="O408" s="71"/>
      <c r="P408" s="72"/>
      <c r="Q408" s="72"/>
      <c r="R408" s="72"/>
      <c r="S408" s="74"/>
      <c r="T408" s="75"/>
    </row>
    <row r="409" spans="1:20" x14ac:dyDescent="0.35">
      <c r="A409" s="17"/>
      <c r="B409" s="18"/>
      <c r="C409" s="13"/>
      <c r="D409" s="31"/>
      <c r="E409" s="24"/>
      <c r="F409" s="71"/>
      <c r="G409" s="72"/>
      <c r="H409" s="73"/>
      <c r="I409" s="72"/>
      <c r="J409" s="71"/>
      <c r="K409" s="72"/>
      <c r="L409" s="72"/>
      <c r="M409" s="72"/>
      <c r="N409" s="74"/>
      <c r="O409" s="71"/>
      <c r="P409" s="72"/>
      <c r="Q409" s="72"/>
      <c r="R409" s="72"/>
      <c r="S409" s="74"/>
      <c r="T409" s="75"/>
    </row>
    <row r="410" spans="1:20" x14ac:dyDescent="0.35">
      <c r="A410" s="17"/>
      <c r="B410" s="18"/>
      <c r="C410" s="13"/>
      <c r="D410" s="31"/>
      <c r="E410" s="24"/>
      <c r="F410" s="71"/>
      <c r="G410" s="72"/>
      <c r="H410" s="73"/>
      <c r="I410" s="72"/>
      <c r="J410" s="71"/>
      <c r="K410" s="72"/>
      <c r="L410" s="72"/>
      <c r="M410" s="72"/>
      <c r="N410" s="74"/>
      <c r="O410" s="71"/>
      <c r="P410" s="72"/>
      <c r="Q410" s="72"/>
      <c r="R410" s="72"/>
      <c r="S410" s="74"/>
      <c r="T410" s="75"/>
    </row>
    <row r="411" spans="1:20" x14ac:dyDescent="0.35">
      <c r="A411" s="17"/>
      <c r="B411" s="18"/>
      <c r="C411" s="13"/>
      <c r="D411" s="31"/>
      <c r="E411" s="24"/>
      <c r="F411" s="71"/>
      <c r="G411" s="72"/>
      <c r="H411" s="73"/>
      <c r="I411" s="72"/>
      <c r="J411" s="71"/>
      <c r="K411" s="72"/>
      <c r="L411" s="72"/>
      <c r="M411" s="72"/>
      <c r="N411" s="74"/>
      <c r="O411" s="71"/>
      <c r="P411" s="72"/>
      <c r="Q411" s="72"/>
      <c r="R411" s="72"/>
      <c r="S411" s="74"/>
      <c r="T411" s="75"/>
    </row>
    <row r="412" spans="1:20" x14ac:dyDescent="0.35">
      <c r="A412" s="17"/>
      <c r="B412" s="18"/>
      <c r="C412" s="13"/>
      <c r="D412" s="31"/>
      <c r="E412" s="24"/>
      <c r="F412" s="71"/>
      <c r="G412" s="72"/>
      <c r="H412" s="73"/>
      <c r="I412" s="72"/>
      <c r="J412" s="71"/>
      <c r="K412" s="72"/>
      <c r="L412" s="72"/>
      <c r="M412" s="72"/>
      <c r="N412" s="74"/>
      <c r="O412" s="71"/>
      <c r="P412" s="72"/>
      <c r="Q412" s="72"/>
      <c r="R412" s="72"/>
      <c r="S412" s="74"/>
      <c r="T412" s="75"/>
    </row>
    <row r="413" spans="1:20" x14ac:dyDescent="0.35">
      <c r="A413" s="17"/>
      <c r="B413" s="18"/>
      <c r="C413" s="13"/>
      <c r="D413" s="31"/>
      <c r="E413" s="24"/>
      <c r="F413" s="71"/>
      <c r="G413" s="72"/>
      <c r="H413" s="73"/>
      <c r="I413" s="72"/>
      <c r="J413" s="71"/>
      <c r="K413" s="72"/>
      <c r="L413" s="72"/>
      <c r="M413" s="72"/>
      <c r="N413" s="74"/>
      <c r="O413" s="71"/>
      <c r="P413" s="72"/>
      <c r="Q413" s="72"/>
      <c r="R413" s="72"/>
      <c r="S413" s="74"/>
      <c r="T413" s="75"/>
    </row>
    <row r="414" spans="1:20" x14ac:dyDescent="0.35">
      <c r="A414" s="17"/>
      <c r="B414" s="18"/>
      <c r="C414" s="13"/>
      <c r="D414" s="31"/>
      <c r="E414" s="24"/>
      <c r="F414" s="71"/>
      <c r="G414" s="72"/>
      <c r="H414" s="73"/>
      <c r="I414" s="72"/>
      <c r="J414" s="71"/>
      <c r="K414" s="72"/>
      <c r="L414" s="72"/>
      <c r="M414" s="72"/>
      <c r="N414" s="74"/>
      <c r="O414" s="71"/>
      <c r="P414" s="72"/>
      <c r="Q414" s="72"/>
      <c r="R414" s="72"/>
      <c r="S414" s="74"/>
      <c r="T414" s="75"/>
    </row>
    <row r="415" spans="1:20" x14ac:dyDescent="0.35">
      <c r="A415" s="17"/>
      <c r="B415" s="18"/>
      <c r="C415" s="13"/>
      <c r="D415" s="31"/>
      <c r="E415" s="24"/>
      <c r="F415" s="71"/>
      <c r="G415" s="72"/>
      <c r="H415" s="73"/>
      <c r="I415" s="72"/>
      <c r="J415" s="71"/>
      <c r="K415" s="72"/>
      <c r="L415" s="72"/>
      <c r="M415" s="72"/>
      <c r="N415" s="74"/>
      <c r="O415" s="71"/>
      <c r="P415" s="72"/>
      <c r="Q415" s="72"/>
      <c r="R415" s="72"/>
      <c r="S415" s="74"/>
      <c r="T415" s="75"/>
    </row>
    <row r="416" spans="1:20" x14ac:dyDescent="0.35">
      <c r="A416" s="17"/>
      <c r="B416" s="18"/>
      <c r="C416" s="13"/>
      <c r="D416" s="31"/>
      <c r="E416" s="24"/>
      <c r="F416" s="71"/>
      <c r="G416" s="72"/>
      <c r="H416" s="73"/>
      <c r="I416" s="72"/>
      <c r="J416" s="71"/>
      <c r="K416" s="72"/>
      <c r="L416" s="72"/>
      <c r="M416" s="72"/>
      <c r="N416" s="74"/>
      <c r="O416" s="71"/>
      <c r="P416" s="72"/>
      <c r="Q416" s="72"/>
      <c r="R416" s="72"/>
      <c r="S416" s="74"/>
      <c r="T416" s="75"/>
    </row>
    <row r="417" spans="1:20" x14ac:dyDescent="0.35">
      <c r="A417" s="17"/>
      <c r="B417" s="18"/>
      <c r="C417" s="13"/>
      <c r="D417" s="31"/>
      <c r="E417" s="24"/>
      <c r="F417" s="71"/>
      <c r="G417" s="72"/>
      <c r="H417" s="73"/>
      <c r="I417" s="72"/>
      <c r="J417" s="71"/>
      <c r="K417" s="72"/>
      <c r="L417" s="72"/>
      <c r="M417" s="72"/>
      <c r="N417" s="74"/>
      <c r="O417" s="71"/>
      <c r="P417" s="72"/>
      <c r="Q417" s="72"/>
      <c r="R417" s="72"/>
      <c r="S417" s="74"/>
      <c r="T417" s="75"/>
    </row>
    <row r="418" spans="1:20" x14ac:dyDescent="0.35">
      <c r="A418" s="17"/>
      <c r="B418" s="18"/>
      <c r="C418" s="13"/>
      <c r="D418" s="31"/>
      <c r="E418" s="24"/>
      <c r="F418" s="71"/>
      <c r="G418" s="72"/>
      <c r="H418" s="73"/>
      <c r="I418" s="72"/>
      <c r="J418" s="71"/>
      <c r="K418" s="72"/>
      <c r="L418" s="72"/>
      <c r="M418" s="72"/>
      <c r="N418" s="74"/>
      <c r="O418" s="71"/>
      <c r="P418" s="72"/>
      <c r="Q418" s="72"/>
      <c r="R418" s="72"/>
      <c r="S418" s="74"/>
      <c r="T418" s="75"/>
    </row>
    <row r="419" spans="1:20" x14ac:dyDescent="0.35">
      <c r="A419" s="17"/>
      <c r="B419" s="18"/>
      <c r="C419" s="13"/>
      <c r="D419" s="31"/>
      <c r="E419" s="24"/>
      <c r="F419" s="71"/>
      <c r="G419" s="72"/>
      <c r="H419" s="73"/>
      <c r="I419" s="72"/>
      <c r="J419" s="71"/>
      <c r="K419" s="72"/>
      <c r="L419" s="72"/>
      <c r="M419" s="72"/>
      <c r="N419" s="74"/>
      <c r="O419" s="71"/>
      <c r="P419" s="72"/>
      <c r="Q419" s="72"/>
      <c r="R419" s="72"/>
      <c r="S419" s="74"/>
      <c r="T419" s="75"/>
    </row>
    <row r="420" spans="1:20" x14ac:dyDescent="0.35">
      <c r="A420" s="17"/>
      <c r="B420" s="18"/>
      <c r="C420" s="13"/>
      <c r="D420" s="31"/>
      <c r="E420" s="24"/>
      <c r="F420" s="71"/>
      <c r="G420" s="72"/>
      <c r="H420" s="73"/>
      <c r="I420" s="72"/>
      <c r="J420" s="71"/>
      <c r="K420" s="72"/>
      <c r="L420" s="72"/>
      <c r="M420" s="72"/>
      <c r="N420" s="74"/>
      <c r="O420" s="71"/>
      <c r="P420" s="72"/>
      <c r="Q420" s="72"/>
      <c r="R420" s="72"/>
      <c r="S420" s="74"/>
      <c r="T420" s="75"/>
    </row>
    <row r="421" spans="1:20" x14ac:dyDescent="0.35">
      <c r="A421" s="17"/>
      <c r="B421" s="18"/>
      <c r="C421" s="13"/>
      <c r="D421" s="31"/>
      <c r="E421" s="24"/>
      <c r="F421" s="71"/>
      <c r="G421" s="72"/>
      <c r="H421" s="73"/>
      <c r="I421" s="72"/>
      <c r="J421" s="71"/>
      <c r="K421" s="72"/>
      <c r="L421" s="72"/>
      <c r="M421" s="72"/>
      <c r="N421" s="74"/>
      <c r="O421" s="71"/>
      <c r="P421" s="72"/>
      <c r="Q421" s="72"/>
      <c r="R421" s="72"/>
      <c r="S421" s="74"/>
      <c r="T421" s="75"/>
    </row>
    <row r="422" spans="1:20" x14ac:dyDescent="0.35">
      <c r="A422" s="17"/>
      <c r="B422" s="18"/>
      <c r="C422" s="13"/>
      <c r="D422" s="31"/>
      <c r="E422" s="24"/>
      <c r="F422" s="71"/>
      <c r="G422" s="72"/>
      <c r="H422" s="73"/>
      <c r="I422" s="72"/>
      <c r="J422" s="71"/>
      <c r="K422" s="72"/>
      <c r="L422" s="72"/>
      <c r="M422" s="72"/>
      <c r="N422" s="74"/>
      <c r="O422" s="71"/>
      <c r="P422" s="72"/>
      <c r="Q422" s="72"/>
      <c r="R422" s="72"/>
      <c r="S422" s="74"/>
      <c r="T422" s="75"/>
    </row>
    <row r="423" spans="1:20" x14ac:dyDescent="0.35">
      <c r="A423" s="17"/>
      <c r="B423" s="18"/>
      <c r="C423" s="13"/>
      <c r="D423" s="31"/>
      <c r="E423" s="24"/>
      <c r="F423" s="71"/>
      <c r="G423" s="72"/>
      <c r="H423" s="73"/>
      <c r="I423" s="72"/>
      <c r="J423" s="71"/>
      <c r="K423" s="72"/>
      <c r="L423" s="72"/>
      <c r="M423" s="72"/>
      <c r="N423" s="74"/>
      <c r="O423" s="71"/>
      <c r="P423" s="72"/>
      <c r="Q423" s="72"/>
      <c r="R423" s="72"/>
      <c r="S423" s="74"/>
      <c r="T423" s="75"/>
    </row>
    <row r="424" spans="1:20" x14ac:dyDescent="0.35">
      <c r="A424" s="17"/>
      <c r="B424" s="18"/>
      <c r="C424" s="13"/>
      <c r="D424" s="31"/>
      <c r="E424" s="24"/>
      <c r="F424" s="71"/>
      <c r="G424" s="72"/>
      <c r="H424" s="73"/>
      <c r="I424" s="72"/>
      <c r="J424" s="71"/>
      <c r="K424" s="72"/>
      <c r="L424" s="72"/>
      <c r="M424" s="72"/>
      <c r="N424" s="74"/>
      <c r="O424" s="71"/>
      <c r="P424" s="72"/>
      <c r="Q424" s="72"/>
      <c r="R424" s="72"/>
      <c r="S424" s="74"/>
      <c r="T424" s="75"/>
    </row>
    <row r="425" spans="1:20" x14ac:dyDescent="0.35">
      <c r="A425" s="17"/>
      <c r="B425" s="18"/>
      <c r="C425" s="13"/>
      <c r="D425" s="31"/>
      <c r="E425" s="24"/>
      <c r="F425" s="71"/>
      <c r="G425" s="72"/>
      <c r="H425" s="73"/>
      <c r="I425" s="72"/>
      <c r="J425" s="71"/>
      <c r="K425" s="72"/>
      <c r="L425" s="72"/>
      <c r="M425" s="72"/>
      <c r="N425" s="74"/>
      <c r="O425" s="71"/>
      <c r="P425" s="72"/>
      <c r="Q425" s="72"/>
      <c r="R425" s="72"/>
      <c r="S425" s="74"/>
      <c r="T425" s="75"/>
    </row>
    <row r="426" spans="1:20" x14ac:dyDescent="0.35">
      <c r="A426" s="17"/>
      <c r="B426" s="18"/>
      <c r="C426" s="13"/>
      <c r="D426" s="31"/>
      <c r="E426" s="24"/>
      <c r="F426" s="71"/>
      <c r="G426" s="72"/>
      <c r="H426" s="73"/>
      <c r="I426" s="72"/>
      <c r="J426" s="71"/>
      <c r="K426" s="72"/>
      <c r="L426" s="72"/>
      <c r="M426" s="72"/>
      <c r="N426" s="74"/>
      <c r="O426" s="71"/>
      <c r="P426" s="72"/>
      <c r="Q426" s="72"/>
      <c r="R426" s="72"/>
      <c r="S426" s="74"/>
      <c r="T426" s="75"/>
    </row>
    <row r="427" spans="1:20" x14ac:dyDescent="0.35">
      <c r="A427" s="17"/>
      <c r="B427" s="18"/>
      <c r="C427" s="13"/>
      <c r="D427" s="31"/>
      <c r="E427" s="24"/>
      <c r="F427" s="71"/>
      <c r="G427" s="72"/>
      <c r="H427" s="73"/>
      <c r="I427" s="72"/>
      <c r="J427" s="71"/>
      <c r="K427" s="72"/>
      <c r="L427" s="72"/>
      <c r="M427" s="72"/>
      <c r="N427" s="74"/>
      <c r="O427" s="71"/>
      <c r="P427" s="72"/>
      <c r="Q427" s="72"/>
      <c r="R427" s="72"/>
      <c r="S427" s="74"/>
      <c r="T427" s="75"/>
    </row>
    <row r="428" spans="1:20" x14ac:dyDescent="0.35">
      <c r="A428" s="17"/>
      <c r="B428" s="18"/>
      <c r="C428" s="13"/>
      <c r="D428" s="31"/>
      <c r="E428" s="24"/>
      <c r="F428" s="71"/>
      <c r="G428" s="72"/>
      <c r="H428" s="73"/>
      <c r="I428" s="72"/>
      <c r="J428" s="71"/>
      <c r="K428" s="72"/>
      <c r="L428" s="72"/>
      <c r="M428" s="72"/>
      <c r="N428" s="74"/>
      <c r="O428" s="71"/>
      <c r="P428" s="72"/>
      <c r="Q428" s="72"/>
      <c r="R428" s="72"/>
      <c r="S428" s="74"/>
      <c r="T428" s="75"/>
    </row>
    <row r="429" spans="1:20" x14ac:dyDescent="0.35">
      <c r="A429" s="17"/>
      <c r="B429" s="18"/>
      <c r="C429" s="13"/>
      <c r="D429" s="31"/>
      <c r="E429" s="24"/>
      <c r="F429" s="71"/>
      <c r="G429" s="72"/>
      <c r="H429" s="73"/>
      <c r="I429" s="72"/>
      <c r="J429" s="71"/>
      <c r="K429" s="72"/>
      <c r="L429" s="72"/>
      <c r="M429" s="72"/>
      <c r="N429" s="74"/>
      <c r="O429" s="71"/>
      <c r="P429" s="72"/>
      <c r="Q429" s="72"/>
      <c r="R429" s="72"/>
      <c r="S429" s="74"/>
      <c r="T429" s="75"/>
    </row>
    <row r="430" spans="1:20" x14ac:dyDescent="0.35">
      <c r="A430" s="17"/>
      <c r="B430" s="18"/>
      <c r="C430" s="13"/>
      <c r="D430" s="31"/>
      <c r="E430" s="24"/>
      <c r="F430" s="71"/>
      <c r="G430" s="72"/>
      <c r="H430" s="73"/>
      <c r="I430" s="72"/>
      <c r="J430" s="71"/>
      <c r="K430" s="72"/>
      <c r="L430" s="72"/>
      <c r="M430" s="72"/>
      <c r="N430" s="74"/>
      <c r="O430" s="71"/>
      <c r="P430" s="72"/>
      <c r="Q430" s="72"/>
      <c r="R430" s="72"/>
      <c r="S430" s="74"/>
      <c r="T430" s="75"/>
    </row>
    <row r="431" spans="1:20" x14ac:dyDescent="0.35">
      <c r="A431" s="17"/>
      <c r="B431" s="18"/>
      <c r="C431" s="13"/>
      <c r="D431" s="31"/>
      <c r="E431" s="24"/>
      <c r="F431" s="71"/>
      <c r="G431" s="72"/>
      <c r="H431" s="73"/>
      <c r="I431" s="72"/>
      <c r="J431" s="71"/>
      <c r="K431" s="72"/>
      <c r="L431" s="72"/>
      <c r="M431" s="72"/>
      <c r="N431" s="74"/>
      <c r="O431" s="71"/>
      <c r="P431" s="72"/>
      <c r="Q431" s="72"/>
      <c r="R431" s="72"/>
      <c r="S431" s="74"/>
      <c r="T431" s="75"/>
    </row>
    <row r="432" spans="1:20" x14ac:dyDescent="0.35">
      <c r="A432" s="17"/>
      <c r="B432" s="18"/>
      <c r="C432" s="13"/>
      <c r="D432" s="31"/>
      <c r="E432" s="24"/>
      <c r="F432" s="71"/>
      <c r="G432" s="72"/>
      <c r="H432" s="73"/>
      <c r="I432" s="72"/>
      <c r="J432" s="71"/>
      <c r="K432" s="72"/>
      <c r="L432" s="72"/>
      <c r="M432" s="72"/>
      <c r="N432" s="74"/>
      <c r="O432" s="71"/>
      <c r="P432" s="72"/>
      <c r="Q432" s="72"/>
      <c r="R432" s="72"/>
      <c r="S432" s="74"/>
      <c r="T432" s="75"/>
    </row>
    <row r="433" spans="1:20" x14ac:dyDescent="0.35">
      <c r="A433" s="17"/>
      <c r="B433" s="18"/>
      <c r="C433" s="13"/>
      <c r="D433" s="31"/>
      <c r="E433" s="24"/>
      <c r="F433" s="71"/>
      <c r="G433" s="72"/>
      <c r="H433" s="73"/>
      <c r="I433" s="72"/>
      <c r="J433" s="71"/>
      <c r="K433" s="72"/>
      <c r="L433" s="72"/>
      <c r="M433" s="72"/>
      <c r="N433" s="74"/>
      <c r="O433" s="71"/>
      <c r="P433" s="72"/>
      <c r="Q433" s="72"/>
      <c r="R433" s="72"/>
      <c r="S433" s="74"/>
      <c r="T433" s="75"/>
    </row>
    <row r="434" spans="1:20" x14ac:dyDescent="0.35">
      <c r="A434" s="17"/>
      <c r="B434" s="18"/>
      <c r="C434" s="13"/>
      <c r="D434" s="31"/>
      <c r="E434" s="24"/>
      <c r="F434" s="71"/>
      <c r="G434" s="72"/>
      <c r="H434" s="73"/>
      <c r="I434" s="72"/>
      <c r="J434" s="71"/>
      <c r="K434" s="72"/>
      <c r="L434" s="72"/>
      <c r="M434" s="72"/>
      <c r="N434" s="74"/>
      <c r="O434" s="71"/>
      <c r="P434" s="72"/>
      <c r="Q434" s="72"/>
      <c r="R434" s="72"/>
      <c r="S434" s="74"/>
      <c r="T434" s="75"/>
    </row>
    <row r="435" spans="1:20" x14ac:dyDescent="0.35">
      <c r="A435" s="17"/>
      <c r="B435" s="18"/>
      <c r="C435" s="13"/>
      <c r="D435" s="31"/>
      <c r="E435" s="24"/>
      <c r="F435" s="71"/>
      <c r="G435" s="72"/>
      <c r="H435" s="73"/>
      <c r="I435" s="72"/>
      <c r="J435" s="71"/>
      <c r="K435" s="72"/>
      <c r="L435" s="72"/>
      <c r="M435" s="72"/>
      <c r="N435" s="74"/>
      <c r="O435" s="71"/>
      <c r="P435" s="72"/>
      <c r="Q435" s="72"/>
      <c r="R435" s="72"/>
      <c r="S435" s="74"/>
      <c r="T435" s="75"/>
    </row>
    <row r="436" spans="1:20" x14ac:dyDescent="0.35">
      <c r="A436" s="17"/>
      <c r="B436" s="18"/>
      <c r="C436" s="13"/>
      <c r="D436" s="31"/>
      <c r="E436" s="24"/>
      <c r="F436" s="71"/>
      <c r="G436" s="72"/>
      <c r="H436" s="73"/>
      <c r="I436" s="72"/>
      <c r="J436" s="71"/>
      <c r="K436" s="72"/>
      <c r="L436" s="72"/>
      <c r="M436" s="72"/>
      <c r="N436" s="74"/>
      <c r="O436" s="71"/>
      <c r="P436" s="72"/>
      <c r="Q436" s="72"/>
      <c r="R436" s="72"/>
      <c r="S436" s="74"/>
      <c r="T436" s="75"/>
    </row>
    <row r="437" spans="1:20" x14ac:dyDescent="0.35">
      <c r="A437" s="17"/>
      <c r="B437" s="18"/>
      <c r="C437" s="13"/>
      <c r="D437" s="31"/>
      <c r="E437" s="24"/>
      <c r="F437" s="71"/>
      <c r="G437" s="72"/>
      <c r="H437" s="73"/>
      <c r="I437" s="72"/>
      <c r="J437" s="71"/>
      <c r="K437" s="72"/>
      <c r="L437" s="72"/>
      <c r="M437" s="72"/>
      <c r="N437" s="74"/>
      <c r="O437" s="71"/>
      <c r="P437" s="72"/>
      <c r="Q437" s="72"/>
      <c r="R437" s="72"/>
      <c r="S437" s="74"/>
      <c r="T437" s="75"/>
    </row>
    <row r="438" spans="1:20" x14ac:dyDescent="0.35">
      <c r="A438" s="17"/>
      <c r="B438" s="18"/>
      <c r="C438" s="13"/>
      <c r="D438" s="31"/>
      <c r="E438" s="24"/>
      <c r="F438" s="71"/>
      <c r="G438" s="72"/>
      <c r="H438" s="73"/>
      <c r="I438" s="72"/>
      <c r="J438" s="71"/>
      <c r="K438" s="72"/>
      <c r="L438" s="72"/>
      <c r="M438" s="72"/>
      <c r="N438" s="74"/>
      <c r="O438" s="71"/>
      <c r="P438" s="72"/>
      <c r="Q438" s="72"/>
      <c r="R438" s="72"/>
      <c r="S438" s="74"/>
      <c r="T438" s="75"/>
    </row>
    <row r="439" spans="1:20" x14ac:dyDescent="0.35">
      <c r="A439" s="17"/>
      <c r="B439" s="18"/>
      <c r="C439" s="13"/>
      <c r="D439" s="31"/>
      <c r="E439" s="24"/>
      <c r="F439" s="71"/>
      <c r="G439" s="72"/>
      <c r="H439" s="73"/>
      <c r="I439" s="72"/>
      <c r="J439" s="71"/>
      <c r="K439" s="72"/>
      <c r="L439" s="72"/>
      <c r="M439" s="72"/>
      <c r="N439" s="74"/>
      <c r="O439" s="71"/>
      <c r="P439" s="72"/>
      <c r="Q439" s="72"/>
      <c r="R439" s="72"/>
      <c r="S439" s="74"/>
      <c r="T439" s="75"/>
    </row>
    <row r="440" spans="1:20" x14ac:dyDescent="0.35">
      <c r="A440" s="17"/>
      <c r="B440" s="18"/>
      <c r="C440" s="13"/>
      <c r="D440" s="31"/>
      <c r="E440" s="24"/>
      <c r="F440" s="71"/>
      <c r="G440" s="72"/>
      <c r="H440" s="73"/>
      <c r="I440" s="72"/>
      <c r="J440" s="71"/>
      <c r="K440" s="72"/>
      <c r="L440" s="72"/>
      <c r="M440" s="72"/>
      <c r="N440" s="74"/>
      <c r="O440" s="71"/>
      <c r="P440" s="72"/>
      <c r="Q440" s="72"/>
      <c r="R440" s="72"/>
      <c r="S440" s="74"/>
      <c r="T440" s="75"/>
    </row>
    <row r="441" spans="1:20" x14ac:dyDescent="0.35">
      <c r="A441" s="17"/>
      <c r="B441" s="18"/>
      <c r="C441" s="13"/>
      <c r="D441" s="31"/>
      <c r="E441" s="24"/>
      <c r="F441" s="71"/>
      <c r="G441" s="72"/>
      <c r="H441" s="73"/>
      <c r="I441" s="72"/>
      <c r="J441" s="71"/>
      <c r="K441" s="72"/>
      <c r="L441" s="72"/>
      <c r="M441" s="72"/>
      <c r="N441" s="74"/>
      <c r="O441" s="71"/>
      <c r="P441" s="72"/>
      <c r="Q441" s="72"/>
      <c r="R441" s="72"/>
      <c r="S441" s="74"/>
      <c r="T441" s="75"/>
    </row>
    <row r="442" spans="1:20" x14ac:dyDescent="0.35">
      <c r="A442" s="17"/>
      <c r="B442" s="18"/>
      <c r="C442" s="13"/>
      <c r="D442" s="31"/>
      <c r="E442" s="24"/>
      <c r="F442" s="71"/>
      <c r="G442" s="72"/>
      <c r="H442" s="73"/>
      <c r="I442" s="72"/>
      <c r="J442" s="71"/>
      <c r="K442" s="72"/>
      <c r="L442" s="72"/>
      <c r="M442" s="72"/>
      <c r="N442" s="74"/>
      <c r="O442" s="71"/>
      <c r="P442" s="72"/>
      <c r="Q442" s="72"/>
      <c r="R442" s="72"/>
      <c r="S442" s="74"/>
      <c r="T442" s="75"/>
    </row>
    <row r="443" spans="1:20" x14ac:dyDescent="0.35">
      <c r="A443" s="17"/>
      <c r="B443" s="18"/>
      <c r="C443" s="13"/>
      <c r="D443" s="31"/>
      <c r="E443" s="24"/>
      <c r="F443" s="71"/>
      <c r="G443" s="72"/>
      <c r="H443" s="73"/>
      <c r="I443" s="72"/>
      <c r="J443" s="71"/>
      <c r="K443" s="72"/>
      <c r="L443" s="72"/>
      <c r="M443" s="72"/>
      <c r="N443" s="74"/>
      <c r="O443" s="71"/>
      <c r="P443" s="72"/>
      <c r="Q443" s="72"/>
      <c r="R443" s="72"/>
      <c r="S443" s="74"/>
      <c r="T443" s="75"/>
    </row>
    <row r="444" spans="1:20" x14ac:dyDescent="0.35">
      <c r="A444" s="17"/>
      <c r="B444" s="18"/>
      <c r="C444" s="13"/>
      <c r="D444" s="31"/>
      <c r="E444" s="24"/>
      <c r="F444" s="71"/>
      <c r="G444" s="72"/>
      <c r="H444" s="73"/>
      <c r="I444" s="72"/>
      <c r="J444" s="71"/>
      <c r="K444" s="72"/>
      <c r="L444" s="72"/>
      <c r="M444" s="72"/>
      <c r="N444" s="74"/>
      <c r="O444" s="71"/>
      <c r="P444" s="72"/>
      <c r="Q444" s="72"/>
      <c r="R444" s="72"/>
      <c r="S444" s="74"/>
      <c r="T444" s="75"/>
    </row>
    <row r="445" spans="1:20" x14ac:dyDescent="0.35">
      <c r="A445" s="17"/>
      <c r="B445" s="18"/>
      <c r="C445" s="13"/>
      <c r="D445" s="31"/>
      <c r="E445" s="24"/>
      <c r="F445" s="71"/>
      <c r="G445" s="72"/>
      <c r="H445" s="73"/>
      <c r="I445" s="72"/>
      <c r="J445" s="71"/>
      <c r="K445" s="72"/>
      <c r="L445" s="72"/>
      <c r="M445" s="72"/>
      <c r="N445" s="74"/>
      <c r="O445" s="71"/>
      <c r="P445" s="72"/>
      <c r="Q445" s="72"/>
      <c r="R445" s="72"/>
      <c r="S445" s="74"/>
      <c r="T445" s="75"/>
    </row>
    <row r="446" spans="1:20" x14ac:dyDescent="0.35">
      <c r="A446" s="17"/>
      <c r="B446" s="18"/>
      <c r="C446" s="13"/>
      <c r="D446" s="31"/>
      <c r="E446" s="24"/>
      <c r="F446" s="71"/>
      <c r="G446" s="72"/>
      <c r="H446" s="73"/>
      <c r="I446" s="72"/>
      <c r="J446" s="71"/>
      <c r="K446" s="72"/>
      <c r="L446" s="72"/>
      <c r="M446" s="72"/>
      <c r="N446" s="74"/>
      <c r="O446" s="71"/>
      <c r="P446" s="72"/>
      <c r="Q446" s="72"/>
      <c r="R446" s="72"/>
      <c r="S446" s="74"/>
      <c r="T446" s="75"/>
    </row>
    <row r="447" spans="1:20" x14ac:dyDescent="0.35">
      <c r="A447" s="17"/>
      <c r="B447" s="18"/>
      <c r="C447" s="13"/>
      <c r="D447" s="31"/>
      <c r="E447" s="24"/>
      <c r="F447" s="71"/>
      <c r="G447" s="72"/>
      <c r="H447" s="73"/>
      <c r="I447" s="72"/>
      <c r="J447" s="71"/>
      <c r="K447" s="72"/>
      <c r="L447" s="72"/>
      <c r="M447" s="72"/>
      <c r="N447" s="74"/>
      <c r="O447" s="71"/>
      <c r="P447" s="72"/>
      <c r="Q447" s="72"/>
      <c r="R447" s="72"/>
      <c r="S447" s="74"/>
      <c r="T447" s="75"/>
    </row>
    <row r="448" spans="1:20" x14ac:dyDescent="0.35">
      <c r="A448" s="17"/>
      <c r="B448" s="18"/>
      <c r="C448" s="13"/>
      <c r="D448" s="31"/>
      <c r="E448" s="24"/>
      <c r="F448" s="71"/>
      <c r="G448" s="72"/>
      <c r="H448" s="73"/>
      <c r="I448" s="72"/>
      <c r="J448" s="71"/>
      <c r="K448" s="72"/>
      <c r="L448" s="72"/>
      <c r="M448" s="72"/>
      <c r="N448" s="74"/>
      <c r="O448" s="71"/>
      <c r="P448" s="72"/>
      <c r="Q448" s="72"/>
      <c r="R448" s="72"/>
      <c r="S448" s="74"/>
      <c r="T448" s="75"/>
    </row>
    <row r="449" spans="1:20" x14ac:dyDescent="0.35">
      <c r="A449" s="17"/>
      <c r="B449" s="18"/>
      <c r="C449" s="13"/>
      <c r="D449" s="31"/>
      <c r="E449" s="24"/>
      <c r="F449" s="71"/>
      <c r="G449" s="72"/>
      <c r="H449" s="73"/>
      <c r="I449" s="72"/>
      <c r="J449" s="71"/>
      <c r="K449" s="72"/>
      <c r="L449" s="72"/>
      <c r="M449" s="72"/>
      <c r="N449" s="74"/>
      <c r="O449" s="71"/>
      <c r="P449" s="72"/>
      <c r="Q449" s="72"/>
      <c r="R449" s="72"/>
      <c r="S449" s="74"/>
      <c r="T449" s="75"/>
    </row>
    <row r="450" spans="1:20" x14ac:dyDescent="0.35">
      <c r="A450" s="17"/>
      <c r="B450" s="18"/>
      <c r="C450" s="13"/>
      <c r="D450" s="31"/>
      <c r="E450" s="24"/>
      <c r="F450" s="71"/>
      <c r="G450" s="72"/>
      <c r="H450" s="73"/>
      <c r="I450" s="72"/>
      <c r="J450" s="71"/>
      <c r="K450" s="72"/>
      <c r="L450" s="72"/>
      <c r="M450" s="72"/>
      <c r="N450" s="74"/>
      <c r="O450" s="71"/>
      <c r="P450" s="72"/>
      <c r="Q450" s="72"/>
      <c r="R450" s="72"/>
      <c r="S450" s="74"/>
      <c r="T450" s="75"/>
    </row>
    <row r="451" spans="1:20" x14ac:dyDescent="0.35">
      <c r="A451" s="17"/>
      <c r="B451" s="18"/>
      <c r="C451" s="13"/>
      <c r="D451" s="31"/>
      <c r="E451" s="24"/>
      <c r="F451" s="71"/>
      <c r="G451" s="72"/>
      <c r="H451" s="73"/>
      <c r="I451" s="72"/>
      <c r="J451" s="71"/>
      <c r="K451" s="72"/>
      <c r="L451" s="72"/>
      <c r="M451" s="72"/>
      <c r="N451" s="74"/>
      <c r="O451" s="71"/>
      <c r="P451" s="72"/>
      <c r="Q451" s="72"/>
      <c r="R451" s="72"/>
      <c r="S451" s="74"/>
      <c r="T451" s="75"/>
    </row>
    <row r="452" spans="1:20" x14ac:dyDescent="0.35">
      <c r="A452" s="17"/>
      <c r="B452" s="18"/>
      <c r="C452" s="13"/>
      <c r="D452" s="31"/>
      <c r="E452" s="24"/>
      <c r="F452" s="71"/>
      <c r="G452" s="72"/>
      <c r="H452" s="73"/>
      <c r="I452" s="72"/>
      <c r="J452" s="71"/>
      <c r="K452" s="72"/>
      <c r="L452" s="72"/>
      <c r="M452" s="72"/>
      <c r="N452" s="74"/>
      <c r="O452" s="71"/>
      <c r="P452" s="72"/>
      <c r="Q452" s="72"/>
      <c r="R452" s="72"/>
      <c r="S452" s="74"/>
      <c r="T452" s="75"/>
    </row>
    <row r="453" spans="1:20" x14ac:dyDescent="0.35">
      <c r="A453" s="17"/>
      <c r="B453" s="18"/>
      <c r="C453" s="13"/>
      <c r="D453" s="31"/>
      <c r="E453" s="24"/>
      <c r="F453" s="71"/>
      <c r="G453" s="72"/>
      <c r="H453" s="73"/>
      <c r="I453" s="72"/>
      <c r="J453" s="71"/>
      <c r="K453" s="72"/>
      <c r="L453" s="72"/>
      <c r="M453" s="72"/>
      <c r="N453" s="74"/>
      <c r="O453" s="71"/>
      <c r="P453" s="72"/>
      <c r="Q453" s="72"/>
      <c r="R453" s="72"/>
      <c r="S453" s="74"/>
      <c r="T453" s="75"/>
    </row>
    <row r="454" spans="1:20" x14ac:dyDescent="0.35">
      <c r="A454" s="17"/>
      <c r="B454" s="18"/>
      <c r="C454" s="13"/>
      <c r="D454" s="31"/>
      <c r="E454" s="24"/>
      <c r="F454" s="71"/>
      <c r="G454" s="72"/>
      <c r="H454" s="73"/>
      <c r="I454" s="72"/>
      <c r="J454" s="71"/>
      <c r="K454" s="72"/>
      <c r="L454" s="72"/>
      <c r="M454" s="72"/>
      <c r="N454" s="74"/>
      <c r="O454" s="71"/>
      <c r="P454" s="72"/>
      <c r="Q454" s="72"/>
      <c r="R454" s="72"/>
      <c r="S454" s="74"/>
      <c r="T454" s="75"/>
    </row>
    <row r="455" spans="1:20" x14ac:dyDescent="0.35">
      <c r="A455" s="17"/>
      <c r="B455" s="18"/>
      <c r="C455" s="13"/>
      <c r="D455" s="31"/>
      <c r="E455" s="24"/>
      <c r="F455" s="71"/>
      <c r="G455" s="72"/>
      <c r="H455" s="73"/>
      <c r="I455" s="72"/>
      <c r="J455" s="71"/>
      <c r="K455" s="72"/>
      <c r="L455" s="72"/>
      <c r="M455" s="72"/>
      <c r="N455" s="74"/>
      <c r="O455" s="71"/>
      <c r="P455" s="72"/>
      <c r="Q455" s="72"/>
      <c r="R455" s="72"/>
      <c r="S455" s="74"/>
      <c r="T455" s="75"/>
    </row>
    <row r="456" spans="1:20" x14ac:dyDescent="0.35">
      <c r="A456" s="17"/>
      <c r="B456" s="18"/>
      <c r="C456" s="13"/>
      <c r="D456" s="31"/>
      <c r="E456" s="24"/>
      <c r="F456" s="71"/>
      <c r="G456" s="72"/>
      <c r="H456" s="73"/>
      <c r="I456" s="72"/>
      <c r="J456" s="71"/>
      <c r="K456" s="72"/>
      <c r="L456" s="72"/>
      <c r="M456" s="72"/>
      <c r="N456" s="74"/>
      <c r="O456" s="71"/>
      <c r="P456" s="72"/>
      <c r="Q456" s="72"/>
      <c r="R456" s="72"/>
      <c r="S456" s="74"/>
      <c r="T456" s="75"/>
    </row>
    <row r="457" spans="1:20" x14ac:dyDescent="0.35">
      <c r="A457" s="17"/>
      <c r="B457" s="18"/>
      <c r="C457" s="13"/>
      <c r="D457" s="31"/>
      <c r="E457" s="24"/>
      <c r="F457" s="71"/>
      <c r="G457" s="72"/>
      <c r="H457" s="73"/>
      <c r="I457" s="72"/>
      <c r="J457" s="71"/>
      <c r="K457" s="72"/>
      <c r="L457" s="72"/>
      <c r="M457" s="72"/>
      <c r="N457" s="74"/>
      <c r="O457" s="71"/>
      <c r="P457" s="72"/>
      <c r="Q457" s="72"/>
      <c r="R457" s="72"/>
      <c r="S457" s="74"/>
      <c r="T457" s="75"/>
    </row>
    <row r="458" spans="1:20" x14ac:dyDescent="0.35">
      <c r="A458" s="17"/>
      <c r="B458" s="18"/>
      <c r="C458" s="13"/>
      <c r="D458" s="31"/>
      <c r="E458" s="24"/>
      <c r="F458" s="71"/>
      <c r="G458" s="72"/>
      <c r="H458" s="73"/>
      <c r="I458" s="72"/>
      <c r="J458" s="71"/>
      <c r="K458" s="72"/>
      <c r="L458" s="72"/>
      <c r="M458" s="72"/>
      <c r="N458" s="74"/>
      <c r="O458" s="71"/>
      <c r="P458" s="72"/>
      <c r="Q458" s="72"/>
      <c r="R458" s="72"/>
      <c r="S458" s="74"/>
      <c r="T458" s="75"/>
    </row>
    <row r="459" spans="1:20" x14ac:dyDescent="0.35">
      <c r="A459" s="17"/>
      <c r="B459" s="18"/>
      <c r="C459" s="13"/>
      <c r="D459" s="31"/>
      <c r="E459" s="24"/>
      <c r="F459" s="71"/>
      <c r="G459" s="72"/>
      <c r="H459" s="73"/>
      <c r="I459" s="72"/>
      <c r="J459" s="71"/>
      <c r="K459" s="72"/>
      <c r="L459" s="72"/>
      <c r="M459" s="72"/>
      <c r="N459" s="74"/>
      <c r="O459" s="71"/>
      <c r="P459" s="72"/>
      <c r="Q459" s="72"/>
      <c r="R459" s="72"/>
      <c r="S459" s="74"/>
      <c r="T459" s="75"/>
    </row>
    <row r="460" spans="1:20" x14ac:dyDescent="0.35">
      <c r="A460" s="17"/>
      <c r="B460" s="18"/>
      <c r="C460" s="13"/>
      <c r="D460" s="31"/>
      <c r="E460" s="24"/>
      <c r="F460" s="71"/>
      <c r="G460" s="72"/>
      <c r="H460" s="73"/>
      <c r="I460" s="72"/>
      <c r="J460" s="71"/>
      <c r="K460" s="72"/>
      <c r="L460" s="72"/>
      <c r="M460" s="72"/>
      <c r="N460" s="74"/>
      <c r="O460" s="71"/>
      <c r="P460" s="72"/>
      <c r="Q460" s="72"/>
      <c r="R460" s="72"/>
      <c r="S460" s="74"/>
      <c r="T460" s="75"/>
    </row>
    <row r="461" spans="1:20" x14ac:dyDescent="0.35">
      <c r="A461" s="17"/>
      <c r="B461" s="18"/>
      <c r="C461" s="13"/>
      <c r="D461" s="31"/>
      <c r="E461" s="24"/>
      <c r="F461" s="71"/>
      <c r="G461" s="72"/>
      <c r="H461" s="73"/>
      <c r="I461" s="72"/>
      <c r="J461" s="71"/>
      <c r="K461" s="72"/>
      <c r="L461" s="72"/>
      <c r="M461" s="72"/>
      <c r="N461" s="74"/>
      <c r="O461" s="71"/>
      <c r="P461" s="72"/>
      <c r="Q461" s="72"/>
      <c r="R461" s="72"/>
      <c r="S461" s="74"/>
      <c r="T461" s="75"/>
    </row>
    <row r="462" spans="1:20" x14ac:dyDescent="0.35">
      <c r="A462" s="17"/>
      <c r="B462" s="18"/>
      <c r="C462" s="13"/>
      <c r="D462" s="31"/>
      <c r="E462" s="24"/>
      <c r="F462" s="71"/>
      <c r="G462" s="72"/>
      <c r="H462" s="73"/>
      <c r="I462" s="72"/>
      <c r="J462" s="71"/>
      <c r="K462" s="72"/>
      <c r="L462" s="72"/>
      <c r="M462" s="72"/>
      <c r="N462" s="74"/>
      <c r="O462" s="71"/>
      <c r="P462" s="72"/>
      <c r="Q462" s="72"/>
      <c r="R462" s="72"/>
      <c r="S462" s="74"/>
      <c r="T462" s="75"/>
    </row>
    <row r="463" spans="1:20" x14ac:dyDescent="0.35">
      <c r="A463" s="17"/>
      <c r="B463" s="18"/>
      <c r="C463" s="13"/>
      <c r="D463" s="31"/>
      <c r="E463" s="24"/>
      <c r="F463" s="71"/>
      <c r="G463" s="72"/>
      <c r="H463" s="73"/>
      <c r="I463" s="72"/>
      <c r="J463" s="71"/>
      <c r="K463" s="72"/>
      <c r="L463" s="72"/>
      <c r="M463" s="72"/>
      <c r="N463" s="74"/>
      <c r="O463" s="71"/>
      <c r="P463" s="72"/>
      <c r="Q463" s="72"/>
      <c r="R463" s="72"/>
      <c r="S463" s="74"/>
      <c r="T463" s="75"/>
    </row>
    <row r="464" spans="1:20" x14ac:dyDescent="0.35">
      <c r="A464" s="17"/>
      <c r="B464" s="18"/>
      <c r="C464" s="13"/>
      <c r="D464" s="31"/>
      <c r="E464" s="24"/>
      <c r="F464" s="71"/>
      <c r="G464" s="72"/>
      <c r="H464" s="73"/>
      <c r="I464" s="72"/>
      <c r="J464" s="71"/>
      <c r="K464" s="72"/>
      <c r="L464" s="72"/>
      <c r="M464" s="72"/>
      <c r="N464" s="74"/>
      <c r="O464" s="71"/>
      <c r="P464" s="72"/>
      <c r="Q464" s="72"/>
      <c r="R464" s="72"/>
      <c r="S464" s="74"/>
      <c r="T464" s="75"/>
    </row>
    <row r="465" spans="1:20" x14ac:dyDescent="0.35">
      <c r="A465" s="17"/>
      <c r="B465" s="18"/>
      <c r="C465" s="13"/>
      <c r="D465" s="31"/>
      <c r="E465" s="24"/>
      <c r="F465" s="71"/>
      <c r="G465" s="72"/>
      <c r="H465" s="73"/>
      <c r="I465" s="72"/>
      <c r="J465" s="71"/>
      <c r="K465" s="72"/>
      <c r="L465" s="72"/>
      <c r="M465" s="72"/>
      <c r="N465" s="74"/>
      <c r="O465" s="71"/>
      <c r="P465" s="72"/>
      <c r="Q465" s="72"/>
      <c r="R465" s="72"/>
      <c r="S465" s="74"/>
      <c r="T465" s="75"/>
    </row>
    <row r="466" spans="1:20" x14ac:dyDescent="0.35">
      <c r="A466" s="17"/>
      <c r="B466" s="18"/>
      <c r="C466" s="13"/>
      <c r="D466" s="31"/>
      <c r="E466" s="24"/>
      <c r="F466" s="71"/>
      <c r="G466" s="72"/>
      <c r="H466" s="73"/>
      <c r="I466" s="72"/>
      <c r="J466" s="71"/>
      <c r="K466" s="72"/>
      <c r="L466" s="72"/>
      <c r="M466" s="72"/>
      <c r="N466" s="74"/>
      <c r="O466" s="71"/>
      <c r="P466" s="72"/>
      <c r="Q466" s="72"/>
      <c r="R466" s="72"/>
      <c r="S466" s="74"/>
      <c r="T466" s="75"/>
    </row>
    <row r="467" spans="1:20" x14ac:dyDescent="0.35">
      <c r="A467" s="17"/>
      <c r="B467" s="18"/>
      <c r="C467" s="13"/>
      <c r="D467" s="31"/>
      <c r="E467" s="24"/>
      <c r="F467" s="71"/>
      <c r="G467" s="72"/>
      <c r="H467" s="73"/>
      <c r="I467" s="72"/>
      <c r="J467" s="71"/>
      <c r="K467" s="72"/>
      <c r="L467" s="72"/>
      <c r="M467" s="72"/>
      <c r="N467" s="74"/>
      <c r="O467" s="71"/>
      <c r="P467" s="72"/>
      <c r="Q467" s="72"/>
      <c r="R467" s="72"/>
      <c r="S467" s="74"/>
      <c r="T467" s="75"/>
    </row>
    <row r="468" spans="1:20" x14ac:dyDescent="0.35">
      <c r="A468" s="17"/>
      <c r="B468" s="18"/>
      <c r="C468" s="13"/>
      <c r="D468" s="31"/>
      <c r="E468" s="24"/>
      <c r="F468" s="71"/>
      <c r="G468" s="72"/>
      <c r="H468" s="73"/>
      <c r="I468" s="72"/>
      <c r="J468" s="71"/>
      <c r="K468" s="72"/>
      <c r="L468" s="72"/>
      <c r="M468" s="72"/>
      <c r="N468" s="74"/>
      <c r="O468" s="71"/>
      <c r="P468" s="72"/>
      <c r="Q468" s="72"/>
      <c r="R468" s="72"/>
      <c r="S468" s="74"/>
      <c r="T468" s="75"/>
    </row>
    <row r="469" spans="1:20" x14ac:dyDescent="0.35">
      <c r="A469" s="17"/>
      <c r="B469" s="18"/>
      <c r="C469" s="13"/>
      <c r="D469" s="31"/>
      <c r="E469" s="24"/>
      <c r="F469" s="71"/>
      <c r="G469" s="72"/>
      <c r="H469" s="73"/>
      <c r="I469" s="72"/>
      <c r="J469" s="71"/>
      <c r="K469" s="72"/>
      <c r="L469" s="72"/>
      <c r="M469" s="72"/>
      <c r="N469" s="74"/>
      <c r="O469" s="71"/>
      <c r="P469" s="72"/>
      <c r="Q469" s="72"/>
      <c r="R469" s="72"/>
      <c r="S469" s="74"/>
      <c r="T469" s="75"/>
    </row>
    <row r="470" spans="1:20" x14ac:dyDescent="0.35">
      <c r="A470" s="17"/>
      <c r="B470" s="18"/>
      <c r="C470" s="13"/>
      <c r="D470" s="31"/>
      <c r="E470" s="24"/>
      <c r="F470" s="71"/>
      <c r="G470" s="72"/>
      <c r="H470" s="73"/>
      <c r="I470" s="72"/>
      <c r="J470" s="71"/>
      <c r="K470" s="72"/>
      <c r="L470" s="72"/>
      <c r="M470" s="72"/>
      <c r="N470" s="74"/>
      <c r="O470" s="71"/>
      <c r="P470" s="72"/>
      <c r="Q470" s="72"/>
      <c r="R470" s="72"/>
      <c r="S470" s="74"/>
      <c r="T470" s="75"/>
    </row>
    <row r="471" spans="1:20" x14ac:dyDescent="0.35">
      <c r="A471" s="17"/>
      <c r="B471" s="18"/>
      <c r="C471" s="13"/>
      <c r="D471" s="31"/>
      <c r="E471" s="24"/>
      <c r="F471" s="22"/>
      <c r="G471" s="23"/>
      <c r="H471" s="24"/>
      <c r="I471" s="23"/>
      <c r="J471" s="22"/>
      <c r="K471" s="23"/>
      <c r="L471" s="23"/>
      <c r="M471" s="23"/>
      <c r="N471" s="25"/>
      <c r="O471" s="22"/>
      <c r="P471" s="23"/>
      <c r="Q471" s="23"/>
      <c r="R471" s="23"/>
      <c r="S471" s="25"/>
      <c r="T471" s="26"/>
    </row>
    <row r="472" spans="1:20" x14ac:dyDescent="0.35">
      <c r="A472" s="17"/>
      <c r="B472" s="18"/>
      <c r="C472" s="13"/>
      <c r="D472" s="31"/>
      <c r="E472" s="24"/>
      <c r="F472" s="22"/>
      <c r="G472" s="23"/>
      <c r="H472" s="24"/>
      <c r="I472" s="23"/>
      <c r="J472" s="22"/>
      <c r="K472" s="23"/>
      <c r="L472" s="23"/>
      <c r="M472" s="23"/>
      <c r="N472" s="25"/>
      <c r="O472" s="22"/>
      <c r="P472" s="23"/>
      <c r="Q472" s="23"/>
      <c r="R472" s="23"/>
      <c r="S472" s="25"/>
      <c r="T472" s="26"/>
    </row>
  </sheetData>
  <sortState ref="A35:T55">
    <sortCondition ref="D35:D55"/>
  </sortState>
  <mergeCells count="16">
    <mergeCell ref="L1:M1"/>
    <mergeCell ref="L2:M2"/>
    <mergeCell ref="I3:J3"/>
    <mergeCell ref="L3:M3"/>
    <mergeCell ref="AW21:AX21"/>
    <mergeCell ref="G22:H22"/>
    <mergeCell ref="AW24:AX24"/>
    <mergeCell ref="G29:H29"/>
    <mergeCell ref="AW4:AY4"/>
    <mergeCell ref="I10:J10"/>
    <mergeCell ref="G13:I13"/>
    <mergeCell ref="J13:L13"/>
    <mergeCell ref="AW20:AY20"/>
    <mergeCell ref="G15:I15"/>
    <mergeCell ref="G17:I17"/>
    <mergeCell ref="J17:L17"/>
  </mergeCells>
  <dataValidations count="5">
    <dataValidation type="list" allowBlank="1" showInputMessage="1" showErrorMessage="1" sqref="W4 R4:U4 Y4:AP4 AR4">
      <formula1>$A$5:$A$37</formula1>
    </dataValidation>
    <dataValidation type="list" allowBlank="1" showInputMessage="1" showErrorMessage="1" sqref="A35:A472">
      <formula1>BUFFS</formula1>
    </dataValidation>
    <dataValidation type="list" allowBlank="1" showInputMessage="1" showErrorMessage="1" sqref="K12 K14 K16">
      <formula1>$AZ$20:$BD$20</formula1>
    </dataValidation>
    <dataValidation type="list" allowBlank="1" showInputMessage="1" showErrorMessage="1" sqref="D1">
      <formula1>$AX$10:$AX$18</formula1>
    </dataValidation>
    <dataValidation type="list" allowBlank="1" showInputMessage="1" showErrorMessage="1" sqref="L12 L14 L16">
      <formula1>$A$12:$A$13</formula1>
    </dataValidation>
  </dataValidations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N472"/>
  <sheetViews>
    <sheetView workbookViewId="0">
      <selection activeCell="B17" sqref="B17"/>
    </sheetView>
  </sheetViews>
  <sheetFormatPr defaultColWidth="9.109375" defaultRowHeight="18" x14ac:dyDescent="0.35"/>
  <cols>
    <col min="1" max="1" width="25.33203125" style="3" bestFit="1" customWidth="1"/>
    <col min="2" max="2" width="11.44140625" style="161" bestFit="1" customWidth="1"/>
    <col min="3" max="3" width="15" style="161" bestFit="1" customWidth="1"/>
    <col min="4" max="4" width="18.5546875" style="161" customWidth="1"/>
    <col min="5" max="5" width="12.88671875" style="161" bestFit="1" customWidth="1"/>
    <col min="6" max="6" width="20.33203125" style="161" bestFit="1" customWidth="1"/>
    <col min="7" max="7" width="28.109375" style="161" bestFit="1" customWidth="1"/>
    <col min="8" max="8" width="11" style="161" bestFit="1" customWidth="1"/>
    <col min="9" max="9" width="15" style="161" customWidth="1"/>
    <col min="10" max="10" width="20.88671875" style="161" customWidth="1"/>
    <col min="11" max="11" width="15.5546875" style="161" customWidth="1"/>
    <col min="12" max="12" width="17.5546875" style="161" customWidth="1"/>
    <col min="13" max="13" width="13.5546875" style="161" bestFit="1" customWidth="1"/>
    <col min="14" max="14" width="12.88671875" style="161" bestFit="1" customWidth="1"/>
    <col min="15" max="15" width="20.109375" style="161" bestFit="1" customWidth="1"/>
    <col min="16" max="16" width="14.109375" style="161" bestFit="1" customWidth="1"/>
    <col min="17" max="17" width="26.88671875" style="161" customWidth="1"/>
    <col min="18" max="18" width="26.88671875" style="161" bestFit="1" customWidth="1"/>
    <col min="19" max="19" width="18.88671875" style="161" bestFit="1" customWidth="1"/>
    <col min="20" max="20" width="18" style="161" bestFit="1" customWidth="1"/>
    <col min="21" max="21" width="22.109375" style="161" bestFit="1" customWidth="1"/>
    <col min="22" max="22" width="12.5546875" style="161" customWidth="1"/>
    <col min="23" max="23" width="25.6640625" style="161" customWidth="1"/>
    <col min="24" max="24" width="22.109375" style="161" bestFit="1" customWidth="1"/>
    <col min="25" max="25" width="26.88671875" style="161" bestFit="1" customWidth="1"/>
    <col min="26" max="26" width="28.109375" style="161" bestFit="1" customWidth="1"/>
    <col min="27" max="27" width="14.44140625" style="161" bestFit="1" customWidth="1"/>
    <col min="28" max="28" width="14.33203125" style="161" bestFit="1" customWidth="1"/>
    <col min="29" max="29" width="16" style="161" bestFit="1" customWidth="1"/>
    <col min="30" max="30" width="21.44140625" style="161" bestFit="1" customWidth="1"/>
    <col min="31" max="31" width="37.44140625" style="161" customWidth="1"/>
    <col min="32" max="32" width="17.33203125" style="161" bestFit="1" customWidth="1"/>
    <col min="33" max="33" width="14.33203125" style="161" bestFit="1" customWidth="1"/>
    <col min="34" max="34" width="19.109375" style="161" bestFit="1" customWidth="1"/>
    <col min="35" max="35" width="16.33203125" style="161" bestFit="1" customWidth="1"/>
    <col min="36" max="36" width="14.33203125" style="161" bestFit="1" customWidth="1"/>
    <col min="37" max="37" width="13.5546875" style="161" bestFit="1" customWidth="1"/>
    <col min="38" max="38" width="12" style="161" bestFit="1" customWidth="1"/>
    <col min="39" max="40" width="13.5546875" style="161" bestFit="1" customWidth="1"/>
    <col min="41" max="41" width="18.6640625" style="161" customWidth="1"/>
    <col min="42" max="42" width="9.33203125" style="161" bestFit="1" customWidth="1"/>
    <col min="43" max="43" width="14.5546875" style="161" bestFit="1" customWidth="1"/>
    <col min="44" max="44" width="23" style="161" bestFit="1" customWidth="1"/>
    <col min="45" max="51" width="9.109375" style="161"/>
    <col min="52" max="52" width="14.109375" style="161" bestFit="1" customWidth="1"/>
    <col min="53" max="53" width="15.6640625" style="161" bestFit="1" customWidth="1"/>
    <col min="54" max="54" width="15.33203125" style="161" bestFit="1" customWidth="1"/>
    <col min="55" max="55" width="26" style="161" bestFit="1" customWidth="1"/>
    <col min="56" max="56" width="16.109375" style="161" bestFit="1" customWidth="1"/>
    <col min="57" max="16384" width="9.109375" style="161"/>
  </cols>
  <sheetData>
    <row r="1" spans="1:66" ht="23.4" x14ac:dyDescent="0.45">
      <c r="A1" s="3" t="s">
        <v>39</v>
      </c>
      <c r="B1" s="157" t="s">
        <v>216</v>
      </c>
      <c r="C1" s="161" t="s">
        <v>88</v>
      </c>
      <c r="D1" s="86" t="s">
        <v>128</v>
      </c>
      <c r="H1" s="164">
        <f>F1-G1</f>
        <v>0</v>
      </c>
      <c r="L1" s="207"/>
      <c r="M1" s="207"/>
    </row>
    <row r="2" spans="1:66" x14ac:dyDescent="0.35">
      <c r="L2" s="207"/>
      <c r="M2" s="207"/>
      <c r="AW2" s="50"/>
      <c r="AX2" s="51"/>
      <c r="AY2" s="51"/>
      <c r="AZ2" s="51"/>
      <c r="BA2" s="51"/>
      <c r="BB2" s="51"/>
      <c r="BC2" s="51"/>
      <c r="BD2" s="12"/>
      <c r="BE2" s="51"/>
      <c r="BF2" s="161" t="s">
        <v>111</v>
      </c>
      <c r="BG2" s="12"/>
      <c r="BH2" s="51"/>
      <c r="BI2" s="51"/>
      <c r="BJ2" s="51"/>
      <c r="BK2" s="51"/>
      <c r="BL2" s="51"/>
      <c r="BM2" s="51"/>
      <c r="BN2" s="52"/>
    </row>
    <row r="3" spans="1:66" x14ac:dyDescent="0.35">
      <c r="A3" s="3" t="s">
        <v>120</v>
      </c>
      <c r="B3" s="161">
        <f>109500+4000</f>
        <v>113500</v>
      </c>
      <c r="I3" s="207"/>
      <c r="J3" s="207"/>
      <c r="L3" s="207"/>
      <c r="M3" s="207"/>
      <c r="AW3" s="11" t="s">
        <v>81</v>
      </c>
      <c r="AX3" s="12"/>
      <c r="AY3" s="12"/>
      <c r="AZ3" s="12"/>
      <c r="BA3" s="12"/>
      <c r="BB3" s="12"/>
      <c r="BC3" s="12"/>
      <c r="BD3" s="12"/>
      <c r="BE3" s="12"/>
      <c r="BF3" s="161" t="s">
        <v>26</v>
      </c>
      <c r="BG3" s="12">
        <f>$B$28*(-5)</f>
        <v>0</v>
      </c>
      <c r="BH3" s="12"/>
      <c r="BI3" s="12"/>
      <c r="BJ3" s="12"/>
      <c r="BK3" s="12"/>
      <c r="BL3" s="12"/>
      <c r="BM3" s="12"/>
      <c r="BN3" s="13"/>
    </row>
    <row r="4" spans="1:66" x14ac:dyDescent="0.35">
      <c r="A4" s="3" t="s">
        <v>148</v>
      </c>
      <c r="B4" s="161">
        <v>15</v>
      </c>
      <c r="R4" s="95" t="s">
        <v>1</v>
      </c>
      <c r="S4" s="95" t="s">
        <v>2</v>
      </c>
      <c r="T4" s="95" t="s">
        <v>3</v>
      </c>
      <c r="U4" s="95" t="s">
        <v>5</v>
      </c>
      <c r="V4" s="95" t="s">
        <v>89</v>
      </c>
      <c r="W4" s="95" t="s">
        <v>6</v>
      </c>
      <c r="X4" s="95" t="s">
        <v>57</v>
      </c>
      <c r="Y4" s="95" t="s">
        <v>8</v>
      </c>
      <c r="Z4" s="95" t="s">
        <v>9</v>
      </c>
      <c r="AA4" s="95" t="s">
        <v>10</v>
      </c>
      <c r="AB4" s="95" t="s">
        <v>11</v>
      </c>
      <c r="AC4" s="95" t="s">
        <v>12</v>
      </c>
      <c r="AD4" s="95" t="s">
        <v>13</v>
      </c>
      <c r="AE4" s="95" t="s">
        <v>14</v>
      </c>
      <c r="AF4" s="95" t="s">
        <v>15</v>
      </c>
      <c r="AG4" s="95" t="s">
        <v>16</v>
      </c>
      <c r="AH4" s="95" t="s">
        <v>17</v>
      </c>
      <c r="AI4" s="95" t="s">
        <v>18</v>
      </c>
      <c r="AJ4" s="95" t="s">
        <v>19</v>
      </c>
      <c r="AK4" s="95" t="s">
        <v>20</v>
      </c>
      <c r="AL4" s="95" t="s">
        <v>21</v>
      </c>
      <c r="AM4" s="95" t="s">
        <v>22</v>
      </c>
      <c r="AN4" s="95" t="s">
        <v>23</v>
      </c>
      <c r="AO4" s="96" t="s">
        <v>24</v>
      </c>
      <c r="AP4" s="95" t="s">
        <v>25</v>
      </c>
      <c r="AQ4" s="95" t="s">
        <v>7</v>
      </c>
      <c r="AR4" s="95" t="s">
        <v>4</v>
      </c>
      <c r="AS4" s="155"/>
      <c r="AW4" s="197" t="s">
        <v>107</v>
      </c>
      <c r="AX4" s="198"/>
      <c r="AY4" s="198"/>
      <c r="AZ4" s="12">
        <v>0</v>
      </c>
      <c r="BA4" s="12" t="s">
        <v>108</v>
      </c>
      <c r="BB4" s="12"/>
      <c r="BC4" s="12"/>
      <c r="BE4" s="12"/>
      <c r="BF4" s="12" t="s">
        <v>123</v>
      </c>
      <c r="BG4" s="12">
        <f>$B$28*(-1)</f>
        <v>0</v>
      </c>
      <c r="BH4" s="12"/>
      <c r="BI4" s="12"/>
      <c r="BJ4" s="12"/>
      <c r="BK4" s="12"/>
      <c r="BL4" s="12"/>
      <c r="BM4" s="12"/>
      <c r="BN4" s="13"/>
    </row>
    <row r="5" spans="1:66" x14ac:dyDescent="0.35">
      <c r="C5" s="148" t="s">
        <v>117</v>
      </c>
      <c r="D5" s="98" t="s">
        <v>116</v>
      </c>
      <c r="F5" s="123" t="s">
        <v>118</v>
      </c>
      <c r="G5" s="124" t="s">
        <v>102</v>
      </c>
      <c r="H5" s="125" t="s">
        <v>112</v>
      </c>
      <c r="I5" s="122" t="s">
        <v>113</v>
      </c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W5" s="11"/>
      <c r="AX5" s="12"/>
      <c r="AY5" s="12"/>
      <c r="AZ5" s="12">
        <v>1</v>
      </c>
      <c r="BA5" s="12" t="s">
        <v>109</v>
      </c>
      <c r="BB5" s="12"/>
      <c r="BC5" s="12"/>
      <c r="BF5" s="43" t="s">
        <v>30</v>
      </c>
      <c r="BG5" s="12">
        <f>$B$28*(-1)</f>
        <v>0</v>
      </c>
      <c r="BH5" s="12"/>
      <c r="BI5" s="12"/>
      <c r="BJ5" s="12"/>
      <c r="BK5" s="12"/>
      <c r="BL5" s="12"/>
      <c r="BM5" s="12"/>
      <c r="BN5" s="13"/>
    </row>
    <row r="6" spans="1:66" ht="33.6" x14ac:dyDescent="0.65">
      <c r="A6" s="116" t="s">
        <v>26</v>
      </c>
      <c r="B6" s="117">
        <f>SUM(C6:D6,R6:AR6,BG3)</f>
        <v>137</v>
      </c>
      <c r="C6" s="163">
        <f>C14*1*B4</f>
        <v>60</v>
      </c>
      <c r="D6" s="163">
        <v>77</v>
      </c>
      <c r="F6" s="86"/>
      <c r="G6" s="120">
        <v>0</v>
      </c>
      <c r="H6" s="121">
        <v>0</v>
      </c>
      <c r="I6" s="126">
        <v>0</v>
      </c>
      <c r="K6" s="161" t="s">
        <v>309</v>
      </c>
      <c r="L6" s="161" t="s">
        <v>310</v>
      </c>
      <c r="M6" s="161" t="s">
        <v>311</v>
      </c>
      <c r="R6" s="102">
        <v>0</v>
      </c>
      <c r="S6" s="102">
        <v>0</v>
      </c>
      <c r="T6" s="102">
        <v>0</v>
      </c>
      <c r="U6" s="102">
        <v>0</v>
      </c>
      <c r="V6" s="102">
        <v>0</v>
      </c>
      <c r="W6" s="102">
        <v>0</v>
      </c>
      <c r="X6" s="102">
        <v>0</v>
      </c>
      <c r="Y6" s="102">
        <v>0</v>
      </c>
      <c r="Z6" s="102">
        <v>0</v>
      </c>
      <c r="AA6" s="102">
        <v>0</v>
      </c>
      <c r="AB6" s="102">
        <v>0</v>
      </c>
      <c r="AC6" s="102">
        <v>0</v>
      </c>
      <c r="AD6" s="102">
        <v>0</v>
      </c>
      <c r="AE6" s="102">
        <v>0</v>
      </c>
      <c r="AF6" s="102">
        <v>0</v>
      </c>
      <c r="AG6" s="102">
        <v>0</v>
      </c>
      <c r="AH6" s="102">
        <v>0</v>
      </c>
      <c r="AI6" s="102">
        <v>0</v>
      </c>
      <c r="AJ6" s="102">
        <v>0</v>
      </c>
      <c r="AK6" s="102">
        <v>0</v>
      </c>
      <c r="AL6" s="102">
        <v>0</v>
      </c>
      <c r="AM6" s="102">
        <v>0</v>
      </c>
      <c r="AN6" s="102">
        <v>0</v>
      </c>
      <c r="AO6" s="102">
        <v>0</v>
      </c>
      <c r="AP6" s="102">
        <v>0</v>
      </c>
      <c r="AQ6" s="102">
        <v>0</v>
      </c>
      <c r="AR6" s="102">
        <v>0</v>
      </c>
      <c r="AW6" s="11"/>
      <c r="AX6" s="12"/>
      <c r="AY6" s="12"/>
      <c r="AZ6" s="12">
        <v>2</v>
      </c>
      <c r="BA6" s="12"/>
      <c r="BB6" s="12"/>
      <c r="BC6" s="12"/>
      <c r="BF6" s="43" t="s">
        <v>31</v>
      </c>
      <c r="BG6" s="12">
        <f>$B$28*(-1)</f>
        <v>0</v>
      </c>
      <c r="BH6" s="12"/>
      <c r="BI6" s="12"/>
      <c r="BJ6" s="12"/>
      <c r="BK6" s="12"/>
      <c r="BL6" s="12"/>
      <c r="BM6" s="12"/>
      <c r="BN6" s="13"/>
    </row>
    <row r="7" spans="1:66" ht="31.2" x14ac:dyDescent="0.6">
      <c r="A7" s="118" t="s">
        <v>28</v>
      </c>
      <c r="B7" s="119">
        <f>SUM(MIN(C13,G7),D7,R7:AR7,BA10,H30*6)</f>
        <v>37</v>
      </c>
      <c r="D7" s="163">
        <v>10</v>
      </c>
      <c r="F7" s="161" t="s">
        <v>119</v>
      </c>
      <c r="G7" s="163">
        <v>100</v>
      </c>
      <c r="K7" s="161">
        <v>32</v>
      </c>
      <c r="L7" s="161">
        <f>24+4</f>
        <v>28</v>
      </c>
      <c r="R7" s="142">
        <v>0</v>
      </c>
      <c r="S7" s="142">
        <v>0</v>
      </c>
      <c r="T7" s="142">
        <v>8</v>
      </c>
      <c r="U7" s="142">
        <v>0</v>
      </c>
      <c r="V7" s="142">
        <v>0</v>
      </c>
      <c r="W7" s="142">
        <v>0</v>
      </c>
      <c r="X7" s="142">
        <v>0</v>
      </c>
      <c r="Y7" s="142">
        <v>4</v>
      </c>
      <c r="Z7" s="142">
        <v>1</v>
      </c>
      <c r="AA7" s="142">
        <v>0</v>
      </c>
      <c r="AB7" s="142">
        <v>0</v>
      </c>
      <c r="AC7" s="142">
        <v>0</v>
      </c>
      <c r="AD7" s="142">
        <v>0</v>
      </c>
      <c r="AE7" s="142">
        <v>5</v>
      </c>
      <c r="AF7" s="142">
        <v>0</v>
      </c>
      <c r="AG7" s="142">
        <v>0</v>
      </c>
      <c r="AH7" s="142">
        <v>0</v>
      </c>
      <c r="AI7" s="142">
        <v>5</v>
      </c>
      <c r="AJ7" s="142">
        <v>4</v>
      </c>
      <c r="AK7" s="142">
        <v>0</v>
      </c>
      <c r="AL7" s="142">
        <v>0</v>
      </c>
      <c r="AM7" s="142">
        <v>0</v>
      </c>
      <c r="AN7" s="142">
        <v>0</v>
      </c>
      <c r="AO7" s="142">
        <v>0</v>
      </c>
      <c r="AP7" s="142">
        <v>0</v>
      </c>
      <c r="AQ7" s="142">
        <v>0</v>
      </c>
      <c r="AR7" s="142">
        <v>0</v>
      </c>
      <c r="AW7" s="11"/>
      <c r="AX7" s="12"/>
      <c r="AY7" s="12"/>
      <c r="AZ7" s="12"/>
      <c r="BA7" s="12"/>
      <c r="BB7" s="12"/>
      <c r="BC7" s="12"/>
      <c r="BE7" s="12"/>
      <c r="BF7" s="43" t="s">
        <v>124</v>
      </c>
      <c r="BG7" s="12">
        <f>$B$28*(-1)</f>
        <v>0</v>
      </c>
      <c r="BH7" s="12"/>
      <c r="BI7" s="12"/>
      <c r="BJ7" s="12"/>
      <c r="BK7" s="12"/>
      <c r="BL7" s="12"/>
      <c r="BM7" s="12"/>
      <c r="BN7" s="13"/>
    </row>
    <row r="8" spans="1:66" x14ac:dyDescent="0.35">
      <c r="A8" s="3" t="s">
        <v>78</v>
      </c>
      <c r="B8" s="161">
        <f>B7-T7-Y7-Z7-AD7-AE7-AJ7</f>
        <v>15</v>
      </c>
      <c r="H8" s="161">
        <f>12</f>
        <v>12</v>
      </c>
      <c r="O8" s="161" t="s">
        <v>180</v>
      </c>
      <c r="R8" s="97">
        <v>0</v>
      </c>
      <c r="S8" s="97">
        <v>0</v>
      </c>
      <c r="T8" s="97">
        <v>0</v>
      </c>
      <c r="U8" s="97">
        <v>0</v>
      </c>
      <c r="V8" s="97">
        <v>0</v>
      </c>
      <c r="W8" s="97">
        <v>0</v>
      </c>
      <c r="X8" s="97">
        <v>0</v>
      </c>
      <c r="Y8" s="97">
        <v>0</v>
      </c>
      <c r="Z8" s="97">
        <v>0</v>
      </c>
      <c r="AA8" s="97">
        <v>0</v>
      </c>
      <c r="AB8" s="97">
        <v>0</v>
      </c>
      <c r="AC8" s="97">
        <v>0</v>
      </c>
      <c r="AD8" s="97">
        <v>0</v>
      </c>
      <c r="AE8" s="97">
        <v>0</v>
      </c>
      <c r="AF8" s="97">
        <v>0</v>
      </c>
      <c r="AG8" s="97">
        <v>0</v>
      </c>
      <c r="AH8" s="97">
        <v>0</v>
      </c>
      <c r="AI8" s="97">
        <v>0</v>
      </c>
      <c r="AJ8" s="97">
        <v>0</v>
      </c>
      <c r="AK8" s="97">
        <v>0</v>
      </c>
      <c r="AL8" s="97">
        <v>0</v>
      </c>
      <c r="AM8" s="97">
        <v>0</v>
      </c>
      <c r="AN8" s="97">
        <v>0</v>
      </c>
      <c r="AO8" s="97">
        <v>0</v>
      </c>
      <c r="AP8" s="97">
        <v>0</v>
      </c>
      <c r="AQ8" s="97">
        <v>0</v>
      </c>
      <c r="AR8" s="97">
        <v>0</v>
      </c>
      <c r="AW8" s="11"/>
      <c r="AX8" s="12"/>
      <c r="AY8" s="12"/>
      <c r="AZ8" s="12"/>
      <c r="BA8" s="12"/>
      <c r="BB8" s="12"/>
      <c r="BC8" s="12"/>
      <c r="BE8" s="12"/>
      <c r="BF8" s="12"/>
      <c r="BG8" s="12"/>
      <c r="BH8" s="12"/>
      <c r="BI8" s="12"/>
      <c r="BJ8" s="12"/>
      <c r="BK8" s="12"/>
      <c r="BL8" s="12"/>
      <c r="BM8" s="12"/>
      <c r="BN8" s="13"/>
    </row>
    <row r="9" spans="1:66" x14ac:dyDescent="0.35">
      <c r="A9" s="3" t="s">
        <v>79</v>
      </c>
      <c r="B9" s="161">
        <f>B7-C13</f>
        <v>37</v>
      </c>
      <c r="O9" s="161" t="s">
        <v>280</v>
      </c>
      <c r="R9" s="97">
        <v>0</v>
      </c>
      <c r="S9" s="97">
        <v>0</v>
      </c>
      <c r="T9" s="97">
        <v>0</v>
      </c>
      <c r="U9" s="97">
        <v>0</v>
      </c>
      <c r="V9" s="97">
        <v>0</v>
      </c>
      <c r="W9" s="97">
        <v>0</v>
      </c>
      <c r="X9" s="97">
        <v>0</v>
      </c>
      <c r="Y9" s="97">
        <v>0</v>
      </c>
      <c r="Z9" s="97">
        <v>0</v>
      </c>
      <c r="AA9" s="97">
        <v>0</v>
      </c>
      <c r="AB9" s="97">
        <v>0</v>
      </c>
      <c r="AC9" s="97">
        <v>0</v>
      </c>
      <c r="AD9" s="97">
        <v>0</v>
      </c>
      <c r="AE9" s="97">
        <v>0</v>
      </c>
      <c r="AF9" s="97">
        <v>0</v>
      </c>
      <c r="AG9" s="97">
        <v>0</v>
      </c>
      <c r="AH9" s="97">
        <v>0</v>
      </c>
      <c r="AI9" s="97">
        <v>0</v>
      </c>
      <c r="AJ9" s="97">
        <v>0</v>
      </c>
      <c r="AK9" s="97">
        <v>0</v>
      </c>
      <c r="AL9" s="97">
        <v>0</v>
      </c>
      <c r="AM9" s="97">
        <v>0</v>
      </c>
      <c r="AN9" s="97">
        <v>0</v>
      </c>
      <c r="AO9" s="97">
        <v>0</v>
      </c>
      <c r="AP9" s="97">
        <v>0</v>
      </c>
      <c r="AQ9" s="97">
        <v>0</v>
      </c>
      <c r="AR9" s="97">
        <v>0</v>
      </c>
      <c r="AX9" s="158" t="s">
        <v>137</v>
      </c>
      <c r="AY9" s="158" t="s">
        <v>138</v>
      </c>
      <c r="AZ9" s="158" t="s">
        <v>139</v>
      </c>
      <c r="BA9" s="12"/>
      <c r="BB9" s="12"/>
      <c r="BC9" s="12"/>
      <c r="BE9" s="12"/>
      <c r="BF9" s="12"/>
      <c r="BG9" s="12"/>
      <c r="BH9" s="12"/>
      <c r="BI9" s="12"/>
      <c r="BJ9" s="12"/>
      <c r="BK9" s="12"/>
      <c r="BL9" s="12"/>
      <c r="BM9" s="12"/>
      <c r="BN9" s="13"/>
    </row>
    <row r="10" spans="1:66" x14ac:dyDescent="0.35">
      <c r="A10" s="3" t="s">
        <v>40</v>
      </c>
      <c r="B10" s="161">
        <f>SUM(C13,R10:AR10,C10)</f>
        <v>0</v>
      </c>
      <c r="C10" s="86"/>
      <c r="F10" s="170"/>
      <c r="G10" s="91" t="s">
        <v>81</v>
      </c>
      <c r="H10" s="83">
        <v>0</v>
      </c>
      <c r="I10" s="208" t="s">
        <v>107</v>
      </c>
      <c r="J10" s="209"/>
      <c r="K10" s="84">
        <v>0</v>
      </c>
      <c r="L10" s="170"/>
      <c r="M10" s="170"/>
      <c r="N10" s="170"/>
      <c r="O10" s="161" t="s">
        <v>281</v>
      </c>
      <c r="R10" s="143">
        <v>0</v>
      </c>
      <c r="S10" s="143">
        <v>0</v>
      </c>
      <c r="T10" s="143">
        <v>0</v>
      </c>
      <c r="U10" s="143">
        <v>0</v>
      </c>
      <c r="V10" s="143">
        <v>0</v>
      </c>
      <c r="W10" s="143">
        <v>0</v>
      </c>
      <c r="X10" s="143">
        <v>0</v>
      </c>
      <c r="Y10" s="143">
        <v>0</v>
      </c>
      <c r="Z10" s="143">
        <v>0</v>
      </c>
      <c r="AA10" s="143">
        <v>0</v>
      </c>
      <c r="AB10" s="143">
        <v>0</v>
      </c>
      <c r="AC10" s="143">
        <v>0</v>
      </c>
      <c r="AD10" s="143">
        <v>0</v>
      </c>
      <c r="AE10" s="143">
        <v>0</v>
      </c>
      <c r="AF10" s="143">
        <v>0</v>
      </c>
      <c r="AG10" s="143">
        <v>0</v>
      </c>
      <c r="AH10" s="143">
        <v>0</v>
      </c>
      <c r="AI10" s="143">
        <v>0</v>
      </c>
      <c r="AJ10" s="143">
        <v>0</v>
      </c>
      <c r="AK10" s="143">
        <v>0</v>
      </c>
      <c r="AL10" s="143">
        <v>0</v>
      </c>
      <c r="AM10" s="143">
        <v>0</v>
      </c>
      <c r="AN10" s="143">
        <v>0</v>
      </c>
      <c r="AO10" s="143">
        <v>0</v>
      </c>
      <c r="AP10" s="143">
        <v>0</v>
      </c>
      <c r="AQ10" s="143">
        <v>0</v>
      </c>
      <c r="AR10" s="143">
        <v>0</v>
      </c>
      <c r="AX10" s="163" t="s">
        <v>136</v>
      </c>
      <c r="AY10" s="163">
        <v>8</v>
      </c>
      <c r="AZ10" s="163">
        <v>-16</v>
      </c>
      <c r="BA10" s="153">
        <f>VLOOKUP($D$1,$AX$10:$AZ$18,2,0)</f>
        <v>0</v>
      </c>
      <c r="BB10" s="153">
        <f>VLOOKUP($D$1,$AX$10:$AZ$18,3,0)</f>
        <v>0</v>
      </c>
      <c r="BH10" s="12"/>
      <c r="BI10" s="12"/>
      <c r="BJ10" s="12"/>
      <c r="BK10" s="12"/>
      <c r="BL10" s="12"/>
      <c r="BM10" s="12"/>
      <c r="BN10" s="13"/>
    </row>
    <row r="11" spans="1:66" x14ac:dyDescent="0.35">
      <c r="B11" s="98" t="s">
        <v>122</v>
      </c>
      <c r="C11" s="98" t="s">
        <v>121</v>
      </c>
      <c r="D11" s="98" t="s">
        <v>116</v>
      </c>
      <c r="F11" s="170"/>
      <c r="G11" s="166" t="s">
        <v>82</v>
      </c>
      <c r="H11" s="45" t="s">
        <v>84</v>
      </c>
      <c r="I11" s="4" t="s">
        <v>83</v>
      </c>
      <c r="J11" s="4" t="s">
        <v>93</v>
      </c>
      <c r="K11" s="44" t="s">
        <v>95</v>
      </c>
      <c r="L11" s="44" t="s">
        <v>94</v>
      </c>
      <c r="M11" s="44" t="s">
        <v>124</v>
      </c>
      <c r="N11" s="44" t="s">
        <v>153</v>
      </c>
      <c r="O11" s="167" t="s">
        <v>282</v>
      </c>
      <c r="R11" s="133">
        <v>0</v>
      </c>
      <c r="S11" s="133">
        <v>0</v>
      </c>
      <c r="T11" s="133">
        <v>0</v>
      </c>
      <c r="U11" s="133">
        <v>0</v>
      </c>
      <c r="V11" s="133">
        <v>0</v>
      </c>
      <c r="W11" s="133">
        <v>0</v>
      </c>
      <c r="X11" s="133">
        <v>0</v>
      </c>
      <c r="Y11" s="133">
        <v>0</v>
      </c>
      <c r="Z11" s="133">
        <v>0</v>
      </c>
      <c r="AA11" s="133">
        <v>0</v>
      </c>
      <c r="AB11" s="133">
        <v>0</v>
      </c>
      <c r="AC11" s="133">
        <v>0</v>
      </c>
      <c r="AD11" s="133">
        <v>0</v>
      </c>
      <c r="AE11" s="133">
        <v>0</v>
      </c>
      <c r="AF11" s="133">
        <v>0</v>
      </c>
      <c r="AG11" s="133">
        <v>0</v>
      </c>
      <c r="AH11" s="133">
        <v>0</v>
      </c>
      <c r="AI11" s="133">
        <v>0</v>
      </c>
      <c r="AJ11" s="133">
        <v>0</v>
      </c>
      <c r="AK11" s="133">
        <v>0</v>
      </c>
      <c r="AL11" s="133">
        <v>0</v>
      </c>
      <c r="AM11" s="133">
        <v>0</v>
      </c>
      <c r="AN11" s="133">
        <v>0</v>
      </c>
      <c r="AO11" s="133">
        <v>0</v>
      </c>
      <c r="AP11" s="133">
        <v>0</v>
      </c>
      <c r="AQ11" s="133">
        <v>0</v>
      </c>
      <c r="AR11" s="133">
        <v>0</v>
      </c>
      <c r="AX11" s="163" t="s">
        <v>125</v>
      </c>
      <c r="AY11" s="163">
        <v>4</v>
      </c>
      <c r="AZ11" s="163">
        <v>-12</v>
      </c>
      <c r="BH11" s="12"/>
      <c r="BI11" s="12"/>
      <c r="BJ11" s="12"/>
      <c r="BK11" s="12"/>
      <c r="BL11" s="12"/>
      <c r="BM11" s="12"/>
      <c r="BN11" s="13"/>
    </row>
    <row r="12" spans="1:66" ht="20.399999999999999" x14ac:dyDescent="0.35">
      <c r="A12" s="105" t="s">
        <v>72</v>
      </c>
      <c r="B12" s="129">
        <f t="shared" ref="B12:B17" si="0">SUM(D12,R12:AR12)</f>
        <v>28</v>
      </c>
      <c r="C12" s="130">
        <f t="shared" ref="C12:C17" si="1">ROUNDDOWN(B12/2,0)-5</f>
        <v>9</v>
      </c>
      <c r="D12" s="131">
        <v>20</v>
      </c>
      <c r="F12" s="3" t="s">
        <v>67</v>
      </c>
      <c r="G12" s="45">
        <f>SUM($B$24,IF(L12="Strength",$C$12,$C$13),M12,$H$10*(-1))</f>
        <v>30</v>
      </c>
      <c r="H12" s="45" t="s">
        <v>278</v>
      </c>
      <c r="I12" s="45">
        <f>SUM(N13,$B$25)</f>
        <v>17</v>
      </c>
      <c r="J12" s="45" t="s">
        <v>109</v>
      </c>
      <c r="K12" s="154" t="s">
        <v>105</v>
      </c>
      <c r="L12" s="85" t="s">
        <v>72</v>
      </c>
      <c r="M12" s="4">
        <f>SUM($H$23*2,$H$24*(-2),$H$25*(2),$J$23*2,$J$24,$J$25,$L$23*2,$H$31*(-2),$L$24)</f>
        <v>4</v>
      </c>
      <c r="N12" s="4">
        <f>SUM(IF(K12=$AZ$20,$AZ$25,IF(K12=$BA$20,$BA$25,IF(K12=$BB$20,$BB$25,IF(K12=$BC$20,$BC$25,IF(K12=$BD$20,$BD$25,0))))),IF(L12=$AZ$20,$AZ$24,IF(K12=$BA$20,$BA$24,IF(K12=$BB$20,$BB$24,IF(K12=$BC$20,$BC$24,IF(K12=$BD$20,$BD$24,0))))))</f>
        <v>13</v>
      </c>
      <c r="O12" s="43" t="s">
        <v>283</v>
      </c>
      <c r="R12" s="134">
        <v>0</v>
      </c>
      <c r="S12" s="134">
        <v>0</v>
      </c>
      <c r="T12" s="134">
        <v>0</v>
      </c>
      <c r="U12" s="134">
        <v>0</v>
      </c>
      <c r="V12" s="134">
        <v>8</v>
      </c>
      <c r="W12" s="134">
        <v>0</v>
      </c>
      <c r="X12" s="134">
        <v>0</v>
      </c>
      <c r="Y12" s="134">
        <v>0</v>
      </c>
      <c r="Z12" s="134">
        <v>0</v>
      </c>
      <c r="AA12" s="134">
        <v>0</v>
      </c>
      <c r="AB12" s="134">
        <v>0</v>
      </c>
      <c r="AC12" s="134">
        <v>0</v>
      </c>
      <c r="AD12" s="134">
        <v>0</v>
      </c>
      <c r="AE12" s="134">
        <v>0</v>
      </c>
      <c r="AF12" s="134">
        <v>0</v>
      </c>
      <c r="AG12" s="134">
        <v>0</v>
      </c>
      <c r="AH12" s="134">
        <v>0</v>
      </c>
      <c r="AI12" s="134">
        <v>0</v>
      </c>
      <c r="AJ12" s="134">
        <v>0</v>
      </c>
      <c r="AK12" s="134">
        <v>0</v>
      </c>
      <c r="AL12" s="134">
        <v>0</v>
      </c>
      <c r="AM12" s="134">
        <v>0</v>
      </c>
      <c r="AN12" s="134">
        <v>0</v>
      </c>
      <c r="AO12" s="134">
        <v>0</v>
      </c>
      <c r="AP12" s="134">
        <v>0</v>
      </c>
      <c r="AQ12" s="134">
        <v>0</v>
      </c>
      <c r="AR12" s="134">
        <v>0</v>
      </c>
      <c r="AX12" s="163" t="s">
        <v>126</v>
      </c>
      <c r="AY12" s="163">
        <v>2</v>
      </c>
      <c r="AZ12" s="163">
        <v>-8</v>
      </c>
      <c r="BH12" s="12"/>
      <c r="BI12" s="12"/>
      <c r="BJ12" s="12"/>
      <c r="BK12" s="12"/>
      <c r="BL12" s="12"/>
      <c r="BM12" s="12"/>
      <c r="BN12" s="13"/>
    </row>
    <row r="13" spans="1:66" ht="20.399999999999999" x14ac:dyDescent="0.35">
      <c r="A13" s="106" t="s">
        <v>76</v>
      </c>
      <c r="B13" s="99">
        <f t="shared" si="0"/>
        <v>11</v>
      </c>
      <c r="C13" s="99">
        <f t="shared" si="1"/>
        <v>0</v>
      </c>
      <c r="D13" s="108">
        <v>11</v>
      </c>
      <c r="F13" s="170"/>
      <c r="G13" s="200"/>
      <c r="H13" s="201"/>
      <c r="I13" s="202"/>
      <c r="J13" s="203"/>
      <c r="K13" s="204"/>
      <c r="L13" s="205"/>
      <c r="M13" s="4"/>
      <c r="N13" s="4">
        <f>SUM(N12,$L$24,$L$25*($B$4))</f>
        <v>14</v>
      </c>
      <c r="O13" s="43" t="s">
        <v>284</v>
      </c>
      <c r="R13" s="135">
        <v>0</v>
      </c>
      <c r="S13" s="135">
        <v>0</v>
      </c>
      <c r="T13" s="135">
        <v>0</v>
      </c>
      <c r="U13" s="135">
        <v>0</v>
      </c>
      <c r="V13" s="135">
        <v>0</v>
      </c>
      <c r="W13" s="135">
        <v>0</v>
      </c>
      <c r="X13" s="135">
        <v>0</v>
      </c>
      <c r="Y13" s="135"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5">
        <v>0</v>
      </c>
      <c r="AH13" s="135">
        <v>0</v>
      </c>
      <c r="AI13" s="135">
        <v>0</v>
      </c>
      <c r="AJ13" s="135">
        <v>0</v>
      </c>
      <c r="AK13" s="135">
        <v>0</v>
      </c>
      <c r="AL13" s="135">
        <v>0</v>
      </c>
      <c r="AM13" s="135">
        <v>0</v>
      </c>
      <c r="AN13" s="135">
        <v>0</v>
      </c>
      <c r="AO13" s="135">
        <v>0</v>
      </c>
      <c r="AP13" s="135">
        <v>0</v>
      </c>
      <c r="AQ13" s="135">
        <v>0</v>
      </c>
      <c r="AR13" s="135">
        <v>0</v>
      </c>
      <c r="AX13" s="163" t="s">
        <v>127</v>
      </c>
      <c r="AY13" s="163">
        <v>1</v>
      </c>
      <c r="AZ13" s="163">
        <v>-4</v>
      </c>
      <c r="BH13" s="12"/>
      <c r="BI13" s="12"/>
      <c r="BJ13" s="12"/>
      <c r="BK13" s="12"/>
      <c r="BL13" s="12"/>
      <c r="BM13" s="12"/>
      <c r="BN13" s="13"/>
    </row>
    <row r="14" spans="1:66" ht="20.399999999999999" x14ac:dyDescent="0.35">
      <c r="A14" s="127" t="s">
        <v>75</v>
      </c>
      <c r="B14" s="103">
        <f t="shared" si="0"/>
        <v>18</v>
      </c>
      <c r="C14" s="103">
        <f t="shared" si="1"/>
        <v>4</v>
      </c>
      <c r="D14" s="128">
        <v>18</v>
      </c>
      <c r="F14" s="3" t="s">
        <v>68</v>
      </c>
      <c r="G14" s="45">
        <f>SUM($B$23:$B$24,IF(L14="Strength",$C$12,$C$13),M14,$H$10*(-1))</f>
        <v>44</v>
      </c>
      <c r="H14" s="45" t="s">
        <v>279</v>
      </c>
      <c r="I14" s="45">
        <f>SUM(N15,$B$25)</f>
        <v>13</v>
      </c>
      <c r="J14" s="45" t="s">
        <v>109</v>
      </c>
      <c r="K14" s="154" t="s">
        <v>106</v>
      </c>
      <c r="L14" s="85" t="s">
        <v>72</v>
      </c>
      <c r="M14" s="4">
        <f>SUM($H$23*2,$H$24*(-2),$H$25*(2),$J$23*2,$J$24,$J$25,$L$23*2,$H$31*(-2),$L$24)</f>
        <v>4</v>
      </c>
      <c r="N14" s="4">
        <f>SUM(IF(K14=$AZ$20,$AZ$25,IF(K14=$BA$20,$BA$25,IF(K14=$BB$20,$BB$25,IF(K14=$BC$20,$BC$25,IF(K14=$BD$20,$BD$25,0))))),IF(L14=$AZ$20,$AZ$24,IF(K14=$BA$20,$BA$24,IF(K14=$BB$20,$BB$24,IF(K14=$BC$20,$BC$24,IF(K14=$BD$20,$BD$24,0))))))</f>
        <v>9</v>
      </c>
      <c r="O14" s="43"/>
      <c r="R14" s="136">
        <v>0</v>
      </c>
      <c r="S14" s="136">
        <v>0</v>
      </c>
      <c r="T14" s="136">
        <v>0</v>
      </c>
      <c r="U14" s="136">
        <v>0</v>
      </c>
      <c r="V14" s="136">
        <v>0</v>
      </c>
      <c r="W14" s="136">
        <v>0</v>
      </c>
      <c r="X14" s="136">
        <v>0</v>
      </c>
      <c r="Y14" s="136">
        <v>0</v>
      </c>
      <c r="Z14" s="136">
        <v>0</v>
      </c>
      <c r="AA14" s="136">
        <v>0</v>
      </c>
      <c r="AB14" s="136">
        <v>0</v>
      </c>
      <c r="AC14" s="136">
        <v>0</v>
      </c>
      <c r="AD14" s="136">
        <v>0</v>
      </c>
      <c r="AE14" s="136">
        <v>0</v>
      </c>
      <c r="AF14" s="136">
        <v>0</v>
      </c>
      <c r="AG14" s="136">
        <v>0</v>
      </c>
      <c r="AH14" s="136">
        <v>0</v>
      </c>
      <c r="AI14" s="136">
        <v>0</v>
      </c>
      <c r="AJ14" s="136">
        <v>0</v>
      </c>
      <c r="AK14" s="136">
        <v>0</v>
      </c>
      <c r="AL14" s="136">
        <v>0</v>
      </c>
      <c r="AM14" s="136">
        <v>0</v>
      </c>
      <c r="AN14" s="136">
        <v>0</v>
      </c>
      <c r="AO14" s="136">
        <v>0</v>
      </c>
      <c r="AP14" s="136">
        <v>0</v>
      </c>
      <c r="AQ14" s="136">
        <v>0</v>
      </c>
      <c r="AR14" s="136">
        <v>0</v>
      </c>
      <c r="AX14" s="163" t="s">
        <v>128</v>
      </c>
      <c r="AY14" s="163">
        <v>0</v>
      </c>
      <c r="AZ14" s="163">
        <v>0</v>
      </c>
      <c r="BH14" s="12"/>
      <c r="BI14" s="12"/>
      <c r="BJ14" s="12"/>
      <c r="BK14" s="12"/>
      <c r="BL14" s="12"/>
      <c r="BM14" s="12"/>
      <c r="BN14" s="13"/>
    </row>
    <row r="15" spans="1:66" ht="20.399999999999999" x14ac:dyDescent="0.35">
      <c r="A15" s="109" t="s">
        <v>115</v>
      </c>
      <c r="B15" s="100">
        <f t="shared" si="0"/>
        <v>11</v>
      </c>
      <c r="C15" s="100">
        <f t="shared" si="1"/>
        <v>0</v>
      </c>
      <c r="D15" s="110">
        <v>11</v>
      </c>
      <c r="F15" s="170"/>
      <c r="G15" s="200" t="str">
        <f>CONCATENATE("Sword Sword   ","+",G14,"    "," Dmg: ",I14,"  +",H14, "    crit :  ",J14,)</f>
        <v>Sword Sword   +44     Dmg: 13  +1d6    crit :  x2</v>
      </c>
      <c r="H15" s="201"/>
      <c r="I15" s="202"/>
      <c r="J15" s="45"/>
      <c r="K15" s="4"/>
      <c r="L15" s="46"/>
      <c r="M15" s="4"/>
      <c r="N15" s="4">
        <f>SUM(N14,$L$24,$L$25*($B$4))</f>
        <v>10</v>
      </c>
      <c r="O15" s="43"/>
      <c r="R15" s="137">
        <v>0</v>
      </c>
      <c r="S15" s="137">
        <v>0</v>
      </c>
      <c r="T15" s="137">
        <v>0</v>
      </c>
      <c r="U15" s="137">
        <v>0</v>
      </c>
      <c r="V15" s="137">
        <v>0</v>
      </c>
      <c r="W15" s="137">
        <v>0</v>
      </c>
      <c r="X15" s="137">
        <v>0</v>
      </c>
      <c r="Y15" s="137">
        <v>0</v>
      </c>
      <c r="Z15" s="137">
        <v>0</v>
      </c>
      <c r="AA15" s="137">
        <v>0</v>
      </c>
      <c r="AB15" s="137">
        <v>0</v>
      </c>
      <c r="AC15" s="137">
        <v>0</v>
      </c>
      <c r="AD15" s="137">
        <v>0</v>
      </c>
      <c r="AE15" s="137">
        <v>0</v>
      </c>
      <c r="AF15" s="137">
        <v>0</v>
      </c>
      <c r="AG15" s="137">
        <v>0</v>
      </c>
      <c r="AH15" s="137">
        <v>0</v>
      </c>
      <c r="AI15" s="137">
        <v>0</v>
      </c>
      <c r="AJ15" s="137">
        <v>0</v>
      </c>
      <c r="AK15" s="137">
        <v>0</v>
      </c>
      <c r="AL15" s="137">
        <v>0</v>
      </c>
      <c r="AM15" s="137">
        <v>0</v>
      </c>
      <c r="AN15" s="137">
        <v>0</v>
      </c>
      <c r="AO15" s="137">
        <v>0</v>
      </c>
      <c r="AP15" s="137">
        <v>0</v>
      </c>
      <c r="AQ15" s="137">
        <v>0</v>
      </c>
      <c r="AR15" s="137">
        <v>0</v>
      </c>
      <c r="AX15" s="163" t="s">
        <v>129</v>
      </c>
      <c r="AY15" s="163" t="s">
        <v>130</v>
      </c>
      <c r="AZ15" s="163">
        <v>4</v>
      </c>
      <c r="BH15" s="12"/>
      <c r="BI15" s="12"/>
      <c r="BJ15" s="12"/>
      <c r="BK15" s="12"/>
      <c r="BL15" s="12"/>
      <c r="BM15" s="12"/>
      <c r="BN15" s="13"/>
    </row>
    <row r="16" spans="1:66" ht="20.399999999999999" x14ac:dyDescent="0.35">
      <c r="A16" s="111" t="s">
        <v>73</v>
      </c>
      <c r="B16" s="101">
        <f t="shared" si="0"/>
        <v>14</v>
      </c>
      <c r="C16" s="101">
        <f t="shared" si="1"/>
        <v>2</v>
      </c>
      <c r="D16" s="112">
        <v>14</v>
      </c>
      <c r="F16" s="3" t="s">
        <v>288</v>
      </c>
      <c r="G16" s="45">
        <f>SUM($B$23:$B$24,IF(L16="Strength",$C$12,$C$13),M16,$H$10*(-1))</f>
        <v>44</v>
      </c>
      <c r="H16" s="45" t="s">
        <v>278</v>
      </c>
      <c r="I16" s="45">
        <f>SUM(N17,$B$25)</f>
        <v>13</v>
      </c>
      <c r="J16" s="45" t="s">
        <v>109</v>
      </c>
      <c r="K16" s="154" t="s">
        <v>106</v>
      </c>
      <c r="L16" s="85" t="s">
        <v>72</v>
      </c>
      <c r="M16" s="4">
        <f>SUM($H$23*2,$H$24*(-2),$H$25*(2),$J$23*2,$J$24,$J$25,$L$23*2,$H$31*(-2),$L$24)</f>
        <v>4</v>
      </c>
      <c r="N16" s="4">
        <f>SUM(IF(K16=$AZ$20,$AZ$25,IF(K16=$BA$20,$BA$25,IF(K16=$BB$20,$BB$25,IF(K16=$BC$20,$BC$25,IF(K16=$BD$20,$BD$25,0))))),IF(L16=$AZ$20,$AZ$24,IF(K16=$BA$20,$BA$24,IF(K16=$BB$20,$BB$24,IF(K16=$BC$20,$BC$24,IF(K16=$BD$20,$BD$24,0))))))</f>
        <v>9</v>
      </c>
      <c r="O16" s="43"/>
      <c r="R16" s="138">
        <v>0</v>
      </c>
      <c r="S16" s="138">
        <v>0</v>
      </c>
      <c r="T16" s="138">
        <v>0</v>
      </c>
      <c r="U16" s="138">
        <v>0</v>
      </c>
      <c r="V16" s="138">
        <v>0</v>
      </c>
      <c r="W16" s="138">
        <v>0</v>
      </c>
      <c r="X16" s="138">
        <v>0</v>
      </c>
      <c r="Y16" s="138">
        <v>0</v>
      </c>
      <c r="Z16" s="138">
        <v>0</v>
      </c>
      <c r="AA16" s="138">
        <v>0</v>
      </c>
      <c r="AB16" s="138">
        <v>0</v>
      </c>
      <c r="AC16" s="138">
        <v>0</v>
      </c>
      <c r="AD16" s="138">
        <v>0</v>
      </c>
      <c r="AE16" s="138">
        <v>0</v>
      </c>
      <c r="AF16" s="138">
        <v>0</v>
      </c>
      <c r="AG16" s="138">
        <v>0</v>
      </c>
      <c r="AH16" s="138">
        <v>0</v>
      </c>
      <c r="AI16" s="138">
        <v>0</v>
      </c>
      <c r="AJ16" s="138">
        <v>0</v>
      </c>
      <c r="AK16" s="138">
        <v>0</v>
      </c>
      <c r="AL16" s="138">
        <v>0</v>
      </c>
      <c r="AM16" s="138">
        <v>0</v>
      </c>
      <c r="AN16" s="138">
        <v>0</v>
      </c>
      <c r="AO16" s="138">
        <v>0</v>
      </c>
      <c r="AP16" s="138">
        <v>0</v>
      </c>
      <c r="AQ16" s="138">
        <v>0</v>
      </c>
      <c r="AR16" s="138">
        <v>0</v>
      </c>
      <c r="AX16" s="163" t="s">
        <v>131</v>
      </c>
      <c r="AY16" s="163" t="s">
        <v>132</v>
      </c>
      <c r="AZ16" s="163">
        <v>8</v>
      </c>
      <c r="BH16" s="12"/>
      <c r="BI16" s="12"/>
      <c r="BJ16" s="12"/>
      <c r="BK16" s="12"/>
      <c r="BL16" s="12"/>
      <c r="BM16" s="12"/>
      <c r="BN16" s="13"/>
    </row>
    <row r="17" spans="1:66" ht="20.399999999999999" x14ac:dyDescent="0.35">
      <c r="A17" s="113" t="s">
        <v>74</v>
      </c>
      <c r="B17" s="114">
        <f t="shared" si="0"/>
        <v>16</v>
      </c>
      <c r="C17" s="114">
        <f t="shared" si="1"/>
        <v>3</v>
      </c>
      <c r="D17" s="115">
        <v>16</v>
      </c>
      <c r="F17" s="170"/>
      <c r="G17" s="210" t="str">
        <f>CONCATENATE("kukri   ","+",G16,"    "," Dmg: ",I16,"  +",H16, "    crit :  ",J16,)</f>
        <v>kukri   +44     Dmg: 13  +1d4    crit :  x2</v>
      </c>
      <c r="H17" s="211"/>
      <c r="I17" s="212"/>
      <c r="J17" s="203"/>
      <c r="K17" s="204"/>
      <c r="L17" s="205"/>
      <c r="M17" s="4"/>
      <c r="N17" s="4">
        <f>SUM(N16,$L$24,$L$25*($B$4))</f>
        <v>10</v>
      </c>
      <c r="O17" s="43"/>
      <c r="R17" s="139">
        <v>0</v>
      </c>
      <c r="S17" s="139">
        <v>0</v>
      </c>
      <c r="T17" s="139">
        <v>0</v>
      </c>
      <c r="U17" s="139">
        <v>0</v>
      </c>
      <c r="V17" s="139">
        <v>0</v>
      </c>
      <c r="W17" s="139">
        <v>0</v>
      </c>
      <c r="X17" s="139">
        <v>0</v>
      </c>
      <c r="Y17" s="139">
        <v>0</v>
      </c>
      <c r="Z17" s="139">
        <v>0</v>
      </c>
      <c r="AA17" s="139">
        <v>0</v>
      </c>
      <c r="AB17" s="139">
        <v>0</v>
      </c>
      <c r="AC17" s="139">
        <v>0</v>
      </c>
      <c r="AD17" s="139">
        <v>0</v>
      </c>
      <c r="AE17" s="139">
        <v>0</v>
      </c>
      <c r="AF17" s="139">
        <v>0</v>
      </c>
      <c r="AG17" s="139">
        <v>0</v>
      </c>
      <c r="AH17" s="139">
        <v>0</v>
      </c>
      <c r="AI17" s="139">
        <v>0</v>
      </c>
      <c r="AJ17" s="139">
        <v>0</v>
      </c>
      <c r="AK17" s="139">
        <v>0</v>
      </c>
      <c r="AL17" s="139">
        <v>0</v>
      </c>
      <c r="AM17" s="139">
        <v>0</v>
      </c>
      <c r="AN17" s="139">
        <v>0</v>
      </c>
      <c r="AO17" s="139">
        <v>0</v>
      </c>
      <c r="AP17" s="139">
        <v>0</v>
      </c>
      <c r="AQ17" s="139">
        <v>0</v>
      </c>
      <c r="AR17" s="139">
        <v>0</v>
      </c>
      <c r="AX17" s="163" t="s">
        <v>133</v>
      </c>
      <c r="AY17" s="163" t="s">
        <v>134</v>
      </c>
      <c r="AZ17" s="163">
        <v>12</v>
      </c>
      <c r="BH17" s="12"/>
      <c r="BI17" s="12"/>
      <c r="BJ17" s="12"/>
      <c r="BK17" s="12"/>
      <c r="BL17" s="12"/>
      <c r="BM17" s="12"/>
      <c r="BN17" s="13"/>
    </row>
    <row r="18" spans="1:66" x14ac:dyDescent="0.35">
      <c r="B18" s="45" t="s">
        <v>122</v>
      </c>
      <c r="C18" s="45" t="s">
        <v>116</v>
      </c>
      <c r="F18" s="170"/>
      <c r="G18" s="170"/>
      <c r="H18" s="170"/>
      <c r="I18" s="170"/>
      <c r="J18" s="170"/>
      <c r="K18" s="170"/>
      <c r="L18" s="170"/>
      <c r="M18" s="170"/>
      <c r="N18" s="170"/>
      <c r="O18" s="43"/>
      <c r="R18" s="133">
        <v>0</v>
      </c>
      <c r="S18" s="133">
        <v>0</v>
      </c>
      <c r="T18" s="133">
        <v>0</v>
      </c>
      <c r="U18" s="133">
        <v>0</v>
      </c>
      <c r="V18" s="133">
        <v>0</v>
      </c>
      <c r="W18" s="133">
        <v>0</v>
      </c>
      <c r="X18" s="133">
        <v>0</v>
      </c>
      <c r="Y18" s="133">
        <v>0</v>
      </c>
      <c r="Z18" s="133">
        <v>0</v>
      </c>
      <c r="AA18" s="133">
        <v>0</v>
      </c>
      <c r="AB18" s="133">
        <v>0</v>
      </c>
      <c r="AC18" s="133">
        <v>0</v>
      </c>
      <c r="AD18" s="133">
        <v>0</v>
      </c>
      <c r="AE18" s="133">
        <v>0</v>
      </c>
      <c r="AF18" s="133">
        <v>0</v>
      </c>
      <c r="AG18" s="133">
        <v>0</v>
      </c>
      <c r="AH18" s="133">
        <v>0</v>
      </c>
      <c r="AI18" s="133">
        <v>0</v>
      </c>
      <c r="AJ18" s="133">
        <v>0</v>
      </c>
      <c r="AK18" s="133">
        <v>0</v>
      </c>
      <c r="AL18" s="133">
        <v>0</v>
      </c>
      <c r="AM18" s="133">
        <v>0</v>
      </c>
      <c r="AN18" s="133">
        <v>0</v>
      </c>
      <c r="AO18" s="133">
        <v>0</v>
      </c>
      <c r="AP18" s="133">
        <v>0</v>
      </c>
      <c r="AQ18" s="133">
        <v>0</v>
      </c>
      <c r="AR18" s="133">
        <v>0</v>
      </c>
      <c r="AX18" s="163" t="s">
        <v>140</v>
      </c>
      <c r="AY18" s="163" t="s">
        <v>135</v>
      </c>
      <c r="AZ18" s="163">
        <v>16</v>
      </c>
      <c r="BH18" s="12"/>
      <c r="BI18" s="12"/>
      <c r="BJ18" s="12"/>
      <c r="BK18" s="12"/>
      <c r="BL18" s="12"/>
      <c r="BM18" s="12"/>
      <c r="BN18" s="13"/>
    </row>
    <row r="19" spans="1:66" ht="17.399999999999999" x14ac:dyDescent="0.3">
      <c r="A19" s="132" t="s">
        <v>29</v>
      </c>
      <c r="B19" s="149">
        <f>SUM(C14,C19,R19:AR19,BG4)</f>
        <v>29</v>
      </c>
      <c r="C19" s="94">
        <v>11</v>
      </c>
      <c r="F19" s="170">
        <f>32-19</f>
        <v>13</v>
      </c>
      <c r="G19" s="170">
        <v>32</v>
      </c>
      <c r="H19" s="170"/>
      <c r="I19" s="170">
        <f>32-13</f>
        <v>19</v>
      </c>
      <c r="J19" s="170"/>
      <c r="K19" s="170">
        <v>36</v>
      </c>
      <c r="L19" s="170"/>
      <c r="M19" s="170"/>
      <c r="N19" s="170">
        <f>19+3</f>
        <v>22</v>
      </c>
      <c r="O19" s="43"/>
      <c r="R19" s="136">
        <v>0</v>
      </c>
      <c r="S19" s="136">
        <v>0</v>
      </c>
      <c r="T19" s="136">
        <v>0</v>
      </c>
      <c r="U19" s="136">
        <v>0</v>
      </c>
      <c r="V19" s="136">
        <v>4</v>
      </c>
      <c r="W19" s="136">
        <v>0</v>
      </c>
      <c r="X19" s="136">
        <v>0</v>
      </c>
      <c r="Y19" s="136">
        <v>0</v>
      </c>
      <c r="Z19" s="136">
        <v>0</v>
      </c>
      <c r="AA19" s="136">
        <v>0</v>
      </c>
      <c r="AB19" s="136">
        <v>2</v>
      </c>
      <c r="AC19" s="136">
        <v>4</v>
      </c>
      <c r="AD19" s="136">
        <v>0</v>
      </c>
      <c r="AE19" s="136">
        <v>0</v>
      </c>
      <c r="AF19" s="136">
        <v>0</v>
      </c>
      <c r="AG19" s="136">
        <v>0</v>
      </c>
      <c r="AH19" s="136">
        <v>0</v>
      </c>
      <c r="AI19" s="136">
        <v>4</v>
      </c>
      <c r="AJ19" s="136">
        <v>0</v>
      </c>
      <c r="AK19" s="136">
        <v>0</v>
      </c>
      <c r="AL19" s="136">
        <v>0</v>
      </c>
      <c r="AM19" s="136">
        <v>0</v>
      </c>
      <c r="AN19" s="136">
        <v>0</v>
      </c>
      <c r="AO19" s="136">
        <v>0</v>
      </c>
      <c r="AP19" s="136">
        <v>0</v>
      </c>
      <c r="AQ19" s="136">
        <v>0</v>
      </c>
      <c r="AR19" s="136">
        <v>0</v>
      </c>
      <c r="AW19" s="11"/>
      <c r="AX19" s="12"/>
      <c r="AY19" s="12"/>
      <c r="AZ19" s="12"/>
      <c r="BA19" s="12"/>
      <c r="BB19" s="12"/>
      <c r="BC19" s="12"/>
      <c r="BE19" s="12"/>
      <c r="BF19" s="12"/>
      <c r="BG19" s="12"/>
      <c r="BH19" s="12"/>
      <c r="BI19" s="12"/>
      <c r="BJ19" s="12"/>
      <c r="BK19" s="12"/>
      <c r="BL19" s="12"/>
      <c r="BM19" s="12"/>
      <c r="BN19" s="13"/>
    </row>
    <row r="20" spans="1:66" ht="17.399999999999999" x14ac:dyDescent="0.3">
      <c r="A20" s="106" t="s">
        <v>30</v>
      </c>
      <c r="B20" s="104">
        <f>SUM(C13,C20,R20:AR20,BG5)</f>
        <v>16</v>
      </c>
      <c r="C20" s="156">
        <v>2</v>
      </c>
      <c r="F20" s="170"/>
      <c r="G20" s="170"/>
      <c r="H20" s="49"/>
      <c r="I20" s="170"/>
      <c r="J20" s="170"/>
      <c r="K20" s="170"/>
      <c r="L20" s="170"/>
      <c r="M20" s="170"/>
      <c r="N20" s="170"/>
      <c r="O20" s="43"/>
      <c r="R20" s="140">
        <v>0</v>
      </c>
      <c r="S20" s="140">
        <v>0</v>
      </c>
      <c r="T20" s="140">
        <v>0</v>
      </c>
      <c r="U20" s="140">
        <v>0</v>
      </c>
      <c r="V20" s="140">
        <v>4</v>
      </c>
      <c r="W20" s="140">
        <v>0</v>
      </c>
      <c r="X20" s="140">
        <v>0</v>
      </c>
      <c r="Y20" s="140">
        <v>0</v>
      </c>
      <c r="Z20" s="140">
        <v>0</v>
      </c>
      <c r="AA20" s="140">
        <v>0</v>
      </c>
      <c r="AB20" s="140">
        <v>2</v>
      </c>
      <c r="AC20" s="140">
        <v>4</v>
      </c>
      <c r="AD20" s="140">
        <v>0</v>
      </c>
      <c r="AE20" s="140">
        <v>0</v>
      </c>
      <c r="AF20" s="140">
        <v>0</v>
      </c>
      <c r="AG20" s="140">
        <v>0</v>
      </c>
      <c r="AH20" s="140">
        <v>0</v>
      </c>
      <c r="AI20" s="140">
        <v>4</v>
      </c>
      <c r="AJ20" s="140">
        <v>0</v>
      </c>
      <c r="AK20" s="140">
        <v>0</v>
      </c>
      <c r="AL20" s="140">
        <v>0</v>
      </c>
      <c r="AM20" s="140">
        <v>0</v>
      </c>
      <c r="AN20" s="140">
        <v>0</v>
      </c>
      <c r="AO20" s="140">
        <v>0</v>
      </c>
      <c r="AP20" s="140">
        <v>0</v>
      </c>
      <c r="AQ20" s="140">
        <v>0</v>
      </c>
      <c r="AR20" s="140">
        <v>0</v>
      </c>
      <c r="AW20" s="206" t="s">
        <v>155</v>
      </c>
      <c r="AX20" s="206"/>
      <c r="AY20" s="206"/>
      <c r="AZ20" s="123" t="s">
        <v>97</v>
      </c>
      <c r="BA20" s="123" t="s">
        <v>152</v>
      </c>
      <c r="BB20" s="123" t="s">
        <v>106</v>
      </c>
      <c r="BC20" s="165" t="s">
        <v>151</v>
      </c>
      <c r="BD20" s="123" t="s">
        <v>105</v>
      </c>
      <c r="BE20" s="12"/>
      <c r="BF20" s="12"/>
      <c r="BG20" s="12"/>
      <c r="BH20" s="12"/>
      <c r="BI20" s="12"/>
      <c r="BJ20" s="12"/>
      <c r="BK20" s="12"/>
      <c r="BL20" s="12"/>
      <c r="BM20" s="12"/>
      <c r="BN20" s="13"/>
    </row>
    <row r="21" spans="1:66" ht="17.399999999999999" x14ac:dyDescent="0.3">
      <c r="A21" s="107" t="s">
        <v>31</v>
      </c>
      <c r="B21" s="150">
        <f>SUM(C21,C16,R21:AR21,BG6)</f>
        <v>21</v>
      </c>
      <c r="C21" s="162">
        <v>5</v>
      </c>
      <c r="F21" s="170"/>
      <c r="G21" s="170"/>
      <c r="H21" s="170"/>
      <c r="I21" s="170"/>
      <c r="J21" s="170"/>
      <c r="K21" s="170"/>
      <c r="L21" s="170"/>
      <c r="M21" s="170"/>
      <c r="N21" s="170"/>
      <c r="O21" s="43"/>
      <c r="R21" s="141">
        <v>0</v>
      </c>
      <c r="S21" s="141">
        <v>0</v>
      </c>
      <c r="T21" s="141">
        <v>0</v>
      </c>
      <c r="U21" s="141">
        <v>0</v>
      </c>
      <c r="V21" s="141">
        <v>4</v>
      </c>
      <c r="W21" s="141">
        <v>0</v>
      </c>
      <c r="X21" s="141">
        <v>0</v>
      </c>
      <c r="Y21" s="141">
        <v>0</v>
      </c>
      <c r="Z21" s="141">
        <v>0</v>
      </c>
      <c r="AA21" s="141">
        <v>0</v>
      </c>
      <c r="AB21" s="141">
        <v>2</v>
      </c>
      <c r="AC21" s="141">
        <v>4</v>
      </c>
      <c r="AD21" s="141">
        <v>0</v>
      </c>
      <c r="AE21" s="141">
        <v>0</v>
      </c>
      <c r="AF21" s="141">
        <v>0</v>
      </c>
      <c r="AG21" s="141">
        <v>0</v>
      </c>
      <c r="AH21" s="141">
        <v>0</v>
      </c>
      <c r="AI21" s="141">
        <v>4</v>
      </c>
      <c r="AJ21" s="141">
        <v>0</v>
      </c>
      <c r="AK21" s="141">
        <v>0</v>
      </c>
      <c r="AL21" s="141">
        <v>0</v>
      </c>
      <c r="AM21" s="141">
        <v>0</v>
      </c>
      <c r="AN21" s="141">
        <v>0</v>
      </c>
      <c r="AO21" s="141">
        <v>0</v>
      </c>
      <c r="AP21" s="141">
        <v>0</v>
      </c>
      <c r="AQ21" s="141">
        <v>0</v>
      </c>
      <c r="AR21" s="141">
        <v>0</v>
      </c>
      <c r="AW21" s="198" t="s">
        <v>142</v>
      </c>
      <c r="AX21" s="198"/>
      <c r="AY21" s="12">
        <f>SUM($H$10)</f>
        <v>0</v>
      </c>
      <c r="AZ21" s="12">
        <v>0</v>
      </c>
      <c r="BA21" s="12">
        <v>0</v>
      </c>
      <c r="BB21" s="12">
        <f>AY21</f>
        <v>0</v>
      </c>
      <c r="BC21" s="12">
        <f>AY21</f>
        <v>0</v>
      </c>
      <c r="BD21" s="161">
        <f>AY21*2</f>
        <v>0</v>
      </c>
      <c r="BE21" s="12"/>
      <c r="BF21" s="12"/>
      <c r="BG21" s="12"/>
      <c r="BH21" s="12"/>
      <c r="BI21" s="12"/>
      <c r="BJ21" s="12"/>
      <c r="BK21" s="12"/>
      <c r="BL21" s="12"/>
      <c r="BM21" s="12"/>
      <c r="BN21" s="13"/>
    </row>
    <row r="22" spans="1:66" x14ac:dyDescent="0.35">
      <c r="B22" s="159" t="s">
        <v>122</v>
      </c>
      <c r="C22" s="160" t="s">
        <v>116</v>
      </c>
      <c r="F22" s="170"/>
      <c r="G22" s="199" t="s">
        <v>114</v>
      </c>
      <c r="H22" s="199"/>
      <c r="I22" s="170"/>
      <c r="J22" s="170"/>
      <c r="K22" s="170"/>
      <c r="L22" s="170"/>
      <c r="M22" s="170"/>
      <c r="N22" s="170"/>
      <c r="O22" s="43"/>
      <c r="R22" s="133">
        <v>0</v>
      </c>
      <c r="S22" s="133">
        <v>0</v>
      </c>
      <c r="T22" s="133">
        <v>0</v>
      </c>
      <c r="U22" s="133">
        <v>0</v>
      </c>
      <c r="V22" s="133">
        <v>0</v>
      </c>
      <c r="W22" s="133">
        <v>0</v>
      </c>
      <c r="X22" s="133">
        <v>0</v>
      </c>
      <c r="Y22" s="133">
        <v>0</v>
      </c>
      <c r="Z22" s="133">
        <v>0</v>
      </c>
      <c r="AA22" s="133">
        <v>0</v>
      </c>
      <c r="AB22" s="133">
        <v>0</v>
      </c>
      <c r="AC22" s="133">
        <v>0</v>
      </c>
      <c r="AD22" s="133">
        <v>0</v>
      </c>
      <c r="AE22" s="133">
        <v>0</v>
      </c>
      <c r="AF22" s="133">
        <v>0</v>
      </c>
      <c r="AG22" s="133">
        <v>0</v>
      </c>
      <c r="AH22" s="133">
        <v>0</v>
      </c>
      <c r="AI22" s="133">
        <v>0</v>
      </c>
      <c r="AJ22" s="133">
        <v>0</v>
      </c>
      <c r="AK22" s="133">
        <v>0</v>
      </c>
      <c r="AL22" s="133">
        <v>0</v>
      </c>
      <c r="AM22" s="133">
        <v>0</v>
      </c>
      <c r="AN22" s="133">
        <v>0</v>
      </c>
      <c r="AO22" s="133">
        <v>0</v>
      </c>
      <c r="AP22" s="133">
        <v>0</v>
      </c>
      <c r="AQ22" s="133">
        <v>0</v>
      </c>
      <c r="AR22" s="133">
        <v>0</v>
      </c>
      <c r="AW22" s="11"/>
      <c r="AX22" s="12"/>
      <c r="AY22" s="12"/>
      <c r="BE22" s="12"/>
      <c r="BF22" s="12"/>
      <c r="BG22" s="12"/>
      <c r="BH22" s="12"/>
      <c r="BI22" s="12"/>
      <c r="BJ22" s="12"/>
      <c r="BK22" s="12"/>
      <c r="BL22" s="12"/>
      <c r="BM22" s="12"/>
      <c r="BN22" s="13"/>
    </row>
    <row r="23" spans="1:66" ht="14.4" x14ac:dyDescent="0.3">
      <c r="A23" s="151" t="s">
        <v>71</v>
      </c>
      <c r="B23" s="51">
        <v>14</v>
      </c>
      <c r="C23" s="52">
        <v>13</v>
      </c>
      <c r="E23" s="161">
        <v>20</v>
      </c>
      <c r="F23" s="170"/>
      <c r="G23" s="79" t="s">
        <v>99</v>
      </c>
      <c r="H23" s="82">
        <v>0</v>
      </c>
      <c r="I23" s="50" t="s">
        <v>98</v>
      </c>
      <c r="J23" s="87">
        <v>0</v>
      </c>
      <c r="K23" s="79" t="s">
        <v>110</v>
      </c>
      <c r="L23" s="82">
        <v>0</v>
      </c>
      <c r="M23" s="170"/>
      <c r="N23" s="170"/>
      <c r="O23" s="43"/>
      <c r="R23" s="145">
        <v>0</v>
      </c>
      <c r="S23" s="145">
        <v>0</v>
      </c>
      <c r="T23" s="145">
        <v>0</v>
      </c>
      <c r="U23" s="145">
        <v>0</v>
      </c>
      <c r="V23" s="145">
        <v>0</v>
      </c>
      <c r="W23" s="145">
        <v>0</v>
      </c>
      <c r="X23" s="145">
        <v>0</v>
      </c>
      <c r="Y23" s="145">
        <v>0</v>
      </c>
      <c r="Z23" s="145">
        <v>0</v>
      </c>
      <c r="AA23" s="145">
        <v>0</v>
      </c>
      <c r="AB23" s="145">
        <v>0</v>
      </c>
      <c r="AC23" s="145">
        <v>0</v>
      </c>
      <c r="AD23" s="145">
        <v>0</v>
      </c>
      <c r="AE23" s="145">
        <v>0</v>
      </c>
      <c r="AF23" s="145">
        <v>0</v>
      </c>
      <c r="AG23" s="145">
        <v>0</v>
      </c>
      <c r="AH23" s="145">
        <v>0</v>
      </c>
      <c r="AI23" s="145">
        <v>0</v>
      </c>
      <c r="AJ23" s="145">
        <v>0</v>
      </c>
      <c r="AK23" s="145">
        <v>0</v>
      </c>
      <c r="AL23" s="145">
        <v>0</v>
      </c>
      <c r="AM23" s="145">
        <v>0</v>
      </c>
      <c r="AN23" s="145">
        <v>0</v>
      </c>
      <c r="AO23" s="145">
        <v>0</v>
      </c>
      <c r="AP23" s="145">
        <v>0</v>
      </c>
      <c r="AQ23" s="145">
        <v>0</v>
      </c>
      <c r="AR23" s="145">
        <v>0</v>
      </c>
      <c r="AW23" s="11"/>
      <c r="AX23" s="12"/>
      <c r="AY23" s="12"/>
      <c r="AZ23" s="12"/>
      <c r="BA23" s="12"/>
      <c r="BB23" s="12"/>
      <c r="BC23" s="12"/>
      <c r="BE23" s="12"/>
      <c r="BF23" s="12"/>
      <c r="BG23" s="12"/>
      <c r="BH23" s="12"/>
      <c r="BI23" s="12"/>
      <c r="BJ23" s="12"/>
      <c r="BK23" s="12"/>
      <c r="BL23" s="12"/>
      <c r="BM23" s="12"/>
      <c r="BN23" s="13"/>
    </row>
    <row r="24" spans="1:66" ht="17.399999999999999" x14ac:dyDescent="0.3">
      <c r="A24" s="146" t="s">
        <v>46</v>
      </c>
      <c r="B24" s="12">
        <f>SUM(B23,R24:AR24,BG7,BA10)</f>
        <v>17</v>
      </c>
      <c r="C24" s="13"/>
      <c r="F24" s="170"/>
      <c r="G24" s="79" t="s">
        <v>100</v>
      </c>
      <c r="H24" s="82">
        <v>0</v>
      </c>
      <c r="I24" s="11" t="s">
        <v>103</v>
      </c>
      <c r="J24" s="88">
        <v>0</v>
      </c>
      <c r="K24" s="170" t="s">
        <v>276</v>
      </c>
      <c r="L24" s="170">
        <v>1</v>
      </c>
      <c r="M24" s="170"/>
      <c r="N24" s="170"/>
      <c r="O24" s="43"/>
      <c r="R24" s="143">
        <v>0</v>
      </c>
      <c r="S24" s="143">
        <v>0</v>
      </c>
      <c r="T24" s="143">
        <v>0</v>
      </c>
      <c r="U24" s="143">
        <v>0</v>
      </c>
      <c r="V24" s="143">
        <v>0</v>
      </c>
      <c r="W24" s="143">
        <v>0</v>
      </c>
      <c r="X24" s="143">
        <v>0</v>
      </c>
      <c r="Y24" s="143">
        <v>0</v>
      </c>
      <c r="Z24" s="143">
        <v>0</v>
      </c>
      <c r="AA24" s="143">
        <v>0</v>
      </c>
      <c r="AB24" s="143">
        <v>0</v>
      </c>
      <c r="AC24" s="143">
        <v>3</v>
      </c>
      <c r="AD24" s="143">
        <v>0</v>
      </c>
      <c r="AE24" s="143">
        <v>0</v>
      </c>
      <c r="AF24" s="143">
        <v>0</v>
      </c>
      <c r="AG24" s="143">
        <v>0</v>
      </c>
      <c r="AH24" s="143">
        <v>0</v>
      </c>
      <c r="AI24" s="143">
        <v>0</v>
      </c>
      <c r="AJ24" s="143">
        <v>0</v>
      </c>
      <c r="AK24" s="143">
        <v>0</v>
      </c>
      <c r="AL24" s="143">
        <v>0</v>
      </c>
      <c r="AM24" s="143">
        <v>0</v>
      </c>
      <c r="AN24" s="143">
        <v>0</v>
      </c>
      <c r="AO24" s="143">
        <v>0</v>
      </c>
      <c r="AP24" s="143">
        <v>0</v>
      </c>
      <c r="AQ24" s="143">
        <v>0</v>
      </c>
      <c r="AR24" s="143">
        <v>0</v>
      </c>
      <c r="AW24" s="197" t="s">
        <v>143</v>
      </c>
      <c r="AX24" s="198"/>
      <c r="AY24" s="12">
        <f>$K$10+1</f>
        <v>1</v>
      </c>
      <c r="AZ24" s="12">
        <f>AZ21*$AY$24</f>
        <v>0</v>
      </c>
      <c r="BA24" s="12">
        <f>BA21*$AY$24</f>
        <v>0</v>
      </c>
      <c r="BB24" s="12">
        <f>BB21*$AY$24</f>
        <v>0</v>
      </c>
      <c r="BC24" s="12">
        <f>BC21*$AY$24</f>
        <v>0</v>
      </c>
      <c r="BD24" s="12">
        <f>BD21*$AY$24</f>
        <v>0</v>
      </c>
      <c r="BE24" s="43">
        <f>IF($K$12=$AZ$20,AZ24,IF($K$12=$BA$20,BA24,IF($K$12=$BB$20,BB24,IF($K$12=$BC$20,BC24,IF($K$12=$BD$20,BD24,0)))))</f>
        <v>0</v>
      </c>
      <c r="BF24" s="12"/>
      <c r="BG24" s="12"/>
      <c r="BH24" s="12"/>
      <c r="BI24" s="12"/>
      <c r="BJ24" s="12"/>
      <c r="BK24" s="12"/>
      <c r="BL24" s="12"/>
      <c r="BM24" s="12"/>
      <c r="BN24" s="13"/>
    </row>
    <row r="25" spans="1:66" ht="14.4" x14ac:dyDescent="0.3">
      <c r="A25" s="152" t="s">
        <v>70</v>
      </c>
      <c r="B25" s="12">
        <f>SUM(R25:AR25)</f>
        <v>3</v>
      </c>
      <c r="C25" s="13"/>
      <c r="F25" s="170"/>
      <c r="G25" s="79" t="s">
        <v>101</v>
      </c>
      <c r="H25" s="82">
        <v>0</v>
      </c>
      <c r="I25" s="90" t="s">
        <v>104</v>
      </c>
      <c r="J25" s="89">
        <v>3</v>
      </c>
      <c r="K25" s="170" t="s">
        <v>277</v>
      </c>
      <c r="L25" s="170">
        <v>0</v>
      </c>
      <c r="M25" s="170"/>
      <c r="N25" s="170"/>
      <c r="O25" s="43"/>
      <c r="R25" s="145">
        <v>0</v>
      </c>
      <c r="S25" s="145">
        <v>0</v>
      </c>
      <c r="T25" s="145">
        <v>0</v>
      </c>
      <c r="U25" s="145">
        <v>0</v>
      </c>
      <c r="V25" s="145">
        <v>0</v>
      </c>
      <c r="W25" s="145">
        <v>0</v>
      </c>
      <c r="X25" s="145">
        <v>0</v>
      </c>
      <c r="Y25" s="145">
        <v>0</v>
      </c>
      <c r="Z25" s="145">
        <v>0</v>
      </c>
      <c r="AA25" s="145">
        <v>0</v>
      </c>
      <c r="AB25" s="145">
        <v>0</v>
      </c>
      <c r="AC25" s="145">
        <v>3</v>
      </c>
      <c r="AD25" s="145">
        <v>0</v>
      </c>
      <c r="AE25" s="145">
        <v>0</v>
      </c>
      <c r="AF25" s="145">
        <v>0</v>
      </c>
      <c r="AG25" s="145">
        <v>0</v>
      </c>
      <c r="AH25" s="145">
        <v>0</v>
      </c>
      <c r="AI25" s="145">
        <v>0</v>
      </c>
      <c r="AJ25" s="145">
        <v>0</v>
      </c>
      <c r="AK25" s="145">
        <v>0</v>
      </c>
      <c r="AL25" s="145">
        <v>0</v>
      </c>
      <c r="AM25" s="145">
        <v>0</v>
      </c>
      <c r="AN25" s="145">
        <v>0</v>
      </c>
      <c r="AO25" s="145">
        <v>0</v>
      </c>
      <c r="AP25" s="145">
        <v>0</v>
      </c>
      <c r="AQ25" s="145">
        <v>0</v>
      </c>
      <c r="AR25" s="145">
        <v>0</v>
      </c>
      <c r="AW25" s="11"/>
      <c r="AX25" s="12" t="s">
        <v>154</v>
      </c>
      <c r="AY25" s="12"/>
      <c r="AZ25" s="12">
        <f>$C$12</f>
        <v>9</v>
      </c>
      <c r="BA25" s="12">
        <f>ROUNDDOWN($C$12*0.5,0)</f>
        <v>4</v>
      </c>
      <c r="BB25" s="12">
        <f>$C$12</f>
        <v>9</v>
      </c>
      <c r="BC25" s="12">
        <f>ROUNDDOWN($C$12*0.5,0)</f>
        <v>4</v>
      </c>
      <c r="BD25" s="12">
        <f>ROUNDDOWN($C$12*1.5,0)</f>
        <v>13</v>
      </c>
      <c r="BE25" s="43">
        <f>IF(L12=A12,IF($K$12=$AZ$20,AZ25,IF($K$12=$BA$20,BA25,IF($K$12=$BB$20,BB25,IF($K$12=$BC$20,BC25,IF($K$12=$BD$20,BD25,0))))),0)</f>
        <v>13</v>
      </c>
      <c r="BF25" s="12"/>
      <c r="BG25" s="12"/>
      <c r="BH25" s="12"/>
      <c r="BI25" s="12"/>
      <c r="BJ25" s="12"/>
      <c r="BK25" s="12"/>
      <c r="BL25" s="12"/>
      <c r="BM25" s="12"/>
      <c r="BN25" s="13"/>
    </row>
    <row r="26" spans="1:66" x14ac:dyDescent="0.35">
      <c r="A26" s="147" t="s">
        <v>77</v>
      </c>
      <c r="B26" s="54">
        <f>SUM(B23,C12,BB10,R26:AR26)</f>
        <v>23</v>
      </c>
      <c r="C26" s="55"/>
      <c r="G26" s="43" t="s">
        <v>312</v>
      </c>
      <c r="H26" s="161" t="s">
        <v>317</v>
      </c>
      <c r="O26" s="43"/>
      <c r="R26" s="144">
        <v>0</v>
      </c>
      <c r="S26" s="144">
        <v>0</v>
      </c>
      <c r="T26" s="144">
        <v>0</v>
      </c>
      <c r="U26" s="144">
        <v>0</v>
      </c>
      <c r="V26" s="144">
        <v>0</v>
      </c>
      <c r="W26" s="144">
        <v>0</v>
      </c>
      <c r="X26" s="144">
        <v>0</v>
      </c>
      <c r="Y26" s="144">
        <v>0</v>
      </c>
      <c r="Z26" s="144">
        <v>0</v>
      </c>
      <c r="AA26" s="144">
        <v>0</v>
      </c>
      <c r="AB26" s="144">
        <v>0</v>
      </c>
      <c r="AC26" s="144">
        <v>0</v>
      </c>
      <c r="AD26" s="144">
        <v>0</v>
      </c>
      <c r="AE26" s="144">
        <v>0</v>
      </c>
      <c r="AF26" s="144">
        <v>0</v>
      </c>
      <c r="AG26" s="144">
        <v>0</v>
      </c>
      <c r="AH26" s="144">
        <v>0</v>
      </c>
      <c r="AI26" s="144">
        <v>0</v>
      </c>
      <c r="AJ26" s="144">
        <v>0</v>
      </c>
      <c r="AK26" s="144">
        <v>0</v>
      </c>
      <c r="AL26" s="144">
        <v>0</v>
      </c>
      <c r="AM26" s="144">
        <v>0</v>
      </c>
      <c r="AN26" s="144">
        <v>0</v>
      </c>
      <c r="AO26" s="144">
        <v>0</v>
      </c>
      <c r="AP26" s="144">
        <v>0</v>
      </c>
      <c r="AQ26" s="144">
        <v>0</v>
      </c>
      <c r="AR26" s="144">
        <v>0</v>
      </c>
      <c r="AW26" s="11"/>
      <c r="AX26" s="12"/>
      <c r="AY26" s="12"/>
      <c r="AZ26" s="12"/>
      <c r="BA26" s="12"/>
      <c r="BB26" s="12"/>
      <c r="BC26" s="43"/>
      <c r="BD26" s="43"/>
      <c r="BE26" s="43" t="e">
        <f>if</f>
        <v>#NAME?</v>
      </c>
      <c r="BF26" s="12"/>
      <c r="BG26" s="12"/>
      <c r="BH26" s="12"/>
      <c r="BI26" s="12"/>
      <c r="BJ26" s="12"/>
      <c r="BK26" s="12"/>
      <c r="BL26" s="12"/>
      <c r="BM26" s="12"/>
      <c r="BN26" s="13"/>
    </row>
    <row r="27" spans="1:66" x14ac:dyDescent="0.35">
      <c r="G27" s="43" t="s">
        <v>313</v>
      </c>
      <c r="I27" s="43" t="s">
        <v>316</v>
      </c>
      <c r="O27" s="43"/>
      <c r="AW27" s="53"/>
      <c r="AX27" s="54"/>
      <c r="AY27" s="54"/>
      <c r="AZ27" s="54"/>
      <c r="BA27" s="54"/>
      <c r="BB27" s="54"/>
      <c r="BC27" s="54"/>
      <c r="BE27" s="54"/>
      <c r="BF27" s="54"/>
      <c r="BG27" s="54"/>
      <c r="BH27" s="54"/>
      <c r="BI27" s="54"/>
      <c r="BJ27" s="54"/>
      <c r="BK27" s="54"/>
      <c r="BL27" s="54"/>
      <c r="BM27" s="54"/>
      <c r="BN27" s="55"/>
    </row>
    <row r="28" spans="1:66" ht="14.4" x14ac:dyDescent="0.3">
      <c r="A28" s="4" t="s">
        <v>86</v>
      </c>
      <c r="B28" s="77">
        <v>0</v>
      </c>
      <c r="G28" s="43" t="s">
        <v>314</v>
      </c>
      <c r="H28" s="161" t="s">
        <v>315</v>
      </c>
      <c r="I28" s="43" t="s">
        <v>316</v>
      </c>
    </row>
    <row r="29" spans="1:66" ht="14.4" x14ac:dyDescent="0.3">
      <c r="A29" s="4" t="s">
        <v>87</v>
      </c>
      <c r="B29" s="78">
        <v>0</v>
      </c>
      <c r="G29" s="199" t="s">
        <v>145</v>
      </c>
      <c r="H29" s="199"/>
    </row>
    <row r="30" spans="1:66" ht="14.4" x14ac:dyDescent="0.3">
      <c r="A30" s="4" t="s">
        <v>141</v>
      </c>
      <c r="B30" s="78">
        <v>0</v>
      </c>
      <c r="G30" s="79" t="s">
        <v>146</v>
      </c>
      <c r="H30" s="82">
        <v>0</v>
      </c>
    </row>
    <row r="31" spans="1:66" s="1" customFormat="1" ht="14.4" x14ac:dyDescent="0.3">
      <c r="G31" s="79" t="s">
        <v>147</v>
      </c>
      <c r="H31" s="82">
        <v>0</v>
      </c>
      <c r="I31" s="161"/>
      <c r="J31" s="161"/>
      <c r="K31" s="161"/>
      <c r="L31" s="161"/>
      <c r="M31" s="161"/>
      <c r="N31" s="161"/>
      <c r="O31" s="161"/>
      <c r="P31" s="161"/>
      <c r="Q31" s="161"/>
      <c r="R31" s="161"/>
      <c r="S31" s="161"/>
      <c r="T31" s="161"/>
      <c r="U31" s="161"/>
      <c r="V31" s="161"/>
      <c r="W31" s="161"/>
      <c r="X31" s="161"/>
      <c r="Y31" s="161"/>
      <c r="Z31" s="161"/>
      <c r="AA31" s="161"/>
      <c r="AB31" s="161"/>
      <c r="AC31" s="161"/>
      <c r="AD31" s="161"/>
      <c r="AE31" s="161"/>
      <c r="AF31" s="161"/>
      <c r="AG31" s="161"/>
    </row>
    <row r="33" spans="1:27" x14ac:dyDescent="0.35">
      <c r="A33" s="3" t="s">
        <v>64</v>
      </c>
      <c r="B33" s="161">
        <f>COUNTA(A35:A81)</f>
        <v>18</v>
      </c>
    </row>
    <row r="34" spans="1:27" x14ac:dyDescent="0.35">
      <c r="A34" s="3" t="s">
        <v>43</v>
      </c>
      <c r="B34" s="19" t="s">
        <v>55</v>
      </c>
      <c r="C34" s="30" t="s">
        <v>69</v>
      </c>
      <c r="D34" s="32" t="s">
        <v>63</v>
      </c>
      <c r="E34" s="21" t="s">
        <v>59</v>
      </c>
      <c r="F34" s="58" t="s">
        <v>44</v>
      </c>
      <c r="G34" s="59" t="s">
        <v>50</v>
      </c>
      <c r="H34" s="60" t="s">
        <v>51</v>
      </c>
      <c r="I34" s="61" t="s">
        <v>58</v>
      </c>
      <c r="J34" s="62" t="s">
        <v>47</v>
      </c>
      <c r="K34" s="59" t="s">
        <v>50</v>
      </c>
      <c r="L34" s="60" t="s">
        <v>51</v>
      </c>
      <c r="M34" s="61" t="s">
        <v>58</v>
      </c>
      <c r="N34" s="63" t="s">
        <v>59</v>
      </c>
      <c r="O34" s="62" t="s">
        <v>47</v>
      </c>
      <c r="P34" s="59" t="s">
        <v>50</v>
      </c>
      <c r="Q34" s="60" t="s">
        <v>51</v>
      </c>
      <c r="R34" s="61" t="s">
        <v>58</v>
      </c>
      <c r="S34" s="63" t="s">
        <v>59</v>
      </c>
      <c r="T34" s="64" t="s">
        <v>66</v>
      </c>
      <c r="W34" s="1"/>
      <c r="X34" s="1"/>
      <c r="Y34" s="1"/>
      <c r="Z34" s="1"/>
      <c r="AA34" s="1"/>
    </row>
    <row r="35" spans="1:27" s="181" customFormat="1" x14ac:dyDescent="0.35">
      <c r="A35" s="17" t="s">
        <v>90</v>
      </c>
      <c r="B35" s="80">
        <v>8</v>
      </c>
      <c r="C35" s="177" t="s">
        <v>299</v>
      </c>
      <c r="D35" s="31">
        <f>IFERROR(VLOOKUP(A35,BUFFS!$H$5:$AF$195,8,),"")</f>
        <v>0</v>
      </c>
      <c r="E35" s="24">
        <f>IFERROR(SUM(H35,ROUNDDOWN(MIN(B35,T$35)*I35,0)),"")</f>
        <v>8</v>
      </c>
      <c r="F35" s="65" t="str">
        <f>IFERROR(VLOOKUP(A35,BUFFS!$H$5:$AF$195,5,),"")</f>
        <v>AC</v>
      </c>
      <c r="G35" s="66" t="str">
        <f>IFERROR(VLOOKUP(A35,BUFFS!$H$5:$AF$195,6,),"")</f>
        <v xml:space="preserve">Armor Bonus </v>
      </c>
      <c r="H35" s="67">
        <f>IFERROR(VLOOKUP(A35,BUFFS!$H$5:$AF$195,7,),"")</f>
        <v>0</v>
      </c>
      <c r="I35" s="66">
        <f>IFERROR(VLOOKUP(A35,BUFFS!$H$5:$AF$195,9,),"")</f>
        <v>1</v>
      </c>
      <c r="J35" s="65">
        <f>IFERROR(VLOOKUP(A35,BUFFS!$H$5:$AF$195,10,),"")</f>
        <v>0</v>
      </c>
      <c r="K35" s="66">
        <f>IFERROR(VLOOKUP(A35,BUFFS!$H$5:$AF$195,11,),"")</f>
        <v>0</v>
      </c>
      <c r="L35" s="66">
        <f>IFERROR(VLOOKUP(A35,BUFFS!$H$5:$AF$195,12,),"")</f>
        <v>0</v>
      </c>
      <c r="M35" s="66">
        <f>IFERROR(VLOOKUP(A35,BUFFS!$H$5:$AF$195,14,),"")</f>
        <v>0</v>
      </c>
      <c r="N35" s="68">
        <f>IFERROR(SUM(L35,ROUNDDOWN(MIN(B35,T$35)*M35,0)),"")</f>
        <v>0</v>
      </c>
      <c r="O35" s="65">
        <f>IFERROR(VLOOKUP(A35,BUFFS!$H$5:$AF$195,15,),"")</f>
        <v>0</v>
      </c>
      <c r="P35" s="66">
        <f>IFERROR(VLOOKUP(A35,BUFFS!$H$5:$AF$195,16,),"")</f>
        <v>0</v>
      </c>
      <c r="Q35" s="66">
        <f>IFERROR(VLOOKUP(A35,BUFFS!$H$5:$AF$195,17,),"")</f>
        <v>0</v>
      </c>
      <c r="R35" s="66">
        <f>IFERROR(VLOOKUP(A35,BUFFS!$H$5:$AF$195,19,),"")</f>
        <v>0</v>
      </c>
      <c r="S35" s="69">
        <f>IFERROR(SUM(Q35,ROUNDDOWN(MIN(B35,T$35)*R35,0)),"")</f>
        <v>0</v>
      </c>
      <c r="T35" s="70">
        <f>IFERROR(VLOOKUP(A35,BUFFS!$H$5:$AF$195,20,),"")</f>
        <v>100</v>
      </c>
    </row>
    <row r="36" spans="1:27" s="181" customFormat="1" x14ac:dyDescent="0.35">
      <c r="A36" s="17" t="s">
        <v>91</v>
      </c>
      <c r="B36" s="80">
        <v>2</v>
      </c>
      <c r="C36" s="177" t="s">
        <v>299</v>
      </c>
      <c r="D36" s="31">
        <f>IFERROR(VLOOKUP(A36,BUFFS!$H$5:$AF$195,8,),"")</f>
        <v>0</v>
      </c>
      <c r="E36" s="24">
        <f>IFERROR(SUM(H36,ROUNDDOWN(MIN(B36,T$35)*I36,0)),"")</f>
        <v>2</v>
      </c>
      <c r="F36" s="65" t="str">
        <f>IFERROR(VLOOKUP(A36,BUFFS!$H$5:$AF$195,5,),"")</f>
        <v>AC</v>
      </c>
      <c r="G36" s="66" t="str">
        <f>IFERROR(VLOOKUP(A36,BUFFS!$H$5:$AF$195,6,),"")</f>
        <v xml:space="preserve">Shield Bonus </v>
      </c>
      <c r="H36" s="67">
        <f>IFERROR(VLOOKUP(A36,BUFFS!$H$5:$AF$195,7,),"")</f>
        <v>0</v>
      </c>
      <c r="I36" s="66">
        <f>IFERROR(VLOOKUP(A36,BUFFS!$H$5:$AF$195,9,),"")</f>
        <v>1</v>
      </c>
      <c r="J36" s="65">
        <f>IFERROR(VLOOKUP(A36,BUFFS!$H$5:$AF$195,10,),"")</f>
        <v>0</v>
      </c>
      <c r="K36" s="66">
        <f>IFERROR(VLOOKUP(A36,BUFFS!$H$5:$AF$195,11,),"")</f>
        <v>0</v>
      </c>
      <c r="L36" s="66">
        <f>IFERROR(VLOOKUP(A36,BUFFS!$H$5:$AF$195,12,),"")</f>
        <v>0</v>
      </c>
      <c r="M36" s="66">
        <f>IFERROR(VLOOKUP(A36,BUFFS!$H$5:$AF$195,14,),"")</f>
        <v>0</v>
      </c>
      <c r="N36" s="68">
        <f>IFERROR(SUM(L36,ROUNDDOWN(MIN(B36,T$35)*M36,0)),"")</f>
        <v>0</v>
      </c>
      <c r="O36" s="65">
        <f>IFERROR(VLOOKUP(A36,BUFFS!$H$5:$AF$195,15,),"")</f>
        <v>0</v>
      </c>
      <c r="P36" s="66">
        <f>IFERROR(VLOOKUP(A36,BUFFS!$H$5:$AF$195,16,),"")</f>
        <v>0</v>
      </c>
      <c r="Q36" s="66">
        <f>IFERROR(VLOOKUP(A36,BUFFS!$H$5:$AF$195,17,),"")</f>
        <v>0</v>
      </c>
      <c r="R36" s="66">
        <f>IFERROR(VLOOKUP(A36,BUFFS!$H$5:$AF$195,19,),"")</f>
        <v>0</v>
      </c>
      <c r="S36" s="69">
        <f>IFERROR(SUM(Q36,ROUNDDOWN(MIN(B36,T$35)*R36,0)),"")</f>
        <v>0</v>
      </c>
      <c r="T36" s="70">
        <f>IFERROR(VLOOKUP(A36,BUFFS!$H$5:$AF$195,20,),"")</f>
        <v>100</v>
      </c>
    </row>
    <row r="37" spans="1:27" s="181" customFormat="1" x14ac:dyDescent="0.35">
      <c r="A37" s="17" t="s">
        <v>158</v>
      </c>
      <c r="B37" s="80">
        <v>1</v>
      </c>
      <c r="C37" s="177" t="s">
        <v>299</v>
      </c>
      <c r="D37" s="31">
        <f>IFERROR(VLOOKUP(A37,BUFFS!$H$5:$AF$195,8,),"")</f>
        <v>0</v>
      </c>
      <c r="E37" s="24">
        <f>IFERROR(SUM(H37,ROUNDDOWN(MIN(B37,T$35)*I37,0)),"")</f>
        <v>1</v>
      </c>
      <c r="F37" s="65" t="str">
        <f>IFERROR(VLOOKUP(A37,BUFFS!$H$5:$AF$195,5,),"")</f>
        <v>AC</v>
      </c>
      <c r="G37" s="66" t="str">
        <f>IFERROR(VLOOKUP(A37,BUFFS!$H$5:$AF$195,6,),"")</f>
        <v xml:space="preserve">Enhancement Armor Bonus </v>
      </c>
      <c r="H37" s="67">
        <f>IFERROR(VLOOKUP(A37,BUFFS!$H$5:$AF$195,7,),"")</f>
        <v>0</v>
      </c>
      <c r="I37" s="66">
        <f>IFERROR(VLOOKUP(A37,BUFFS!$H$5:$AF$195,9,),"")</f>
        <v>1</v>
      </c>
      <c r="J37" s="65">
        <f>IFERROR(VLOOKUP(A37,BUFFS!$H$5:$AF$195,10,),"")</f>
        <v>0</v>
      </c>
      <c r="K37" s="66">
        <f>IFERROR(VLOOKUP(A37,BUFFS!$H$5:$AF$195,11,),"")</f>
        <v>0</v>
      </c>
      <c r="L37" s="66">
        <f>IFERROR(VLOOKUP(A37,BUFFS!$H$5:$AF$195,12,),"")</f>
        <v>0</v>
      </c>
      <c r="M37" s="66">
        <f>IFERROR(VLOOKUP(A37,BUFFS!$H$5:$AF$195,14,),"")</f>
        <v>0</v>
      </c>
      <c r="N37" s="68">
        <f>IFERROR(SUM(L37,ROUNDDOWN(MIN(B37,T$35)*M37,0)),"")</f>
        <v>0</v>
      </c>
      <c r="O37" s="65">
        <f>IFERROR(VLOOKUP(A37,BUFFS!$H$5:$AF$195,15,),"")</f>
        <v>0</v>
      </c>
      <c r="P37" s="66">
        <f>IFERROR(VLOOKUP(A37,BUFFS!$H$5:$AF$195,16,),"")</f>
        <v>0</v>
      </c>
      <c r="Q37" s="66">
        <f>IFERROR(VLOOKUP(A37,BUFFS!$H$5:$AF$195,17,),"")</f>
        <v>0</v>
      </c>
      <c r="R37" s="66">
        <f>IFERROR(VLOOKUP(A37,BUFFS!$H$5:$AF$195,19,),"")</f>
        <v>0</v>
      </c>
      <c r="S37" s="69">
        <f>IFERROR(SUM(Q37,ROUNDDOWN(MIN(B37,T$35)*R37,0)),"")</f>
        <v>0</v>
      </c>
      <c r="T37" s="70">
        <f>IFERROR(VLOOKUP(A37,BUFFS!$H$5:$AF$195,20,),"")</f>
        <v>100</v>
      </c>
    </row>
    <row r="38" spans="1:27" s="181" customFormat="1" x14ac:dyDescent="0.35">
      <c r="A38" s="17" t="s">
        <v>92</v>
      </c>
      <c r="B38" s="80">
        <v>4</v>
      </c>
      <c r="C38" s="177" t="s">
        <v>299</v>
      </c>
      <c r="D38" s="31">
        <f>IFERROR(VLOOKUP(A38,BUFFS!$H$5:$AF$195,8,),"")</f>
        <v>0</v>
      </c>
      <c r="E38" s="24">
        <f>IFERROR(SUM(H38,ROUNDDOWN(MIN(B38,T$35)*I38,0)),"")</f>
        <v>4</v>
      </c>
      <c r="F38" s="65" t="str">
        <f>IFERROR(VLOOKUP(A38,BUFFS!$H$5:$AF$195,5,),"")</f>
        <v>FORT</v>
      </c>
      <c r="G38" s="66" t="str">
        <f>IFERROR(VLOOKUP(A38,BUFFS!$H$5:$AF$195,6,),"")</f>
        <v>Enhancement</v>
      </c>
      <c r="H38" s="67">
        <f>IFERROR(VLOOKUP(A38,BUFFS!$H$5:$AF$195,7,),"")</f>
        <v>0</v>
      </c>
      <c r="I38" s="66">
        <f>IFERROR(VLOOKUP(A38,BUFFS!$H$5:$AF$195,9,),"")</f>
        <v>1</v>
      </c>
      <c r="J38" s="65" t="str">
        <f>IFERROR(VLOOKUP(A38,BUFFS!$H$5:$AF$195,10,),"")</f>
        <v>REF</v>
      </c>
      <c r="K38" s="66" t="str">
        <f>IFERROR(VLOOKUP(A38,BUFFS!$H$5:$AF$195,11,),"")</f>
        <v>Enhancement</v>
      </c>
      <c r="L38" s="66">
        <f>IFERROR(VLOOKUP(A38,BUFFS!$H$5:$AF$195,12,),"")</f>
        <v>0</v>
      </c>
      <c r="M38" s="66">
        <f>IFERROR(VLOOKUP(A38,BUFFS!$H$5:$AF$195,14,),"")</f>
        <v>1</v>
      </c>
      <c r="N38" s="68">
        <f>IFERROR(SUM(L38,ROUNDDOWN(MIN(B38,T$35)*M38,0)),"")</f>
        <v>4</v>
      </c>
      <c r="O38" s="65" t="str">
        <f>IFERROR(VLOOKUP(A38,BUFFS!$H$5:$AF$195,15,),"")</f>
        <v>WILL</v>
      </c>
      <c r="P38" s="66" t="str">
        <f>IFERROR(VLOOKUP(A38,BUFFS!$H$5:$AF$195,16,),"")</f>
        <v>Enhancement</v>
      </c>
      <c r="Q38" s="66">
        <f>IFERROR(VLOOKUP(A38,BUFFS!$H$5:$AF$195,17,),"")</f>
        <v>0</v>
      </c>
      <c r="R38" s="66">
        <f>IFERROR(VLOOKUP(A38,BUFFS!$H$5:$AF$195,19,),"")</f>
        <v>1</v>
      </c>
      <c r="S38" s="69">
        <f>IFERROR(SUM(Q38,ROUNDDOWN(MIN(B38,T$35)*R38,0)),"")</f>
        <v>4</v>
      </c>
      <c r="T38" s="70">
        <f>IFERROR(VLOOKUP(A38,BUFFS!$H$5:$AF$195,20,),"")</f>
        <v>100</v>
      </c>
    </row>
    <row r="39" spans="1:27" s="181" customFormat="1" x14ac:dyDescent="0.35">
      <c r="A39" s="17" t="s">
        <v>159</v>
      </c>
      <c r="B39" s="80">
        <v>1</v>
      </c>
      <c r="C39" s="177" t="s">
        <v>299</v>
      </c>
      <c r="D39" s="31">
        <f>IFERROR(VLOOKUP(A39,BUFFS!$H$5:$AF$195,8,),"")</f>
        <v>0</v>
      </c>
      <c r="E39" s="24">
        <f>IFERROR(SUM(H39,ROUNDDOWN(MIN(B39,T$35)*I39,0)),"")</f>
        <v>1</v>
      </c>
      <c r="F39" s="65" t="str">
        <f>IFERROR(VLOOKUP(A39,BUFFS!$H$5:$AF$195,5,),"")</f>
        <v>AC</v>
      </c>
      <c r="G39" s="66" t="str">
        <f>IFERROR(VLOOKUP(A39,BUFFS!$H$5:$AF$195,6,),"")</f>
        <v>Enhancement Shield Bonus</v>
      </c>
      <c r="H39" s="67">
        <f>IFERROR(VLOOKUP(A39,BUFFS!$H$5:$AF$195,7,),"")</f>
        <v>0</v>
      </c>
      <c r="I39" s="66">
        <f>IFERROR(VLOOKUP(A39,BUFFS!$H$5:$AF$195,9,),"")</f>
        <v>1</v>
      </c>
      <c r="J39" s="65">
        <f>IFERROR(VLOOKUP(A39,BUFFS!$H$5:$AF$195,10,),"")</f>
        <v>0</v>
      </c>
      <c r="K39" s="66">
        <f>IFERROR(VLOOKUP(A39,BUFFS!$H$5:$AF$195,11,),"")</f>
        <v>0</v>
      </c>
      <c r="L39" s="66">
        <f>IFERROR(VLOOKUP(A39,BUFFS!$H$5:$AF$195,12,),"")</f>
        <v>0</v>
      </c>
      <c r="M39" s="66">
        <f>IFERROR(VLOOKUP(A39,BUFFS!$H$5:$AF$195,14,),"")</f>
        <v>0</v>
      </c>
      <c r="N39" s="68">
        <f>IFERROR(SUM(L39,ROUNDDOWN(MIN(B39,T$35)*M39,0)),"")</f>
        <v>0</v>
      </c>
      <c r="O39" s="65">
        <f>IFERROR(VLOOKUP(A39,BUFFS!$H$5:$AF$195,15,),"")</f>
        <v>0</v>
      </c>
      <c r="P39" s="66">
        <f>IFERROR(VLOOKUP(A39,BUFFS!$H$5:$AF$195,16,),"")</f>
        <v>0</v>
      </c>
      <c r="Q39" s="66">
        <f>IFERROR(VLOOKUP(A39,BUFFS!$H$5:$AF$195,17,),"")</f>
        <v>0</v>
      </c>
      <c r="R39" s="66">
        <f>IFERROR(VLOOKUP(A39,BUFFS!$H$5:$AF$195,19,),"")</f>
        <v>0</v>
      </c>
      <c r="S39" s="69">
        <f>IFERROR(SUM(Q39,ROUNDDOWN(MIN(B39,T$35)*R39,0)),"")</f>
        <v>0</v>
      </c>
      <c r="T39" s="70">
        <f>IFERROR(VLOOKUP(A39,BUFFS!$H$5:$AF$195,20,),"")</f>
        <v>100</v>
      </c>
    </row>
    <row r="40" spans="1:27" s="181" customFormat="1" x14ac:dyDescent="0.35">
      <c r="A40" s="17" t="s">
        <v>321</v>
      </c>
      <c r="B40" s="80">
        <v>16</v>
      </c>
      <c r="C40" s="177">
        <v>16</v>
      </c>
      <c r="D40" s="31">
        <f>IFERROR(VLOOKUP(A40,BUFFS!$H$5:$AF$195,8,),"")</f>
        <v>0</v>
      </c>
      <c r="E40" s="24">
        <f>IFERROR(SUM(H40,ROUNDDOWN(MIN(B40,T$35)*I40,0)),"")</f>
        <v>3</v>
      </c>
      <c r="F40" s="65" t="str">
        <f>IFERROR(VLOOKUP(A40,BUFFS!$H$5:$AF$195,5,),"")</f>
        <v>attack</v>
      </c>
      <c r="G40" s="66" t="str">
        <f>IFERROR(VLOOKUP(A40,BUFFS!$H$5:$AF$195,6,),"")</f>
        <v xml:space="preserve">Morale Modifier </v>
      </c>
      <c r="H40" s="67">
        <f>IFERROR(VLOOKUP(A40,BUFFS!$H$5:$AF$195,7,),"")</f>
        <v>3</v>
      </c>
      <c r="I40" s="66">
        <f>IFERROR(VLOOKUP(A40,BUFFS!$H$5:$AF$195,9,),"")</f>
        <v>0</v>
      </c>
      <c r="J40" s="65" t="str">
        <f>IFERROR(VLOOKUP(A40,BUFFS!$H$5:$AF$195,10,),"")</f>
        <v>damage</v>
      </c>
      <c r="K40" s="66" t="str">
        <f>IFERROR(VLOOKUP(A40,BUFFS!$H$5:$AF$195,11,),"")</f>
        <v xml:space="preserve">Morale Modifier </v>
      </c>
      <c r="L40" s="66">
        <f>IFERROR(VLOOKUP(A40,BUFFS!$H$5:$AF$195,12,),"")</f>
        <v>3</v>
      </c>
      <c r="M40" s="66">
        <f>IFERROR(VLOOKUP(A40,BUFFS!$H$5:$AF$195,14,),"")</f>
        <v>0</v>
      </c>
      <c r="N40" s="68">
        <f>IFERROR(SUM(L40,ROUNDDOWN(MIN(B40,T$35)*M40,0)),"")</f>
        <v>3</v>
      </c>
      <c r="O40" s="65">
        <f>IFERROR(VLOOKUP(A40,BUFFS!$H$5:$AF$195,15,),"")</f>
        <v>0</v>
      </c>
      <c r="P40" s="66">
        <f>IFERROR(VLOOKUP(A40,BUFFS!$H$5:$AF$195,16,),"")</f>
        <v>0</v>
      </c>
      <c r="Q40" s="66">
        <f>IFERROR(VLOOKUP(A40,BUFFS!$H$5:$AF$195,17,),"")</f>
        <v>0</v>
      </c>
      <c r="R40" s="66">
        <f>IFERROR(VLOOKUP(A40,BUFFS!$H$5:$AF$195,19,),"")</f>
        <v>0</v>
      </c>
      <c r="S40" s="69">
        <f>IFERROR(SUM(Q40,ROUNDDOWN(MIN(B40,T$35)*R40,0)),"")</f>
        <v>0</v>
      </c>
      <c r="T40" s="70">
        <f>IFERROR(VLOOKUP(A40,BUFFS!$H$5:$AF$195,20,),"")</f>
        <v>100</v>
      </c>
    </row>
    <row r="41" spans="1:27" s="181" customFormat="1" x14ac:dyDescent="0.35">
      <c r="A41" s="17" t="s">
        <v>219</v>
      </c>
      <c r="B41" s="80">
        <v>8</v>
      </c>
      <c r="C41" s="177">
        <v>90000</v>
      </c>
      <c r="D41" s="31">
        <f>IFERROR(VLOOKUP(A41,BUFFS!$H$5:$AF$195,8,),"")</f>
        <v>0</v>
      </c>
      <c r="E41" s="24">
        <f>IFERROR(SUM(H41,ROUNDDOWN(MIN(B41,T$35)*I41,0)),"")</f>
        <v>8</v>
      </c>
      <c r="F41" s="65" t="str">
        <f>IFERROR(VLOOKUP(A41,BUFFS!$H$5:$AF$195,5,),"")</f>
        <v>Strength</v>
      </c>
      <c r="G41" s="66" t="str">
        <f>IFERROR(VLOOKUP(A41,BUFFS!$H$5:$AF$195,6,),"")</f>
        <v>Enhancement</v>
      </c>
      <c r="H41" s="67">
        <f>IFERROR(VLOOKUP(A41,BUFFS!$H$5:$AF$195,7,),"")</f>
        <v>0</v>
      </c>
      <c r="I41" s="66">
        <f>IFERROR(VLOOKUP(A41,BUFFS!$H$5:$AF$195,9,),"")</f>
        <v>1</v>
      </c>
      <c r="J41" s="65">
        <f>IFERROR(VLOOKUP(A41,BUFFS!$H$5:$AF$195,10,),"")</f>
        <v>0</v>
      </c>
      <c r="K41" s="66">
        <f>IFERROR(VLOOKUP(A41,BUFFS!$H$5:$AF$195,11,),"")</f>
        <v>0</v>
      </c>
      <c r="L41" s="66">
        <f>IFERROR(VLOOKUP(A41,BUFFS!$H$5:$AF$195,12,),"")</f>
        <v>0</v>
      </c>
      <c r="M41" s="66">
        <f>IFERROR(VLOOKUP(A41,BUFFS!$H$5:$AF$195,14,),"")</f>
        <v>0</v>
      </c>
      <c r="N41" s="68">
        <f>IFERROR(SUM(L41,ROUNDDOWN(MIN(B41,T$35)*M41,0)),"")</f>
        <v>0</v>
      </c>
      <c r="O41" s="65">
        <f>IFERROR(VLOOKUP(A41,BUFFS!$H$5:$AF$195,15,),"")</f>
        <v>0</v>
      </c>
      <c r="P41" s="66">
        <f>IFERROR(VLOOKUP(A41,BUFFS!$H$5:$AF$195,16,),"")</f>
        <v>0</v>
      </c>
      <c r="Q41" s="66">
        <f>IFERROR(VLOOKUP(A41,BUFFS!$H$5:$AF$195,17,),"")</f>
        <v>0</v>
      </c>
      <c r="R41" s="66">
        <f>IFERROR(VLOOKUP(A41,BUFFS!$H$5:$AF$195,19,),"")</f>
        <v>0</v>
      </c>
      <c r="S41" s="69">
        <f>IFERROR(SUM(Q41,ROUNDDOWN(MIN(B41,T$35)*R41,0)),"")</f>
        <v>0</v>
      </c>
      <c r="T41" s="70">
        <f>IFERROR(VLOOKUP(A41,BUFFS!$H$5:$AF$195,20,),"")</f>
        <v>100</v>
      </c>
    </row>
    <row r="42" spans="1:27" s="181" customFormat="1" x14ac:dyDescent="0.35">
      <c r="A42" s="17" t="s">
        <v>321</v>
      </c>
      <c r="B42" s="80">
        <v>16</v>
      </c>
      <c r="C42" s="177"/>
      <c r="D42" s="31">
        <f>IFERROR(VLOOKUP(A42,BUFFS!$H$5:$AF$195,8,),"")</f>
        <v>0</v>
      </c>
      <c r="E42" s="24">
        <f>IFERROR(SUM(H42,ROUNDDOWN(MIN(B42,T$35)*I42,0)),"")</f>
        <v>3</v>
      </c>
      <c r="F42" s="65" t="str">
        <f>IFERROR(VLOOKUP(A42,BUFFS!$H$5:$AF$195,5,),"")</f>
        <v>attack</v>
      </c>
      <c r="G42" s="66" t="str">
        <f>IFERROR(VLOOKUP(A42,BUFFS!$H$5:$AF$195,6,),"")</f>
        <v xml:space="preserve">Morale Modifier </v>
      </c>
      <c r="H42" s="67">
        <f>IFERROR(VLOOKUP(A42,BUFFS!$H$5:$AF$195,7,),"")</f>
        <v>3</v>
      </c>
      <c r="I42" s="66">
        <f>IFERROR(VLOOKUP(A42,BUFFS!$H$5:$AF$195,9,),"")</f>
        <v>0</v>
      </c>
      <c r="J42" s="65" t="str">
        <f>IFERROR(VLOOKUP(A42,BUFFS!$H$5:$AF$195,10,),"")</f>
        <v>damage</v>
      </c>
      <c r="K42" s="66" t="str">
        <f>IFERROR(VLOOKUP(A42,BUFFS!$H$5:$AF$195,11,),"")</f>
        <v xml:space="preserve">Morale Modifier </v>
      </c>
      <c r="L42" s="66">
        <f>IFERROR(VLOOKUP(A42,BUFFS!$H$5:$AF$195,12,),"")</f>
        <v>3</v>
      </c>
      <c r="M42" s="66">
        <f>IFERROR(VLOOKUP(A42,BUFFS!$H$5:$AF$195,14,),"")</f>
        <v>0</v>
      </c>
      <c r="N42" s="68">
        <f>IFERROR(SUM(L42,ROUNDDOWN(MIN(B42,T$35)*M42,0)),"")</f>
        <v>3</v>
      </c>
      <c r="O42" s="65">
        <f>IFERROR(VLOOKUP(A42,BUFFS!$H$5:$AF$195,15,),"")</f>
        <v>0</v>
      </c>
      <c r="P42" s="66">
        <f>IFERROR(VLOOKUP(A42,BUFFS!$H$5:$AF$195,16,),"")</f>
        <v>0</v>
      </c>
      <c r="Q42" s="66">
        <f>IFERROR(VLOOKUP(A42,BUFFS!$H$5:$AF$195,17,),"")</f>
        <v>0</v>
      </c>
      <c r="R42" s="66">
        <f>IFERROR(VLOOKUP(A42,BUFFS!$H$5:$AF$195,19,),"")</f>
        <v>0</v>
      </c>
      <c r="S42" s="69">
        <f>IFERROR(SUM(Q42,ROUNDDOWN(MIN(B42,T$35)*R42,0)),"")</f>
        <v>0</v>
      </c>
      <c r="T42" s="70">
        <f>IFERROR(VLOOKUP(A42,BUFFS!$H$5:$AF$195,20,),"")</f>
        <v>100</v>
      </c>
    </row>
    <row r="43" spans="1:27" s="181" customFormat="1" x14ac:dyDescent="0.35">
      <c r="A43" s="17" t="s">
        <v>195</v>
      </c>
      <c r="B43" s="80">
        <v>16</v>
      </c>
      <c r="C43" s="178">
        <v>160</v>
      </c>
      <c r="D43" s="31">
        <f>IFERROR(VLOOKUP(A43,BUFFS!$H$5:$AF$195,8,),"")</f>
        <v>1</v>
      </c>
      <c r="E43" s="24">
        <f>IFERROR(SUM(H43,ROUNDDOWN(MIN(B43,T$35)*I43,0)),"")</f>
        <v>4</v>
      </c>
      <c r="F43" s="65" t="str">
        <f>IFERROR(VLOOKUP(A43,BUFFS!$H$5:$AF$195,5,),"")</f>
        <v>AC</v>
      </c>
      <c r="G43" s="66" t="str">
        <f>IFERROR(VLOOKUP(A43,BUFFS!$H$5:$AF$195,6,),"")</f>
        <v xml:space="preserve">Shield Bonus </v>
      </c>
      <c r="H43" s="67">
        <f>IFERROR(VLOOKUP(A43,BUFFS!$H$5:$AF$195,7,),"")</f>
        <v>4</v>
      </c>
      <c r="I43" s="66">
        <f>IFERROR(VLOOKUP(A43,BUFFS!$H$5:$AF$195,9,),"")</f>
        <v>0</v>
      </c>
      <c r="J43" s="65">
        <f>IFERROR(VLOOKUP(A43,BUFFS!$H$5:$AF$195,10,),"")</f>
        <v>0</v>
      </c>
      <c r="K43" s="66">
        <f>IFERROR(VLOOKUP(A43,BUFFS!$H$5:$AF$195,11,),"")</f>
        <v>0</v>
      </c>
      <c r="L43" s="66">
        <f>IFERROR(VLOOKUP(A43,BUFFS!$H$5:$AF$195,12,),"")</f>
        <v>0</v>
      </c>
      <c r="M43" s="66">
        <f>IFERROR(VLOOKUP(A43,BUFFS!$H$5:$AF$195,14,),"")</f>
        <v>0</v>
      </c>
      <c r="N43" s="68">
        <f>IFERROR(SUM(L43,ROUNDDOWN(MIN(B43,T$35)*M43,0)),"")</f>
        <v>0</v>
      </c>
      <c r="O43" s="65">
        <f>IFERROR(VLOOKUP(A43,BUFFS!$H$5:$AF$195,15,),"")</f>
        <v>0</v>
      </c>
      <c r="P43" s="66">
        <f>IFERROR(VLOOKUP(A43,BUFFS!$H$5:$AF$195,16,),"")</f>
        <v>0</v>
      </c>
      <c r="Q43" s="66">
        <f>IFERROR(VLOOKUP(A43,BUFFS!$H$5:$AF$195,17,),"")</f>
        <v>0</v>
      </c>
      <c r="R43" s="66">
        <f>IFERROR(VLOOKUP(A43,BUFFS!$H$5:$AF$195,19,),"")</f>
        <v>0</v>
      </c>
      <c r="S43" s="69">
        <f>IFERROR(SUM(Q43,ROUNDDOWN(MIN(B43,T$35)*R43,0)),"")</f>
        <v>0</v>
      </c>
      <c r="T43" s="70">
        <f>IFERROR(VLOOKUP(A43,BUFFS!$H$5:$AF$195,20,),"")</f>
        <v>100</v>
      </c>
    </row>
    <row r="44" spans="1:27" s="181" customFormat="1" x14ac:dyDescent="0.35">
      <c r="A44" s="17" t="s">
        <v>226</v>
      </c>
      <c r="B44" s="80">
        <v>16</v>
      </c>
      <c r="C44" s="177" t="s">
        <v>301</v>
      </c>
      <c r="D44" s="31">
        <f>IFERROR(VLOOKUP(A44,BUFFS!$H$5:$AF$195,8,),"")</f>
        <v>2</v>
      </c>
      <c r="E44" s="24">
        <f>IFERROR(SUM(H44,ROUNDDOWN(MIN(B44,T$35)*I44,0)),"")</f>
        <v>4</v>
      </c>
      <c r="F44" s="65" t="str">
        <f>IFERROR(VLOOKUP(A44,BUFFS!$H$5:$AF$195,5,),"")</f>
        <v>FORT</v>
      </c>
      <c r="G44" s="66" t="str">
        <f>IFERROR(VLOOKUP(A44,BUFFS!$H$5:$AF$195,6,),"")</f>
        <v>Sacred Modifier</v>
      </c>
      <c r="H44" s="67">
        <f>IFERROR(VLOOKUP(A44,BUFFS!$H$5:$AF$195,7,),"")</f>
        <v>4</v>
      </c>
      <c r="I44" s="66">
        <f>IFERROR(VLOOKUP(A44,BUFFS!$H$5:$AF$195,9,),"")</f>
        <v>0</v>
      </c>
      <c r="J44" s="65" t="str">
        <f>IFERROR(VLOOKUP(A44,BUFFS!$H$5:$AF$195,10,),"")</f>
        <v>REF</v>
      </c>
      <c r="K44" s="66" t="str">
        <f>IFERROR(VLOOKUP(A44,BUFFS!$H$5:$AF$195,11,),"")</f>
        <v>Sacred Modifier</v>
      </c>
      <c r="L44" s="66">
        <f>IFERROR(VLOOKUP(A44,BUFFS!$H$5:$AF$195,12,),"")</f>
        <v>4</v>
      </c>
      <c r="M44" s="66">
        <f>IFERROR(VLOOKUP(A44,BUFFS!$H$5:$AF$195,14,),"")</f>
        <v>0</v>
      </c>
      <c r="N44" s="68">
        <f>IFERROR(SUM(L44,ROUNDDOWN(MIN(B44,T$35)*M44,0)),"")</f>
        <v>4</v>
      </c>
      <c r="O44" s="65" t="str">
        <f>IFERROR(VLOOKUP(A44,BUFFS!$H$5:$AF$195,15,),"")</f>
        <v>WILL</v>
      </c>
      <c r="P44" s="66" t="str">
        <f>IFERROR(VLOOKUP(A44,BUFFS!$H$5:$AF$195,16,),"")</f>
        <v>Sacred Modifier</v>
      </c>
      <c r="Q44" s="66">
        <f>IFERROR(VLOOKUP(A44,BUFFS!$H$5:$AF$195,17,),"")</f>
        <v>4</v>
      </c>
      <c r="R44" s="66">
        <f>IFERROR(VLOOKUP(A44,BUFFS!$H$5:$AF$195,19,),"")</f>
        <v>0</v>
      </c>
      <c r="S44" s="69">
        <f>IFERROR(SUM(Q44,ROUNDDOWN(MIN(B44,T$35)*R44,0)),"")</f>
        <v>4</v>
      </c>
      <c r="T44" s="70">
        <f>IFERROR(VLOOKUP(A44,BUFFS!$H$5:$AF$195,20,),"")</f>
        <v>100</v>
      </c>
    </row>
    <row r="45" spans="1:27" s="181" customFormat="1" x14ac:dyDescent="0.35">
      <c r="A45" s="17" t="s">
        <v>201</v>
      </c>
      <c r="B45" s="80">
        <v>16</v>
      </c>
      <c r="C45" s="178">
        <v>160</v>
      </c>
      <c r="D45" s="31">
        <f>IFERROR(VLOOKUP(A45,BUFFS!$H$5:$AF$195,8,),"")</f>
        <v>2</v>
      </c>
      <c r="E45" s="24">
        <f>IFERROR(SUM(H45,ROUNDDOWN(MIN(B45,T$35)*I45,0)),"")</f>
        <v>4</v>
      </c>
      <c r="F45" s="65" t="str">
        <f>IFERROR(VLOOKUP(A45,BUFFS!$H$5:$AF$195,5,),"")</f>
        <v>Strength</v>
      </c>
      <c r="G45" s="66" t="str">
        <f>IFERROR(VLOOKUP(A45,BUFFS!$H$5:$AF$195,6,),"")</f>
        <v>Enhancement</v>
      </c>
      <c r="H45" s="67">
        <f>IFERROR(VLOOKUP(A45,BUFFS!$H$5:$AF$195,7,),"")</f>
        <v>4</v>
      </c>
      <c r="I45" s="66">
        <f>IFERROR(VLOOKUP(A45,BUFFS!$H$5:$AF$195,9,),"")</f>
        <v>0</v>
      </c>
      <c r="J45" s="65">
        <f>IFERROR(VLOOKUP(A45,BUFFS!$H$5:$AF$195,10,),"")</f>
        <v>0</v>
      </c>
      <c r="K45" s="66">
        <f>IFERROR(VLOOKUP(A45,BUFFS!$H$5:$AF$195,11,),"")</f>
        <v>0</v>
      </c>
      <c r="L45" s="66">
        <f>IFERROR(VLOOKUP(A45,BUFFS!$H$5:$AF$195,12,),"")</f>
        <v>0</v>
      </c>
      <c r="M45" s="66">
        <f>IFERROR(VLOOKUP(A45,BUFFS!$H$5:$AF$195,14,),"")</f>
        <v>0</v>
      </c>
      <c r="N45" s="68">
        <f>IFERROR(SUM(L45,ROUNDDOWN(MIN(B45,T$35)*M45,0)),"")</f>
        <v>0</v>
      </c>
      <c r="O45" s="65">
        <f>IFERROR(VLOOKUP(A45,BUFFS!$H$5:$AF$195,15,),"")</f>
        <v>0</v>
      </c>
      <c r="P45" s="66">
        <f>IFERROR(VLOOKUP(A45,BUFFS!$H$5:$AF$195,16,),"")</f>
        <v>0</v>
      </c>
      <c r="Q45" s="66">
        <f>IFERROR(VLOOKUP(A45,BUFFS!$H$5:$AF$195,17,),"")</f>
        <v>0</v>
      </c>
      <c r="R45" s="66">
        <f>IFERROR(VLOOKUP(A45,BUFFS!$H$5:$AF$195,19,),"")</f>
        <v>0</v>
      </c>
      <c r="S45" s="69">
        <f>IFERROR(SUM(Q45,ROUNDDOWN(MIN(B45,T$35)*R45,0)),"")</f>
        <v>0</v>
      </c>
      <c r="T45" s="70">
        <f>IFERROR(VLOOKUP(A45,BUFFS!$H$5:$AF$195,20,),"")</f>
        <v>100</v>
      </c>
    </row>
    <row r="46" spans="1:27" s="181" customFormat="1" x14ac:dyDescent="0.35">
      <c r="A46" s="17" t="s">
        <v>295</v>
      </c>
      <c r="B46" s="80">
        <v>16</v>
      </c>
      <c r="C46" s="180">
        <v>954646</v>
      </c>
      <c r="D46" s="31">
        <f>IFERROR(VLOOKUP(A46,BUFFS!$H$5:$AF$195,8,),"")</f>
        <v>2</v>
      </c>
      <c r="E46" s="24">
        <f>IFERROR(SUM(H46,ROUNDDOWN(MIN(B46,T$35)*I46,0)),"")</f>
        <v>2</v>
      </c>
      <c r="F46" s="65" t="str">
        <f>IFERROR(VLOOKUP(A46,BUFFS!$H$5:$AF$195,5,),"")</f>
        <v>FORT</v>
      </c>
      <c r="G46" s="66" t="str">
        <f>IFERROR(VLOOKUP(A46,BUFFS!$H$5:$AF$195,6,),"")</f>
        <v xml:space="preserve">Luck Modifier </v>
      </c>
      <c r="H46" s="67">
        <f>IFERROR(VLOOKUP(A46,BUFFS!$H$5:$AF$195,7,),"")</f>
        <v>2</v>
      </c>
      <c r="I46" s="66">
        <f>IFERROR(VLOOKUP(A46,BUFFS!$H$5:$AF$195,9,),"")</f>
        <v>0</v>
      </c>
      <c r="J46" s="65" t="str">
        <f>IFERROR(VLOOKUP(A46,BUFFS!$H$5:$AF$195,10,),"")</f>
        <v>REF</v>
      </c>
      <c r="K46" s="66" t="str">
        <f>IFERROR(VLOOKUP(A46,BUFFS!$H$5:$AF$195,11,),"")</f>
        <v xml:space="preserve">Luck Modifier </v>
      </c>
      <c r="L46" s="66">
        <f>IFERROR(VLOOKUP(A46,BUFFS!$H$5:$AF$195,12,),"")</f>
        <v>2</v>
      </c>
      <c r="M46" s="66">
        <f>IFERROR(VLOOKUP(A46,BUFFS!$H$5:$AF$195,14,),"")</f>
        <v>0</v>
      </c>
      <c r="N46" s="68">
        <f>IFERROR(SUM(L46,ROUNDDOWN(MIN(B46,T$35)*M46,0)),"")</f>
        <v>2</v>
      </c>
      <c r="O46" s="65" t="str">
        <f>IFERROR(VLOOKUP(A46,BUFFS!$H$5:$AF$195,15,),"")</f>
        <v>WILL</v>
      </c>
      <c r="P46" s="66" t="str">
        <f>IFERROR(VLOOKUP(A46,BUFFS!$H$5:$AF$195,16,),"")</f>
        <v xml:space="preserve">Luck Modifier </v>
      </c>
      <c r="Q46" s="66">
        <f>IFERROR(VLOOKUP(A46,BUFFS!$H$5:$AF$195,17,),"")</f>
        <v>2</v>
      </c>
      <c r="R46" s="66">
        <f>IFERROR(VLOOKUP(A46,BUFFS!$H$5:$AF$195,19,),"")</f>
        <v>0</v>
      </c>
      <c r="S46" s="69">
        <f>IFERROR(SUM(Q46,ROUNDDOWN(MIN(B46,T$35)*R46,0)),"")</f>
        <v>2</v>
      </c>
      <c r="T46" s="70">
        <f>IFERROR(VLOOKUP(A46,BUFFS!$H$5:$AF$195,20,),"")</f>
        <v>100</v>
      </c>
    </row>
    <row r="47" spans="1:27" s="181" customFormat="1" x14ac:dyDescent="0.35">
      <c r="A47" s="17" t="s">
        <v>308</v>
      </c>
      <c r="B47" s="80">
        <v>16</v>
      </c>
      <c r="C47" s="180">
        <v>1593</v>
      </c>
      <c r="D47" s="31">
        <f>IFERROR(VLOOKUP(A47,BUFFS!$H$5:$AF$195,8,),"")</f>
        <v>3</v>
      </c>
      <c r="E47" s="24">
        <f>IFERROR(SUM(H47,ROUNDDOWN(MIN(B47,T$35)*I47,0)),"")</f>
        <v>5</v>
      </c>
      <c r="F47" s="65" t="str">
        <f>IFERROR(VLOOKUP(A47,BUFFS!$H$5:$AF$195,5,),"")</f>
        <v>AC</v>
      </c>
      <c r="G47" s="66" t="str">
        <f>IFERROR(VLOOKUP(A47,BUFFS!$H$5:$AF$195,6,),"")</f>
        <v>Enhancement to Natural Armor Bonus</v>
      </c>
      <c r="H47" s="67">
        <f>IFERROR(VLOOKUP(A47,BUFFS!$H$5:$AF$195,7,),"")</f>
        <v>0</v>
      </c>
      <c r="I47" s="66">
        <f>IFERROR(VLOOKUP(A47,BUFFS!$H$5:$AF$195,9,),"")</f>
        <v>0.33329999999999999</v>
      </c>
      <c r="J47" s="65">
        <f>IFERROR(VLOOKUP(A47,BUFFS!$H$5:$AF$195,10,),"")</f>
        <v>0</v>
      </c>
      <c r="K47" s="66">
        <f>IFERROR(VLOOKUP(A47,BUFFS!$H$5:$AF$195,11,),"")</f>
        <v>0</v>
      </c>
      <c r="L47" s="66">
        <f>IFERROR(VLOOKUP(A47,BUFFS!$H$5:$AF$195,12,),"")</f>
        <v>0</v>
      </c>
      <c r="M47" s="66">
        <f>IFERROR(VLOOKUP(A47,BUFFS!$H$5:$AF$195,14,),"")</f>
        <v>0</v>
      </c>
      <c r="N47" s="68">
        <f>IFERROR(SUM(L47,ROUNDDOWN(MIN(B47,T$35)*M47,0)),"")</f>
        <v>0</v>
      </c>
      <c r="O47" s="65">
        <f>IFERROR(VLOOKUP(A47,BUFFS!$H$5:$AF$195,15,),"")</f>
        <v>0</v>
      </c>
      <c r="P47" s="66">
        <f>IFERROR(VLOOKUP(A47,BUFFS!$H$5:$AF$195,16,),"")</f>
        <v>0</v>
      </c>
      <c r="Q47" s="66">
        <f>IFERROR(VLOOKUP(A47,BUFFS!$H$5:$AF$195,17,),"")</f>
        <v>0</v>
      </c>
      <c r="R47" s="66">
        <f>IFERROR(VLOOKUP(A47,BUFFS!$H$5:$AF$195,19,),"")</f>
        <v>0</v>
      </c>
      <c r="S47" s="69">
        <f>IFERROR(SUM(Q47,ROUNDDOWN(MIN(B47,T$35)*R47,0)),"")</f>
        <v>0</v>
      </c>
      <c r="T47" s="70">
        <f>IFERROR(VLOOKUP(A47,BUFFS!$H$5:$AF$195,20,),"")</f>
        <v>12</v>
      </c>
    </row>
    <row r="48" spans="1:27" s="181" customFormat="1" x14ac:dyDescent="0.35">
      <c r="A48" s="17" t="s">
        <v>290</v>
      </c>
      <c r="B48" s="80">
        <v>16</v>
      </c>
      <c r="C48" s="179" t="s">
        <v>300</v>
      </c>
      <c r="D48" s="31">
        <f>IFERROR(VLOOKUP(A48,BUFFS!$H$5:$AF$195,8,),"")</f>
        <v>3</v>
      </c>
      <c r="E48" s="24">
        <f>IFERROR(SUM(H48,ROUNDDOWN(MIN(B48,T$35)*I48,0)),"")</f>
        <v>4</v>
      </c>
      <c r="F48" s="65" t="str">
        <f>IFERROR(VLOOKUP(A48,BUFFS!$H$5:$AF$195,5,),"")</f>
        <v>FORT</v>
      </c>
      <c r="G48" s="66" t="str">
        <f>IFERROR(VLOOKUP(A48,BUFFS!$H$5:$AF$195,6,),"")</f>
        <v xml:space="preserve">Morale Modifier </v>
      </c>
      <c r="H48" s="67">
        <f>IFERROR(VLOOKUP(A48,BUFFS!$H$5:$AF$195,7,),"")</f>
        <v>2</v>
      </c>
      <c r="I48" s="66">
        <f>IFERROR(VLOOKUP(A48,BUFFS!$H$5:$AF$195,9,),"")</f>
        <v>0.16666666666666666</v>
      </c>
      <c r="J48" s="65" t="str">
        <f>IFERROR(VLOOKUP(A48,BUFFS!$H$5:$AF$195,10,),"")</f>
        <v>REF</v>
      </c>
      <c r="K48" s="66" t="str">
        <f>IFERROR(VLOOKUP(A48,BUFFS!$H$5:$AF$195,11,),"")</f>
        <v xml:space="preserve">Morale Modifier </v>
      </c>
      <c r="L48" s="66">
        <f>IFERROR(VLOOKUP(A48,BUFFS!$H$5:$AF$195,12,),"")</f>
        <v>2</v>
      </c>
      <c r="M48" s="66">
        <f>IFERROR(VLOOKUP(A48,BUFFS!$H$5:$AF$195,14,),"")</f>
        <v>0.16666666666666666</v>
      </c>
      <c r="N48" s="68">
        <f>IFERROR(SUM(L48,ROUNDDOWN(MIN(B48,T$35)*M48,0)),"")</f>
        <v>4</v>
      </c>
      <c r="O48" s="65" t="str">
        <f>IFERROR(VLOOKUP(A48,BUFFS!$H$5:$AF$195,15,),"")</f>
        <v>WILL</v>
      </c>
      <c r="P48" s="66" t="str">
        <f>IFERROR(VLOOKUP(A48,BUFFS!$H$5:$AF$195,16,),"")</f>
        <v xml:space="preserve">Morale Modifier </v>
      </c>
      <c r="Q48" s="66">
        <f>IFERROR(VLOOKUP(A48,BUFFS!$H$5:$AF$195,17,),"")</f>
        <v>2</v>
      </c>
      <c r="R48" s="66">
        <f>IFERROR(VLOOKUP(A48,BUFFS!$H$5:$AF$195,19,),"")</f>
        <v>0.16666666666666666</v>
      </c>
      <c r="S48" s="69">
        <f>IFERROR(SUM(Q48,ROUNDDOWN(MIN(B48,T$35)*R48,0)),"")</f>
        <v>4</v>
      </c>
      <c r="T48" s="70">
        <f>IFERROR(VLOOKUP(A48,BUFFS!$H$5:$AF$195,20,),"")</f>
        <v>100</v>
      </c>
    </row>
    <row r="49" spans="1:20" s="181" customFormat="1" x14ac:dyDescent="0.35">
      <c r="A49" s="17" t="s">
        <v>60</v>
      </c>
      <c r="B49" s="80">
        <v>17</v>
      </c>
      <c r="C49" s="178">
        <v>5464564</v>
      </c>
      <c r="D49" s="31">
        <f>IFERROR(VLOOKUP(A49,BUFFS!$H$5:$AF$195,8,),"")</f>
        <v>3</v>
      </c>
      <c r="E49" s="24">
        <f>IFERROR(SUM(H49,ROUNDDOWN(MIN(B49,T$35)*I49,0)),"")</f>
        <v>4</v>
      </c>
      <c r="F49" s="65" t="str">
        <f>IFERROR(VLOOKUP(A49,BUFFS!$H$5:$AF$195,5,),"")</f>
        <v>AC</v>
      </c>
      <c r="G49" s="66" t="str">
        <f>IFERROR(VLOOKUP(A49,BUFFS!$H$5:$AF$195,6,),"")</f>
        <v>Enhancement Shield Bonus</v>
      </c>
      <c r="H49" s="67">
        <f>IFERROR(VLOOKUP(A49,BUFFS!$H$5:$AF$195,7,),"")</f>
        <v>0</v>
      </c>
      <c r="I49" s="66">
        <f>IFERROR(VLOOKUP(A49,BUFFS!$H$5:$AF$195,9,),"")</f>
        <v>0.25</v>
      </c>
      <c r="J49" s="65">
        <f>IFERROR(VLOOKUP(A49,BUFFS!$H$5:$AF$195,10,),"")</f>
        <v>0</v>
      </c>
      <c r="K49" s="66">
        <f>IFERROR(VLOOKUP(A49,BUFFS!$H$5:$AF$195,11,),"")</f>
        <v>0</v>
      </c>
      <c r="L49" s="66">
        <f>IFERROR(VLOOKUP(A49,BUFFS!$H$5:$AF$195,12,),"")</f>
        <v>0</v>
      </c>
      <c r="M49" s="66">
        <f>IFERROR(VLOOKUP(A49,BUFFS!$H$5:$AF$195,14,),"")</f>
        <v>0</v>
      </c>
      <c r="N49" s="68">
        <f>IFERROR(SUM(L49,ROUNDDOWN(MIN(B49,T$35)*M49,0)),"")</f>
        <v>0</v>
      </c>
      <c r="O49" s="65">
        <f>IFERROR(VLOOKUP(A49,BUFFS!$H$5:$AF$195,15,),"")</f>
        <v>0</v>
      </c>
      <c r="P49" s="66">
        <f>IFERROR(VLOOKUP(A49,BUFFS!$H$5:$AF$195,16,),"")</f>
        <v>0</v>
      </c>
      <c r="Q49" s="66">
        <f>IFERROR(VLOOKUP(A49,BUFFS!$H$5:$AF$195,17,),"")</f>
        <v>0</v>
      </c>
      <c r="R49" s="66">
        <f>IFERROR(VLOOKUP(A49,BUFFS!$H$5:$AF$195,19,),"")</f>
        <v>0</v>
      </c>
      <c r="S49" s="69">
        <f>IFERROR(SUM(Q49,ROUNDDOWN(MIN(B49,T$35)*R49,0)),"")</f>
        <v>0</v>
      </c>
      <c r="T49" s="70">
        <f>IFERROR(VLOOKUP(A49,BUFFS!$H$5:$AF$195,20,),"")</f>
        <v>20</v>
      </c>
    </row>
    <row r="50" spans="1:20" s="181" customFormat="1" x14ac:dyDescent="0.35">
      <c r="A50" s="17" t="s">
        <v>61</v>
      </c>
      <c r="B50" s="80">
        <v>17</v>
      </c>
      <c r="C50" s="177">
        <v>5464646</v>
      </c>
      <c r="D50" s="31">
        <f>IFERROR(VLOOKUP(A50,BUFFS!$H$5:$AF$195,8,),"")</f>
        <v>3</v>
      </c>
      <c r="E50" s="24">
        <f>IFERROR(SUM(H50,ROUNDDOWN(MIN(B50,T$35)*I50,0)),"")</f>
        <v>4</v>
      </c>
      <c r="F50" s="65" t="str">
        <f>IFERROR(VLOOKUP(A50,BUFFS!$H$5:$AF$195,5,),"")</f>
        <v>AC</v>
      </c>
      <c r="G50" s="66" t="str">
        <f>IFERROR(VLOOKUP(A50,BUFFS!$H$5:$AF$195,6,),"")</f>
        <v xml:space="preserve">Enhancement Armor Bonus </v>
      </c>
      <c r="H50" s="67">
        <f>IFERROR(VLOOKUP(A50,BUFFS!$H$5:$AF$195,7,),"")</f>
        <v>0</v>
      </c>
      <c r="I50" s="66">
        <f>IFERROR(VLOOKUP(A50,BUFFS!$H$5:$AF$195,9,),"")</f>
        <v>0.25</v>
      </c>
      <c r="J50" s="65">
        <f>IFERROR(VLOOKUP(A50,BUFFS!$H$5:$AF$195,10,),"")</f>
        <v>0</v>
      </c>
      <c r="K50" s="66">
        <f>IFERROR(VLOOKUP(A50,BUFFS!$H$5:$AF$195,11,),"")</f>
        <v>0</v>
      </c>
      <c r="L50" s="66">
        <f>IFERROR(VLOOKUP(A50,BUFFS!$H$5:$AF$195,12,),"")</f>
        <v>0</v>
      </c>
      <c r="M50" s="66">
        <f>IFERROR(VLOOKUP(A50,BUFFS!$H$5:$AF$195,14,),"")</f>
        <v>0</v>
      </c>
      <c r="N50" s="68">
        <f>IFERROR(SUM(L50,ROUNDDOWN(MIN(B50,T$35)*M50,0)),"")</f>
        <v>0</v>
      </c>
      <c r="O50" s="65">
        <f>IFERROR(VLOOKUP(A50,BUFFS!$H$5:$AF$195,15,),"")</f>
        <v>0</v>
      </c>
      <c r="P50" s="66">
        <f>IFERROR(VLOOKUP(A50,BUFFS!$H$5:$AF$195,16,),"")</f>
        <v>0</v>
      </c>
      <c r="Q50" s="66">
        <f>IFERROR(VLOOKUP(A50,BUFFS!$H$5:$AF$195,17,),"")</f>
        <v>0</v>
      </c>
      <c r="R50" s="66">
        <f>IFERROR(VLOOKUP(A50,BUFFS!$H$5:$AF$195,19,),"")</f>
        <v>0</v>
      </c>
      <c r="S50" s="69">
        <f>IFERROR(SUM(Q50,ROUNDDOWN(MIN(B50,T$35)*R50,0)),"")</f>
        <v>0</v>
      </c>
      <c r="T50" s="70">
        <f>IFERROR(VLOOKUP(A50,BUFFS!$H$5:$AF$195,20,),"")</f>
        <v>20</v>
      </c>
    </row>
    <row r="51" spans="1:20" x14ac:dyDescent="0.35">
      <c r="A51" s="17" t="s">
        <v>307</v>
      </c>
      <c r="B51" s="80">
        <v>17</v>
      </c>
      <c r="C51" s="178">
        <v>6546464</v>
      </c>
      <c r="D51" s="31">
        <f>IFERROR(VLOOKUP(A51,BUFFS!$H$5:$AF$195,8,),"")</f>
        <v>4</v>
      </c>
      <c r="E51" s="24">
        <f>IFERROR(SUM(H51,ROUNDDOWN(MIN(B51,T$35)*I51,0)),"")</f>
        <v>0</v>
      </c>
      <c r="F51" s="65">
        <f>IFERROR(VLOOKUP(A51,BUFFS!$H$5:$AF$195,5,),"")</f>
        <v>0</v>
      </c>
      <c r="G51" s="66">
        <f>IFERROR(VLOOKUP(A51,BUFFS!$H$5:$AF$195,6,),"")</f>
        <v>0</v>
      </c>
      <c r="H51" s="67">
        <f>IFERROR(VLOOKUP(A51,BUFFS!$H$5:$AF$195,7,),"")</f>
        <v>0</v>
      </c>
      <c r="I51" s="66">
        <f>IFERROR(VLOOKUP(A51,BUFFS!$H$5:$AF$195,9,),"")</f>
        <v>0</v>
      </c>
      <c r="J51" s="65">
        <f>IFERROR(VLOOKUP(A51,BUFFS!$H$5:$AF$195,10,),"")</f>
        <v>0</v>
      </c>
      <c r="K51" s="66">
        <f>IFERROR(VLOOKUP(A51,BUFFS!$H$5:$AF$195,11,),"")</f>
        <v>0</v>
      </c>
      <c r="L51" s="66">
        <f>IFERROR(VLOOKUP(A51,BUFFS!$H$5:$AF$195,12,),"")</f>
        <v>0</v>
      </c>
      <c r="M51" s="66">
        <f>IFERROR(VLOOKUP(A51,BUFFS!$H$5:$AF$195,14,),"")</f>
        <v>0</v>
      </c>
      <c r="N51" s="68">
        <f>IFERROR(SUM(L51,ROUNDDOWN(MIN(B51,T$35)*M51,0)),"")</f>
        <v>0</v>
      </c>
      <c r="O51" s="65">
        <f>IFERROR(VLOOKUP(A51,BUFFS!$H$5:$AF$195,15,),"")</f>
        <v>0</v>
      </c>
      <c r="P51" s="66">
        <f>IFERROR(VLOOKUP(A51,BUFFS!$H$5:$AF$195,16,),"")</f>
        <v>0</v>
      </c>
      <c r="Q51" s="66">
        <f>IFERROR(VLOOKUP(A51,BUFFS!$H$5:$AF$195,17,),"")</f>
        <v>0</v>
      </c>
      <c r="R51" s="66">
        <f>IFERROR(VLOOKUP(A51,BUFFS!$H$5:$AF$195,19,),"")</f>
        <v>0</v>
      </c>
      <c r="S51" s="69">
        <f>IFERROR(SUM(Q51,ROUNDDOWN(MIN(B51,T$35)*R51,0)),"")</f>
        <v>0</v>
      </c>
      <c r="T51" s="70">
        <f>IFERROR(VLOOKUP(A51,BUFFS!$H$5:$AF$195,20,),"")</f>
        <v>100</v>
      </c>
    </row>
    <row r="52" spans="1:20" x14ac:dyDescent="0.35">
      <c r="A52" s="17" t="s">
        <v>285</v>
      </c>
      <c r="B52" s="80">
        <v>17</v>
      </c>
      <c r="C52" s="178">
        <v>9000000</v>
      </c>
      <c r="D52" s="31">
        <f>IFERROR(VLOOKUP(A52,BUFFS!$H$5:$AF$195,8,),"")</f>
        <v>15</v>
      </c>
      <c r="E52" s="24">
        <f>IFERROR(SUM(H52,ROUNDDOWN(MIN(B52,T$35)*I52,0)),"")</f>
        <v>5</v>
      </c>
      <c r="F52" s="65" t="str">
        <f>IFERROR(VLOOKUP(A52,BUFFS!$H$5:$AF$195,5,),"")</f>
        <v>AC</v>
      </c>
      <c r="G52" s="66" t="str">
        <f>IFERROR(VLOOKUP(A52,BUFFS!$H$5:$AF$195,6,),"")</f>
        <v>Sacred Modifier</v>
      </c>
      <c r="H52" s="67">
        <f>IFERROR(VLOOKUP(A52,BUFFS!$H$5:$AF$195,7,),"")</f>
        <v>5</v>
      </c>
      <c r="I52" s="66">
        <f>IFERROR(VLOOKUP(A52,BUFFS!$H$5:$AF$195,9,),"")</f>
        <v>0</v>
      </c>
      <c r="J52" s="65">
        <f>IFERROR(VLOOKUP(A52,BUFFS!$H$5:$AF$195,10,),"")</f>
        <v>0</v>
      </c>
      <c r="K52" s="66">
        <f>IFERROR(VLOOKUP(A52,BUFFS!$H$5:$AF$195,11,),"")</f>
        <v>0</v>
      </c>
      <c r="L52" s="66">
        <f>IFERROR(VLOOKUP(A52,BUFFS!$H$5:$AF$195,12,),"")</f>
        <v>0</v>
      </c>
      <c r="M52" s="66">
        <f>IFERROR(VLOOKUP(A52,BUFFS!$H$5:$AF$195,14,),"")</f>
        <v>0</v>
      </c>
      <c r="N52" s="68">
        <f>IFERROR(SUM(L52,ROUNDDOWN(MIN(B52,T$35)*M52,0)),"")</f>
        <v>0</v>
      </c>
      <c r="O52" s="65">
        <f>IFERROR(VLOOKUP(A52,BUFFS!$H$5:$AF$195,15,),"")</f>
        <v>0</v>
      </c>
      <c r="P52" s="66">
        <f>IFERROR(VLOOKUP(A52,BUFFS!$H$5:$AF$195,16,),"")</f>
        <v>0</v>
      </c>
      <c r="Q52" s="66">
        <f>IFERROR(VLOOKUP(A52,BUFFS!$H$5:$AF$195,17,),"")</f>
        <v>0</v>
      </c>
      <c r="R52" s="66">
        <f>IFERROR(VLOOKUP(A52,BUFFS!$H$5:$AF$195,19,),"")</f>
        <v>0</v>
      </c>
      <c r="S52" s="69">
        <f>IFERROR(SUM(Q52,ROUNDDOWN(MIN(B52,T$35)*R52,0)),"")</f>
        <v>0</v>
      </c>
      <c r="T52" s="70">
        <f>IFERROR(VLOOKUP(A52,BUFFS!$H$5:$AF$195,20,),"")</f>
        <v>100</v>
      </c>
    </row>
    <row r="53" spans="1:20" x14ac:dyDescent="0.35">
      <c r="A53" s="17"/>
      <c r="B53" s="80">
        <v>21</v>
      </c>
      <c r="C53" s="178">
        <v>1593</v>
      </c>
      <c r="D53" s="31" t="str">
        <f>IFERROR(VLOOKUP(A53,BUFFS!$H$5:$AF$195,8,),"")</f>
        <v/>
      </c>
      <c r="E53" s="24" t="str">
        <f>IFERROR(SUM(H53,ROUNDDOWN(MIN(B53,T$35)*I53,0)),"")</f>
        <v/>
      </c>
      <c r="F53" s="65" t="str">
        <f>IFERROR(VLOOKUP(A53,BUFFS!$H$5:$AF$195,5,),"")</f>
        <v/>
      </c>
      <c r="G53" s="66" t="str">
        <f>IFERROR(VLOOKUP(A53,BUFFS!$H$5:$AF$195,6,),"")</f>
        <v/>
      </c>
      <c r="H53" s="67" t="str">
        <f>IFERROR(VLOOKUP(A53,BUFFS!$H$5:$AF$195,7,),"")</f>
        <v/>
      </c>
      <c r="I53" s="66" t="str">
        <f>IFERROR(VLOOKUP(A53,BUFFS!$H$5:$AF$195,9,),"")</f>
        <v/>
      </c>
      <c r="J53" s="65" t="str">
        <f>IFERROR(VLOOKUP(A53,BUFFS!$H$5:$AF$195,10,),"")</f>
        <v/>
      </c>
      <c r="K53" s="66" t="str">
        <f>IFERROR(VLOOKUP(A53,BUFFS!$H$5:$AF$195,11,),"")</f>
        <v/>
      </c>
      <c r="L53" s="66" t="str">
        <f>IFERROR(VLOOKUP(A53,BUFFS!$H$5:$AF$195,12,),"")</f>
        <v/>
      </c>
      <c r="M53" s="66" t="str">
        <f>IFERROR(VLOOKUP(A53,BUFFS!$H$5:$AF$195,14,),"")</f>
        <v/>
      </c>
      <c r="N53" s="68" t="str">
        <f>IFERROR(SUM(L53,ROUNDDOWN(MIN(B53,T$35)*M53,0)),"")</f>
        <v/>
      </c>
      <c r="O53" s="65" t="str">
        <f>IFERROR(VLOOKUP(A53,BUFFS!$H$5:$AF$195,15,),"")</f>
        <v/>
      </c>
      <c r="P53" s="66" t="str">
        <f>IFERROR(VLOOKUP(A53,BUFFS!$H$5:$AF$195,16,),"")</f>
        <v/>
      </c>
      <c r="Q53" s="66" t="str">
        <f>IFERROR(VLOOKUP(A53,BUFFS!$H$5:$AF$195,17,),"")</f>
        <v/>
      </c>
      <c r="R53" s="66" t="str">
        <f>IFERROR(VLOOKUP(A53,BUFFS!$H$5:$AF$195,19,),"")</f>
        <v/>
      </c>
      <c r="S53" s="69" t="str">
        <f>IFERROR(SUM(Q53,ROUNDDOWN(MIN(B53,T$35)*R53,0)),"")</f>
        <v/>
      </c>
      <c r="T53" s="70" t="str">
        <f>IFERROR(VLOOKUP(A53,BUFFS!$H$5:$AF$195,20,),"")</f>
        <v/>
      </c>
    </row>
    <row r="54" spans="1:20" x14ac:dyDescent="0.35">
      <c r="A54" s="17"/>
      <c r="B54" s="80"/>
      <c r="C54" s="81"/>
      <c r="D54" s="31" t="str">
        <f>IFERROR(VLOOKUP(A54,BUFFS!$H$5:$AF$195,8,),"")</f>
        <v/>
      </c>
      <c r="E54" s="24" t="str">
        <f t="shared" ref="E54:E104" si="2">IFERROR(SUM(H54,ROUNDDOWN(MIN(B54,T$35)*I54,0)),"")</f>
        <v/>
      </c>
      <c r="F54" s="65" t="str">
        <f>IFERROR(VLOOKUP(A54,BUFFS!$H$5:$AF$195,5,),"")</f>
        <v/>
      </c>
      <c r="G54" s="66" t="str">
        <f>IFERROR(VLOOKUP(A54,BUFFS!$H$5:$AF$195,6,),"")</f>
        <v/>
      </c>
      <c r="H54" s="67" t="str">
        <f>IFERROR(VLOOKUP(A54,BUFFS!$H$5:$AF$195,7,),"")</f>
        <v/>
      </c>
      <c r="I54" s="66" t="str">
        <f>IFERROR(VLOOKUP(A54,BUFFS!$H$5:$AF$195,9,),"")</f>
        <v/>
      </c>
      <c r="J54" s="65" t="str">
        <f>IFERROR(VLOOKUP(A54,BUFFS!$H$5:$AF$195,10,),"")</f>
        <v/>
      </c>
      <c r="K54" s="66" t="str">
        <f>IFERROR(VLOOKUP(A54,BUFFS!$H$5:$AF$195,11,),"")</f>
        <v/>
      </c>
      <c r="L54" s="66" t="str">
        <f>IFERROR(VLOOKUP(A54,BUFFS!$H$5:$AF$195,12,),"")</f>
        <v/>
      </c>
      <c r="M54" s="66" t="str">
        <f>IFERROR(VLOOKUP(A54,BUFFS!$H$5:$AF$195,14,),"")</f>
        <v/>
      </c>
      <c r="N54" s="68" t="str">
        <f t="shared" ref="N54:N104" si="3">IFERROR(SUM(L54,ROUNDDOWN(MIN(B54,T$35)*M54,0)),"")</f>
        <v/>
      </c>
      <c r="O54" s="65" t="str">
        <f>IFERROR(VLOOKUP(A54,BUFFS!$H$5:$AF$195,15,),"")</f>
        <v/>
      </c>
      <c r="P54" s="66" t="str">
        <f>IFERROR(VLOOKUP(A54,BUFFS!$H$5:$AF$195,16,),"")</f>
        <v/>
      </c>
      <c r="Q54" s="66" t="str">
        <f>IFERROR(VLOOKUP(A54,BUFFS!$H$5:$AF$195,17,),"")</f>
        <v/>
      </c>
      <c r="R54" s="66" t="str">
        <f>IFERROR(VLOOKUP(A54,BUFFS!$H$5:$AF$195,19,),"")</f>
        <v/>
      </c>
      <c r="S54" s="69" t="str">
        <f t="shared" ref="S54:S104" si="4">IFERROR(SUM(Q54,ROUNDDOWN(MIN(B54,T$35)*R54,0)),"")</f>
        <v/>
      </c>
      <c r="T54" s="70" t="str">
        <f>IFERROR(VLOOKUP(A54,BUFFS!$H$5:$AF$195,20,),"")</f>
        <v/>
      </c>
    </row>
    <row r="55" spans="1:20" x14ac:dyDescent="0.35">
      <c r="A55" s="17"/>
      <c r="B55" s="80"/>
      <c r="C55" s="81"/>
      <c r="D55" s="31" t="str">
        <f>IFERROR(VLOOKUP(A55,BUFFS!$H$5:$AF$195,8,),"")</f>
        <v/>
      </c>
      <c r="E55" s="24" t="str">
        <f t="shared" si="2"/>
        <v/>
      </c>
      <c r="F55" s="65" t="str">
        <f>IFERROR(VLOOKUP(A55,BUFFS!$H$5:$AF$195,5,),"")</f>
        <v/>
      </c>
      <c r="G55" s="66" t="str">
        <f>IFERROR(VLOOKUP(A55,BUFFS!$H$5:$AF$195,6,),"")</f>
        <v/>
      </c>
      <c r="H55" s="67" t="str">
        <f>IFERROR(VLOOKUP(A55,BUFFS!$H$5:$AF$195,7,),"")</f>
        <v/>
      </c>
      <c r="I55" s="66" t="str">
        <f>IFERROR(VLOOKUP(A55,BUFFS!$H$5:$AF$195,9,),"")</f>
        <v/>
      </c>
      <c r="J55" s="65" t="str">
        <f>IFERROR(VLOOKUP(A55,BUFFS!$H$5:$AF$195,10,),"")</f>
        <v/>
      </c>
      <c r="K55" s="66" t="str">
        <f>IFERROR(VLOOKUP(A55,BUFFS!$H$5:$AF$195,11,),"")</f>
        <v/>
      </c>
      <c r="L55" s="66" t="str">
        <f>IFERROR(VLOOKUP(A55,BUFFS!$H$5:$AF$195,12,),"")</f>
        <v/>
      </c>
      <c r="M55" s="66" t="str">
        <f>IFERROR(VLOOKUP(A55,BUFFS!$H$5:$AF$195,14,),"")</f>
        <v/>
      </c>
      <c r="N55" s="68" t="str">
        <f t="shared" si="3"/>
        <v/>
      </c>
      <c r="O55" s="65" t="str">
        <f>IFERROR(VLOOKUP(A55,BUFFS!$H$5:$AF$195,15,),"")</f>
        <v/>
      </c>
      <c r="P55" s="66" t="str">
        <f>IFERROR(VLOOKUP(A55,BUFFS!$H$5:$AF$195,16,),"")</f>
        <v/>
      </c>
      <c r="Q55" s="66" t="str">
        <f>IFERROR(VLOOKUP(A55,BUFFS!$H$5:$AF$195,17,),"")</f>
        <v/>
      </c>
      <c r="R55" s="66" t="str">
        <f>IFERROR(VLOOKUP(A55,BUFFS!$H$5:$AF$195,19,),"")</f>
        <v/>
      </c>
      <c r="S55" s="69" t="str">
        <f t="shared" si="4"/>
        <v/>
      </c>
      <c r="T55" s="70" t="str">
        <f>IFERROR(VLOOKUP(A55,BUFFS!$H$5:$AF$195,20,),"")</f>
        <v/>
      </c>
    </row>
    <row r="56" spans="1:20" x14ac:dyDescent="0.35">
      <c r="A56" s="17"/>
      <c r="B56" s="80"/>
      <c r="C56" s="81"/>
      <c r="D56" s="31" t="str">
        <f>IFERROR(VLOOKUP(A56,BUFFS!$H$5:$AF$195,8,),"")</f>
        <v/>
      </c>
      <c r="E56" s="24" t="str">
        <f t="shared" si="2"/>
        <v/>
      </c>
      <c r="F56" s="65" t="str">
        <f>IFERROR(VLOOKUP(A56,BUFFS!$H$5:$AF$195,5,),"")</f>
        <v/>
      </c>
      <c r="G56" s="66" t="str">
        <f>IFERROR(VLOOKUP(A56,BUFFS!$H$5:$AF$195,6,),"")</f>
        <v/>
      </c>
      <c r="H56" s="67" t="str">
        <f>IFERROR(VLOOKUP(A56,BUFFS!$H$5:$AF$195,7,),"")</f>
        <v/>
      </c>
      <c r="I56" s="66" t="str">
        <f>IFERROR(VLOOKUP(A56,BUFFS!$H$5:$AF$195,9,),"")</f>
        <v/>
      </c>
      <c r="J56" s="65" t="str">
        <f>IFERROR(VLOOKUP(A56,BUFFS!$H$5:$AF$195,10,),"")</f>
        <v/>
      </c>
      <c r="K56" s="66" t="str">
        <f>IFERROR(VLOOKUP(A56,BUFFS!$H$5:$AF$195,11,),"")</f>
        <v/>
      </c>
      <c r="L56" s="66" t="str">
        <f>IFERROR(VLOOKUP(A56,BUFFS!$H$5:$AF$195,12,),"")</f>
        <v/>
      </c>
      <c r="M56" s="66" t="str">
        <f>IFERROR(VLOOKUP(A56,BUFFS!$H$5:$AF$195,14,),"")</f>
        <v/>
      </c>
      <c r="N56" s="68" t="str">
        <f t="shared" si="3"/>
        <v/>
      </c>
      <c r="O56" s="65" t="str">
        <f>IFERROR(VLOOKUP(A56,BUFFS!$H$5:$AF$195,15,),"")</f>
        <v/>
      </c>
      <c r="P56" s="66" t="str">
        <f>IFERROR(VLOOKUP(A56,BUFFS!$H$5:$AF$195,16,),"")</f>
        <v/>
      </c>
      <c r="Q56" s="66" t="str">
        <f>IFERROR(VLOOKUP(A56,BUFFS!$H$5:$AF$195,17,),"")</f>
        <v/>
      </c>
      <c r="R56" s="66" t="str">
        <f>IFERROR(VLOOKUP(A56,BUFFS!$H$5:$AF$195,19,),"")</f>
        <v/>
      </c>
      <c r="S56" s="69" t="str">
        <f t="shared" si="4"/>
        <v/>
      </c>
      <c r="T56" s="70" t="str">
        <f>IFERROR(VLOOKUP(A56,BUFFS!$H$5:$AF$195,20,),"")</f>
        <v/>
      </c>
    </row>
    <row r="57" spans="1:20" x14ac:dyDescent="0.35">
      <c r="A57" s="17"/>
      <c r="B57" s="80"/>
      <c r="C57" s="81"/>
      <c r="D57" s="31" t="str">
        <f>IFERROR(VLOOKUP(A57,BUFFS!$H$5:$AF$195,8,),"")</f>
        <v/>
      </c>
      <c r="E57" s="24" t="str">
        <f t="shared" si="2"/>
        <v/>
      </c>
      <c r="F57" s="65" t="str">
        <f>IFERROR(VLOOKUP(A57,BUFFS!$H$5:$AF$195,5,),"")</f>
        <v/>
      </c>
      <c r="G57" s="66" t="str">
        <f>IFERROR(VLOOKUP(A57,BUFFS!$H$5:$AF$195,6,),"")</f>
        <v/>
      </c>
      <c r="H57" s="67" t="str">
        <f>IFERROR(VLOOKUP(A57,BUFFS!$H$5:$AF$195,7,),"")</f>
        <v/>
      </c>
      <c r="I57" s="66" t="str">
        <f>IFERROR(VLOOKUP(A57,BUFFS!$H$5:$AF$195,9,),"")</f>
        <v/>
      </c>
      <c r="J57" s="65" t="str">
        <f>IFERROR(VLOOKUP(A57,BUFFS!$H$5:$AF$195,10,),"")</f>
        <v/>
      </c>
      <c r="K57" s="66" t="str">
        <f>IFERROR(VLOOKUP(A57,BUFFS!$H$5:$AF$195,11,),"")</f>
        <v/>
      </c>
      <c r="L57" s="66" t="str">
        <f>IFERROR(VLOOKUP(A57,BUFFS!$H$5:$AF$195,12,),"")</f>
        <v/>
      </c>
      <c r="M57" s="66" t="str">
        <f>IFERROR(VLOOKUP(A57,BUFFS!$H$5:$AF$195,14,),"")</f>
        <v/>
      </c>
      <c r="N57" s="68" t="str">
        <f t="shared" si="3"/>
        <v/>
      </c>
      <c r="O57" s="65" t="str">
        <f>IFERROR(VLOOKUP(A57,BUFFS!$H$5:$AF$195,15,),"")</f>
        <v/>
      </c>
      <c r="P57" s="66" t="str">
        <f>IFERROR(VLOOKUP(A57,BUFFS!$H$5:$AF$195,16,),"")</f>
        <v/>
      </c>
      <c r="Q57" s="66" t="str">
        <f>IFERROR(VLOOKUP(A57,BUFFS!$H$5:$AF$195,17,),"")</f>
        <v/>
      </c>
      <c r="R57" s="66" t="str">
        <f>IFERROR(VLOOKUP(A57,BUFFS!$H$5:$AF$195,19,),"")</f>
        <v/>
      </c>
      <c r="S57" s="69" t="str">
        <f t="shared" si="4"/>
        <v/>
      </c>
      <c r="T57" s="70" t="str">
        <f>IFERROR(VLOOKUP(A57,BUFFS!$H$5:$AF$195,20,),"")</f>
        <v/>
      </c>
    </row>
    <row r="58" spans="1:20" x14ac:dyDescent="0.35">
      <c r="A58" s="17"/>
      <c r="B58" s="80"/>
      <c r="C58" s="81"/>
      <c r="D58" s="31" t="str">
        <f>IFERROR(VLOOKUP(A58,BUFFS!$H$5:$AF$195,8,),"")</f>
        <v/>
      </c>
      <c r="E58" s="24" t="str">
        <f t="shared" si="2"/>
        <v/>
      </c>
      <c r="F58" s="65" t="str">
        <f>IFERROR(VLOOKUP(A58,BUFFS!$H$5:$AF$195,5,),"")</f>
        <v/>
      </c>
      <c r="G58" s="66" t="str">
        <f>IFERROR(VLOOKUP(A58,BUFFS!$H$5:$AF$195,6,),"")</f>
        <v/>
      </c>
      <c r="H58" s="67" t="str">
        <f>IFERROR(VLOOKUP(A58,BUFFS!$H$5:$AF$195,7,),"")</f>
        <v/>
      </c>
      <c r="I58" s="66" t="str">
        <f>IFERROR(VLOOKUP(A58,BUFFS!$H$5:$AF$195,9,),"")</f>
        <v/>
      </c>
      <c r="J58" s="65" t="str">
        <f>IFERROR(VLOOKUP(A58,BUFFS!$H$5:$AF$195,10,),"")</f>
        <v/>
      </c>
      <c r="K58" s="66" t="str">
        <f>IFERROR(VLOOKUP(A58,BUFFS!$H$5:$AF$195,11,),"")</f>
        <v/>
      </c>
      <c r="L58" s="66" t="str">
        <f>IFERROR(VLOOKUP(A58,BUFFS!$H$5:$AF$195,12,),"")</f>
        <v/>
      </c>
      <c r="M58" s="66" t="str">
        <f>IFERROR(VLOOKUP(A58,BUFFS!$H$5:$AF$195,14,),"")</f>
        <v/>
      </c>
      <c r="N58" s="68" t="str">
        <f t="shared" si="3"/>
        <v/>
      </c>
      <c r="O58" s="65" t="str">
        <f>IFERROR(VLOOKUP(A58,BUFFS!$H$5:$AF$195,15,),"")</f>
        <v/>
      </c>
      <c r="P58" s="66" t="str">
        <f>IFERROR(VLOOKUP(A58,BUFFS!$H$5:$AF$195,16,),"")</f>
        <v/>
      </c>
      <c r="Q58" s="66" t="str">
        <f>IFERROR(VLOOKUP(A58,BUFFS!$H$5:$AF$195,17,),"")</f>
        <v/>
      </c>
      <c r="R58" s="66" t="str">
        <f>IFERROR(VLOOKUP(A58,BUFFS!$H$5:$AF$195,19,),"")</f>
        <v/>
      </c>
      <c r="S58" s="69" t="str">
        <f t="shared" si="4"/>
        <v/>
      </c>
      <c r="T58" s="70" t="str">
        <f>IFERROR(VLOOKUP(A58,BUFFS!$H$5:$AF$195,20,),"")</f>
        <v/>
      </c>
    </row>
    <row r="59" spans="1:20" x14ac:dyDescent="0.35">
      <c r="A59" s="17"/>
      <c r="B59" s="80"/>
      <c r="C59" s="81"/>
      <c r="D59" s="31" t="str">
        <f>IFERROR(VLOOKUP(A59,BUFFS!$H$5:$AF$195,8,),"")</f>
        <v/>
      </c>
      <c r="E59" s="24" t="str">
        <f t="shared" si="2"/>
        <v/>
      </c>
      <c r="F59" s="65" t="str">
        <f>IFERROR(VLOOKUP(A59,BUFFS!$H$5:$AF$195,5,),"")</f>
        <v/>
      </c>
      <c r="G59" s="66" t="str">
        <f>IFERROR(VLOOKUP(A59,BUFFS!$H$5:$AF$195,6,),"")</f>
        <v/>
      </c>
      <c r="H59" s="67" t="str">
        <f>IFERROR(VLOOKUP(A59,BUFFS!$H$5:$AF$195,7,),"")</f>
        <v/>
      </c>
      <c r="I59" s="66" t="str">
        <f>IFERROR(VLOOKUP(A59,BUFFS!$H$5:$AF$195,9,),"")</f>
        <v/>
      </c>
      <c r="J59" s="65" t="str">
        <f>IFERROR(VLOOKUP(A59,BUFFS!$H$5:$AF$195,10,),"")</f>
        <v/>
      </c>
      <c r="K59" s="66" t="str">
        <f>IFERROR(VLOOKUP(A59,BUFFS!$H$5:$AF$195,11,),"")</f>
        <v/>
      </c>
      <c r="L59" s="66" t="str">
        <f>IFERROR(VLOOKUP(A59,BUFFS!$H$5:$AF$195,12,),"")</f>
        <v/>
      </c>
      <c r="M59" s="66" t="str">
        <f>IFERROR(VLOOKUP(A59,BUFFS!$H$5:$AF$195,14,),"")</f>
        <v/>
      </c>
      <c r="N59" s="68" t="str">
        <f t="shared" si="3"/>
        <v/>
      </c>
      <c r="O59" s="65" t="str">
        <f>IFERROR(VLOOKUP(A59,BUFFS!$H$5:$AF$195,15,),"")</f>
        <v/>
      </c>
      <c r="P59" s="66" t="str">
        <f>IFERROR(VLOOKUP(A59,BUFFS!$H$5:$AF$195,16,),"")</f>
        <v/>
      </c>
      <c r="Q59" s="66" t="str">
        <f>IFERROR(VLOOKUP(A59,BUFFS!$H$5:$AF$195,17,),"")</f>
        <v/>
      </c>
      <c r="R59" s="66" t="str">
        <f>IFERROR(VLOOKUP(A59,BUFFS!$H$5:$AF$195,19,),"")</f>
        <v/>
      </c>
      <c r="S59" s="69" t="str">
        <f t="shared" si="4"/>
        <v/>
      </c>
      <c r="T59" s="70" t="str">
        <f>IFERROR(VLOOKUP(A59,BUFFS!$H$5:$AF$195,20,),"")</f>
        <v/>
      </c>
    </row>
    <row r="60" spans="1:20" x14ac:dyDescent="0.35">
      <c r="A60" s="17"/>
      <c r="B60" s="80"/>
      <c r="C60" s="81"/>
      <c r="D60" s="31" t="str">
        <f>IFERROR(VLOOKUP(A60,BUFFS!$H$5:$AF$195,8,),"")</f>
        <v/>
      </c>
      <c r="E60" s="24" t="str">
        <f t="shared" si="2"/>
        <v/>
      </c>
      <c r="F60" s="65" t="str">
        <f>IFERROR(VLOOKUP(A60,BUFFS!$H$5:$AF$195,5,),"")</f>
        <v/>
      </c>
      <c r="G60" s="66" t="str">
        <f>IFERROR(VLOOKUP(A60,BUFFS!$H$5:$AF$195,6,),"")</f>
        <v/>
      </c>
      <c r="H60" s="67" t="str">
        <f>IFERROR(VLOOKUP(A60,BUFFS!$H$5:$AF$195,7,),"")</f>
        <v/>
      </c>
      <c r="I60" s="66" t="str">
        <f>IFERROR(VLOOKUP(A60,BUFFS!$H$5:$AF$195,9,),"")</f>
        <v/>
      </c>
      <c r="J60" s="65" t="str">
        <f>IFERROR(VLOOKUP(A60,BUFFS!$H$5:$AF$195,10,),"")</f>
        <v/>
      </c>
      <c r="K60" s="66" t="str">
        <f>IFERROR(VLOOKUP(A60,BUFFS!$H$5:$AF$195,11,),"")</f>
        <v/>
      </c>
      <c r="L60" s="66" t="str">
        <f>IFERROR(VLOOKUP(A60,BUFFS!$H$5:$AF$195,12,),"")</f>
        <v/>
      </c>
      <c r="M60" s="66" t="str">
        <f>IFERROR(VLOOKUP(A60,BUFFS!$H$5:$AF$195,14,),"")</f>
        <v/>
      </c>
      <c r="N60" s="68" t="str">
        <f t="shared" si="3"/>
        <v/>
      </c>
      <c r="O60" s="65" t="str">
        <f>IFERROR(VLOOKUP(A60,BUFFS!$H$5:$AF$195,15,),"")</f>
        <v/>
      </c>
      <c r="P60" s="66" t="str">
        <f>IFERROR(VLOOKUP(A60,BUFFS!$H$5:$AF$195,16,),"")</f>
        <v/>
      </c>
      <c r="Q60" s="66" t="str">
        <f>IFERROR(VLOOKUP(A60,BUFFS!$H$5:$AF$195,17,),"")</f>
        <v/>
      </c>
      <c r="R60" s="66" t="str">
        <f>IFERROR(VLOOKUP(A60,BUFFS!$H$5:$AF$195,19,),"")</f>
        <v/>
      </c>
      <c r="S60" s="69" t="str">
        <f t="shared" si="4"/>
        <v/>
      </c>
      <c r="T60" s="70" t="str">
        <f>IFERROR(VLOOKUP(A60,BUFFS!$H$5:$AF$195,20,),"")</f>
        <v/>
      </c>
    </row>
    <row r="61" spans="1:20" x14ac:dyDescent="0.35">
      <c r="A61" s="17"/>
      <c r="B61" s="80"/>
      <c r="C61" s="81"/>
      <c r="D61" s="31" t="str">
        <f>IFERROR(VLOOKUP(A61,BUFFS!$H$5:$AF$195,8,),"")</f>
        <v/>
      </c>
      <c r="E61" s="24" t="str">
        <f t="shared" si="2"/>
        <v/>
      </c>
      <c r="F61" s="65" t="str">
        <f>IFERROR(VLOOKUP(A61,BUFFS!$H$5:$AF$195,5,),"")</f>
        <v/>
      </c>
      <c r="G61" s="66" t="str">
        <f>IFERROR(VLOOKUP(A61,BUFFS!$H$5:$AF$195,6,),"")</f>
        <v/>
      </c>
      <c r="H61" s="67" t="str">
        <f>IFERROR(VLOOKUP(A61,BUFFS!$H$5:$AF$195,7,),"")</f>
        <v/>
      </c>
      <c r="I61" s="66" t="str">
        <f>IFERROR(VLOOKUP(A61,BUFFS!$H$5:$AF$195,9,),"")</f>
        <v/>
      </c>
      <c r="J61" s="65" t="str">
        <f>IFERROR(VLOOKUP(A61,BUFFS!$H$5:$AF$195,10,),"")</f>
        <v/>
      </c>
      <c r="K61" s="66" t="str">
        <f>IFERROR(VLOOKUP(A61,BUFFS!$H$5:$AF$195,11,),"")</f>
        <v/>
      </c>
      <c r="L61" s="66" t="str">
        <f>IFERROR(VLOOKUP(A61,BUFFS!$H$5:$AF$195,12,),"")</f>
        <v/>
      </c>
      <c r="M61" s="66" t="str">
        <f>IFERROR(VLOOKUP(A61,BUFFS!$H$5:$AF$195,14,),"")</f>
        <v/>
      </c>
      <c r="N61" s="68" t="str">
        <f t="shared" si="3"/>
        <v/>
      </c>
      <c r="O61" s="65" t="str">
        <f>IFERROR(VLOOKUP(A61,BUFFS!$H$5:$AF$195,15,),"")</f>
        <v/>
      </c>
      <c r="P61" s="66" t="str">
        <f>IFERROR(VLOOKUP(A61,BUFFS!$H$5:$AF$195,16,),"")</f>
        <v/>
      </c>
      <c r="Q61" s="66" t="str">
        <f>IFERROR(VLOOKUP(A61,BUFFS!$H$5:$AF$195,17,),"")</f>
        <v/>
      </c>
      <c r="R61" s="66" t="str">
        <f>IFERROR(VLOOKUP(A61,BUFFS!$H$5:$AF$195,19,),"")</f>
        <v/>
      </c>
      <c r="S61" s="69" t="str">
        <f t="shared" si="4"/>
        <v/>
      </c>
      <c r="T61" s="70" t="str">
        <f>IFERROR(VLOOKUP(A61,BUFFS!$H$5:$AF$195,20,),"")</f>
        <v/>
      </c>
    </row>
    <row r="62" spans="1:20" x14ac:dyDescent="0.35">
      <c r="A62" s="17"/>
      <c r="B62" s="80"/>
      <c r="C62" s="81"/>
      <c r="D62" s="31" t="str">
        <f>IFERROR(VLOOKUP(A62,BUFFS!$H$5:$AF$195,8,),"")</f>
        <v/>
      </c>
      <c r="E62" s="24" t="str">
        <f t="shared" si="2"/>
        <v/>
      </c>
      <c r="F62" s="65" t="str">
        <f>IFERROR(VLOOKUP(A62,BUFFS!$H$5:$AF$195,5,),"")</f>
        <v/>
      </c>
      <c r="G62" s="66" t="str">
        <f>IFERROR(VLOOKUP(A62,BUFFS!$H$5:$AF$195,6,),"")</f>
        <v/>
      </c>
      <c r="H62" s="67" t="str">
        <f>IFERROR(VLOOKUP(A62,BUFFS!$H$5:$AF$195,7,),"")</f>
        <v/>
      </c>
      <c r="I62" s="66" t="str">
        <f>IFERROR(VLOOKUP(A62,BUFFS!$H$5:$AF$195,9,),"")</f>
        <v/>
      </c>
      <c r="J62" s="65" t="str">
        <f>IFERROR(VLOOKUP(A62,BUFFS!$H$5:$AF$195,10,),"")</f>
        <v/>
      </c>
      <c r="K62" s="66" t="str">
        <f>IFERROR(VLOOKUP(A62,BUFFS!$H$5:$AF$195,11,),"")</f>
        <v/>
      </c>
      <c r="L62" s="66" t="str">
        <f>IFERROR(VLOOKUP(A62,BUFFS!$H$5:$AF$195,12,),"")</f>
        <v/>
      </c>
      <c r="M62" s="66" t="str">
        <f>IFERROR(VLOOKUP(A62,BUFFS!$H$5:$AF$195,14,),"")</f>
        <v/>
      </c>
      <c r="N62" s="68" t="str">
        <f t="shared" si="3"/>
        <v/>
      </c>
      <c r="O62" s="65" t="str">
        <f>IFERROR(VLOOKUP(A62,BUFFS!$H$5:$AF$195,15,),"")</f>
        <v/>
      </c>
      <c r="P62" s="66" t="str">
        <f>IFERROR(VLOOKUP(A62,BUFFS!$H$5:$AF$195,16,),"")</f>
        <v/>
      </c>
      <c r="Q62" s="66" t="str">
        <f>IFERROR(VLOOKUP(A62,BUFFS!$H$5:$AF$195,17,),"")</f>
        <v/>
      </c>
      <c r="R62" s="66" t="str">
        <f>IFERROR(VLOOKUP(A62,BUFFS!$H$5:$AF$195,19,),"")</f>
        <v/>
      </c>
      <c r="S62" s="69" t="str">
        <f t="shared" si="4"/>
        <v/>
      </c>
      <c r="T62" s="70" t="str">
        <f>IFERROR(VLOOKUP(A62,BUFFS!$H$5:$AF$195,20,),"")</f>
        <v/>
      </c>
    </row>
    <row r="63" spans="1:20" x14ac:dyDescent="0.35">
      <c r="A63" s="17"/>
      <c r="B63" s="80"/>
      <c r="C63" s="81"/>
      <c r="D63" s="31" t="str">
        <f>IFERROR(VLOOKUP(A63,BUFFS!$H$5:$AF$195,8,),"")</f>
        <v/>
      </c>
      <c r="E63" s="24" t="str">
        <f t="shared" si="2"/>
        <v/>
      </c>
      <c r="F63" s="65" t="str">
        <f>IFERROR(VLOOKUP(A63,BUFFS!$H$5:$AF$195,5,),"")</f>
        <v/>
      </c>
      <c r="G63" s="66" t="str">
        <f>IFERROR(VLOOKUP(A63,BUFFS!$H$5:$AF$195,6,),"")</f>
        <v/>
      </c>
      <c r="H63" s="67" t="str">
        <f>IFERROR(VLOOKUP(A63,BUFFS!$H$5:$AF$195,7,),"")</f>
        <v/>
      </c>
      <c r="I63" s="66" t="str">
        <f>IFERROR(VLOOKUP(A63,BUFFS!$H$5:$AF$195,9,),"")</f>
        <v/>
      </c>
      <c r="J63" s="65" t="str">
        <f>IFERROR(VLOOKUP(A63,BUFFS!$H$5:$AF$195,10,),"")</f>
        <v/>
      </c>
      <c r="K63" s="66" t="str">
        <f>IFERROR(VLOOKUP(A63,BUFFS!$H$5:$AF$195,11,),"")</f>
        <v/>
      </c>
      <c r="L63" s="66" t="str">
        <f>IFERROR(VLOOKUP(A63,BUFFS!$H$5:$AF$195,12,),"")</f>
        <v/>
      </c>
      <c r="M63" s="66" t="str">
        <f>IFERROR(VLOOKUP(A63,BUFFS!$H$5:$AF$195,14,),"")</f>
        <v/>
      </c>
      <c r="N63" s="68" t="str">
        <f t="shared" si="3"/>
        <v/>
      </c>
      <c r="O63" s="65" t="str">
        <f>IFERROR(VLOOKUP(A63,BUFFS!$H$5:$AF$195,15,),"")</f>
        <v/>
      </c>
      <c r="P63" s="66" t="str">
        <f>IFERROR(VLOOKUP(A63,BUFFS!$H$5:$AF$195,16,),"")</f>
        <v/>
      </c>
      <c r="Q63" s="66" t="str">
        <f>IFERROR(VLOOKUP(A63,BUFFS!$H$5:$AF$195,17,),"")</f>
        <v/>
      </c>
      <c r="R63" s="66" t="str">
        <f>IFERROR(VLOOKUP(A63,BUFFS!$H$5:$AF$195,19,),"")</f>
        <v/>
      </c>
      <c r="S63" s="69" t="str">
        <f t="shared" si="4"/>
        <v/>
      </c>
      <c r="T63" s="70" t="str">
        <f>IFERROR(VLOOKUP(A63,BUFFS!$H$5:$AF$195,20,),"")</f>
        <v/>
      </c>
    </row>
    <row r="64" spans="1:20" x14ac:dyDescent="0.35">
      <c r="A64" s="17"/>
      <c r="B64" s="80"/>
      <c r="C64" s="81"/>
      <c r="D64" s="31" t="str">
        <f>IFERROR(VLOOKUP(A64,BUFFS!$H$5:$AF$195,8,),"")</f>
        <v/>
      </c>
      <c r="E64" s="24" t="str">
        <f t="shared" si="2"/>
        <v/>
      </c>
      <c r="F64" s="65" t="str">
        <f>IFERROR(VLOOKUP(A64,BUFFS!$H$5:$AF$195,5,),"")</f>
        <v/>
      </c>
      <c r="G64" s="66" t="str">
        <f>IFERROR(VLOOKUP(A64,BUFFS!$H$5:$AF$195,6,),"")</f>
        <v/>
      </c>
      <c r="H64" s="67" t="str">
        <f>IFERROR(VLOOKUP(A64,BUFFS!$H$5:$AF$195,7,),"")</f>
        <v/>
      </c>
      <c r="I64" s="66" t="str">
        <f>IFERROR(VLOOKUP(A64,BUFFS!$H$5:$AF$195,9,),"")</f>
        <v/>
      </c>
      <c r="J64" s="65" t="str">
        <f>IFERROR(VLOOKUP(A64,BUFFS!$H$5:$AF$195,10,),"")</f>
        <v/>
      </c>
      <c r="K64" s="66" t="str">
        <f>IFERROR(VLOOKUP(A64,BUFFS!$H$5:$AF$195,11,),"")</f>
        <v/>
      </c>
      <c r="L64" s="66" t="str">
        <f>IFERROR(VLOOKUP(A64,BUFFS!$H$5:$AF$195,12,),"")</f>
        <v/>
      </c>
      <c r="M64" s="66" t="str">
        <f>IFERROR(VLOOKUP(A64,BUFFS!$H$5:$AF$195,14,),"")</f>
        <v/>
      </c>
      <c r="N64" s="68" t="str">
        <f t="shared" si="3"/>
        <v/>
      </c>
      <c r="O64" s="65" t="str">
        <f>IFERROR(VLOOKUP(A64,BUFFS!$H$5:$AF$195,15,),"")</f>
        <v/>
      </c>
      <c r="P64" s="66" t="str">
        <f>IFERROR(VLOOKUP(A64,BUFFS!$H$5:$AF$195,16,),"")</f>
        <v/>
      </c>
      <c r="Q64" s="66" t="str">
        <f>IFERROR(VLOOKUP(A64,BUFFS!$H$5:$AF$195,17,),"")</f>
        <v/>
      </c>
      <c r="R64" s="66" t="str">
        <f>IFERROR(VLOOKUP(A64,BUFFS!$H$5:$AF$195,19,),"")</f>
        <v/>
      </c>
      <c r="S64" s="69" t="str">
        <f t="shared" si="4"/>
        <v/>
      </c>
      <c r="T64" s="70" t="str">
        <f>IFERROR(VLOOKUP(A64,BUFFS!$H$5:$AF$195,20,),"")</f>
        <v/>
      </c>
    </row>
    <row r="65" spans="1:20" x14ac:dyDescent="0.35">
      <c r="A65" s="17"/>
      <c r="B65" s="80"/>
      <c r="C65" s="81"/>
      <c r="D65" s="31" t="str">
        <f>IFERROR(VLOOKUP(A65,BUFFS!$H$5:$AF$195,8,),"")</f>
        <v/>
      </c>
      <c r="E65" s="24" t="str">
        <f t="shared" si="2"/>
        <v/>
      </c>
      <c r="F65" s="65" t="str">
        <f>IFERROR(VLOOKUP(A65,BUFFS!$H$5:$AF$195,5,),"")</f>
        <v/>
      </c>
      <c r="G65" s="66" t="str">
        <f>IFERROR(VLOOKUP(A65,BUFFS!$H$5:$AF$195,6,),"")</f>
        <v/>
      </c>
      <c r="H65" s="67" t="str">
        <f>IFERROR(VLOOKUP(A65,BUFFS!$H$5:$AF$195,7,),"")</f>
        <v/>
      </c>
      <c r="I65" s="66" t="str">
        <f>IFERROR(VLOOKUP(A65,BUFFS!$H$5:$AF$195,9,),"")</f>
        <v/>
      </c>
      <c r="J65" s="65" t="str">
        <f>IFERROR(VLOOKUP(A65,BUFFS!$H$5:$AF$195,10,),"")</f>
        <v/>
      </c>
      <c r="K65" s="66" t="str">
        <f>IFERROR(VLOOKUP(A65,BUFFS!$H$5:$AF$195,11,),"")</f>
        <v/>
      </c>
      <c r="L65" s="66" t="str">
        <f>IFERROR(VLOOKUP(A65,BUFFS!$H$5:$AF$195,12,),"")</f>
        <v/>
      </c>
      <c r="M65" s="66" t="str">
        <f>IFERROR(VLOOKUP(A65,BUFFS!$H$5:$AF$195,14,),"")</f>
        <v/>
      </c>
      <c r="N65" s="68" t="str">
        <f t="shared" si="3"/>
        <v/>
      </c>
      <c r="O65" s="65" t="str">
        <f>IFERROR(VLOOKUP(A65,BUFFS!$H$5:$AF$195,15,),"")</f>
        <v/>
      </c>
      <c r="P65" s="66" t="str">
        <f>IFERROR(VLOOKUP(A65,BUFFS!$H$5:$AF$195,16,),"")</f>
        <v/>
      </c>
      <c r="Q65" s="66" t="str">
        <f>IFERROR(VLOOKUP(A65,BUFFS!$H$5:$AF$195,17,),"")</f>
        <v/>
      </c>
      <c r="R65" s="66" t="str">
        <f>IFERROR(VLOOKUP(A65,BUFFS!$H$5:$AF$195,19,),"")</f>
        <v/>
      </c>
      <c r="S65" s="69" t="str">
        <f t="shared" si="4"/>
        <v/>
      </c>
      <c r="T65" s="70" t="str">
        <f>IFERROR(VLOOKUP(A65,BUFFS!$H$5:$AF$195,20,),"")</f>
        <v/>
      </c>
    </row>
    <row r="66" spans="1:20" x14ac:dyDescent="0.35">
      <c r="A66" s="17"/>
      <c r="B66" s="80"/>
      <c r="C66" s="81"/>
      <c r="D66" s="31" t="str">
        <f>IFERROR(VLOOKUP(A66,BUFFS!$H$5:$AF$195,8,),"")</f>
        <v/>
      </c>
      <c r="E66" s="24" t="str">
        <f t="shared" si="2"/>
        <v/>
      </c>
      <c r="F66" s="65" t="str">
        <f>IFERROR(VLOOKUP(A66,BUFFS!$H$5:$AF$195,5,),"")</f>
        <v/>
      </c>
      <c r="G66" s="66" t="str">
        <f>IFERROR(VLOOKUP(A66,BUFFS!$H$5:$AF$195,6,),"")</f>
        <v/>
      </c>
      <c r="H66" s="67" t="str">
        <f>IFERROR(VLOOKUP(A66,BUFFS!$H$5:$AF$195,7,),"")</f>
        <v/>
      </c>
      <c r="I66" s="66" t="str">
        <f>IFERROR(VLOOKUP(A66,BUFFS!$H$5:$AF$195,9,),"")</f>
        <v/>
      </c>
      <c r="J66" s="65" t="str">
        <f>IFERROR(VLOOKUP(A66,BUFFS!$H$5:$AF$195,10,),"")</f>
        <v/>
      </c>
      <c r="K66" s="66" t="str">
        <f>IFERROR(VLOOKUP(A66,BUFFS!$H$5:$AF$195,11,),"")</f>
        <v/>
      </c>
      <c r="L66" s="66" t="str">
        <f>IFERROR(VLOOKUP(A66,BUFFS!$H$5:$AF$195,12,),"")</f>
        <v/>
      </c>
      <c r="M66" s="66" t="str">
        <f>IFERROR(VLOOKUP(A66,BUFFS!$H$5:$AF$195,14,),"")</f>
        <v/>
      </c>
      <c r="N66" s="68" t="str">
        <f t="shared" si="3"/>
        <v/>
      </c>
      <c r="O66" s="65" t="str">
        <f>IFERROR(VLOOKUP(A66,BUFFS!$H$5:$AF$195,15,),"")</f>
        <v/>
      </c>
      <c r="P66" s="66" t="str">
        <f>IFERROR(VLOOKUP(A66,BUFFS!$H$5:$AF$195,16,),"")</f>
        <v/>
      </c>
      <c r="Q66" s="66" t="str">
        <f>IFERROR(VLOOKUP(A66,BUFFS!$H$5:$AF$195,17,),"")</f>
        <v/>
      </c>
      <c r="R66" s="66" t="str">
        <f>IFERROR(VLOOKUP(A66,BUFFS!$H$5:$AF$195,19,),"")</f>
        <v/>
      </c>
      <c r="S66" s="69" t="str">
        <f t="shared" si="4"/>
        <v/>
      </c>
      <c r="T66" s="70" t="str">
        <f>IFERROR(VLOOKUP(A66,BUFFS!$H$5:$AF$195,20,),"")</f>
        <v/>
      </c>
    </row>
    <row r="67" spans="1:20" x14ac:dyDescent="0.35">
      <c r="A67" s="17"/>
      <c r="B67" s="80"/>
      <c r="C67" s="81"/>
      <c r="D67" s="31" t="str">
        <f>IFERROR(VLOOKUP(A67,BUFFS!$H$5:$AF$195,8,),"")</f>
        <v/>
      </c>
      <c r="E67" s="24" t="str">
        <f t="shared" si="2"/>
        <v/>
      </c>
      <c r="F67" s="65" t="str">
        <f>IFERROR(VLOOKUP(A67,BUFFS!$H$5:$AF$195,5,),"")</f>
        <v/>
      </c>
      <c r="G67" s="66" t="str">
        <f>IFERROR(VLOOKUP(A67,BUFFS!$H$5:$AF$195,6,),"")</f>
        <v/>
      </c>
      <c r="H67" s="67" t="str">
        <f>IFERROR(VLOOKUP(A67,BUFFS!$H$5:$AF$195,7,),"")</f>
        <v/>
      </c>
      <c r="I67" s="66" t="str">
        <f>IFERROR(VLOOKUP(A67,BUFFS!$H$5:$AF$195,9,),"")</f>
        <v/>
      </c>
      <c r="J67" s="65" t="str">
        <f>IFERROR(VLOOKUP(A67,BUFFS!$H$5:$AF$195,10,),"")</f>
        <v/>
      </c>
      <c r="K67" s="66" t="str">
        <f>IFERROR(VLOOKUP(A67,BUFFS!$H$5:$AF$195,11,),"")</f>
        <v/>
      </c>
      <c r="L67" s="66" t="str">
        <f>IFERROR(VLOOKUP(A67,BUFFS!$H$5:$AF$195,12,),"")</f>
        <v/>
      </c>
      <c r="M67" s="66" t="str">
        <f>IFERROR(VLOOKUP(A67,BUFFS!$H$5:$AF$195,14,),"")</f>
        <v/>
      </c>
      <c r="N67" s="68" t="str">
        <f t="shared" si="3"/>
        <v/>
      </c>
      <c r="O67" s="65" t="str">
        <f>IFERROR(VLOOKUP(A67,BUFFS!$H$5:$AF$195,15,),"")</f>
        <v/>
      </c>
      <c r="P67" s="66" t="str">
        <f>IFERROR(VLOOKUP(A67,BUFFS!$H$5:$AF$195,16,),"")</f>
        <v/>
      </c>
      <c r="Q67" s="66" t="str">
        <f>IFERROR(VLOOKUP(A67,BUFFS!$H$5:$AF$195,17,),"")</f>
        <v/>
      </c>
      <c r="R67" s="66" t="str">
        <f>IFERROR(VLOOKUP(A67,BUFFS!$H$5:$AF$195,19,),"")</f>
        <v/>
      </c>
      <c r="S67" s="69" t="str">
        <f t="shared" si="4"/>
        <v/>
      </c>
      <c r="T67" s="70" t="str">
        <f>IFERROR(VLOOKUP(A67,BUFFS!$H$5:$AF$195,20,),"")</f>
        <v/>
      </c>
    </row>
    <row r="68" spans="1:20" x14ac:dyDescent="0.35">
      <c r="A68" s="17"/>
      <c r="B68" s="80"/>
      <c r="C68" s="81"/>
      <c r="D68" s="31" t="str">
        <f>IFERROR(VLOOKUP(A68,BUFFS!$H$5:$AF$195,8,),"")</f>
        <v/>
      </c>
      <c r="E68" s="24" t="str">
        <f t="shared" si="2"/>
        <v/>
      </c>
      <c r="F68" s="65" t="str">
        <f>IFERROR(VLOOKUP(A68,BUFFS!$H$5:$AF$195,5,),"")</f>
        <v/>
      </c>
      <c r="G68" s="66" t="str">
        <f>IFERROR(VLOOKUP(A68,BUFFS!$H$5:$AF$195,6,),"")</f>
        <v/>
      </c>
      <c r="H68" s="67" t="str">
        <f>IFERROR(VLOOKUP(A68,BUFFS!$H$5:$AF$195,7,),"")</f>
        <v/>
      </c>
      <c r="I68" s="66" t="str">
        <f>IFERROR(VLOOKUP(A68,BUFFS!$H$5:$AF$195,9,),"")</f>
        <v/>
      </c>
      <c r="J68" s="65" t="str">
        <f>IFERROR(VLOOKUP(A68,BUFFS!$H$5:$AF$195,10,),"")</f>
        <v/>
      </c>
      <c r="K68" s="66" t="str">
        <f>IFERROR(VLOOKUP(A68,BUFFS!$H$5:$AF$195,11,),"")</f>
        <v/>
      </c>
      <c r="L68" s="66" t="str">
        <f>IFERROR(VLOOKUP(A68,BUFFS!$H$5:$AF$195,12,),"")</f>
        <v/>
      </c>
      <c r="M68" s="66" t="str">
        <f>IFERROR(VLOOKUP(A68,BUFFS!$H$5:$AF$195,14,),"")</f>
        <v/>
      </c>
      <c r="N68" s="68" t="str">
        <f t="shared" si="3"/>
        <v/>
      </c>
      <c r="O68" s="65" t="str">
        <f>IFERROR(VLOOKUP(A68,BUFFS!$H$5:$AF$195,15,),"")</f>
        <v/>
      </c>
      <c r="P68" s="66" t="str">
        <f>IFERROR(VLOOKUP(A68,BUFFS!$H$5:$AF$195,16,),"")</f>
        <v/>
      </c>
      <c r="Q68" s="66" t="str">
        <f>IFERROR(VLOOKUP(A68,BUFFS!$H$5:$AF$195,17,),"")</f>
        <v/>
      </c>
      <c r="R68" s="66" t="str">
        <f>IFERROR(VLOOKUP(A68,BUFFS!$H$5:$AF$195,19,),"")</f>
        <v/>
      </c>
      <c r="S68" s="69" t="str">
        <f t="shared" si="4"/>
        <v/>
      </c>
      <c r="T68" s="70" t="str">
        <f>IFERROR(VLOOKUP(A68,BUFFS!$H$5:$AF$195,20,),"")</f>
        <v/>
      </c>
    </row>
    <row r="69" spans="1:20" x14ac:dyDescent="0.35">
      <c r="A69" s="17"/>
      <c r="B69" s="80"/>
      <c r="C69" s="81"/>
      <c r="D69" s="31" t="str">
        <f>IFERROR(VLOOKUP(A69,BUFFS!$H$5:$AF$195,8,),"")</f>
        <v/>
      </c>
      <c r="E69" s="24" t="str">
        <f t="shared" si="2"/>
        <v/>
      </c>
      <c r="F69" s="65" t="str">
        <f>IFERROR(VLOOKUP(A69,BUFFS!$H$5:$AF$195,5,),"")</f>
        <v/>
      </c>
      <c r="G69" s="66" t="str">
        <f>IFERROR(VLOOKUP(A69,BUFFS!$H$5:$AF$195,6,),"")</f>
        <v/>
      </c>
      <c r="H69" s="67" t="str">
        <f>IFERROR(VLOOKUP(A69,BUFFS!$H$5:$AF$195,7,),"")</f>
        <v/>
      </c>
      <c r="I69" s="66" t="str">
        <f>IFERROR(VLOOKUP(A69,BUFFS!$H$5:$AF$195,9,),"")</f>
        <v/>
      </c>
      <c r="J69" s="65" t="str">
        <f>IFERROR(VLOOKUP(A69,BUFFS!$H$5:$AF$195,10,),"")</f>
        <v/>
      </c>
      <c r="K69" s="66" t="str">
        <f>IFERROR(VLOOKUP(A69,BUFFS!$H$5:$AF$195,11,),"")</f>
        <v/>
      </c>
      <c r="L69" s="66" t="str">
        <f>IFERROR(VLOOKUP(A69,BUFFS!$H$5:$AF$195,12,),"")</f>
        <v/>
      </c>
      <c r="M69" s="66" t="str">
        <f>IFERROR(VLOOKUP(A69,BUFFS!$H$5:$AF$195,14,),"")</f>
        <v/>
      </c>
      <c r="N69" s="68" t="str">
        <f t="shared" si="3"/>
        <v/>
      </c>
      <c r="O69" s="65" t="str">
        <f>IFERROR(VLOOKUP(A69,BUFFS!$H$5:$AF$195,15,),"")</f>
        <v/>
      </c>
      <c r="P69" s="66" t="str">
        <f>IFERROR(VLOOKUP(A69,BUFFS!$H$5:$AF$195,16,),"")</f>
        <v/>
      </c>
      <c r="Q69" s="66" t="str">
        <f>IFERROR(VLOOKUP(A69,BUFFS!$H$5:$AF$195,17,),"")</f>
        <v/>
      </c>
      <c r="R69" s="66" t="str">
        <f>IFERROR(VLOOKUP(A69,BUFFS!$H$5:$AF$195,19,),"")</f>
        <v/>
      </c>
      <c r="S69" s="69" t="str">
        <f t="shared" si="4"/>
        <v/>
      </c>
      <c r="T69" s="70" t="str">
        <f>IFERROR(VLOOKUP(A69,BUFFS!$H$5:$AF$195,20,),"")</f>
        <v/>
      </c>
    </row>
    <row r="70" spans="1:20" x14ac:dyDescent="0.35">
      <c r="A70" s="17"/>
      <c r="B70" s="80"/>
      <c r="C70" s="81"/>
      <c r="D70" s="31" t="str">
        <f>IFERROR(VLOOKUP(A70,BUFFS!$H$5:$AF$195,8,),"")</f>
        <v/>
      </c>
      <c r="E70" s="24" t="str">
        <f t="shared" si="2"/>
        <v/>
      </c>
      <c r="F70" s="65" t="str">
        <f>IFERROR(VLOOKUP(A70,BUFFS!$H$5:$AF$195,5,),"")</f>
        <v/>
      </c>
      <c r="G70" s="66" t="str">
        <f>IFERROR(VLOOKUP(A70,BUFFS!$H$5:$AF$195,6,),"")</f>
        <v/>
      </c>
      <c r="H70" s="67" t="str">
        <f>IFERROR(VLOOKUP(A70,BUFFS!$H$5:$AF$195,7,),"")</f>
        <v/>
      </c>
      <c r="I70" s="66" t="str">
        <f>IFERROR(VLOOKUP(A70,BUFFS!$H$5:$AF$195,9,),"")</f>
        <v/>
      </c>
      <c r="J70" s="65" t="str">
        <f>IFERROR(VLOOKUP(A70,BUFFS!$H$5:$AF$195,10,),"")</f>
        <v/>
      </c>
      <c r="K70" s="66" t="str">
        <f>IFERROR(VLOOKUP(A70,BUFFS!$H$5:$AF$195,11,),"")</f>
        <v/>
      </c>
      <c r="L70" s="66" t="str">
        <f>IFERROR(VLOOKUP(A70,BUFFS!$H$5:$AF$195,12,),"")</f>
        <v/>
      </c>
      <c r="M70" s="66" t="str">
        <f>IFERROR(VLOOKUP(A70,BUFFS!$H$5:$AF$195,14,),"")</f>
        <v/>
      </c>
      <c r="N70" s="68" t="str">
        <f t="shared" si="3"/>
        <v/>
      </c>
      <c r="O70" s="65" t="str">
        <f>IFERROR(VLOOKUP(A70,BUFFS!$H$5:$AF$195,15,),"")</f>
        <v/>
      </c>
      <c r="P70" s="66" t="str">
        <f>IFERROR(VLOOKUP(A70,BUFFS!$H$5:$AF$195,16,),"")</f>
        <v/>
      </c>
      <c r="Q70" s="66" t="str">
        <f>IFERROR(VLOOKUP(A70,BUFFS!$H$5:$AF$195,17,),"")</f>
        <v/>
      </c>
      <c r="R70" s="66" t="str">
        <f>IFERROR(VLOOKUP(A70,BUFFS!$H$5:$AF$195,19,),"")</f>
        <v/>
      </c>
      <c r="S70" s="69" t="str">
        <f t="shared" si="4"/>
        <v/>
      </c>
      <c r="T70" s="70" t="str">
        <f>IFERROR(VLOOKUP(A70,BUFFS!$H$5:$AF$195,20,),"")</f>
        <v/>
      </c>
    </row>
    <row r="71" spans="1:20" x14ac:dyDescent="0.35">
      <c r="A71" s="17"/>
      <c r="B71" s="80"/>
      <c r="C71" s="81"/>
      <c r="D71" s="31" t="str">
        <f>IFERROR(VLOOKUP(A71,BUFFS!$H$5:$AF$195,8,),"")</f>
        <v/>
      </c>
      <c r="E71" s="24" t="str">
        <f t="shared" si="2"/>
        <v/>
      </c>
      <c r="F71" s="65" t="str">
        <f>IFERROR(VLOOKUP(A71,BUFFS!$H$5:$AF$195,5,),"")</f>
        <v/>
      </c>
      <c r="G71" s="66" t="str">
        <f>IFERROR(VLOOKUP(A71,BUFFS!$H$5:$AF$195,6,),"")</f>
        <v/>
      </c>
      <c r="H71" s="67" t="str">
        <f>IFERROR(VLOOKUP(A71,BUFFS!$H$5:$AF$195,7,),"")</f>
        <v/>
      </c>
      <c r="I71" s="66" t="str">
        <f>IFERROR(VLOOKUP(A71,BUFFS!$H$5:$AF$195,9,),"")</f>
        <v/>
      </c>
      <c r="J71" s="65" t="str">
        <f>IFERROR(VLOOKUP(A71,BUFFS!$H$5:$AF$195,10,),"")</f>
        <v/>
      </c>
      <c r="K71" s="66" t="str">
        <f>IFERROR(VLOOKUP(A71,BUFFS!$H$5:$AF$195,11,),"")</f>
        <v/>
      </c>
      <c r="L71" s="66" t="str">
        <f>IFERROR(VLOOKUP(A71,BUFFS!$H$5:$AF$195,12,),"")</f>
        <v/>
      </c>
      <c r="M71" s="66" t="str">
        <f>IFERROR(VLOOKUP(A71,BUFFS!$H$5:$AF$195,14,),"")</f>
        <v/>
      </c>
      <c r="N71" s="68" t="str">
        <f t="shared" si="3"/>
        <v/>
      </c>
      <c r="O71" s="65" t="str">
        <f>IFERROR(VLOOKUP(A71,BUFFS!$H$5:$AF$195,15,),"")</f>
        <v/>
      </c>
      <c r="P71" s="66" t="str">
        <f>IFERROR(VLOOKUP(A71,BUFFS!$H$5:$AF$195,16,),"")</f>
        <v/>
      </c>
      <c r="Q71" s="66" t="str">
        <f>IFERROR(VLOOKUP(A71,BUFFS!$H$5:$AF$195,17,),"")</f>
        <v/>
      </c>
      <c r="R71" s="66" t="str">
        <f>IFERROR(VLOOKUP(A71,BUFFS!$H$5:$AF$195,19,),"")</f>
        <v/>
      </c>
      <c r="S71" s="69" t="str">
        <f t="shared" si="4"/>
        <v/>
      </c>
      <c r="T71" s="70" t="str">
        <f>IFERROR(VLOOKUP(A71,BUFFS!$H$5:$AF$195,20,),"")</f>
        <v/>
      </c>
    </row>
    <row r="72" spans="1:20" x14ac:dyDescent="0.35">
      <c r="A72" s="17"/>
      <c r="B72" s="80"/>
      <c r="C72" s="81"/>
      <c r="D72" s="31" t="str">
        <f>IFERROR(VLOOKUP(A72,BUFFS!$H$5:$AF$195,8,),"")</f>
        <v/>
      </c>
      <c r="E72" s="24" t="str">
        <f t="shared" si="2"/>
        <v/>
      </c>
      <c r="F72" s="65" t="str">
        <f>IFERROR(VLOOKUP(A72,BUFFS!$H$5:$AF$195,5,),"")</f>
        <v/>
      </c>
      <c r="G72" s="66" t="str">
        <f>IFERROR(VLOOKUP(A72,BUFFS!$H$5:$AF$195,6,),"")</f>
        <v/>
      </c>
      <c r="H72" s="67" t="str">
        <f>IFERROR(VLOOKUP(A72,BUFFS!$H$5:$AF$195,7,),"")</f>
        <v/>
      </c>
      <c r="I72" s="66" t="str">
        <f>IFERROR(VLOOKUP(A72,BUFFS!$H$5:$AF$195,9,),"")</f>
        <v/>
      </c>
      <c r="J72" s="65" t="str">
        <f>IFERROR(VLOOKUP(A72,BUFFS!$H$5:$AF$195,10,),"")</f>
        <v/>
      </c>
      <c r="K72" s="66" t="str">
        <f>IFERROR(VLOOKUP(A72,BUFFS!$H$5:$AF$195,11,),"")</f>
        <v/>
      </c>
      <c r="L72" s="66" t="str">
        <f>IFERROR(VLOOKUP(A72,BUFFS!$H$5:$AF$195,12,),"")</f>
        <v/>
      </c>
      <c r="M72" s="66" t="str">
        <f>IFERROR(VLOOKUP(A72,BUFFS!$H$5:$AF$195,14,),"")</f>
        <v/>
      </c>
      <c r="N72" s="68" t="str">
        <f t="shared" si="3"/>
        <v/>
      </c>
      <c r="O72" s="65" t="str">
        <f>IFERROR(VLOOKUP(A72,BUFFS!$H$5:$AF$195,15,),"")</f>
        <v/>
      </c>
      <c r="P72" s="66" t="str">
        <f>IFERROR(VLOOKUP(A72,BUFFS!$H$5:$AF$195,16,),"")</f>
        <v/>
      </c>
      <c r="Q72" s="66" t="str">
        <f>IFERROR(VLOOKUP(A72,BUFFS!$H$5:$AF$195,17,),"")</f>
        <v/>
      </c>
      <c r="R72" s="66" t="str">
        <f>IFERROR(VLOOKUP(A72,BUFFS!$H$5:$AF$195,19,),"")</f>
        <v/>
      </c>
      <c r="S72" s="69" t="str">
        <f t="shared" si="4"/>
        <v/>
      </c>
      <c r="T72" s="70" t="str">
        <f>IFERROR(VLOOKUP(A72,BUFFS!$H$5:$AF$195,20,),"")</f>
        <v/>
      </c>
    </row>
    <row r="73" spans="1:20" x14ac:dyDescent="0.35">
      <c r="A73" s="17"/>
      <c r="B73" s="80"/>
      <c r="C73" s="81"/>
      <c r="D73" s="31" t="str">
        <f>IFERROR(VLOOKUP(A73,BUFFS!$H$5:$AF$195,8,),"")</f>
        <v/>
      </c>
      <c r="E73" s="24" t="str">
        <f t="shared" si="2"/>
        <v/>
      </c>
      <c r="F73" s="65" t="str">
        <f>IFERROR(VLOOKUP(A73,BUFFS!$H$5:$AF$195,5,),"")</f>
        <v/>
      </c>
      <c r="G73" s="66" t="str">
        <f>IFERROR(VLOOKUP(A73,BUFFS!$H$5:$AF$195,6,),"")</f>
        <v/>
      </c>
      <c r="H73" s="67" t="str">
        <f>IFERROR(VLOOKUP(A73,BUFFS!$H$5:$AF$195,7,),"")</f>
        <v/>
      </c>
      <c r="I73" s="66" t="str">
        <f>IFERROR(VLOOKUP(A73,BUFFS!$H$5:$AF$195,9,),"")</f>
        <v/>
      </c>
      <c r="J73" s="65" t="str">
        <f>IFERROR(VLOOKUP(A73,BUFFS!$H$5:$AF$195,10,),"")</f>
        <v/>
      </c>
      <c r="K73" s="66" t="str">
        <f>IFERROR(VLOOKUP(A73,BUFFS!$H$5:$AF$195,11,),"")</f>
        <v/>
      </c>
      <c r="L73" s="66" t="str">
        <f>IFERROR(VLOOKUP(A73,BUFFS!$H$5:$AF$195,12,),"")</f>
        <v/>
      </c>
      <c r="M73" s="66" t="str">
        <f>IFERROR(VLOOKUP(A73,BUFFS!$H$5:$AF$195,14,),"")</f>
        <v/>
      </c>
      <c r="N73" s="68" t="str">
        <f t="shared" si="3"/>
        <v/>
      </c>
      <c r="O73" s="65" t="str">
        <f>IFERROR(VLOOKUP(A73,BUFFS!$H$5:$AF$195,15,),"")</f>
        <v/>
      </c>
      <c r="P73" s="66" t="str">
        <f>IFERROR(VLOOKUP(A73,BUFFS!$H$5:$AF$195,16,),"")</f>
        <v/>
      </c>
      <c r="Q73" s="66" t="str">
        <f>IFERROR(VLOOKUP(A73,BUFFS!$H$5:$AF$195,17,),"")</f>
        <v/>
      </c>
      <c r="R73" s="66" t="str">
        <f>IFERROR(VLOOKUP(A73,BUFFS!$H$5:$AF$195,19,),"")</f>
        <v/>
      </c>
      <c r="S73" s="69" t="str">
        <f t="shared" si="4"/>
        <v/>
      </c>
      <c r="T73" s="70" t="str">
        <f>IFERROR(VLOOKUP(A73,BUFFS!$H$5:$AF$195,20,),"")</f>
        <v/>
      </c>
    </row>
    <row r="74" spans="1:20" x14ac:dyDescent="0.35">
      <c r="A74" s="17"/>
      <c r="B74" s="80"/>
      <c r="C74" s="81"/>
      <c r="D74" s="31" t="str">
        <f>IFERROR(VLOOKUP(A74,BUFFS!$H$5:$AF$195,8,),"")</f>
        <v/>
      </c>
      <c r="E74" s="24" t="str">
        <f t="shared" si="2"/>
        <v/>
      </c>
      <c r="F74" s="65" t="str">
        <f>IFERROR(VLOOKUP(A74,BUFFS!$H$5:$AF$195,5,),"")</f>
        <v/>
      </c>
      <c r="G74" s="66" t="str">
        <f>IFERROR(VLOOKUP(A74,BUFFS!$H$5:$AF$195,6,),"")</f>
        <v/>
      </c>
      <c r="H74" s="67" t="str">
        <f>IFERROR(VLOOKUP(A74,BUFFS!$H$5:$AF$195,7,),"")</f>
        <v/>
      </c>
      <c r="I74" s="66" t="str">
        <f>IFERROR(VLOOKUP(A74,BUFFS!$H$5:$AF$195,9,),"")</f>
        <v/>
      </c>
      <c r="J74" s="65" t="str">
        <f>IFERROR(VLOOKUP(A74,BUFFS!$H$5:$AF$195,10,),"")</f>
        <v/>
      </c>
      <c r="K74" s="66" t="str">
        <f>IFERROR(VLOOKUP(A74,BUFFS!$H$5:$AF$195,11,),"")</f>
        <v/>
      </c>
      <c r="L74" s="66" t="str">
        <f>IFERROR(VLOOKUP(A74,BUFFS!$H$5:$AF$195,12,),"")</f>
        <v/>
      </c>
      <c r="M74" s="66" t="str">
        <f>IFERROR(VLOOKUP(A74,BUFFS!$H$5:$AF$195,14,),"")</f>
        <v/>
      </c>
      <c r="N74" s="68" t="str">
        <f t="shared" si="3"/>
        <v/>
      </c>
      <c r="O74" s="65" t="str">
        <f>IFERROR(VLOOKUP(A74,BUFFS!$H$5:$AF$195,15,),"")</f>
        <v/>
      </c>
      <c r="P74" s="66" t="str">
        <f>IFERROR(VLOOKUP(A74,BUFFS!$H$5:$AF$195,16,),"")</f>
        <v/>
      </c>
      <c r="Q74" s="66" t="str">
        <f>IFERROR(VLOOKUP(A74,BUFFS!$H$5:$AF$195,17,),"")</f>
        <v/>
      </c>
      <c r="R74" s="66" t="str">
        <f>IFERROR(VLOOKUP(A74,BUFFS!$H$5:$AF$195,19,),"")</f>
        <v/>
      </c>
      <c r="S74" s="69" t="str">
        <f t="shared" si="4"/>
        <v/>
      </c>
      <c r="T74" s="70" t="str">
        <f>IFERROR(VLOOKUP(A74,BUFFS!$H$5:$AF$195,20,),"")</f>
        <v/>
      </c>
    </row>
    <row r="75" spans="1:20" x14ac:dyDescent="0.35">
      <c r="A75" s="17"/>
      <c r="B75" s="80"/>
      <c r="C75" s="81"/>
      <c r="D75" s="31" t="str">
        <f>IFERROR(VLOOKUP(A75,BUFFS!$H$5:$AF$195,8,),"")</f>
        <v/>
      </c>
      <c r="E75" s="24" t="str">
        <f t="shared" si="2"/>
        <v/>
      </c>
      <c r="F75" s="65" t="str">
        <f>IFERROR(VLOOKUP(A75,BUFFS!$H$5:$AF$195,5,),"")</f>
        <v/>
      </c>
      <c r="G75" s="66" t="str">
        <f>IFERROR(VLOOKUP(A75,BUFFS!$H$5:$AF$195,6,),"")</f>
        <v/>
      </c>
      <c r="H75" s="67" t="str">
        <f>IFERROR(VLOOKUP(A75,BUFFS!$H$5:$AF$195,7,),"")</f>
        <v/>
      </c>
      <c r="I75" s="66" t="str">
        <f>IFERROR(VLOOKUP(A75,BUFFS!$H$5:$AF$195,9,),"")</f>
        <v/>
      </c>
      <c r="J75" s="65" t="str">
        <f>IFERROR(VLOOKUP(A75,BUFFS!$H$5:$AF$195,10,),"")</f>
        <v/>
      </c>
      <c r="K75" s="66" t="str">
        <f>IFERROR(VLOOKUP(A75,BUFFS!$H$5:$AF$195,11,),"")</f>
        <v/>
      </c>
      <c r="L75" s="66" t="str">
        <f>IFERROR(VLOOKUP(A75,BUFFS!$H$5:$AF$195,12,),"")</f>
        <v/>
      </c>
      <c r="M75" s="66" t="str">
        <f>IFERROR(VLOOKUP(A75,BUFFS!$H$5:$AF$195,14,),"")</f>
        <v/>
      </c>
      <c r="N75" s="68" t="str">
        <f t="shared" si="3"/>
        <v/>
      </c>
      <c r="O75" s="65" t="str">
        <f>IFERROR(VLOOKUP(A75,BUFFS!$H$5:$AF$195,15,),"")</f>
        <v/>
      </c>
      <c r="P75" s="66" t="str">
        <f>IFERROR(VLOOKUP(A75,BUFFS!$H$5:$AF$195,16,),"")</f>
        <v/>
      </c>
      <c r="Q75" s="66" t="str">
        <f>IFERROR(VLOOKUP(A75,BUFFS!$H$5:$AF$195,17,),"")</f>
        <v/>
      </c>
      <c r="R75" s="66" t="str">
        <f>IFERROR(VLOOKUP(A75,BUFFS!$H$5:$AF$195,19,),"")</f>
        <v/>
      </c>
      <c r="S75" s="69" t="str">
        <f t="shared" si="4"/>
        <v/>
      </c>
      <c r="T75" s="70" t="str">
        <f>IFERROR(VLOOKUP(A75,BUFFS!$H$5:$AF$195,20,),"")</f>
        <v/>
      </c>
    </row>
    <row r="76" spans="1:20" x14ac:dyDescent="0.35">
      <c r="A76" s="17"/>
      <c r="B76" s="80"/>
      <c r="C76" s="81"/>
      <c r="D76" s="31" t="str">
        <f>IFERROR(VLOOKUP(A76,BUFFS!$H$5:$AF$195,8,),"")</f>
        <v/>
      </c>
      <c r="E76" s="24" t="str">
        <f t="shared" si="2"/>
        <v/>
      </c>
      <c r="F76" s="65" t="str">
        <f>IFERROR(VLOOKUP(A76,BUFFS!$H$5:$AF$195,5,),"")</f>
        <v/>
      </c>
      <c r="G76" s="66" t="str">
        <f>IFERROR(VLOOKUP(A76,BUFFS!$H$5:$AF$195,6,),"")</f>
        <v/>
      </c>
      <c r="H76" s="67" t="str">
        <f>IFERROR(VLOOKUP(A76,BUFFS!$H$5:$AF$195,7,),"")</f>
        <v/>
      </c>
      <c r="I76" s="66" t="str">
        <f>IFERROR(VLOOKUP(A76,BUFFS!$H$5:$AF$195,9,),"")</f>
        <v/>
      </c>
      <c r="J76" s="65" t="str">
        <f>IFERROR(VLOOKUP(A76,BUFFS!$H$5:$AF$195,10,),"")</f>
        <v/>
      </c>
      <c r="K76" s="66" t="str">
        <f>IFERROR(VLOOKUP(A76,BUFFS!$H$5:$AF$195,11,),"")</f>
        <v/>
      </c>
      <c r="L76" s="66" t="str">
        <f>IFERROR(VLOOKUP(A76,BUFFS!$H$5:$AF$195,12,),"")</f>
        <v/>
      </c>
      <c r="M76" s="66" t="str">
        <f>IFERROR(VLOOKUP(A76,BUFFS!$H$5:$AF$195,14,),"")</f>
        <v/>
      </c>
      <c r="N76" s="68" t="str">
        <f t="shared" si="3"/>
        <v/>
      </c>
      <c r="O76" s="65" t="str">
        <f>IFERROR(VLOOKUP(A76,BUFFS!$H$5:$AF$195,15,),"")</f>
        <v/>
      </c>
      <c r="P76" s="66" t="str">
        <f>IFERROR(VLOOKUP(A76,BUFFS!$H$5:$AF$195,16,),"")</f>
        <v/>
      </c>
      <c r="Q76" s="66" t="str">
        <f>IFERROR(VLOOKUP(A76,BUFFS!$H$5:$AF$195,17,),"")</f>
        <v/>
      </c>
      <c r="R76" s="66" t="str">
        <f>IFERROR(VLOOKUP(A76,BUFFS!$H$5:$AF$195,19,),"")</f>
        <v/>
      </c>
      <c r="S76" s="69" t="str">
        <f t="shared" si="4"/>
        <v/>
      </c>
      <c r="T76" s="70" t="str">
        <f>IFERROR(VLOOKUP(A76,BUFFS!$H$5:$AF$195,20,),"")</f>
        <v/>
      </c>
    </row>
    <row r="77" spans="1:20" x14ac:dyDescent="0.35">
      <c r="A77" s="17"/>
      <c r="B77" s="80"/>
      <c r="C77" s="81"/>
      <c r="D77" s="31" t="str">
        <f>IFERROR(VLOOKUP(A77,BUFFS!$H$5:$AF$195,8,),"")</f>
        <v/>
      </c>
      <c r="E77" s="24" t="str">
        <f t="shared" si="2"/>
        <v/>
      </c>
      <c r="F77" s="65" t="str">
        <f>IFERROR(VLOOKUP(A77,BUFFS!$H$5:$AF$195,5,),"")</f>
        <v/>
      </c>
      <c r="G77" s="66" t="str">
        <f>IFERROR(VLOOKUP(A77,BUFFS!$H$5:$AF$195,6,),"")</f>
        <v/>
      </c>
      <c r="H77" s="67" t="str">
        <f>IFERROR(VLOOKUP(A77,BUFFS!$H$5:$AF$195,7,),"")</f>
        <v/>
      </c>
      <c r="I77" s="66" t="str">
        <f>IFERROR(VLOOKUP(A77,BUFFS!$H$5:$AF$195,9,),"")</f>
        <v/>
      </c>
      <c r="J77" s="65" t="str">
        <f>IFERROR(VLOOKUP(A77,BUFFS!$H$5:$AF$195,10,),"")</f>
        <v/>
      </c>
      <c r="K77" s="66" t="str">
        <f>IFERROR(VLOOKUP(A77,BUFFS!$H$5:$AF$195,11,),"")</f>
        <v/>
      </c>
      <c r="L77" s="66" t="str">
        <f>IFERROR(VLOOKUP(A77,BUFFS!$H$5:$AF$195,12,),"")</f>
        <v/>
      </c>
      <c r="M77" s="66" t="str">
        <f>IFERROR(VLOOKUP(A77,BUFFS!$H$5:$AF$195,14,),"")</f>
        <v/>
      </c>
      <c r="N77" s="68" t="str">
        <f t="shared" si="3"/>
        <v/>
      </c>
      <c r="O77" s="65" t="str">
        <f>IFERROR(VLOOKUP(A77,BUFFS!$H$5:$AF$195,15,),"")</f>
        <v/>
      </c>
      <c r="P77" s="66" t="str">
        <f>IFERROR(VLOOKUP(A77,BUFFS!$H$5:$AF$195,16,),"")</f>
        <v/>
      </c>
      <c r="Q77" s="66" t="str">
        <f>IFERROR(VLOOKUP(A77,BUFFS!$H$5:$AF$195,17,),"")</f>
        <v/>
      </c>
      <c r="R77" s="66" t="str">
        <f>IFERROR(VLOOKUP(A77,BUFFS!$H$5:$AF$195,19,),"")</f>
        <v/>
      </c>
      <c r="S77" s="69" t="str">
        <f t="shared" si="4"/>
        <v/>
      </c>
      <c r="T77" s="70" t="str">
        <f>IFERROR(VLOOKUP(A77,BUFFS!$H$5:$AF$195,20,),"")</f>
        <v/>
      </c>
    </row>
    <row r="78" spans="1:20" x14ac:dyDescent="0.35">
      <c r="A78" s="17"/>
      <c r="B78" s="80"/>
      <c r="C78" s="81"/>
      <c r="D78" s="31" t="str">
        <f>IFERROR(VLOOKUP(A78,BUFFS!$H$5:$AF$195,8,),"")</f>
        <v/>
      </c>
      <c r="E78" s="24" t="str">
        <f t="shared" si="2"/>
        <v/>
      </c>
      <c r="F78" s="65" t="str">
        <f>IFERROR(VLOOKUP(A78,BUFFS!$H$5:$AF$195,5,),"")</f>
        <v/>
      </c>
      <c r="G78" s="66" t="str">
        <f>IFERROR(VLOOKUP(A78,BUFFS!$H$5:$AF$195,6,),"")</f>
        <v/>
      </c>
      <c r="H78" s="67" t="str">
        <f>IFERROR(VLOOKUP(A78,BUFFS!$H$5:$AF$195,7,),"")</f>
        <v/>
      </c>
      <c r="I78" s="66" t="str">
        <f>IFERROR(VLOOKUP(A78,BUFFS!$H$5:$AF$195,9,),"")</f>
        <v/>
      </c>
      <c r="J78" s="65" t="str">
        <f>IFERROR(VLOOKUP(A78,BUFFS!$H$5:$AF$195,10,),"")</f>
        <v/>
      </c>
      <c r="K78" s="66" t="str">
        <f>IFERROR(VLOOKUP(A78,BUFFS!$H$5:$AF$195,11,),"")</f>
        <v/>
      </c>
      <c r="L78" s="66" t="str">
        <f>IFERROR(VLOOKUP(A78,BUFFS!$H$5:$AF$195,12,),"")</f>
        <v/>
      </c>
      <c r="M78" s="66" t="str">
        <f>IFERROR(VLOOKUP(A78,BUFFS!$H$5:$AF$195,14,),"")</f>
        <v/>
      </c>
      <c r="N78" s="68" t="str">
        <f t="shared" si="3"/>
        <v/>
      </c>
      <c r="O78" s="65" t="str">
        <f>IFERROR(VLOOKUP(A78,BUFFS!$H$5:$AF$195,15,),"")</f>
        <v/>
      </c>
      <c r="P78" s="66" t="str">
        <f>IFERROR(VLOOKUP(A78,BUFFS!$H$5:$AF$195,16,),"")</f>
        <v/>
      </c>
      <c r="Q78" s="66" t="str">
        <f>IFERROR(VLOOKUP(A78,BUFFS!$H$5:$AF$195,17,),"")</f>
        <v/>
      </c>
      <c r="R78" s="66" t="str">
        <f>IFERROR(VLOOKUP(A78,BUFFS!$H$5:$AF$195,19,),"")</f>
        <v/>
      </c>
      <c r="S78" s="69" t="str">
        <f t="shared" si="4"/>
        <v/>
      </c>
      <c r="T78" s="70" t="str">
        <f>IFERROR(VLOOKUP(A78,BUFFS!$H$5:$AF$195,20,),"")</f>
        <v/>
      </c>
    </row>
    <row r="79" spans="1:20" x14ac:dyDescent="0.35">
      <c r="A79" s="17"/>
      <c r="B79" s="80"/>
      <c r="C79" s="81"/>
      <c r="D79" s="31" t="str">
        <f>IFERROR(VLOOKUP(A79,BUFFS!$H$5:$AF$195,8,),"")</f>
        <v/>
      </c>
      <c r="E79" s="24" t="str">
        <f t="shared" si="2"/>
        <v/>
      </c>
      <c r="F79" s="65" t="str">
        <f>IFERROR(VLOOKUP(A79,BUFFS!$H$5:$AF$195,5,),"")</f>
        <v/>
      </c>
      <c r="G79" s="66" t="str">
        <f>IFERROR(VLOOKUP(A79,BUFFS!$H$5:$AF$195,6,),"")</f>
        <v/>
      </c>
      <c r="H79" s="67" t="str">
        <f>IFERROR(VLOOKUP(A79,BUFFS!$H$5:$AF$195,7,),"")</f>
        <v/>
      </c>
      <c r="I79" s="66" t="str">
        <f>IFERROR(VLOOKUP(A79,BUFFS!$H$5:$AF$195,9,),"")</f>
        <v/>
      </c>
      <c r="J79" s="65" t="str">
        <f>IFERROR(VLOOKUP(A79,BUFFS!$H$5:$AF$195,10,),"")</f>
        <v/>
      </c>
      <c r="K79" s="66" t="str">
        <f>IFERROR(VLOOKUP(A79,BUFFS!$H$5:$AF$195,11,),"")</f>
        <v/>
      </c>
      <c r="L79" s="66" t="str">
        <f>IFERROR(VLOOKUP(A79,BUFFS!$H$5:$AF$195,12,),"")</f>
        <v/>
      </c>
      <c r="M79" s="66" t="str">
        <f>IFERROR(VLOOKUP(A79,BUFFS!$H$5:$AF$195,14,),"")</f>
        <v/>
      </c>
      <c r="N79" s="68" t="str">
        <f t="shared" si="3"/>
        <v/>
      </c>
      <c r="O79" s="65" t="str">
        <f>IFERROR(VLOOKUP(A79,BUFFS!$H$5:$AF$195,15,),"")</f>
        <v/>
      </c>
      <c r="P79" s="66" t="str">
        <f>IFERROR(VLOOKUP(A79,BUFFS!$H$5:$AF$195,16,),"")</f>
        <v/>
      </c>
      <c r="Q79" s="66" t="str">
        <f>IFERROR(VLOOKUP(A79,BUFFS!$H$5:$AF$195,17,),"")</f>
        <v/>
      </c>
      <c r="R79" s="66" t="str">
        <f>IFERROR(VLOOKUP(A79,BUFFS!$H$5:$AF$195,19,),"")</f>
        <v/>
      </c>
      <c r="S79" s="69" t="str">
        <f t="shared" si="4"/>
        <v/>
      </c>
      <c r="T79" s="70" t="str">
        <f>IFERROR(VLOOKUP(A79,BUFFS!$H$5:$AF$195,20,),"")</f>
        <v/>
      </c>
    </row>
    <row r="80" spans="1:20" x14ac:dyDescent="0.35">
      <c r="A80" s="17"/>
      <c r="B80" s="80"/>
      <c r="C80" s="81"/>
      <c r="D80" s="31" t="str">
        <f>IFERROR(VLOOKUP(A80,BUFFS!$H$5:$AF$195,8,),"")</f>
        <v/>
      </c>
      <c r="E80" s="24" t="str">
        <f t="shared" si="2"/>
        <v/>
      </c>
      <c r="F80" s="65" t="str">
        <f>IFERROR(VLOOKUP(A80,BUFFS!$H$5:$AF$195,5,),"")</f>
        <v/>
      </c>
      <c r="G80" s="66" t="str">
        <f>IFERROR(VLOOKUP(A80,BUFFS!$H$5:$AF$195,6,),"")</f>
        <v/>
      </c>
      <c r="H80" s="67" t="str">
        <f>IFERROR(VLOOKUP(A80,BUFFS!$H$5:$AF$195,7,),"")</f>
        <v/>
      </c>
      <c r="I80" s="66" t="str">
        <f>IFERROR(VLOOKUP(A80,BUFFS!$H$5:$AF$195,9,),"")</f>
        <v/>
      </c>
      <c r="J80" s="65" t="str">
        <f>IFERROR(VLOOKUP(A80,BUFFS!$H$5:$AF$195,10,),"")</f>
        <v/>
      </c>
      <c r="K80" s="66" t="str">
        <f>IFERROR(VLOOKUP(A80,BUFFS!$H$5:$AF$195,11,),"")</f>
        <v/>
      </c>
      <c r="L80" s="66" t="str">
        <f>IFERROR(VLOOKUP(A80,BUFFS!$H$5:$AF$195,12,),"")</f>
        <v/>
      </c>
      <c r="M80" s="66" t="str">
        <f>IFERROR(VLOOKUP(A80,BUFFS!$H$5:$AF$195,14,),"")</f>
        <v/>
      </c>
      <c r="N80" s="68" t="str">
        <f t="shared" si="3"/>
        <v/>
      </c>
      <c r="O80" s="65" t="str">
        <f>IFERROR(VLOOKUP(A80,BUFFS!$H$5:$AF$195,15,),"")</f>
        <v/>
      </c>
      <c r="P80" s="66" t="str">
        <f>IFERROR(VLOOKUP(A80,BUFFS!$H$5:$AF$195,16,),"")</f>
        <v/>
      </c>
      <c r="Q80" s="66" t="str">
        <f>IFERROR(VLOOKUP(A80,BUFFS!$H$5:$AF$195,17,),"")</f>
        <v/>
      </c>
      <c r="R80" s="66" t="str">
        <f>IFERROR(VLOOKUP(A80,BUFFS!$H$5:$AF$195,19,),"")</f>
        <v/>
      </c>
      <c r="S80" s="69" t="str">
        <f t="shared" si="4"/>
        <v/>
      </c>
      <c r="T80" s="70" t="str">
        <f>IFERROR(VLOOKUP(A80,BUFFS!$H$5:$AF$195,20,),"")</f>
        <v/>
      </c>
    </row>
    <row r="81" spans="1:20" x14ac:dyDescent="0.35">
      <c r="A81" s="17"/>
      <c r="B81" s="80"/>
      <c r="C81" s="81"/>
      <c r="D81" s="31" t="str">
        <f>IFERROR(VLOOKUP(A81,BUFFS!$H$5:$AF$195,8,),"")</f>
        <v/>
      </c>
      <c r="E81" s="24" t="str">
        <f t="shared" si="2"/>
        <v/>
      </c>
      <c r="F81" s="65" t="str">
        <f>IFERROR(VLOOKUP(A81,BUFFS!$H$5:$AF$195,5,),"")</f>
        <v/>
      </c>
      <c r="G81" s="66" t="str">
        <f>IFERROR(VLOOKUP(A81,BUFFS!$H$5:$AF$195,6,),"")</f>
        <v/>
      </c>
      <c r="H81" s="67" t="str">
        <f>IFERROR(VLOOKUP(A81,BUFFS!$H$5:$AF$195,7,),"")</f>
        <v/>
      </c>
      <c r="I81" s="66" t="str">
        <f>IFERROR(VLOOKUP(A81,BUFFS!$H$5:$AF$195,9,),"")</f>
        <v/>
      </c>
      <c r="J81" s="65" t="str">
        <f>IFERROR(VLOOKUP(A81,BUFFS!$H$5:$AF$195,10,),"")</f>
        <v/>
      </c>
      <c r="K81" s="66" t="str">
        <f>IFERROR(VLOOKUP(A81,BUFFS!$H$5:$AF$195,11,),"")</f>
        <v/>
      </c>
      <c r="L81" s="66" t="str">
        <f>IFERROR(VLOOKUP(A81,BUFFS!$H$5:$AF$195,12,),"")</f>
        <v/>
      </c>
      <c r="M81" s="66" t="str">
        <f>IFERROR(VLOOKUP(A81,BUFFS!$H$5:$AF$195,14,),"")</f>
        <v/>
      </c>
      <c r="N81" s="68" t="str">
        <f t="shared" si="3"/>
        <v/>
      </c>
      <c r="O81" s="65" t="str">
        <f>IFERROR(VLOOKUP(A81,BUFFS!$H$5:$AF$195,15,),"")</f>
        <v/>
      </c>
      <c r="P81" s="66" t="str">
        <f>IFERROR(VLOOKUP(A81,BUFFS!$H$5:$AF$195,16,),"")</f>
        <v/>
      </c>
      <c r="Q81" s="66" t="str">
        <f>IFERROR(VLOOKUP(A81,BUFFS!$H$5:$AF$195,17,),"")</f>
        <v/>
      </c>
      <c r="R81" s="66" t="str">
        <f>IFERROR(VLOOKUP(A81,BUFFS!$H$5:$AF$195,19,),"")</f>
        <v/>
      </c>
      <c r="S81" s="69" t="str">
        <f t="shared" si="4"/>
        <v/>
      </c>
      <c r="T81" s="70" t="str">
        <f>IFERROR(VLOOKUP(A81,BUFFS!$H$5:$AF$195,20,),"")</f>
        <v/>
      </c>
    </row>
    <row r="82" spans="1:20" x14ac:dyDescent="0.35">
      <c r="A82" s="17"/>
      <c r="B82" s="18"/>
      <c r="C82" s="13"/>
      <c r="D82" s="31" t="str">
        <f>IFERROR(VLOOKUP(A82,BUFFS!$H$5:$AF$195,8,),"")</f>
        <v/>
      </c>
      <c r="E82" s="24" t="str">
        <f t="shared" si="2"/>
        <v/>
      </c>
      <c r="F82" s="65" t="str">
        <f>IFERROR(VLOOKUP(A82,BUFFS!$H$5:$AF$195,5,),"")</f>
        <v/>
      </c>
      <c r="G82" s="66" t="str">
        <f>IFERROR(VLOOKUP(A82,BUFFS!$H$5:$AF$195,6,),"")</f>
        <v/>
      </c>
      <c r="H82" s="67" t="str">
        <f>IFERROR(VLOOKUP(A82,BUFFS!$H$5:$AF$195,7,),"")</f>
        <v/>
      </c>
      <c r="I82" s="66" t="str">
        <f>IFERROR(VLOOKUP(A82,BUFFS!$H$5:$AF$195,9,),"")</f>
        <v/>
      </c>
      <c r="J82" s="65" t="str">
        <f>IFERROR(VLOOKUP(A82,BUFFS!$H$5:$AF$195,10,),"")</f>
        <v/>
      </c>
      <c r="K82" s="66" t="str">
        <f>IFERROR(VLOOKUP(A82,BUFFS!$H$5:$AF$195,11,),"")</f>
        <v/>
      </c>
      <c r="L82" s="66" t="str">
        <f>IFERROR(VLOOKUP(A82,BUFFS!$H$5:$AF$195,12,),"")</f>
        <v/>
      </c>
      <c r="M82" s="66" t="str">
        <f>IFERROR(VLOOKUP(A82,BUFFS!$H$5:$AF$195,14,),"")</f>
        <v/>
      </c>
      <c r="N82" s="68" t="str">
        <f t="shared" si="3"/>
        <v/>
      </c>
      <c r="O82" s="65" t="str">
        <f>IFERROR(VLOOKUP(A82,BUFFS!$H$5:$AF$195,15,),"")</f>
        <v/>
      </c>
      <c r="P82" s="66" t="str">
        <f>IFERROR(VLOOKUP(A82,BUFFS!$H$5:$AF$195,16,),"")</f>
        <v/>
      </c>
      <c r="Q82" s="66" t="str">
        <f>IFERROR(VLOOKUP(A82,BUFFS!$H$5:$AF$195,17,),"")</f>
        <v/>
      </c>
      <c r="R82" s="66" t="str">
        <f>IFERROR(VLOOKUP(A82,BUFFS!$H$5:$AF$195,19,),"")</f>
        <v/>
      </c>
      <c r="S82" s="69" t="str">
        <f t="shared" si="4"/>
        <v/>
      </c>
      <c r="T82" s="70" t="str">
        <f>IFERROR(VLOOKUP(A82,BUFFS!$H$5:$AF$195,20,),"")</f>
        <v/>
      </c>
    </row>
    <row r="83" spans="1:20" x14ac:dyDescent="0.35">
      <c r="A83" s="17"/>
      <c r="B83" s="18"/>
      <c r="C83" s="13"/>
      <c r="D83" s="31" t="str">
        <f>IFERROR(VLOOKUP(A83,BUFFS!$H$5:$AF$195,8,),"")</f>
        <v/>
      </c>
      <c r="E83" s="24" t="str">
        <f t="shared" si="2"/>
        <v/>
      </c>
      <c r="F83" s="65" t="str">
        <f>IFERROR(VLOOKUP(A83,BUFFS!$H$5:$AF$195,5,),"")</f>
        <v/>
      </c>
      <c r="G83" s="66" t="str">
        <f>IFERROR(VLOOKUP(A83,BUFFS!$H$5:$AF$195,6,),"")</f>
        <v/>
      </c>
      <c r="H83" s="67" t="str">
        <f>IFERROR(VLOOKUP(A83,BUFFS!$H$5:$AF$195,7,),"")</f>
        <v/>
      </c>
      <c r="I83" s="66" t="str">
        <f>IFERROR(VLOOKUP(A83,BUFFS!$H$5:$AF$195,9,),"")</f>
        <v/>
      </c>
      <c r="J83" s="65" t="str">
        <f>IFERROR(VLOOKUP(A83,BUFFS!$H$5:$AF$195,10,),"")</f>
        <v/>
      </c>
      <c r="K83" s="66" t="str">
        <f>IFERROR(VLOOKUP(A83,BUFFS!$H$5:$AF$195,11,),"")</f>
        <v/>
      </c>
      <c r="L83" s="66" t="str">
        <f>IFERROR(VLOOKUP(A83,BUFFS!$H$5:$AF$195,12,),"")</f>
        <v/>
      </c>
      <c r="M83" s="66" t="str">
        <f>IFERROR(VLOOKUP(A83,BUFFS!$H$5:$AF$195,14,),"")</f>
        <v/>
      </c>
      <c r="N83" s="68" t="str">
        <f t="shared" si="3"/>
        <v/>
      </c>
      <c r="O83" s="65" t="str">
        <f>IFERROR(VLOOKUP(A83,BUFFS!$H$5:$AF$195,15,),"")</f>
        <v/>
      </c>
      <c r="P83" s="66" t="str">
        <f>IFERROR(VLOOKUP(A83,BUFFS!$H$5:$AF$195,16,),"")</f>
        <v/>
      </c>
      <c r="Q83" s="66" t="str">
        <f>IFERROR(VLOOKUP(A83,BUFFS!$H$5:$AF$195,17,),"")</f>
        <v/>
      </c>
      <c r="R83" s="66" t="str">
        <f>IFERROR(VLOOKUP(A83,BUFFS!$H$5:$AF$195,19,),"")</f>
        <v/>
      </c>
      <c r="S83" s="69" t="str">
        <f t="shared" si="4"/>
        <v/>
      </c>
      <c r="T83" s="70" t="str">
        <f>IFERROR(VLOOKUP(A83,BUFFS!$H$5:$AF$195,20,),"")</f>
        <v/>
      </c>
    </row>
    <row r="84" spans="1:20" x14ac:dyDescent="0.35">
      <c r="A84" s="17"/>
      <c r="B84" s="18"/>
      <c r="C84" s="13"/>
      <c r="D84" s="31" t="str">
        <f>IFERROR(VLOOKUP(A84,BUFFS!$H$5:$AF$195,8,),"")</f>
        <v/>
      </c>
      <c r="E84" s="24" t="str">
        <f t="shared" si="2"/>
        <v/>
      </c>
      <c r="F84" s="65" t="str">
        <f>IFERROR(VLOOKUP(A84,BUFFS!$H$5:$AF$195,5,),"")</f>
        <v/>
      </c>
      <c r="G84" s="66" t="str">
        <f>IFERROR(VLOOKUP(A84,BUFFS!$H$5:$AF$195,6,),"")</f>
        <v/>
      </c>
      <c r="H84" s="67" t="str">
        <f>IFERROR(VLOOKUP(A84,BUFFS!$H$5:$AF$195,7,),"")</f>
        <v/>
      </c>
      <c r="I84" s="66" t="str">
        <f>IFERROR(VLOOKUP(A84,BUFFS!$H$5:$AF$195,9,),"")</f>
        <v/>
      </c>
      <c r="J84" s="65" t="str">
        <f>IFERROR(VLOOKUP(A84,BUFFS!$H$5:$AF$195,10,),"")</f>
        <v/>
      </c>
      <c r="K84" s="66" t="str">
        <f>IFERROR(VLOOKUP(A84,BUFFS!$H$5:$AF$195,11,),"")</f>
        <v/>
      </c>
      <c r="L84" s="66" t="str">
        <f>IFERROR(VLOOKUP(A84,BUFFS!$H$5:$AF$195,12,),"")</f>
        <v/>
      </c>
      <c r="M84" s="66" t="str">
        <f>IFERROR(VLOOKUP(A84,BUFFS!$H$5:$AF$195,14,),"")</f>
        <v/>
      </c>
      <c r="N84" s="68" t="str">
        <f t="shared" si="3"/>
        <v/>
      </c>
      <c r="O84" s="65" t="str">
        <f>IFERROR(VLOOKUP(A84,BUFFS!$H$5:$AF$195,15,),"")</f>
        <v/>
      </c>
      <c r="P84" s="66" t="str">
        <f>IFERROR(VLOOKUP(A84,BUFFS!$H$5:$AF$195,16,),"")</f>
        <v/>
      </c>
      <c r="Q84" s="66" t="str">
        <f>IFERROR(VLOOKUP(A84,BUFFS!$H$5:$AF$195,17,),"")</f>
        <v/>
      </c>
      <c r="R84" s="66" t="str">
        <f>IFERROR(VLOOKUP(A84,BUFFS!$H$5:$AF$195,19,),"")</f>
        <v/>
      </c>
      <c r="S84" s="69" t="str">
        <f t="shared" si="4"/>
        <v/>
      </c>
      <c r="T84" s="70" t="str">
        <f>IFERROR(VLOOKUP(A84,BUFFS!$H$5:$AF$195,20,),"")</f>
        <v/>
      </c>
    </row>
    <row r="85" spans="1:20" x14ac:dyDescent="0.35">
      <c r="A85" s="17"/>
      <c r="B85" s="18"/>
      <c r="C85" s="13"/>
      <c r="D85" s="31" t="str">
        <f>IFERROR(VLOOKUP(A85,BUFFS!$H$5:$AF$195,8,),"")</f>
        <v/>
      </c>
      <c r="E85" s="24" t="str">
        <f t="shared" si="2"/>
        <v/>
      </c>
      <c r="F85" s="65" t="str">
        <f>IFERROR(VLOOKUP(A85,BUFFS!$H$5:$AF$195,5,),"")</f>
        <v/>
      </c>
      <c r="G85" s="66" t="str">
        <f>IFERROR(VLOOKUP(A85,BUFFS!$H$5:$AF$195,6,),"")</f>
        <v/>
      </c>
      <c r="H85" s="67" t="str">
        <f>IFERROR(VLOOKUP(A85,BUFFS!$H$5:$AF$195,7,),"")</f>
        <v/>
      </c>
      <c r="I85" s="66" t="str">
        <f>IFERROR(VLOOKUP(A85,BUFFS!$H$5:$AF$195,9,),"")</f>
        <v/>
      </c>
      <c r="J85" s="65" t="str">
        <f>IFERROR(VLOOKUP(A85,BUFFS!$H$5:$AF$195,10,),"")</f>
        <v/>
      </c>
      <c r="K85" s="66" t="str">
        <f>IFERROR(VLOOKUP(A85,BUFFS!$H$5:$AF$195,11,),"")</f>
        <v/>
      </c>
      <c r="L85" s="66" t="str">
        <f>IFERROR(VLOOKUP(A85,BUFFS!$H$5:$AF$195,12,),"")</f>
        <v/>
      </c>
      <c r="M85" s="66" t="str">
        <f>IFERROR(VLOOKUP(A85,BUFFS!$H$5:$AF$195,14,),"")</f>
        <v/>
      </c>
      <c r="N85" s="68" t="str">
        <f t="shared" si="3"/>
        <v/>
      </c>
      <c r="O85" s="65" t="str">
        <f>IFERROR(VLOOKUP(A85,BUFFS!$H$5:$AF$195,15,),"")</f>
        <v/>
      </c>
      <c r="P85" s="66" t="str">
        <f>IFERROR(VLOOKUP(A85,BUFFS!$H$5:$AF$195,16,),"")</f>
        <v/>
      </c>
      <c r="Q85" s="66" t="str">
        <f>IFERROR(VLOOKUP(A85,BUFFS!$H$5:$AF$195,17,),"")</f>
        <v/>
      </c>
      <c r="R85" s="66" t="str">
        <f>IFERROR(VLOOKUP(A85,BUFFS!$H$5:$AF$195,19,),"")</f>
        <v/>
      </c>
      <c r="S85" s="69" t="str">
        <f t="shared" si="4"/>
        <v/>
      </c>
      <c r="T85" s="70" t="str">
        <f>IFERROR(VLOOKUP(A85,BUFFS!$H$5:$AF$195,20,),"")</f>
        <v/>
      </c>
    </row>
    <row r="86" spans="1:20" x14ac:dyDescent="0.35">
      <c r="A86" s="17"/>
      <c r="B86" s="18"/>
      <c r="C86" s="13"/>
      <c r="D86" s="31" t="str">
        <f>IFERROR(VLOOKUP(A86,BUFFS!$H$5:$AF$195,8,),"")</f>
        <v/>
      </c>
      <c r="E86" s="24" t="str">
        <f t="shared" si="2"/>
        <v/>
      </c>
      <c r="F86" s="65" t="str">
        <f>IFERROR(VLOOKUP(A86,BUFFS!$H$5:$AF$195,5,),"")</f>
        <v/>
      </c>
      <c r="G86" s="66" t="str">
        <f>IFERROR(VLOOKUP(A86,BUFFS!$H$5:$AF$195,6,),"")</f>
        <v/>
      </c>
      <c r="H86" s="67" t="str">
        <f>IFERROR(VLOOKUP(A86,BUFFS!$H$5:$AF$195,7,),"")</f>
        <v/>
      </c>
      <c r="I86" s="66" t="str">
        <f>IFERROR(VLOOKUP(A86,BUFFS!$H$5:$AF$195,9,),"")</f>
        <v/>
      </c>
      <c r="J86" s="65" t="str">
        <f>IFERROR(VLOOKUP(A86,BUFFS!$H$5:$AF$195,10,),"")</f>
        <v/>
      </c>
      <c r="K86" s="66" t="str">
        <f>IFERROR(VLOOKUP(A86,BUFFS!$H$5:$AF$195,11,),"")</f>
        <v/>
      </c>
      <c r="L86" s="66" t="str">
        <f>IFERROR(VLOOKUP(A86,BUFFS!$H$5:$AF$195,12,),"")</f>
        <v/>
      </c>
      <c r="M86" s="66" t="str">
        <f>IFERROR(VLOOKUP(A86,BUFFS!$H$5:$AF$195,14,),"")</f>
        <v/>
      </c>
      <c r="N86" s="68" t="str">
        <f t="shared" si="3"/>
        <v/>
      </c>
      <c r="O86" s="65" t="str">
        <f>IFERROR(VLOOKUP(A86,BUFFS!$H$5:$AF$195,15,),"")</f>
        <v/>
      </c>
      <c r="P86" s="66" t="str">
        <f>IFERROR(VLOOKUP(A86,BUFFS!$H$5:$AF$195,16,),"")</f>
        <v/>
      </c>
      <c r="Q86" s="66" t="str">
        <f>IFERROR(VLOOKUP(A86,BUFFS!$H$5:$AF$195,17,),"")</f>
        <v/>
      </c>
      <c r="R86" s="66" t="str">
        <f>IFERROR(VLOOKUP(A86,BUFFS!$H$5:$AF$195,19,),"")</f>
        <v/>
      </c>
      <c r="S86" s="69" t="str">
        <f t="shared" si="4"/>
        <v/>
      </c>
      <c r="T86" s="70" t="str">
        <f>IFERROR(VLOOKUP(A86,BUFFS!$H$5:$AF$195,20,),"")</f>
        <v/>
      </c>
    </row>
    <row r="87" spans="1:20" x14ac:dyDescent="0.35">
      <c r="A87" s="17"/>
      <c r="B87" s="18"/>
      <c r="C87" s="13"/>
      <c r="D87" s="31" t="str">
        <f>IFERROR(VLOOKUP(A87,BUFFS!$H$5:$AF$195,8,),"")</f>
        <v/>
      </c>
      <c r="E87" s="24" t="str">
        <f t="shared" si="2"/>
        <v/>
      </c>
      <c r="F87" s="65" t="str">
        <f>IFERROR(VLOOKUP(A87,BUFFS!$H$5:$AF$195,5,),"")</f>
        <v/>
      </c>
      <c r="G87" s="66" t="str">
        <f>IFERROR(VLOOKUP(A87,BUFFS!$H$5:$AF$195,6,),"")</f>
        <v/>
      </c>
      <c r="H87" s="67" t="str">
        <f>IFERROR(VLOOKUP(A87,BUFFS!$H$5:$AF$195,7,),"")</f>
        <v/>
      </c>
      <c r="I87" s="66" t="str">
        <f>IFERROR(VLOOKUP(A87,BUFFS!$H$5:$AF$195,9,),"")</f>
        <v/>
      </c>
      <c r="J87" s="65" t="str">
        <f>IFERROR(VLOOKUP(A87,BUFFS!$H$5:$AF$195,10,),"")</f>
        <v/>
      </c>
      <c r="K87" s="66" t="str">
        <f>IFERROR(VLOOKUP(A87,BUFFS!$H$5:$AF$195,11,),"")</f>
        <v/>
      </c>
      <c r="L87" s="66" t="str">
        <f>IFERROR(VLOOKUP(A87,BUFFS!$H$5:$AF$195,12,),"")</f>
        <v/>
      </c>
      <c r="M87" s="66" t="str">
        <f>IFERROR(VLOOKUP(A87,BUFFS!$H$5:$AF$195,14,),"")</f>
        <v/>
      </c>
      <c r="N87" s="68" t="str">
        <f t="shared" si="3"/>
        <v/>
      </c>
      <c r="O87" s="65" t="str">
        <f>IFERROR(VLOOKUP(A87,BUFFS!$H$5:$AF$195,15,),"")</f>
        <v/>
      </c>
      <c r="P87" s="66" t="str">
        <f>IFERROR(VLOOKUP(A87,BUFFS!$H$5:$AF$195,16,),"")</f>
        <v/>
      </c>
      <c r="Q87" s="66" t="str">
        <f>IFERROR(VLOOKUP(A87,BUFFS!$H$5:$AF$195,17,),"")</f>
        <v/>
      </c>
      <c r="R87" s="66" t="str">
        <f>IFERROR(VLOOKUP(A87,BUFFS!$H$5:$AF$195,19,),"")</f>
        <v/>
      </c>
      <c r="S87" s="69" t="str">
        <f t="shared" si="4"/>
        <v/>
      </c>
      <c r="T87" s="70" t="str">
        <f>IFERROR(VLOOKUP(A87,BUFFS!$H$5:$AF$195,20,),"")</f>
        <v/>
      </c>
    </row>
    <row r="88" spans="1:20" x14ac:dyDescent="0.35">
      <c r="A88" s="17"/>
      <c r="B88" s="18"/>
      <c r="C88" s="13"/>
      <c r="D88" s="31" t="str">
        <f>IFERROR(VLOOKUP(A88,BUFFS!$H$5:$AF$195,8,),"")</f>
        <v/>
      </c>
      <c r="E88" s="24" t="str">
        <f t="shared" si="2"/>
        <v/>
      </c>
      <c r="F88" s="65" t="str">
        <f>IFERROR(VLOOKUP(A88,BUFFS!$H$5:$AF$195,5,),"")</f>
        <v/>
      </c>
      <c r="G88" s="66" t="str">
        <f>IFERROR(VLOOKUP(A88,BUFFS!$H$5:$AF$195,6,),"")</f>
        <v/>
      </c>
      <c r="H88" s="67" t="str">
        <f>IFERROR(VLOOKUP(A88,BUFFS!$H$5:$AF$195,7,),"")</f>
        <v/>
      </c>
      <c r="I88" s="66" t="str">
        <f>IFERROR(VLOOKUP(A88,BUFFS!$H$5:$AF$195,9,),"")</f>
        <v/>
      </c>
      <c r="J88" s="65" t="str">
        <f>IFERROR(VLOOKUP(A88,BUFFS!$H$5:$AF$195,10,),"")</f>
        <v/>
      </c>
      <c r="K88" s="66" t="str">
        <f>IFERROR(VLOOKUP(A88,BUFFS!$H$5:$AF$195,11,),"")</f>
        <v/>
      </c>
      <c r="L88" s="66" t="str">
        <f>IFERROR(VLOOKUP(A88,BUFFS!$H$5:$AF$195,12,),"")</f>
        <v/>
      </c>
      <c r="M88" s="66" t="str">
        <f>IFERROR(VLOOKUP(A88,BUFFS!$H$5:$AF$195,14,),"")</f>
        <v/>
      </c>
      <c r="N88" s="68" t="str">
        <f t="shared" si="3"/>
        <v/>
      </c>
      <c r="O88" s="65" t="str">
        <f>IFERROR(VLOOKUP(A88,BUFFS!$H$5:$AF$195,15,),"")</f>
        <v/>
      </c>
      <c r="P88" s="66" t="str">
        <f>IFERROR(VLOOKUP(A88,BUFFS!$H$5:$AF$195,16,),"")</f>
        <v/>
      </c>
      <c r="Q88" s="66" t="str">
        <f>IFERROR(VLOOKUP(A88,BUFFS!$H$5:$AF$195,17,),"")</f>
        <v/>
      </c>
      <c r="R88" s="66" t="str">
        <f>IFERROR(VLOOKUP(A88,BUFFS!$H$5:$AF$195,19,),"")</f>
        <v/>
      </c>
      <c r="S88" s="69" t="str">
        <f t="shared" si="4"/>
        <v/>
      </c>
      <c r="T88" s="70" t="str">
        <f>IFERROR(VLOOKUP(A88,BUFFS!$H$5:$AF$195,20,),"")</f>
        <v/>
      </c>
    </row>
    <row r="89" spans="1:20" x14ac:dyDescent="0.35">
      <c r="A89" s="17"/>
      <c r="B89" s="18"/>
      <c r="C89" s="13"/>
      <c r="D89" s="31" t="str">
        <f>IFERROR(VLOOKUP(A89,BUFFS!$H$5:$AF$195,8,),"")</f>
        <v/>
      </c>
      <c r="E89" s="24" t="str">
        <f t="shared" si="2"/>
        <v/>
      </c>
      <c r="F89" s="65" t="str">
        <f>IFERROR(VLOOKUP(A89,BUFFS!$H$5:$AF$195,5,),"")</f>
        <v/>
      </c>
      <c r="G89" s="66" t="str">
        <f>IFERROR(VLOOKUP(A89,BUFFS!$H$5:$AF$195,6,),"")</f>
        <v/>
      </c>
      <c r="H89" s="67" t="str">
        <f>IFERROR(VLOOKUP(A89,BUFFS!$H$5:$AF$195,7,),"")</f>
        <v/>
      </c>
      <c r="I89" s="66" t="str">
        <f>IFERROR(VLOOKUP(A89,BUFFS!$H$5:$AF$195,9,),"")</f>
        <v/>
      </c>
      <c r="J89" s="65" t="str">
        <f>IFERROR(VLOOKUP(A89,BUFFS!$H$5:$AF$195,10,),"")</f>
        <v/>
      </c>
      <c r="K89" s="66" t="str">
        <f>IFERROR(VLOOKUP(A89,BUFFS!$H$5:$AF$195,11,),"")</f>
        <v/>
      </c>
      <c r="L89" s="66" t="str">
        <f>IFERROR(VLOOKUP(A89,BUFFS!$H$5:$AF$195,12,),"")</f>
        <v/>
      </c>
      <c r="M89" s="66" t="str">
        <f>IFERROR(VLOOKUP(A89,BUFFS!$H$5:$AF$195,14,),"")</f>
        <v/>
      </c>
      <c r="N89" s="68" t="str">
        <f t="shared" si="3"/>
        <v/>
      </c>
      <c r="O89" s="65" t="str">
        <f>IFERROR(VLOOKUP(A89,BUFFS!$H$5:$AF$195,15,),"")</f>
        <v/>
      </c>
      <c r="P89" s="66" t="str">
        <f>IFERROR(VLOOKUP(A89,BUFFS!$H$5:$AF$195,16,),"")</f>
        <v/>
      </c>
      <c r="Q89" s="66" t="str">
        <f>IFERROR(VLOOKUP(A89,BUFFS!$H$5:$AF$195,17,),"")</f>
        <v/>
      </c>
      <c r="R89" s="66" t="str">
        <f>IFERROR(VLOOKUP(A89,BUFFS!$H$5:$AF$195,19,),"")</f>
        <v/>
      </c>
      <c r="S89" s="69" t="str">
        <f t="shared" si="4"/>
        <v/>
      </c>
      <c r="T89" s="70" t="str">
        <f>IFERROR(VLOOKUP(A89,BUFFS!$H$5:$AF$195,20,),"")</f>
        <v/>
      </c>
    </row>
    <row r="90" spans="1:20" x14ac:dyDescent="0.35">
      <c r="A90" s="17"/>
      <c r="B90" s="18"/>
      <c r="C90" s="13"/>
      <c r="D90" s="31" t="str">
        <f>IFERROR(VLOOKUP(A90,BUFFS!$H$5:$AF$195,8,),"")</f>
        <v/>
      </c>
      <c r="E90" s="24" t="str">
        <f t="shared" si="2"/>
        <v/>
      </c>
      <c r="F90" s="65" t="str">
        <f>IFERROR(VLOOKUP(A90,BUFFS!$H$5:$AF$195,5,),"")</f>
        <v/>
      </c>
      <c r="G90" s="66" t="str">
        <f>IFERROR(VLOOKUP(A90,BUFFS!$H$5:$AF$195,6,),"")</f>
        <v/>
      </c>
      <c r="H90" s="67" t="str">
        <f>IFERROR(VLOOKUP(A90,BUFFS!$H$5:$AF$195,7,),"")</f>
        <v/>
      </c>
      <c r="I90" s="66" t="str">
        <f>IFERROR(VLOOKUP(A90,BUFFS!$H$5:$AF$195,9,),"")</f>
        <v/>
      </c>
      <c r="J90" s="65" t="str">
        <f>IFERROR(VLOOKUP(A90,BUFFS!$H$5:$AF$195,10,),"")</f>
        <v/>
      </c>
      <c r="K90" s="66" t="str">
        <f>IFERROR(VLOOKUP(A90,BUFFS!$H$5:$AF$195,11,),"")</f>
        <v/>
      </c>
      <c r="L90" s="66" t="str">
        <f>IFERROR(VLOOKUP(A90,BUFFS!$H$5:$AF$195,12,),"")</f>
        <v/>
      </c>
      <c r="M90" s="66" t="str">
        <f>IFERROR(VLOOKUP(A90,BUFFS!$H$5:$AF$195,14,),"")</f>
        <v/>
      </c>
      <c r="N90" s="68" t="str">
        <f t="shared" si="3"/>
        <v/>
      </c>
      <c r="O90" s="65" t="str">
        <f>IFERROR(VLOOKUP(A90,BUFFS!$H$5:$AF$195,15,),"")</f>
        <v/>
      </c>
      <c r="P90" s="66" t="str">
        <f>IFERROR(VLOOKUP(A90,BUFFS!$H$5:$AF$195,16,),"")</f>
        <v/>
      </c>
      <c r="Q90" s="66" t="str">
        <f>IFERROR(VLOOKUP(A90,BUFFS!$H$5:$AF$195,17,),"")</f>
        <v/>
      </c>
      <c r="R90" s="66" t="str">
        <f>IFERROR(VLOOKUP(A90,BUFFS!$H$5:$AF$195,19,),"")</f>
        <v/>
      </c>
      <c r="S90" s="69" t="str">
        <f t="shared" si="4"/>
        <v/>
      </c>
      <c r="T90" s="70" t="str">
        <f>IFERROR(VLOOKUP(A90,BUFFS!$H$5:$AF$195,20,),"")</f>
        <v/>
      </c>
    </row>
    <row r="91" spans="1:20" x14ac:dyDescent="0.35">
      <c r="A91" s="17"/>
      <c r="B91" s="18"/>
      <c r="C91" s="13"/>
      <c r="D91" s="31" t="str">
        <f>IFERROR(VLOOKUP(A91,BUFFS!$H$5:$AF$195,8,),"")</f>
        <v/>
      </c>
      <c r="E91" s="24" t="str">
        <f t="shared" si="2"/>
        <v/>
      </c>
      <c r="F91" s="65" t="str">
        <f>IFERROR(VLOOKUP(A91,BUFFS!$H$5:$AF$195,5,),"")</f>
        <v/>
      </c>
      <c r="G91" s="66" t="str">
        <f>IFERROR(VLOOKUP(A91,BUFFS!$H$5:$AF$195,6,),"")</f>
        <v/>
      </c>
      <c r="H91" s="67" t="str">
        <f>IFERROR(VLOOKUP(A91,BUFFS!$H$5:$AF$195,7,),"")</f>
        <v/>
      </c>
      <c r="I91" s="66" t="str">
        <f>IFERROR(VLOOKUP(A91,BUFFS!$H$5:$AF$195,9,),"")</f>
        <v/>
      </c>
      <c r="J91" s="65" t="str">
        <f>IFERROR(VLOOKUP(A91,BUFFS!$H$5:$AF$195,10,),"")</f>
        <v/>
      </c>
      <c r="K91" s="66" t="str">
        <f>IFERROR(VLOOKUP(A91,BUFFS!$H$5:$AF$195,11,),"")</f>
        <v/>
      </c>
      <c r="L91" s="66" t="str">
        <f>IFERROR(VLOOKUP(A91,BUFFS!$H$5:$AF$195,12,),"")</f>
        <v/>
      </c>
      <c r="M91" s="66" t="str">
        <f>IFERROR(VLOOKUP(A91,BUFFS!$H$5:$AF$195,14,),"")</f>
        <v/>
      </c>
      <c r="N91" s="68" t="str">
        <f t="shared" si="3"/>
        <v/>
      </c>
      <c r="O91" s="65" t="str">
        <f>IFERROR(VLOOKUP(A91,BUFFS!$H$5:$AF$195,15,),"")</f>
        <v/>
      </c>
      <c r="P91" s="66" t="str">
        <f>IFERROR(VLOOKUP(A91,BUFFS!$H$5:$AF$195,16,),"")</f>
        <v/>
      </c>
      <c r="Q91" s="66" t="str">
        <f>IFERROR(VLOOKUP(A91,BUFFS!$H$5:$AF$195,17,),"")</f>
        <v/>
      </c>
      <c r="R91" s="66" t="str">
        <f>IFERROR(VLOOKUP(A91,BUFFS!$H$5:$AF$195,19,),"")</f>
        <v/>
      </c>
      <c r="S91" s="69" t="str">
        <f t="shared" si="4"/>
        <v/>
      </c>
      <c r="T91" s="70" t="str">
        <f>IFERROR(VLOOKUP(A91,BUFFS!$H$5:$AF$195,20,),"")</f>
        <v/>
      </c>
    </row>
    <row r="92" spans="1:20" x14ac:dyDescent="0.35">
      <c r="A92" s="17"/>
      <c r="B92" s="18"/>
      <c r="C92" s="13"/>
      <c r="D92" s="31" t="str">
        <f>IFERROR(VLOOKUP(A92,BUFFS!$H$5:$AF$195,8,),"")</f>
        <v/>
      </c>
      <c r="E92" s="24" t="str">
        <f t="shared" si="2"/>
        <v/>
      </c>
      <c r="F92" s="65" t="str">
        <f>IFERROR(VLOOKUP(A92,BUFFS!$H$5:$AF$195,5,),"")</f>
        <v/>
      </c>
      <c r="G92" s="66" t="str">
        <f>IFERROR(VLOOKUP(A92,BUFFS!$H$5:$AF$195,6,),"")</f>
        <v/>
      </c>
      <c r="H92" s="67" t="str">
        <f>IFERROR(VLOOKUP(A92,BUFFS!$H$5:$AF$195,7,),"")</f>
        <v/>
      </c>
      <c r="I92" s="66" t="str">
        <f>IFERROR(VLOOKUP(A92,BUFFS!$H$5:$AF$195,9,),"")</f>
        <v/>
      </c>
      <c r="J92" s="65" t="str">
        <f>IFERROR(VLOOKUP(A92,BUFFS!$H$5:$AF$195,10,),"")</f>
        <v/>
      </c>
      <c r="K92" s="66" t="str">
        <f>IFERROR(VLOOKUP(A92,BUFFS!$H$5:$AF$195,11,),"")</f>
        <v/>
      </c>
      <c r="L92" s="66" t="str">
        <f>IFERROR(VLOOKUP(A92,BUFFS!$H$5:$AF$195,12,),"")</f>
        <v/>
      </c>
      <c r="M92" s="66" t="str">
        <f>IFERROR(VLOOKUP(A92,BUFFS!$H$5:$AF$195,14,),"")</f>
        <v/>
      </c>
      <c r="N92" s="68" t="str">
        <f t="shared" si="3"/>
        <v/>
      </c>
      <c r="O92" s="65" t="str">
        <f>IFERROR(VLOOKUP(A92,BUFFS!$H$5:$AF$195,15,),"")</f>
        <v/>
      </c>
      <c r="P92" s="66" t="str">
        <f>IFERROR(VLOOKUP(A92,BUFFS!$H$5:$AF$195,16,),"")</f>
        <v/>
      </c>
      <c r="Q92" s="66" t="str">
        <f>IFERROR(VLOOKUP(A92,BUFFS!$H$5:$AF$195,17,),"")</f>
        <v/>
      </c>
      <c r="R92" s="66" t="str">
        <f>IFERROR(VLOOKUP(A92,BUFFS!$H$5:$AF$195,19,),"")</f>
        <v/>
      </c>
      <c r="S92" s="69" t="str">
        <f t="shared" si="4"/>
        <v/>
      </c>
      <c r="T92" s="70" t="str">
        <f>IFERROR(VLOOKUP(A92,BUFFS!$H$5:$AF$195,20,),"")</f>
        <v/>
      </c>
    </row>
    <row r="93" spans="1:20" x14ac:dyDescent="0.35">
      <c r="A93" s="17"/>
      <c r="B93" s="18"/>
      <c r="C93" s="13"/>
      <c r="D93" s="31" t="str">
        <f>IFERROR(VLOOKUP(A93,BUFFS!$H$5:$AF$195,8,),"")</f>
        <v/>
      </c>
      <c r="E93" s="24" t="str">
        <f t="shared" si="2"/>
        <v/>
      </c>
      <c r="F93" s="65" t="str">
        <f>IFERROR(VLOOKUP(A93,BUFFS!$H$5:$AF$195,5,),"")</f>
        <v/>
      </c>
      <c r="G93" s="66" t="str">
        <f>IFERROR(VLOOKUP(A93,BUFFS!$H$5:$AF$195,6,),"")</f>
        <v/>
      </c>
      <c r="H93" s="67" t="str">
        <f>IFERROR(VLOOKUP(A93,BUFFS!$H$5:$AF$195,7,),"")</f>
        <v/>
      </c>
      <c r="I93" s="66" t="str">
        <f>IFERROR(VLOOKUP(A93,BUFFS!$H$5:$AF$195,9,),"")</f>
        <v/>
      </c>
      <c r="J93" s="65" t="str">
        <f>IFERROR(VLOOKUP(A93,BUFFS!$H$5:$AF$195,10,),"")</f>
        <v/>
      </c>
      <c r="K93" s="66" t="str">
        <f>IFERROR(VLOOKUP(A93,BUFFS!$H$5:$AF$195,11,),"")</f>
        <v/>
      </c>
      <c r="L93" s="66" t="str">
        <f>IFERROR(VLOOKUP(A93,BUFFS!$H$5:$AF$195,12,),"")</f>
        <v/>
      </c>
      <c r="M93" s="66" t="str">
        <f>IFERROR(VLOOKUP(A93,BUFFS!$H$5:$AF$195,14,),"")</f>
        <v/>
      </c>
      <c r="N93" s="68" t="str">
        <f t="shared" si="3"/>
        <v/>
      </c>
      <c r="O93" s="65" t="str">
        <f>IFERROR(VLOOKUP(A93,BUFFS!$H$5:$AF$195,15,),"")</f>
        <v/>
      </c>
      <c r="P93" s="66" t="str">
        <f>IFERROR(VLOOKUP(A93,BUFFS!$H$5:$AF$195,16,),"")</f>
        <v/>
      </c>
      <c r="Q93" s="66" t="str">
        <f>IFERROR(VLOOKUP(A93,BUFFS!$H$5:$AF$195,17,),"")</f>
        <v/>
      </c>
      <c r="R93" s="66" t="str">
        <f>IFERROR(VLOOKUP(A93,BUFFS!$H$5:$AF$195,19,),"")</f>
        <v/>
      </c>
      <c r="S93" s="69" t="str">
        <f t="shared" si="4"/>
        <v/>
      </c>
      <c r="T93" s="70" t="str">
        <f>IFERROR(VLOOKUP(A93,BUFFS!$H$5:$AF$195,20,),"")</f>
        <v/>
      </c>
    </row>
    <row r="94" spans="1:20" x14ac:dyDescent="0.35">
      <c r="A94" s="17"/>
      <c r="B94" s="18"/>
      <c r="C94" s="13"/>
      <c r="D94" s="31" t="str">
        <f>IFERROR(VLOOKUP(A94,BUFFS!$H$5:$AF$195,8,),"")</f>
        <v/>
      </c>
      <c r="E94" s="24" t="str">
        <f t="shared" si="2"/>
        <v/>
      </c>
      <c r="F94" s="65" t="str">
        <f>IFERROR(VLOOKUP(A94,BUFFS!$H$5:$AF$195,5,),"")</f>
        <v/>
      </c>
      <c r="G94" s="66" t="str">
        <f>IFERROR(VLOOKUP(A94,BUFFS!$H$5:$AF$195,6,),"")</f>
        <v/>
      </c>
      <c r="H94" s="67" t="str">
        <f>IFERROR(VLOOKUP(A94,BUFFS!$H$5:$AF$195,7,),"")</f>
        <v/>
      </c>
      <c r="I94" s="66" t="str">
        <f>IFERROR(VLOOKUP(A94,BUFFS!$H$5:$AF$195,9,),"")</f>
        <v/>
      </c>
      <c r="J94" s="65" t="str">
        <f>IFERROR(VLOOKUP(A94,BUFFS!$H$5:$AF$195,10,),"")</f>
        <v/>
      </c>
      <c r="K94" s="66" t="str">
        <f>IFERROR(VLOOKUP(A94,BUFFS!$H$5:$AF$195,11,),"")</f>
        <v/>
      </c>
      <c r="L94" s="66" t="str">
        <f>IFERROR(VLOOKUP(A94,BUFFS!$H$5:$AF$195,12,),"")</f>
        <v/>
      </c>
      <c r="M94" s="66" t="str">
        <f>IFERROR(VLOOKUP(A94,BUFFS!$H$5:$AF$195,14,),"")</f>
        <v/>
      </c>
      <c r="N94" s="68" t="str">
        <f t="shared" si="3"/>
        <v/>
      </c>
      <c r="O94" s="65" t="str">
        <f>IFERROR(VLOOKUP(A94,BUFFS!$H$5:$AF$195,15,),"")</f>
        <v/>
      </c>
      <c r="P94" s="66" t="str">
        <f>IFERROR(VLOOKUP(A94,BUFFS!$H$5:$AF$195,16,),"")</f>
        <v/>
      </c>
      <c r="Q94" s="66" t="str">
        <f>IFERROR(VLOOKUP(A94,BUFFS!$H$5:$AF$195,17,),"")</f>
        <v/>
      </c>
      <c r="R94" s="66" t="str">
        <f>IFERROR(VLOOKUP(A94,BUFFS!$H$5:$AF$195,19,),"")</f>
        <v/>
      </c>
      <c r="S94" s="69" t="str">
        <f t="shared" si="4"/>
        <v/>
      </c>
      <c r="T94" s="70" t="str">
        <f>IFERROR(VLOOKUP(A94,BUFFS!$H$5:$AF$195,20,),"")</f>
        <v/>
      </c>
    </row>
    <row r="95" spans="1:20" x14ac:dyDescent="0.35">
      <c r="A95" s="17"/>
      <c r="B95" s="18"/>
      <c r="C95" s="13"/>
      <c r="D95" s="31" t="str">
        <f>IFERROR(VLOOKUP(A95,BUFFS!$H$5:$AF$195,8,),"")</f>
        <v/>
      </c>
      <c r="E95" s="24" t="str">
        <f t="shared" si="2"/>
        <v/>
      </c>
      <c r="F95" s="65" t="str">
        <f>IFERROR(VLOOKUP(A95,BUFFS!$H$5:$AF$195,5,),"")</f>
        <v/>
      </c>
      <c r="G95" s="66" t="str">
        <f>IFERROR(VLOOKUP(A95,BUFFS!$H$5:$AF$195,6,),"")</f>
        <v/>
      </c>
      <c r="H95" s="67" t="str">
        <f>IFERROR(VLOOKUP(A95,BUFFS!$H$5:$AF$195,7,),"")</f>
        <v/>
      </c>
      <c r="I95" s="66" t="str">
        <f>IFERROR(VLOOKUP(A95,BUFFS!$H$5:$AF$195,9,),"")</f>
        <v/>
      </c>
      <c r="J95" s="65" t="str">
        <f>IFERROR(VLOOKUP(A95,BUFFS!$H$5:$AF$195,10,),"")</f>
        <v/>
      </c>
      <c r="K95" s="66" t="str">
        <f>IFERROR(VLOOKUP(A95,BUFFS!$H$5:$AF$195,11,),"")</f>
        <v/>
      </c>
      <c r="L95" s="66" t="str">
        <f>IFERROR(VLOOKUP(A95,BUFFS!$H$5:$AF$195,12,),"")</f>
        <v/>
      </c>
      <c r="M95" s="66" t="str">
        <f>IFERROR(VLOOKUP(A95,BUFFS!$H$5:$AF$195,14,),"")</f>
        <v/>
      </c>
      <c r="N95" s="68" t="str">
        <f t="shared" si="3"/>
        <v/>
      </c>
      <c r="O95" s="65" t="str">
        <f>IFERROR(VLOOKUP(A95,BUFFS!$H$5:$AF$195,15,),"")</f>
        <v/>
      </c>
      <c r="P95" s="66" t="str">
        <f>IFERROR(VLOOKUP(A95,BUFFS!$H$5:$AF$195,16,),"")</f>
        <v/>
      </c>
      <c r="Q95" s="66" t="str">
        <f>IFERROR(VLOOKUP(A95,BUFFS!$H$5:$AF$195,17,),"")</f>
        <v/>
      </c>
      <c r="R95" s="66" t="str">
        <f>IFERROR(VLOOKUP(A95,BUFFS!$H$5:$AF$195,19,),"")</f>
        <v/>
      </c>
      <c r="S95" s="69" t="str">
        <f t="shared" si="4"/>
        <v/>
      </c>
      <c r="T95" s="70" t="str">
        <f>IFERROR(VLOOKUP(A95,BUFFS!$H$5:$AF$195,20,),"")</f>
        <v/>
      </c>
    </row>
    <row r="96" spans="1:20" x14ac:dyDescent="0.35">
      <c r="A96" s="17"/>
      <c r="B96" s="18"/>
      <c r="C96" s="13"/>
      <c r="D96" s="31" t="str">
        <f>IFERROR(VLOOKUP(A96,BUFFS!$H$5:$AF$195,8,),"")</f>
        <v/>
      </c>
      <c r="E96" s="24" t="str">
        <f t="shared" si="2"/>
        <v/>
      </c>
      <c r="F96" s="65" t="str">
        <f>IFERROR(VLOOKUP(A96,BUFFS!$H$5:$AF$195,5,),"")</f>
        <v/>
      </c>
      <c r="G96" s="66" t="str">
        <f>IFERROR(VLOOKUP(A96,BUFFS!$H$5:$AF$195,6,),"")</f>
        <v/>
      </c>
      <c r="H96" s="67" t="str">
        <f>IFERROR(VLOOKUP(A96,BUFFS!$H$5:$AF$195,7,),"")</f>
        <v/>
      </c>
      <c r="I96" s="66" t="str">
        <f>IFERROR(VLOOKUP(A96,BUFFS!$H$5:$AF$195,9,),"")</f>
        <v/>
      </c>
      <c r="J96" s="65" t="str">
        <f>IFERROR(VLOOKUP(A96,BUFFS!$H$5:$AF$195,10,),"")</f>
        <v/>
      </c>
      <c r="K96" s="66" t="str">
        <f>IFERROR(VLOOKUP(A96,BUFFS!$H$5:$AF$195,11,),"")</f>
        <v/>
      </c>
      <c r="L96" s="66" t="str">
        <f>IFERROR(VLOOKUP(A96,BUFFS!$H$5:$AF$195,12,),"")</f>
        <v/>
      </c>
      <c r="M96" s="66" t="str">
        <f>IFERROR(VLOOKUP(A96,BUFFS!$H$5:$AF$195,14,),"")</f>
        <v/>
      </c>
      <c r="N96" s="68" t="str">
        <f t="shared" si="3"/>
        <v/>
      </c>
      <c r="O96" s="65" t="str">
        <f>IFERROR(VLOOKUP(A96,BUFFS!$H$5:$AF$195,15,),"")</f>
        <v/>
      </c>
      <c r="P96" s="66" t="str">
        <f>IFERROR(VLOOKUP(A96,BUFFS!$H$5:$AF$195,16,),"")</f>
        <v/>
      </c>
      <c r="Q96" s="66" t="str">
        <f>IFERROR(VLOOKUP(A96,BUFFS!$H$5:$AF$195,17,),"")</f>
        <v/>
      </c>
      <c r="R96" s="66" t="str">
        <f>IFERROR(VLOOKUP(A96,BUFFS!$H$5:$AF$195,19,),"")</f>
        <v/>
      </c>
      <c r="S96" s="69" t="str">
        <f t="shared" si="4"/>
        <v/>
      </c>
      <c r="T96" s="70" t="str">
        <f>IFERROR(VLOOKUP(A96,BUFFS!$H$5:$AF$195,20,),"")</f>
        <v/>
      </c>
    </row>
    <row r="97" spans="1:20" x14ac:dyDescent="0.35">
      <c r="A97" s="17"/>
      <c r="B97" s="18"/>
      <c r="C97" s="13"/>
      <c r="D97" s="31" t="str">
        <f>IFERROR(VLOOKUP(A97,BUFFS!$H$5:$AF$195,8,),"")</f>
        <v/>
      </c>
      <c r="E97" s="24" t="str">
        <f t="shared" si="2"/>
        <v/>
      </c>
      <c r="F97" s="65" t="str">
        <f>IFERROR(VLOOKUP(A97,BUFFS!$H$5:$AF$195,5,),"")</f>
        <v/>
      </c>
      <c r="G97" s="66" t="str">
        <f>IFERROR(VLOOKUP(A97,BUFFS!$H$5:$AF$195,6,),"")</f>
        <v/>
      </c>
      <c r="H97" s="67" t="str">
        <f>IFERROR(VLOOKUP(A97,BUFFS!$H$5:$AF$195,7,),"")</f>
        <v/>
      </c>
      <c r="I97" s="66" t="str">
        <f>IFERROR(VLOOKUP(A97,BUFFS!$H$5:$AF$195,9,),"")</f>
        <v/>
      </c>
      <c r="J97" s="65" t="str">
        <f>IFERROR(VLOOKUP(A97,BUFFS!$H$5:$AF$195,10,),"")</f>
        <v/>
      </c>
      <c r="K97" s="66" t="str">
        <f>IFERROR(VLOOKUP(A97,BUFFS!$H$5:$AF$195,11,),"")</f>
        <v/>
      </c>
      <c r="L97" s="66" t="str">
        <f>IFERROR(VLOOKUP(A97,BUFFS!$H$5:$AF$195,12,),"")</f>
        <v/>
      </c>
      <c r="M97" s="66" t="str">
        <f>IFERROR(VLOOKUP(A97,BUFFS!$H$5:$AF$195,14,),"")</f>
        <v/>
      </c>
      <c r="N97" s="68" t="str">
        <f t="shared" si="3"/>
        <v/>
      </c>
      <c r="O97" s="65" t="str">
        <f>IFERROR(VLOOKUP(A97,BUFFS!$H$5:$AF$195,15,),"")</f>
        <v/>
      </c>
      <c r="P97" s="66" t="str">
        <f>IFERROR(VLOOKUP(A97,BUFFS!$H$5:$AF$195,16,),"")</f>
        <v/>
      </c>
      <c r="Q97" s="66" t="str">
        <f>IFERROR(VLOOKUP(A97,BUFFS!$H$5:$AF$195,17,),"")</f>
        <v/>
      </c>
      <c r="R97" s="66" t="str">
        <f>IFERROR(VLOOKUP(A97,BUFFS!$H$5:$AF$195,19,),"")</f>
        <v/>
      </c>
      <c r="S97" s="69" t="str">
        <f t="shared" si="4"/>
        <v/>
      </c>
      <c r="T97" s="70" t="str">
        <f>IFERROR(VLOOKUP(A97,BUFFS!$H$5:$AF$195,20,),"")</f>
        <v/>
      </c>
    </row>
    <row r="98" spans="1:20" x14ac:dyDescent="0.35">
      <c r="A98" s="17"/>
      <c r="B98" s="18"/>
      <c r="C98" s="13"/>
      <c r="D98" s="31" t="str">
        <f>IFERROR(VLOOKUP(A98,BUFFS!$H$5:$AF$195,8,),"")</f>
        <v/>
      </c>
      <c r="E98" s="24" t="str">
        <f t="shared" si="2"/>
        <v/>
      </c>
      <c r="F98" s="65" t="str">
        <f>IFERROR(VLOOKUP(A98,BUFFS!$H$5:$AF$195,5,),"")</f>
        <v/>
      </c>
      <c r="G98" s="66" t="str">
        <f>IFERROR(VLOOKUP(A98,BUFFS!$H$5:$AF$195,6,),"")</f>
        <v/>
      </c>
      <c r="H98" s="67" t="str">
        <f>IFERROR(VLOOKUP(A98,BUFFS!$H$5:$AF$195,7,),"")</f>
        <v/>
      </c>
      <c r="I98" s="66" t="str">
        <f>IFERROR(VLOOKUP(A98,BUFFS!$H$5:$AF$195,9,),"")</f>
        <v/>
      </c>
      <c r="J98" s="65" t="str">
        <f>IFERROR(VLOOKUP(A98,BUFFS!$H$5:$AF$195,10,),"")</f>
        <v/>
      </c>
      <c r="K98" s="66" t="str">
        <f>IFERROR(VLOOKUP(A98,BUFFS!$H$5:$AF$195,11,),"")</f>
        <v/>
      </c>
      <c r="L98" s="66" t="str">
        <f>IFERROR(VLOOKUP(A98,BUFFS!$H$5:$AF$195,12,),"")</f>
        <v/>
      </c>
      <c r="M98" s="66" t="str">
        <f>IFERROR(VLOOKUP(A98,BUFFS!$H$5:$AF$195,14,),"")</f>
        <v/>
      </c>
      <c r="N98" s="68" t="str">
        <f t="shared" si="3"/>
        <v/>
      </c>
      <c r="O98" s="65" t="str">
        <f>IFERROR(VLOOKUP(A98,BUFFS!$H$5:$AF$195,15,),"")</f>
        <v/>
      </c>
      <c r="P98" s="66" t="str">
        <f>IFERROR(VLOOKUP(A98,BUFFS!$H$5:$AF$195,16,),"")</f>
        <v/>
      </c>
      <c r="Q98" s="66" t="str">
        <f>IFERROR(VLOOKUP(A98,BUFFS!$H$5:$AF$195,17,),"")</f>
        <v/>
      </c>
      <c r="R98" s="66" t="str">
        <f>IFERROR(VLOOKUP(A98,BUFFS!$H$5:$AF$195,19,),"")</f>
        <v/>
      </c>
      <c r="S98" s="69" t="str">
        <f t="shared" si="4"/>
        <v/>
      </c>
      <c r="T98" s="70" t="str">
        <f>IFERROR(VLOOKUP(A98,BUFFS!$H$5:$AF$195,20,),"")</f>
        <v/>
      </c>
    </row>
    <row r="99" spans="1:20" x14ac:dyDescent="0.35">
      <c r="A99" s="17"/>
      <c r="B99" s="18"/>
      <c r="C99" s="13"/>
      <c r="D99" s="31" t="str">
        <f>IFERROR(VLOOKUP(A99,BUFFS!$H$5:$AF$195,8,),"")</f>
        <v/>
      </c>
      <c r="E99" s="24" t="str">
        <f t="shared" si="2"/>
        <v/>
      </c>
      <c r="F99" s="65" t="str">
        <f>IFERROR(VLOOKUP(A99,BUFFS!$H$5:$AF$195,5,),"")</f>
        <v/>
      </c>
      <c r="G99" s="66" t="str">
        <f>IFERROR(VLOOKUP(A99,BUFFS!$H$5:$AF$195,6,),"")</f>
        <v/>
      </c>
      <c r="H99" s="67" t="str">
        <f>IFERROR(VLOOKUP(A99,BUFFS!$H$5:$AF$195,7,),"")</f>
        <v/>
      </c>
      <c r="I99" s="66" t="str">
        <f>IFERROR(VLOOKUP(A99,BUFFS!$H$5:$AF$195,9,),"")</f>
        <v/>
      </c>
      <c r="J99" s="65" t="str">
        <f>IFERROR(VLOOKUP(A99,BUFFS!$H$5:$AF$195,10,),"")</f>
        <v/>
      </c>
      <c r="K99" s="66" t="str">
        <f>IFERROR(VLOOKUP(A99,BUFFS!$H$5:$AF$195,11,),"")</f>
        <v/>
      </c>
      <c r="L99" s="66" t="str">
        <f>IFERROR(VLOOKUP(A99,BUFFS!$H$5:$AF$195,12,),"")</f>
        <v/>
      </c>
      <c r="M99" s="66" t="str">
        <f>IFERROR(VLOOKUP(A99,BUFFS!$H$5:$AF$195,14,),"")</f>
        <v/>
      </c>
      <c r="N99" s="68" t="str">
        <f t="shared" si="3"/>
        <v/>
      </c>
      <c r="O99" s="65" t="str">
        <f>IFERROR(VLOOKUP(A99,BUFFS!$H$5:$AF$195,15,),"")</f>
        <v/>
      </c>
      <c r="P99" s="66" t="str">
        <f>IFERROR(VLOOKUP(A99,BUFFS!$H$5:$AF$195,16,),"")</f>
        <v/>
      </c>
      <c r="Q99" s="66" t="str">
        <f>IFERROR(VLOOKUP(A99,BUFFS!$H$5:$AF$195,17,),"")</f>
        <v/>
      </c>
      <c r="R99" s="66" t="str">
        <f>IFERROR(VLOOKUP(A99,BUFFS!$H$5:$AF$195,19,),"")</f>
        <v/>
      </c>
      <c r="S99" s="69" t="str">
        <f t="shared" si="4"/>
        <v/>
      </c>
      <c r="T99" s="70" t="str">
        <f>IFERROR(VLOOKUP(A99,BUFFS!$H$5:$AF$195,20,),"")</f>
        <v/>
      </c>
    </row>
    <row r="100" spans="1:20" x14ac:dyDescent="0.35">
      <c r="A100" s="17"/>
      <c r="B100" s="18"/>
      <c r="C100" s="13"/>
      <c r="D100" s="31" t="str">
        <f>IFERROR(VLOOKUP(A100,BUFFS!$H$5:$AF$195,8,),"")</f>
        <v/>
      </c>
      <c r="E100" s="24" t="str">
        <f t="shared" si="2"/>
        <v/>
      </c>
      <c r="F100" s="65" t="str">
        <f>IFERROR(VLOOKUP(A100,BUFFS!$H$5:$AF$195,5,),"")</f>
        <v/>
      </c>
      <c r="G100" s="66" t="str">
        <f>IFERROR(VLOOKUP(A100,BUFFS!$H$5:$AF$195,6,),"")</f>
        <v/>
      </c>
      <c r="H100" s="67" t="str">
        <f>IFERROR(VLOOKUP(A100,BUFFS!$H$5:$AF$195,7,),"")</f>
        <v/>
      </c>
      <c r="I100" s="66" t="str">
        <f>IFERROR(VLOOKUP(A100,BUFFS!$H$5:$AF$195,9,),"")</f>
        <v/>
      </c>
      <c r="J100" s="65" t="str">
        <f>IFERROR(VLOOKUP(A100,BUFFS!$H$5:$AF$195,10,),"")</f>
        <v/>
      </c>
      <c r="K100" s="66" t="str">
        <f>IFERROR(VLOOKUP(A100,BUFFS!$H$5:$AF$195,11,),"")</f>
        <v/>
      </c>
      <c r="L100" s="66" t="str">
        <f>IFERROR(VLOOKUP(A100,BUFFS!$H$5:$AF$195,12,),"")</f>
        <v/>
      </c>
      <c r="M100" s="66" t="str">
        <f>IFERROR(VLOOKUP(A100,BUFFS!$H$5:$AF$195,14,),"")</f>
        <v/>
      </c>
      <c r="N100" s="68" t="str">
        <f t="shared" si="3"/>
        <v/>
      </c>
      <c r="O100" s="65" t="str">
        <f>IFERROR(VLOOKUP(A100,BUFFS!$H$5:$AF$195,15,),"")</f>
        <v/>
      </c>
      <c r="P100" s="66" t="str">
        <f>IFERROR(VLOOKUP(A100,BUFFS!$H$5:$AF$195,16,),"")</f>
        <v/>
      </c>
      <c r="Q100" s="66" t="str">
        <f>IFERROR(VLOOKUP(A100,BUFFS!$H$5:$AF$195,17,),"")</f>
        <v/>
      </c>
      <c r="R100" s="66" t="str">
        <f>IFERROR(VLOOKUP(A100,BUFFS!$H$5:$AF$195,19,),"")</f>
        <v/>
      </c>
      <c r="S100" s="69" t="str">
        <f t="shared" si="4"/>
        <v/>
      </c>
      <c r="T100" s="70" t="str">
        <f>IFERROR(VLOOKUP(A100,BUFFS!$H$5:$AF$195,20,),"")</f>
        <v/>
      </c>
    </row>
    <row r="101" spans="1:20" x14ac:dyDescent="0.35">
      <c r="A101" s="17"/>
      <c r="B101" s="18"/>
      <c r="C101" s="13"/>
      <c r="D101" s="31" t="str">
        <f>IFERROR(VLOOKUP(A101,BUFFS!$H$5:$AF$195,8,),"")</f>
        <v/>
      </c>
      <c r="E101" s="24" t="str">
        <f t="shared" si="2"/>
        <v/>
      </c>
      <c r="F101" s="65" t="str">
        <f>IFERROR(VLOOKUP(A101,BUFFS!$H$5:$AF$195,5,),"")</f>
        <v/>
      </c>
      <c r="G101" s="66" t="str">
        <f>IFERROR(VLOOKUP(A101,BUFFS!$H$5:$AF$195,6,),"")</f>
        <v/>
      </c>
      <c r="H101" s="67" t="str">
        <f>IFERROR(VLOOKUP(A101,BUFFS!$H$5:$AF$195,7,),"")</f>
        <v/>
      </c>
      <c r="I101" s="66" t="str">
        <f>IFERROR(VLOOKUP(A101,BUFFS!$H$5:$AF$195,9,),"")</f>
        <v/>
      </c>
      <c r="J101" s="65" t="str">
        <f>IFERROR(VLOOKUP(A101,BUFFS!$H$5:$AF$195,10,),"")</f>
        <v/>
      </c>
      <c r="K101" s="66" t="str">
        <f>IFERROR(VLOOKUP(A101,BUFFS!$H$5:$AF$195,11,),"")</f>
        <v/>
      </c>
      <c r="L101" s="66" t="str">
        <f>IFERROR(VLOOKUP(A101,BUFFS!$H$5:$AF$195,12,),"")</f>
        <v/>
      </c>
      <c r="M101" s="66" t="str">
        <f>IFERROR(VLOOKUP(A101,BUFFS!$H$5:$AF$195,14,),"")</f>
        <v/>
      </c>
      <c r="N101" s="68" t="str">
        <f t="shared" si="3"/>
        <v/>
      </c>
      <c r="O101" s="65" t="str">
        <f>IFERROR(VLOOKUP(A101,BUFFS!$H$5:$AF$195,15,),"")</f>
        <v/>
      </c>
      <c r="P101" s="66" t="str">
        <f>IFERROR(VLOOKUP(A101,BUFFS!$H$5:$AF$195,16,),"")</f>
        <v/>
      </c>
      <c r="Q101" s="66" t="str">
        <f>IFERROR(VLOOKUP(A101,BUFFS!$H$5:$AF$195,17,),"")</f>
        <v/>
      </c>
      <c r="R101" s="66" t="str">
        <f>IFERROR(VLOOKUP(A101,BUFFS!$H$5:$AF$195,19,),"")</f>
        <v/>
      </c>
      <c r="S101" s="69" t="str">
        <f t="shared" si="4"/>
        <v/>
      </c>
      <c r="T101" s="70" t="str">
        <f>IFERROR(VLOOKUP(A101,BUFFS!$H$5:$AF$195,20,),"")</f>
        <v/>
      </c>
    </row>
    <row r="102" spans="1:20" x14ac:dyDescent="0.35">
      <c r="A102" s="17"/>
      <c r="B102" s="18"/>
      <c r="C102" s="13"/>
      <c r="D102" s="31" t="str">
        <f>IFERROR(VLOOKUP(A102,BUFFS!$H$5:$AF$195,8,),"")</f>
        <v/>
      </c>
      <c r="E102" s="24" t="str">
        <f t="shared" si="2"/>
        <v/>
      </c>
      <c r="F102" s="65" t="str">
        <f>IFERROR(VLOOKUP(A102,BUFFS!$H$5:$AF$195,5,),"")</f>
        <v/>
      </c>
      <c r="G102" s="66" t="str">
        <f>IFERROR(VLOOKUP(A102,BUFFS!$H$5:$AF$195,6,),"")</f>
        <v/>
      </c>
      <c r="H102" s="67" t="str">
        <f>IFERROR(VLOOKUP(A102,BUFFS!$H$5:$AF$195,7,),"")</f>
        <v/>
      </c>
      <c r="I102" s="66" t="str">
        <f>IFERROR(VLOOKUP(A102,BUFFS!$H$5:$AF$195,9,),"")</f>
        <v/>
      </c>
      <c r="J102" s="65" t="str">
        <f>IFERROR(VLOOKUP(A102,BUFFS!$H$5:$AF$195,10,),"")</f>
        <v/>
      </c>
      <c r="K102" s="66" t="str">
        <f>IFERROR(VLOOKUP(A102,BUFFS!$H$5:$AF$195,11,),"")</f>
        <v/>
      </c>
      <c r="L102" s="66" t="str">
        <f>IFERROR(VLOOKUP(A102,BUFFS!$H$5:$AF$195,12,),"")</f>
        <v/>
      </c>
      <c r="M102" s="66" t="str">
        <f>IFERROR(VLOOKUP(A102,BUFFS!$H$5:$AF$195,14,),"")</f>
        <v/>
      </c>
      <c r="N102" s="68" t="str">
        <f t="shared" si="3"/>
        <v/>
      </c>
      <c r="O102" s="65" t="str">
        <f>IFERROR(VLOOKUP(A102,BUFFS!$H$5:$AF$195,15,),"")</f>
        <v/>
      </c>
      <c r="P102" s="66" t="str">
        <f>IFERROR(VLOOKUP(A102,BUFFS!$H$5:$AF$195,16,),"")</f>
        <v/>
      </c>
      <c r="Q102" s="66" t="str">
        <f>IFERROR(VLOOKUP(A102,BUFFS!$H$5:$AF$195,17,),"")</f>
        <v/>
      </c>
      <c r="R102" s="66" t="str">
        <f>IFERROR(VLOOKUP(A102,BUFFS!$H$5:$AF$195,19,),"")</f>
        <v/>
      </c>
      <c r="S102" s="69" t="str">
        <f t="shared" si="4"/>
        <v/>
      </c>
      <c r="T102" s="70" t="str">
        <f>IFERROR(VLOOKUP(A102,BUFFS!$H$5:$AF$195,20,),"")</f>
        <v/>
      </c>
    </row>
    <row r="103" spans="1:20" x14ac:dyDescent="0.35">
      <c r="A103" s="17"/>
      <c r="B103" s="18"/>
      <c r="C103" s="13"/>
      <c r="D103" s="31" t="str">
        <f>IFERROR(VLOOKUP(A103,BUFFS!$H$5:$AF$195,8,),"")</f>
        <v/>
      </c>
      <c r="E103" s="24" t="str">
        <f t="shared" si="2"/>
        <v/>
      </c>
      <c r="F103" s="65" t="str">
        <f>IFERROR(VLOOKUP(A103,BUFFS!$H$5:$AF$195,5,),"")</f>
        <v/>
      </c>
      <c r="G103" s="66" t="str">
        <f>IFERROR(VLOOKUP(A103,BUFFS!$H$5:$AF$195,6,),"")</f>
        <v/>
      </c>
      <c r="H103" s="67" t="str">
        <f>IFERROR(VLOOKUP(A103,BUFFS!$H$5:$AF$195,7,),"")</f>
        <v/>
      </c>
      <c r="I103" s="66" t="str">
        <f>IFERROR(VLOOKUP(A103,BUFFS!$H$5:$AF$195,9,),"")</f>
        <v/>
      </c>
      <c r="J103" s="65" t="str">
        <f>IFERROR(VLOOKUP(A103,BUFFS!$H$5:$AF$195,10,),"")</f>
        <v/>
      </c>
      <c r="K103" s="66" t="str">
        <f>IFERROR(VLOOKUP(A103,BUFFS!$H$5:$AF$195,11,),"")</f>
        <v/>
      </c>
      <c r="L103" s="66" t="str">
        <f>IFERROR(VLOOKUP(A103,BUFFS!$H$5:$AF$195,12,),"")</f>
        <v/>
      </c>
      <c r="M103" s="66" t="str">
        <f>IFERROR(VLOOKUP(A103,BUFFS!$H$5:$AF$195,14,),"")</f>
        <v/>
      </c>
      <c r="N103" s="68" t="str">
        <f t="shared" si="3"/>
        <v/>
      </c>
      <c r="O103" s="65" t="str">
        <f>IFERROR(VLOOKUP(A103,BUFFS!$H$5:$AF$195,15,),"")</f>
        <v/>
      </c>
      <c r="P103" s="66" t="str">
        <f>IFERROR(VLOOKUP(A103,BUFFS!$H$5:$AF$195,16,),"")</f>
        <v/>
      </c>
      <c r="Q103" s="66" t="str">
        <f>IFERROR(VLOOKUP(A103,BUFFS!$H$5:$AF$195,17,),"")</f>
        <v/>
      </c>
      <c r="R103" s="66" t="str">
        <f>IFERROR(VLOOKUP(A103,BUFFS!$H$5:$AF$195,19,),"")</f>
        <v/>
      </c>
      <c r="S103" s="69" t="str">
        <f t="shared" si="4"/>
        <v/>
      </c>
      <c r="T103" s="70" t="str">
        <f>IFERROR(VLOOKUP(A103,BUFFS!$H$5:$AF$195,20,),"")</f>
        <v/>
      </c>
    </row>
    <row r="104" spans="1:20" x14ac:dyDescent="0.35">
      <c r="A104" s="17"/>
      <c r="B104" s="18"/>
      <c r="C104" s="13"/>
      <c r="D104" s="31" t="str">
        <f>IFERROR(VLOOKUP(A104,BUFFS!$H$5:$AF$195,8,),"")</f>
        <v/>
      </c>
      <c r="E104" s="24" t="str">
        <f t="shared" si="2"/>
        <v/>
      </c>
      <c r="F104" s="65" t="str">
        <f>IFERROR(VLOOKUP(A104,BUFFS!$H$5:$AF$195,5,),"")</f>
        <v/>
      </c>
      <c r="G104" s="66" t="str">
        <f>IFERROR(VLOOKUP(A104,BUFFS!$H$5:$AF$195,6,),"")</f>
        <v/>
      </c>
      <c r="H104" s="67" t="str">
        <f>IFERROR(VLOOKUP(A104,BUFFS!$H$5:$AF$195,7,),"")</f>
        <v/>
      </c>
      <c r="I104" s="66" t="str">
        <f>IFERROR(VLOOKUP(A104,BUFFS!$H$5:$AF$195,9,),"")</f>
        <v/>
      </c>
      <c r="J104" s="65" t="str">
        <f>IFERROR(VLOOKUP(A104,BUFFS!$H$5:$AF$195,10,),"")</f>
        <v/>
      </c>
      <c r="K104" s="66" t="str">
        <f>IFERROR(VLOOKUP(A104,BUFFS!$H$5:$AF$195,11,),"")</f>
        <v/>
      </c>
      <c r="L104" s="66" t="str">
        <f>IFERROR(VLOOKUP(A104,BUFFS!$H$5:$AF$195,12,),"")</f>
        <v/>
      </c>
      <c r="M104" s="66" t="str">
        <f>IFERROR(VLOOKUP(A104,BUFFS!$H$5:$AF$195,14,),"")</f>
        <v/>
      </c>
      <c r="N104" s="68" t="str">
        <f t="shared" si="3"/>
        <v/>
      </c>
      <c r="O104" s="65" t="str">
        <f>IFERROR(VLOOKUP(A104,BUFFS!$H$5:$AF$195,15,),"")</f>
        <v/>
      </c>
      <c r="P104" s="66" t="str">
        <f>IFERROR(VLOOKUP(A104,BUFFS!$H$5:$AF$195,16,),"")</f>
        <v/>
      </c>
      <c r="Q104" s="66" t="str">
        <f>IFERROR(VLOOKUP(A104,BUFFS!$H$5:$AF$195,17,),"")</f>
        <v/>
      </c>
      <c r="R104" s="66" t="str">
        <f>IFERROR(VLOOKUP(A104,BUFFS!$H$5:$AF$195,19,),"")</f>
        <v/>
      </c>
      <c r="S104" s="69" t="str">
        <f t="shared" si="4"/>
        <v/>
      </c>
      <c r="T104" s="70" t="str">
        <f>IFERROR(VLOOKUP(A104,BUFFS!$H$5:$AF$195,20,),"")</f>
        <v/>
      </c>
    </row>
    <row r="105" spans="1:20" x14ac:dyDescent="0.35">
      <c r="A105" s="17"/>
      <c r="B105" s="18"/>
      <c r="C105" s="13"/>
      <c r="D105" s="31" t="str">
        <f>IFERROR(VLOOKUP(A105,BUFFS!$H$5:$AF$195,8,),"")</f>
        <v/>
      </c>
      <c r="E105" s="24" t="str">
        <f t="shared" ref="E105:E140" si="5">IFERROR(SUM(H105,ROUNDDOWN(MIN(B105,T$35)*I105,0)),"")</f>
        <v/>
      </c>
      <c r="F105" s="65" t="str">
        <f>IFERROR(VLOOKUP(A105,BUFFS!$H$5:$AF$195,5,),"")</f>
        <v/>
      </c>
      <c r="G105" s="66" t="str">
        <f>IFERROR(VLOOKUP(A105,BUFFS!$H$5:$AF$195,6,),"")</f>
        <v/>
      </c>
      <c r="H105" s="67" t="str">
        <f>IFERROR(VLOOKUP(A105,BUFFS!$H$5:$AF$195,7,),"")</f>
        <v/>
      </c>
      <c r="I105" s="66" t="str">
        <f>IFERROR(VLOOKUP(A105,BUFFS!$H$5:$AF$195,9,),"")</f>
        <v/>
      </c>
      <c r="J105" s="65" t="str">
        <f>IFERROR(VLOOKUP(A105,BUFFS!$H$5:$AF$195,10,),"")</f>
        <v/>
      </c>
      <c r="K105" s="66" t="str">
        <f>IFERROR(VLOOKUP(A105,BUFFS!$H$5:$AF$195,11,),"")</f>
        <v/>
      </c>
      <c r="L105" s="66" t="str">
        <f>IFERROR(VLOOKUP(A105,BUFFS!$H$5:$AF$195,12,),"")</f>
        <v/>
      </c>
      <c r="M105" s="66" t="str">
        <f>IFERROR(VLOOKUP(A105,BUFFS!$H$5:$AF$195,14,),"")</f>
        <v/>
      </c>
      <c r="N105" s="68" t="str">
        <f t="shared" ref="N105:N140" si="6">IFERROR(SUM(L105,ROUNDDOWN(MIN(B105,T$35)*M105,0)),"")</f>
        <v/>
      </c>
      <c r="O105" s="65" t="str">
        <f>IFERROR(VLOOKUP(A105,BUFFS!$H$5:$AF$195,15,),"")</f>
        <v/>
      </c>
      <c r="P105" s="66" t="str">
        <f>IFERROR(VLOOKUP(A105,BUFFS!$H$5:$AF$195,16,),"")</f>
        <v/>
      </c>
      <c r="Q105" s="66" t="str">
        <f>IFERROR(VLOOKUP(A105,BUFFS!$H$5:$AF$195,17,),"")</f>
        <v/>
      </c>
      <c r="R105" s="66" t="str">
        <f>IFERROR(VLOOKUP(A105,BUFFS!$H$5:$AF$195,19,),"")</f>
        <v/>
      </c>
      <c r="S105" s="69" t="str">
        <f t="shared" ref="S105:S140" si="7">IFERROR(SUM(Q105,ROUNDDOWN(MIN(B105,T$35)*R105,0)),"")</f>
        <v/>
      </c>
      <c r="T105" s="70" t="str">
        <f>IFERROR(VLOOKUP(A105,BUFFS!$H$5:$AF$195,20,),"")</f>
        <v/>
      </c>
    </row>
    <row r="106" spans="1:20" x14ac:dyDescent="0.35">
      <c r="A106" s="17"/>
      <c r="B106" s="18"/>
      <c r="C106" s="13"/>
      <c r="D106" s="31" t="str">
        <f>IFERROR(VLOOKUP(A106,BUFFS!$H$5:$AF$195,8,),"")</f>
        <v/>
      </c>
      <c r="E106" s="24" t="str">
        <f t="shared" si="5"/>
        <v/>
      </c>
      <c r="F106" s="65" t="str">
        <f>IFERROR(VLOOKUP(A106,BUFFS!$H$5:$AF$195,5,),"")</f>
        <v/>
      </c>
      <c r="G106" s="66" t="str">
        <f>IFERROR(VLOOKUP(A106,BUFFS!$H$5:$AF$195,6,),"")</f>
        <v/>
      </c>
      <c r="H106" s="67" t="str">
        <f>IFERROR(VLOOKUP(A106,BUFFS!$H$5:$AF$195,7,),"")</f>
        <v/>
      </c>
      <c r="I106" s="66" t="str">
        <f>IFERROR(VLOOKUP(A106,BUFFS!$H$5:$AF$195,9,),"")</f>
        <v/>
      </c>
      <c r="J106" s="65" t="str">
        <f>IFERROR(VLOOKUP(A106,BUFFS!$H$5:$AF$195,10,),"")</f>
        <v/>
      </c>
      <c r="K106" s="66" t="str">
        <f>IFERROR(VLOOKUP(A106,BUFFS!$H$5:$AF$195,11,),"")</f>
        <v/>
      </c>
      <c r="L106" s="66" t="str">
        <f>IFERROR(VLOOKUP(A106,BUFFS!$H$5:$AF$195,12,),"")</f>
        <v/>
      </c>
      <c r="M106" s="66" t="str">
        <f>IFERROR(VLOOKUP(A106,BUFFS!$H$5:$AF$195,14,),"")</f>
        <v/>
      </c>
      <c r="N106" s="68" t="str">
        <f t="shared" si="6"/>
        <v/>
      </c>
      <c r="O106" s="65" t="str">
        <f>IFERROR(VLOOKUP(A106,BUFFS!$H$5:$AF$195,15,),"")</f>
        <v/>
      </c>
      <c r="P106" s="66" t="str">
        <f>IFERROR(VLOOKUP(A106,BUFFS!$H$5:$AF$195,16,),"")</f>
        <v/>
      </c>
      <c r="Q106" s="66" t="str">
        <f>IFERROR(VLOOKUP(A106,BUFFS!$H$5:$AF$195,17,),"")</f>
        <v/>
      </c>
      <c r="R106" s="66" t="str">
        <f>IFERROR(VLOOKUP(A106,BUFFS!$H$5:$AF$195,19,),"")</f>
        <v/>
      </c>
      <c r="S106" s="69" t="str">
        <f t="shared" si="7"/>
        <v/>
      </c>
      <c r="T106" s="70" t="str">
        <f>IFERROR(VLOOKUP(A106,BUFFS!$H$5:$AF$195,20,),"")</f>
        <v/>
      </c>
    </row>
    <row r="107" spans="1:20" x14ac:dyDescent="0.35">
      <c r="A107" s="17"/>
      <c r="B107" s="18"/>
      <c r="C107" s="13"/>
      <c r="D107" s="31" t="str">
        <f>IFERROR(VLOOKUP(A107,BUFFS!$H$5:$AF$195,8,),"")</f>
        <v/>
      </c>
      <c r="E107" s="24" t="str">
        <f t="shared" si="5"/>
        <v/>
      </c>
      <c r="F107" s="65" t="str">
        <f>IFERROR(VLOOKUP(A107,BUFFS!$H$5:$AF$195,5,),"")</f>
        <v/>
      </c>
      <c r="G107" s="66" t="str">
        <f>IFERROR(VLOOKUP(A107,BUFFS!$H$5:$AF$195,6,),"")</f>
        <v/>
      </c>
      <c r="H107" s="67" t="str">
        <f>IFERROR(VLOOKUP(A107,BUFFS!$H$5:$AF$195,7,),"")</f>
        <v/>
      </c>
      <c r="I107" s="66" t="str">
        <f>IFERROR(VLOOKUP(A107,BUFFS!$H$5:$AF$195,9,),"")</f>
        <v/>
      </c>
      <c r="J107" s="65" t="str">
        <f>IFERROR(VLOOKUP(A107,BUFFS!$H$5:$AF$195,10,),"")</f>
        <v/>
      </c>
      <c r="K107" s="66" t="str">
        <f>IFERROR(VLOOKUP(A107,BUFFS!$H$5:$AF$195,11,),"")</f>
        <v/>
      </c>
      <c r="L107" s="66" t="str">
        <f>IFERROR(VLOOKUP(A107,BUFFS!$H$5:$AF$195,12,),"")</f>
        <v/>
      </c>
      <c r="M107" s="66" t="str">
        <f>IFERROR(VLOOKUP(A107,BUFFS!$H$5:$AF$195,14,),"")</f>
        <v/>
      </c>
      <c r="N107" s="68" t="str">
        <f t="shared" si="6"/>
        <v/>
      </c>
      <c r="O107" s="65" t="str">
        <f>IFERROR(VLOOKUP(A107,BUFFS!$H$5:$AF$195,15,),"")</f>
        <v/>
      </c>
      <c r="P107" s="66" t="str">
        <f>IFERROR(VLOOKUP(A107,BUFFS!$H$5:$AF$195,16,),"")</f>
        <v/>
      </c>
      <c r="Q107" s="66" t="str">
        <f>IFERROR(VLOOKUP(A107,BUFFS!$H$5:$AF$195,17,),"")</f>
        <v/>
      </c>
      <c r="R107" s="66" t="str">
        <f>IFERROR(VLOOKUP(A107,BUFFS!$H$5:$AF$195,19,),"")</f>
        <v/>
      </c>
      <c r="S107" s="69" t="str">
        <f t="shared" si="7"/>
        <v/>
      </c>
      <c r="T107" s="70" t="str">
        <f>IFERROR(VLOOKUP(A107,BUFFS!$H$5:$AF$195,20,),"")</f>
        <v/>
      </c>
    </row>
    <row r="108" spans="1:20" x14ac:dyDescent="0.35">
      <c r="A108" s="17"/>
      <c r="B108" s="18"/>
      <c r="C108" s="13"/>
      <c r="D108" s="31" t="str">
        <f>IFERROR(VLOOKUP(A108,BUFFS!$H$5:$AF$195,8,),"")</f>
        <v/>
      </c>
      <c r="E108" s="24" t="str">
        <f t="shared" si="5"/>
        <v/>
      </c>
      <c r="F108" s="65" t="str">
        <f>IFERROR(VLOOKUP(A108,BUFFS!$H$5:$AF$195,5,),"")</f>
        <v/>
      </c>
      <c r="G108" s="66" t="str">
        <f>IFERROR(VLOOKUP(A108,BUFFS!$H$5:$AF$195,6,),"")</f>
        <v/>
      </c>
      <c r="H108" s="67" t="str">
        <f>IFERROR(VLOOKUP(A108,BUFFS!$H$5:$AF$195,7,),"")</f>
        <v/>
      </c>
      <c r="I108" s="66" t="str">
        <f>IFERROR(VLOOKUP(A108,BUFFS!$H$5:$AF$195,9,),"")</f>
        <v/>
      </c>
      <c r="J108" s="65" t="str">
        <f>IFERROR(VLOOKUP(A108,BUFFS!$H$5:$AF$195,10,),"")</f>
        <v/>
      </c>
      <c r="K108" s="66" t="str">
        <f>IFERROR(VLOOKUP(A108,BUFFS!$H$5:$AF$195,11,),"")</f>
        <v/>
      </c>
      <c r="L108" s="66" t="str">
        <f>IFERROR(VLOOKUP(A108,BUFFS!$H$5:$AF$195,12,),"")</f>
        <v/>
      </c>
      <c r="M108" s="66" t="str">
        <f>IFERROR(VLOOKUP(A108,BUFFS!$H$5:$AF$195,14,),"")</f>
        <v/>
      </c>
      <c r="N108" s="68" t="str">
        <f t="shared" si="6"/>
        <v/>
      </c>
      <c r="O108" s="65" t="str">
        <f>IFERROR(VLOOKUP(A108,BUFFS!$H$5:$AF$195,15,),"")</f>
        <v/>
      </c>
      <c r="P108" s="66" t="str">
        <f>IFERROR(VLOOKUP(A108,BUFFS!$H$5:$AF$195,16,),"")</f>
        <v/>
      </c>
      <c r="Q108" s="66" t="str">
        <f>IFERROR(VLOOKUP(A108,BUFFS!$H$5:$AF$195,17,),"")</f>
        <v/>
      </c>
      <c r="R108" s="66" t="str">
        <f>IFERROR(VLOOKUP(A108,BUFFS!$H$5:$AF$195,19,),"")</f>
        <v/>
      </c>
      <c r="S108" s="69" t="str">
        <f t="shared" si="7"/>
        <v/>
      </c>
      <c r="T108" s="70" t="str">
        <f>IFERROR(VLOOKUP(A108,BUFFS!$H$5:$AF$195,20,),"")</f>
        <v/>
      </c>
    </row>
    <row r="109" spans="1:20" x14ac:dyDescent="0.35">
      <c r="A109" s="17"/>
      <c r="B109" s="18"/>
      <c r="C109" s="13"/>
      <c r="D109" s="31" t="str">
        <f>IFERROR(VLOOKUP(A109,BUFFS!$H$5:$AF$195,8,),"")</f>
        <v/>
      </c>
      <c r="E109" s="24" t="str">
        <f t="shared" si="5"/>
        <v/>
      </c>
      <c r="F109" s="65" t="str">
        <f>IFERROR(VLOOKUP(A109,BUFFS!$H$5:$AF$195,5,),"")</f>
        <v/>
      </c>
      <c r="G109" s="66" t="str">
        <f>IFERROR(VLOOKUP(A109,BUFFS!$H$5:$AF$195,6,),"")</f>
        <v/>
      </c>
      <c r="H109" s="67" t="str">
        <f>IFERROR(VLOOKUP(A109,BUFFS!$H$5:$AF$195,7,),"")</f>
        <v/>
      </c>
      <c r="I109" s="66" t="str">
        <f>IFERROR(VLOOKUP(A109,BUFFS!$H$5:$AF$195,9,),"")</f>
        <v/>
      </c>
      <c r="J109" s="65" t="str">
        <f>IFERROR(VLOOKUP(A109,BUFFS!$H$5:$AF$195,10,),"")</f>
        <v/>
      </c>
      <c r="K109" s="66" t="str">
        <f>IFERROR(VLOOKUP(A109,BUFFS!$H$5:$AF$195,11,),"")</f>
        <v/>
      </c>
      <c r="L109" s="66" t="str">
        <f>IFERROR(VLOOKUP(A109,BUFFS!$H$5:$AF$195,12,),"")</f>
        <v/>
      </c>
      <c r="M109" s="66" t="str">
        <f>IFERROR(VLOOKUP(A109,BUFFS!$H$5:$AF$195,14,),"")</f>
        <v/>
      </c>
      <c r="N109" s="68" t="str">
        <f t="shared" si="6"/>
        <v/>
      </c>
      <c r="O109" s="65" t="str">
        <f>IFERROR(VLOOKUP(A109,BUFFS!$H$5:$AF$195,15,),"")</f>
        <v/>
      </c>
      <c r="P109" s="66" t="str">
        <f>IFERROR(VLOOKUP(A109,BUFFS!$H$5:$AF$195,16,),"")</f>
        <v/>
      </c>
      <c r="Q109" s="66" t="str">
        <f>IFERROR(VLOOKUP(A109,BUFFS!$H$5:$AF$195,17,),"")</f>
        <v/>
      </c>
      <c r="R109" s="66" t="str">
        <f>IFERROR(VLOOKUP(A109,BUFFS!$H$5:$AF$195,19,),"")</f>
        <v/>
      </c>
      <c r="S109" s="69" t="str">
        <f t="shared" si="7"/>
        <v/>
      </c>
      <c r="T109" s="70" t="str">
        <f>IFERROR(VLOOKUP(A109,BUFFS!$H$5:$AF$195,20,),"")</f>
        <v/>
      </c>
    </row>
    <row r="110" spans="1:20" x14ac:dyDescent="0.35">
      <c r="A110" s="17"/>
      <c r="B110" s="18"/>
      <c r="C110" s="13"/>
      <c r="D110" s="31" t="str">
        <f>IFERROR(VLOOKUP(A110,BUFFS!$H$5:$AF$195,8,),"")</f>
        <v/>
      </c>
      <c r="E110" s="24" t="str">
        <f t="shared" si="5"/>
        <v/>
      </c>
      <c r="F110" s="65" t="str">
        <f>IFERROR(VLOOKUP(A110,BUFFS!$H$5:$AF$195,5,),"")</f>
        <v/>
      </c>
      <c r="G110" s="66" t="str">
        <f>IFERROR(VLOOKUP(A110,BUFFS!$H$5:$AF$195,6,),"")</f>
        <v/>
      </c>
      <c r="H110" s="67" t="str">
        <f>IFERROR(VLOOKUP(A110,BUFFS!$H$5:$AF$195,7,),"")</f>
        <v/>
      </c>
      <c r="I110" s="66" t="str">
        <f>IFERROR(VLOOKUP(A110,BUFFS!$H$5:$AF$195,9,),"")</f>
        <v/>
      </c>
      <c r="J110" s="65" t="str">
        <f>IFERROR(VLOOKUP(A110,BUFFS!$H$5:$AF$195,10,),"")</f>
        <v/>
      </c>
      <c r="K110" s="66" t="str">
        <f>IFERROR(VLOOKUP(A110,BUFFS!$H$5:$AF$195,11,),"")</f>
        <v/>
      </c>
      <c r="L110" s="66" t="str">
        <f>IFERROR(VLOOKUP(A110,BUFFS!$H$5:$AF$195,12,),"")</f>
        <v/>
      </c>
      <c r="M110" s="66" t="str">
        <f>IFERROR(VLOOKUP(A110,BUFFS!$H$5:$AF$195,14,),"")</f>
        <v/>
      </c>
      <c r="N110" s="68" t="str">
        <f t="shared" si="6"/>
        <v/>
      </c>
      <c r="O110" s="65" t="str">
        <f>IFERROR(VLOOKUP(A110,BUFFS!$H$5:$AF$195,15,),"")</f>
        <v/>
      </c>
      <c r="P110" s="66" t="str">
        <f>IFERROR(VLOOKUP(A110,BUFFS!$H$5:$AF$195,16,),"")</f>
        <v/>
      </c>
      <c r="Q110" s="66" t="str">
        <f>IFERROR(VLOOKUP(A110,BUFFS!$H$5:$AF$195,17,),"")</f>
        <v/>
      </c>
      <c r="R110" s="66" t="str">
        <f>IFERROR(VLOOKUP(A110,BUFFS!$H$5:$AF$195,19,),"")</f>
        <v/>
      </c>
      <c r="S110" s="69" t="str">
        <f t="shared" si="7"/>
        <v/>
      </c>
      <c r="T110" s="70" t="str">
        <f>IFERROR(VLOOKUP(A110,BUFFS!$H$5:$AF$195,20,),"")</f>
        <v/>
      </c>
    </row>
    <row r="111" spans="1:20" x14ac:dyDescent="0.35">
      <c r="A111" s="17"/>
      <c r="B111" s="18"/>
      <c r="C111" s="13"/>
      <c r="D111" s="31" t="str">
        <f>IFERROR(VLOOKUP(A111,BUFFS!$H$5:$AF$195,8,),"")</f>
        <v/>
      </c>
      <c r="E111" s="24" t="str">
        <f t="shared" si="5"/>
        <v/>
      </c>
      <c r="F111" s="65" t="str">
        <f>IFERROR(VLOOKUP(A111,BUFFS!$H$5:$AF$195,5,),"")</f>
        <v/>
      </c>
      <c r="G111" s="66" t="str">
        <f>IFERROR(VLOOKUP(A111,BUFFS!$H$5:$AF$195,6,),"")</f>
        <v/>
      </c>
      <c r="H111" s="67" t="str">
        <f>IFERROR(VLOOKUP(A111,BUFFS!$H$5:$AF$195,7,),"")</f>
        <v/>
      </c>
      <c r="I111" s="66" t="str">
        <f>IFERROR(VLOOKUP(A111,BUFFS!$H$5:$AF$195,9,),"")</f>
        <v/>
      </c>
      <c r="J111" s="65" t="str">
        <f>IFERROR(VLOOKUP(A111,BUFFS!$H$5:$AF$195,10,),"")</f>
        <v/>
      </c>
      <c r="K111" s="66" t="str">
        <f>IFERROR(VLOOKUP(A111,BUFFS!$H$5:$AF$195,11,),"")</f>
        <v/>
      </c>
      <c r="L111" s="66" t="str">
        <f>IFERROR(VLOOKUP(A111,BUFFS!$H$5:$AF$195,12,),"")</f>
        <v/>
      </c>
      <c r="M111" s="66" t="str">
        <f>IFERROR(VLOOKUP(A111,BUFFS!$H$5:$AF$195,14,),"")</f>
        <v/>
      </c>
      <c r="N111" s="68" t="str">
        <f t="shared" si="6"/>
        <v/>
      </c>
      <c r="O111" s="65" t="str">
        <f>IFERROR(VLOOKUP(A111,BUFFS!$H$5:$AF$195,15,),"")</f>
        <v/>
      </c>
      <c r="P111" s="66" t="str">
        <f>IFERROR(VLOOKUP(A111,BUFFS!$H$5:$AF$195,16,),"")</f>
        <v/>
      </c>
      <c r="Q111" s="66" t="str">
        <f>IFERROR(VLOOKUP(A111,BUFFS!$H$5:$AF$195,17,),"")</f>
        <v/>
      </c>
      <c r="R111" s="66" t="str">
        <f>IFERROR(VLOOKUP(A111,BUFFS!$H$5:$AF$195,19,),"")</f>
        <v/>
      </c>
      <c r="S111" s="69" t="str">
        <f t="shared" si="7"/>
        <v/>
      </c>
      <c r="T111" s="70" t="str">
        <f>IFERROR(VLOOKUP(A111,BUFFS!$H$5:$AF$195,20,),"")</f>
        <v/>
      </c>
    </row>
    <row r="112" spans="1:20" x14ac:dyDescent="0.35">
      <c r="A112" s="17"/>
      <c r="B112" s="18"/>
      <c r="C112" s="13"/>
      <c r="D112" s="31" t="str">
        <f>IFERROR(VLOOKUP(A112,BUFFS!$H$5:$AF$195,8,),"")</f>
        <v/>
      </c>
      <c r="E112" s="24" t="str">
        <f t="shared" si="5"/>
        <v/>
      </c>
      <c r="F112" s="65" t="str">
        <f>IFERROR(VLOOKUP(A112,BUFFS!$H$5:$AF$195,5,),"")</f>
        <v/>
      </c>
      <c r="G112" s="66" t="str">
        <f>IFERROR(VLOOKUP(A112,BUFFS!$H$5:$AF$195,6,),"")</f>
        <v/>
      </c>
      <c r="H112" s="67" t="str">
        <f>IFERROR(VLOOKUP(A112,BUFFS!$H$5:$AF$195,7,),"")</f>
        <v/>
      </c>
      <c r="I112" s="66" t="str">
        <f>IFERROR(VLOOKUP(A112,BUFFS!$H$5:$AF$195,9,),"")</f>
        <v/>
      </c>
      <c r="J112" s="65" t="str">
        <f>IFERROR(VLOOKUP(A112,BUFFS!$H$5:$AF$195,10,),"")</f>
        <v/>
      </c>
      <c r="K112" s="66" t="str">
        <f>IFERROR(VLOOKUP(A112,BUFFS!$H$5:$AF$195,11,),"")</f>
        <v/>
      </c>
      <c r="L112" s="66" t="str">
        <f>IFERROR(VLOOKUP(A112,BUFFS!$H$5:$AF$195,12,),"")</f>
        <v/>
      </c>
      <c r="M112" s="66" t="str">
        <f>IFERROR(VLOOKUP(A112,BUFFS!$H$5:$AF$195,14,),"")</f>
        <v/>
      </c>
      <c r="N112" s="68" t="str">
        <f t="shared" si="6"/>
        <v/>
      </c>
      <c r="O112" s="65" t="str">
        <f>IFERROR(VLOOKUP(A112,BUFFS!$H$5:$AF$195,15,),"")</f>
        <v/>
      </c>
      <c r="P112" s="66" t="str">
        <f>IFERROR(VLOOKUP(A112,BUFFS!$H$5:$AF$195,16,),"")</f>
        <v/>
      </c>
      <c r="Q112" s="66" t="str">
        <f>IFERROR(VLOOKUP(A112,BUFFS!$H$5:$AF$195,17,),"")</f>
        <v/>
      </c>
      <c r="R112" s="66" t="str">
        <f>IFERROR(VLOOKUP(A112,BUFFS!$H$5:$AF$195,19,),"")</f>
        <v/>
      </c>
      <c r="S112" s="69" t="str">
        <f t="shared" si="7"/>
        <v/>
      </c>
      <c r="T112" s="70" t="str">
        <f>IFERROR(VLOOKUP(A112,BUFFS!$H$5:$AF$195,20,),"")</f>
        <v/>
      </c>
    </row>
    <row r="113" spans="1:20" x14ac:dyDescent="0.35">
      <c r="A113" s="17"/>
      <c r="B113" s="18"/>
      <c r="C113" s="13"/>
      <c r="D113" s="31" t="str">
        <f>IFERROR(VLOOKUP(A113,BUFFS!$H$5:$AF$195,8,),"")</f>
        <v/>
      </c>
      <c r="E113" s="24" t="str">
        <f t="shared" si="5"/>
        <v/>
      </c>
      <c r="F113" s="65" t="str">
        <f>IFERROR(VLOOKUP(A113,BUFFS!$H$5:$AF$195,5,),"")</f>
        <v/>
      </c>
      <c r="G113" s="66" t="str">
        <f>IFERROR(VLOOKUP(A113,BUFFS!$H$5:$AF$195,6,),"")</f>
        <v/>
      </c>
      <c r="H113" s="67" t="str">
        <f>IFERROR(VLOOKUP(A113,BUFFS!$H$5:$AF$195,7,),"")</f>
        <v/>
      </c>
      <c r="I113" s="66" t="str">
        <f>IFERROR(VLOOKUP(A113,BUFFS!$H$5:$AF$195,9,),"")</f>
        <v/>
      </c>
      <c r="J113" s="65" t="str">
        <f>IFERROR(VLOOKUP(A113,BUFFS!$H$5:$AF$195,10,),"")</f>
        <v/>
      </c>
      <c r="K113" s="66" t="str">
        <f>IFERROR(VLOOKUP(A113,BUFFS!$H$5:$AF$195,11,),"")</f>
        <v/>
      </c>
      <c r="L113" s="66" t="str">
        <f>IFERROR(VLOOKUP(A113,BUFFS!$H$5:$AF$195,12,),"")</f>
        <v/>
      </c>
      <c r="M113" s="66" t="str">
        <f>IFERROR(VLOOKUP(A113,BUFFS!$H$5:$AF$195,14,),"")</f>
        <v/>
      </c>
      <c r="N113" s="68" t="str">
        <f t="shared" si="6"/>
        <v/>
      </c>
      <c r="O113" s="65" t="str">
        <f>IFERROR(VLOOKUP(A113,BUFFS!$H$5:$AF$195,15,),"")</f>
        <v/>
      </c>
      <c r="P113" s="66" t="str">
        <f>IFERROR(VLOOKUP(A113,BUFFS!$H$5:$AF$195,16,),"")</f>
        <v/>
      </c>
      <c r="Q113" s="66" t="str">
        <f>IFERROR(VLOOKUP(A113,BUFFS!$H$5:$AF$195,17,),"")</f>
        <v/>
      </c>
      <c r="R113" s="66" t="str">
        <f>IFERROR(VLOOKUP(A113,BUFFS!$H$5:$AF$195,19,),"")</f>
        <v/>
      </c>
      <c r="S113" s="69" t="str">
        <f t="shared" si="7"/>
        <v/>
      </c>
      <c r="T113" s="70" t="str">
        <f>IFERROR(VLOOKUP(A113,BUFFS!$H$5:$AF$195,20,),"")</f>
        <v/>
      </c>
    </row>
    <row r="114" spans="1:20" x14ac:dyDescent="0.35">
      <c r="A114" s="17"/>
      <c r="B114" s="18"/>
      <c r="C114" s="13"/>
      <c r="D114" s="31" t="str">
        <f>IFERROR(VLOOKUP(A114,BUFFS!$H$5:$AF$195,8,),"")</f>
        <v/>
      </c>
      <c r="E114" s="24" t="str">
        <f t="shared" si="5"/>
        <v/>
      </c>
      <c r="F114" s="65" t="str">
        <f>IFERROR(VLOOKUP(A114,BUFFS!$H$5:$AF$195,5,),"")</f>
        <v/>
      </c>
      <c r="G114" s="66" t="str">
        <f>IFERROR(VLOOKUP(A114,BUFFS!$H$5:$AF$195,6,),"")</f>
        <v/>
      </c>
      <c r="H114" s="67" t="str">
        <f>IFERROR(VLOOKUP(A114,BUFFS!$H$5:$AF$195,7,),"")</f>
        <v/>
      </c>
      <c r="I114" s="66" t="str">
        <f>IFERROR(VLOOKUP(A114,BUFFS!$H$5:$AF$195,9,),"")</f>
        <v/>
      </c>
      <c r="J114" s="65" t="str">
        <f>IFERROR(VLOOKUP(A114,BUFFS!$H$5:$AF$195,10,),"")</f>
        <v/>
      </c>
      <c r="K114" s="66" t="str">
        <f>IFERROR(VLOOKUP(A114,BUFFS!$H$5:$AF$195,11,),"")</f>
        <v/>
      </c>
      <c r="L114" s="66" t="str">
        <f>IFERROR(VLOOKUP(A114,BUFFS!$H$5:$AF$195,12,),"")</f>
        <v/>
      </c>
      <c r="M114" s="66" t="str">
        <f>IFERROR(VLOOKUP(A114,BUFFS!$H$5:$AF$195,14,),"")</f>
        <v/>
      </c>
      <c r="N114" s="68" t="str">
        <f t="shared" si="6"/>
        <v/>
      </c>
      <c r="O114" s="65" t="str">
        <f>IFERROR(VLOOKUP(A114,BUFFS!$H$5:$AF$195,15,),"")</f>
        <v/>
      </c>
      <c r="P114" s="66" t="str">
        <f>IFERROR(VLOOKUP(A114,BUFFS!$H$5:$AF$195,16,),"")</f>
        <v/>
      </c>
      <c r="Q114" s="66" t="str">
        <f>IFERROR(VLOOKUP(A114,BUFFS!$H$5:$AF$195,17,),"")</f>
        <v/>
      </c>
      <c r="R114" s="66" t="str">
        <f>IFERROR(VLOOKUP(A114,BUFFS!$H$5:$AF$195,19,),"")</f>
        <v/>
      </c>
      <c r="S114" s="69" t="str">
        <f t="shared" si="7"/>
        <v/>
      </c>
      <c r="T114" s="70" t="str">
        <f>IFERROR(VLOOKUP(A114,BUFFS!$H$5:$AF$195,20,),"")</f>
        <v/>
      </c>
    </row>
    <row r="115" spans="1:20" x14ac:dyDescent="0.35">
      <c r="A115" s="17"/>
      <c r="B115" s="18"/>
      <c r="C115" s="13"/>
      <c r="D115" s="31" t="str">
        <f>IFERROR(VLOOKUP(A115,BUFFS!$H$5:$AF$195,8,),"")</f>
        <v/>
      </c>
      <c r="E115" s="24" t="str">
        <f t="shared" si="5"/>
        <v/>
      </c>
      <c r="F115" s="65" t="str">
        <f>IFERROR(VLOOKUP(A115,BUFFS!$H$5:$AF$195,5,),"")</f>
        <v/>
      </c>
      <c r="G115" s="66" t="str">
        <f>IFERROR(VLOOKUP(A115,BUFFS!$H$5:$AF$195,6,),"")</f>
        <v/>
      </c>
      <c r="H115" s="67" t="str">
        <f>IFERROR(VLOOKUP(A115,BUFFS!$H$5:$AF$195,7,),"")</f>
        <v/>
      </c>
      <c r="I115" s="66" t="str">
        <f>IFERROR(VLOOKUP(A115,BUFFS!$H$5:$AF$195,9,),"")</f>
        <v/>
      </c>
      <c r="J115" s="65" t="str">
        <f>IFERROR(VLOOKUP(A115,BUFFS!$H$5:$AF$195,10,),"")</f>
        <v/>
      </c>
      <c r="K115" s="66" t="str">
        <f>IFERROR(VLOOKUP(A115,BUFFS!$H$5:$AF$195,11,),"")</f>
        <v/>
      </c>
      <c r="L115" s="66" t="str">
        <f>IFERROR(VLOOKUP(A115,BUFFS!$H$5:$AF$195,12,),"")</f>
        <v/>
      </c>
      <c r="M115" s="66" t="str">
        <f>IFERROR(VLOOKUP(A115,BUFFS!$H$5:$AF$195,14,),"")</f>
        <v/>
      </c>
      <c r="N115" s="68" t="str">
        <f t="shared" si="6"/>
        <v/>
      </c>
      <c r="O115" s="65" t="str">
        <f>IFERROR(VLOOKUP(A115,BUFFS!$H$5:$AF$195,15,),"")</f>
        <v/>
      </c>
      <c r="P115" s="66" t="str">
        <f>IFERROR(VLOOKUP(A115,BUFFS!$H$5:$AF$195,16,),"")</f>
        <v/>
      </c>
      <c r="Q115" s="66" t="str">
        <f>IFERROR(VLOOKUP(A115,BUFFS!$H$5:$AF$195,17,),"")</f>
        <v/>
      </c>
      <c r="R115" s="66" t="str">
        <f>IFERROR(VLOOKUP(A115,BUFFS!$H$5:$AF$195,19,),"")</f>
        <v/>
      </c>
      <c r="S115" s="69" t="str">
        <f t="shared" si="7"/>
        <v/>
      </c>
      <c r="T115" s="70" t="str">
        <f>IFERROR(VLOOKUP(A115,BUFFS!$H$5:$AF$195,20,),"")</f>
        <v/>
      </c>
    </row>
    <row r="116" spans="1:20" x14ac:dyDescent="0.35">
      <c r="A116" s="17"/>
      <c r="B116" s="18"/>
      <c r="C116" s="13"/>
      <c r="D116" s="31" t="str">
        <f>IFERROR(VLOOKUP(A116,BUFFS!$H$5:$AF$195,8,),"")</f>
        <v/>
      </c>
      <c r="E116" s="24" t="str">
        <f t="shared" si="5"/>
        <v/>
      </c>
      <c r="F116" s="65" t="str">
        <f>IFERROR(VLOOKUP(A116,BUFFS!$H$5:$AF$195,5,),"")</f>
        <v/>
      </c>
      <c r="G116" s="66" t="str">
        <f>IFERROR(VLOOKUP(A116,BUFFS!$H$5:$AF$195,6,),"")</f>
        <v/>
      </c>
      <c r="H116" s="67" t="str">
        <f>IFERROR(VLOOKUP(A116,BUFFS!$H$5:$AF$195,7,),"")</f>
        <v/>
      </c>
      <c r="I116" s="66" t="str">
        <f>IFERROR(VLOOKUP(A116,BUFFS!$H$5:$AF$195,9,),"")</f>
        <v/>
      </c>
      <c r="J116" s="65" t="str">
        <f>IFERROR(VLOOKUP(A116,BUFFS!$H$5:$AF$195,10,),"")</f>
        <v/>
      </c>
      <c r="K116" s="66" t="str">
        <f>IFERROR(VLOOKUP(A116,BUFFS!$H$5:$AF$195,11,),"")</f>
        <v/>
      </c>
      <c r="L116" s="66" t="str">
        <f>IFERROR(VLOOKUP(A116,BUFFS!$H$5:$AF$195,12,),"")</f>
        <v/>
      </c>
      <c r="M116" s="66" t="str">
        <f>IFERROR(VLOOKUP(A116,BUFFS!$H$5:$AF$195,14,),"")</f>
        <v/>
      </c>
      <c r="N116" s="68" t="str">
        <f t="shared" si="6"/>
        <v/>
      </c>
      <c r="O116" s="65" t="str">
        <f>IFERROR(VLOOKUP(A116,BUFFS!$H$5:$AF$195,15,),"")</f>
        <v/>
      </c>
      <c r="P116" s="66" t="str">
        <f>IFERROR(VLOOKUP(A116,BUFFS!$H$5:$AF$195,16,),"")</f>
        <v/>
      </c>
      <c r="Q116" s="66" t="str">
        <f>IFERROR(VLOOKUP(A116,BUFFS!$H$5:$AF$195,17,),"")</f>
        <v/>
      </c>
      <c r="R116" s="66" t="str">
        <f>IFERROR(VLOOKUP(A116,BUFFS!$H$5:$AF$195,19,),"")</f>
        <v/>
      </c>
      <c r="S116" s="69" t="str">
        <f t="shared" si="7"/>
        <v/>
      </c>
      <c r="T116" s="70" t="str">
        <f>IFERROR(VLOOKUP(A116,BUFFS!$H$5:$AF$195,20,),"")</f>
        <v/>
      </c>
    </row>
    <row r="117" spans="1:20" x14ac:dyDescent="0.35">
      <c r="A117" s="17"/>
      <c r="B117" s="18"/>
      <c r="C117" s="13"/>
      <c r="D117" s="31" t="str">
        <f>IFERROR(VLOOKUP(A117,BUFFS!$H$5:$AF$195,8,),"")</f>
        <v/>
      </c>
      <c r="E117" s="24" t="str">
        <f t="shared" si="5"/>
        <v/>
      </c>
      <c r="F117" s="65" t="str">
        <f>IFERROR(VLOOKUP(A117,BUFFS!$H$5:$AF$195,5,),"")</f>
        <v/>
      </c>
      <c r="G117" s="66" t="str">
        <f>IFERROR(VLOOKUP(A117,BUFFS!$H$5:$AF$195,6,),"")</f>
        <v/>
      </c>
      <c r="H117" s="67" t="str">
        <f>IFERROR(VLOOKUP(A117,BUFFS!$H$5:$AF$195,7,),"")</f>
        <v/>
      </c>
      <c r="I117" s="66" t="str">
        <f>IFERROR(VLOOKUP(A117,BUFFS!$H$5:$AF$195,9,),"")</f>
        <v/>
      </c>
      <c r="J117" s="65" t="str">
        <f>IFERROR(VLOOKUP(A117,BUFFS!$H$5:$AF$195,10,),"")</f>
        <v/>
      </c>
      <c r="K117" s="66" t="str">
        <f>IFERROR(VLOOKUP(A117,BUFFS!$H$5:$AF$195,11,),"")</f>
        <v/>
      </c>
      <c r="L117" s="66" t="str">
        <f>IFERROR(VLOOKUP(A117,BUFFS!$H$5:$AF$195,12,),"")</f>
        <v/>
      </c>
      <c r="M117" s="66" t="str">
        <f>IFERROR(VLOOKUP(A117,BUFFS!$H$5:$AF$195,14,),"")</f>
        <v/>
      </c>
      <c r="N117" s="68" t="str">
        <f t="shared" si="6"/>
        <v/>
      </c>
      <c r="O117" s="65" t="str">
        <f>IFERROR(VLOOKUP(A117,BUFFS!$H$5:$AF$195,15,),"")</f>
        <v/>
      </c>
      <c r="P117" s="66" t="str">
        <f>IFERROR(VLOOKUP(A117,BUFFS!$H$5:$AF$195,16,),"")</f>
        <v/>
      </c>
      <c r="Q117" s="66" t="str">
        <f>IFERROR(VLOOKUP(A117,BUFFS!$H$5:$AF$195,17,),"")</f>
        <v/>
      </c>
      <c r="R117" s="66" t="str">
        <f>IFERROR(VLOOKUP(A117,BUFFS!$H$5:$AF$195,19,),"")</f>
        <v/>
      </c>
      <c r="S117" s="69" t="str">
        <f t="shared" si="7"/>
        <v/>
      </c>
      <c r="T117" s="70" t="str">
        <f>IFERROR(VLOOKUP(A117,BUFFS!$H$5:$AF$195,20,),"")</f>
        <v/>
      </c>
    </row>
    <row r="118" spans="1:20" x14ac:dyDescent="0.35">
      <c r="A118" s="17"/>
      <c r="B118" s="18"/>
      <c r="C118" s="13"/>
      <c r="D118" s="31" t="str">
        <f>IFERROR(VLOOKUP(A118,BUFFS!$H$5:$AF$195,8,),"")</f>
        <v/>
      </c>
      <c r="E118" s="24" t="str">
        <f t="shared" si="5"/>
        <v/>
      </c>
      <c r="F118" s="65" t="str">
        <f>IFERROR(VLOOKUP(A118,BUFFS!$H$5:$AF$195,5,),"")</f>
        <v/>
      </c>
      <c r="G118" s="66" t="str">
        <f>IFERROR(VLOOKUP(A118,BUFFS!$H$5:$AF$195,6,),"")</f>
        <v/>
      </c>
      <c r="H118" s="67" t="str">
        <f>IFERROR(VLOOKUP(A118,BUFFS!$H$5:$AF$195,7,),"")</f>
        <v/>
      </c>
      <c r="I118" s="66" t="str">
        <f>IFERROR(VLOOKUP(A118,BUFFS!$H$5:$AF$195,9,),"")</f>
        <v/>
      </c>
      <c r="J118" s="65" t="str">
        <f>IFERROR(VLOOKUP(A118,BUFFS!$H$5:$AF$195,10,),"")</f>
        <v/>
      </c>
      <c r="K118" s="66" t="str">
        <f>IFERROR(VLOOKUP(A118,BUFFS!$H$5:$AF$195,11,),"")</f>
        <v/>
      </c>
      <c r="L118" s="66" t="str">
        <f>IFERROR(VLOOKUP(A118,BUFFS!$H$5:$AF$195,12,),"")</f>
        <v/>
      </c>
      <c r="M118" s="66" t="str">
        <f>IFERROR(VLOOKUP(A118,BUFFS!$H$5:$AF$195,14,),"")</f>
        <v/>
      </c>
      <c r="N118" s="68" t="str">
        <f t="shared" si="6"/>
        <v/>
      </c>
      <c r="O118" s="65" t="str">
        <f>IFERROR(VLOOKUP(A118,BUFFS!$H$5:$AF$195,15,),"")</f>
        <v/>
      </c>
      <c r="P118" s="66" t="str">
        <f>IFERROR(VLOOKUP(A118,BUFFS!$H$5:$AF$195,16,),"")</f>
        <v/>
      </c>
      <c r="Q118" s="66" t="str">
        <f>IFERROR(VLOOKUP(A118,BUFFS!$H$5:$AF$195,17,),"")</f>
        <v/>
      </c>
      <c r="R118" s="66" t="str">
        <f>IFERROR(VLOOKUP(A118,BUFFS!$H$5:$AF$195,19,),"")</f>
        <v/>
      </c>
      <c r="S118" s="69" t="str">
        <f t="shared" si="7"/>
        <v/>
      </c>
      <c r="T118" s="70" t="str">
        <f>IFERROR(VLOOKUP(A118,BUFFS!$H$5:$AF$195,20,),"")</f>
        <v/>
      </c>
    </row>
    <row r="119" spans="1:20" x14ac:dyDescent="0.35">
      <c r="A119" s="17"/>
      <c r="B119" s="18"/>
      <c r="C119" s="13"/>
      <c r="D119" s="31" t="str">
        <f>IFERROR(VLOOKUP(A119,BUFFS!$H$5:$AF$195,8,),"")</f>
        <v/>
      </c>
      <c r="E119" s="24" t="str">
        <f t="shared" si="5"/>
        <v/>
      </c>
      <c r="F119" s="65" t="str">
        <f>IFERROR(VLOOKUP(A119,BUFFS!$H$5:$AF$195,5,),"")</f>
        <v/>
      </c>
      <c r="G119" s="66" t="str">
        <f>IFERROR(VLOOKUP(A119,BUFFS!$H$5:$AF$195,6,),"")</f>
        <v/>
      </c>
      <c r="H119" s="67" t="str">
        <f>IFERROR(VLOOKUP(A119,BUFFS!$H$5:$AF$195,7,),"")</f>
        <v/>
      </c>
      <c r="I119" s="66" t="str">
        <f>IFERROR(VLOOKUP(A119,BUFFS!$H$5:$AF$195,9,),"")</f>
        <v/>
      </c>
      <c r="J119" s="65" t="str">
        <f>IFERROR(VLOOKUP(A119,BUFFS!$H$5:$AF$195,10,),"")</f>
        <v/>
      </c>
      <c r="K119" s="66" t="str">
        <f>IFERROR(VLOOKUP(A119,BUFFS!$H$5:$AF$195,11,),"")</f>
        <v/>
      </c>
      <c r="L119" s="66" t="str">
        <f>IFERROR(VLOOKUP(A119,BUFFS!$H$5:$AF$195,12,),"")</f>
        <v/>
      </c>
      <c r="M119" s="66" t="str">
        <f>IFERROR(VLOOKUP(A119,BUFFS!$H$5:$AF$195,14,),"")</f>
        <v/>
      </c>
      <c r="N119" s="68" t="str">
        <f t="shared" si="6"/>
        <v/>
      </c>
      <c r="O119" s="65" t="str">
        <f>IFERROR(VLOOKUP(A119,BUFFS!$H$5:$AF$195,15,),"")</f>
        <v/>
      </c>
      <c r="P119" s="66" t="str">
        <f>IFERROR(VLOOKUP(A119,BUFFS!$H$5:$AF$195,16,),"")</f>
        <v/>
      </c>
      <c r="Q119" s="66" t="str">
        <f>IFERROR(VLOOKUP(A119,BUFFS!$H$5:$AF$195,17,),"")</f>
        <v/>
      </c>
      <c r="R119" s="66" t="str">
        <f>IFERROR(VLOOKUP(A119,BUFFS!$H$5:$AF$195,19,),"")</f>
        <v/>
      </c>
      <c r="S119" s="69" t="str">
        <f t="shared" si="7"/>
        <v/>
      </c>
      <c r="T119" s="70" t="str">
        <f>IFERROR(VLOOKUP(A119,BUFFS!$H$5:$AF$195,20,),"")</f>
        <v/>
      </c>
    </row>
    <row r="120" spans="1:20" x14ac:dyDescent="0.35">
      <c r="A120" s="17"/>
      <c r="B120" s="18"/>
      <c r="C120" s="13"/>
      <c r="D120" s="31" t="str">
        <f>IFERROR(VLOOKUP(A120,BUFFS!$H$5:$AF$195,8,),"")</f>
        <v/>
      </c>
      <c r="E120" s="24" t="str">
        <f t="shared" si="5"/>
        <v/>
      </c>
      <c r="F120" s="65" t="str">
        <f>IFERROR(VLOOKUP(A120,BUFFS!$H$5:$AF$195,5,),"")</f>
        <v/>
      </c>
      <c r="G120" s="66" t="str">
        <f>IFERROR(VLOOKUP(A120,BUFFS!$H$5:$AF$195,6,),"")</f>
        <v/>
      </c>
      <c r="H120" s="67" t="str">
        <f>IFERROR(VLOOKUP(A120,BUFFS!$H$5:$AF$195,7,),"")</f>
        <v/>
      </c>
      <c r="I120" s="66" t="str">
        <f>IFERROR(VLOOKUP(A120,BUFFS!$H$5:$AF$195,9,),"")</f>
        <v/>
      </c>
      <c r="J120" s="65" t="str">
        <f>IFERROR(VLOOKUP(A120,BUFFS!$H$5:$AF$195,10,),"")</f>
        <v/>
      </c>
      <c r="K120" s="66" t="str">
        <f>IFERROR(VLOOKUP(A120,BUFFS!$H$5:$AF$195,11,),"")</f>
        <v/>
      </c>
      <c r="L120" s="66" t="str">
        <f>IFERROR(VLOOKUP(A120,BUFFS!$H$5:$AF$195,12,),"")</f>
        <v/>
      </c>
      <c r="M120" s="66" t="str">
        <f>IFERROR(VLOOKUP(A120,BUFFS!$H$5:$AF$195,14,),"")</f>
        <v/>
      </c>
      <c r="N120" s="68" t="str">
        <f t="shared" si="6"/>
        <v/>
      </c>
      <c r="O120" s="65" t="str">
        <f>IFERROR(VLOOKUP(A120,BUFFS!$H$5:$AF$195,15,),"")</f>
        <v/>
      </c>
      <c r="P120" s="66" t="str">
        <f>IFERROR(VLOOKUP(A120,BUFFS!$H$5:$AF$195,16,),"")</f>
        <v/>
      </c>
      <c r="Q120" s="66" t="str">
        <f>IFERROR(VLOOKUP(A120,BUFFS!$H$5:$AF$195,17,),"")</f>
        <v/>
      </c>
      <c r="R120" s="66" t="str">
        <f>IFERROR(VLOOKUP(A120,BUFFS!$H$5:$AF$195,19,),"")</f>
        <v/>
      </c>
      <c r="S120" s="69" t="str">
        <f t="shared" si="7"/>
        <v/>
      </c>
      <c r="T120" s="70" t="str">
        <f>IFERROR(VLOOKUP(A120,BUFFS!$H$5:$AF$195,20,),"")</f>
        <v/>
      </c>
    </row>
    <row r="121" spans="1:20" x14ac:dyDescent="0.35">
      <c r="A121" s="17"/>
      <c r="B121" s="18"/>
      <c r="C121" s="13"/>
      <c r="D121" s="31" t="str">
        <f>IFERROR(VLOOKUP(A121,BUFFS!$H$5:$AF$195,8,),"")</f>
        <v/>
      </c>
      <c r="E121" s="24" t="str">
        <f t="shared" si="5"/>
        <v/>
      </c>
      <c r="F121" s="65" t="str">
        <f>IFERROR(VLOOKUP(A121,BUFFS!$H$5:$AF$195,5,),"")</f>
        <v/>
      </c>
      <c r="G121" s="66" t="str">
        <f>IFERROR(VLOOKUP(A121,BUFFS!$H$5:$AF$195,6,),"")</f>
        <v/>
      </c>
      <c r="H121" s="67" t="str">
        <f>IFERROR(VLOOKUP(A121,BUFFS!$H$5:$AF$195,7,),"")</f>
        <v/>
      </c>
      <c r="I121" s="66" t="str">
        <f>IFERROR(VLOOKUP(A121,BUFFS!$H$5:$AF$195,9,),"")</f>
        <v/>
      </c>
      <c r="J121" s="65" t="str">
        <f>IFERROR(VLOOKUP(A121,BUFFS!$H$5:$AF$195,10,),"")</f>
        <v/>
      </c>
      <c r="K121" s="66" t="str">
        <f>IFERROR(VLOOKUP(A121,BUFFS!$H$5:$AF$195,11,),"")</f>
        <v/>
      </c>
      <c r="L121" s="66" t="str">
        <f>IFERROR(VLOOKUP(A121,BUFFS!$H$5:$AF$195,12,),"")</f>
        <v/>
      </c>
      <c r="M121" s="66" t="str">
        <f>IFERROR(VLOOKUP(A121,BUFFS!$H$5:$AF$195,14,),"")</f>
        <v/>
      </c>
      <c r="N121" s="68" t="str">
        <f t="shared" si="6"/>
        <v/>
      </c>
      <c r="O121" s="65" t="str">
        <f>IFERROR(VLOOKUP(A121,BUFFS!$H$5:$AF$195,15,),"")</f>
        <v/>
      </c>
      <c r="P121" s="66" t="str">
        <f>IFERROR(VLOOKUP(A121,BUFFS!$H$5:$AF$195,16,),"")</f>
        <v/>
      </c>
      <c r="Q121" s="66" t="str">
        <f>IFERROR(VLOOKUP(A121,BUFFS!$H$5:$AF$195,17,),"")</f>
        <v/>
      </c>
      <c r="R121" s="66" t="str">
        <f>IFERROR(VLOOKUP(A121,BUFFS!$H$5:$AF$195,19,),"")</f>
        <v/>
      </c>
      <c r="S121" s="69" t="str">
        <f t="shared" si="7"/>
        <v/>
      </c>
      <c r="T121" s="70" t="str">
        <f>IFERROR(VLOOKUP(A121,BUFFS!$H$5:$AF$195,20,),"")</f>
        <v/>
      </c>
    </row>
    <row r="122" spans="1:20" x14ac:dyDescent="0.35">
      <c r="A122" s="17"/>
      <c r="B122" s="18"/>
      <c r="C122" s="13"/>
      <c r="D122" s="31" t="str">
        <f>IFERROR(VLOOKUP(A122,BUFFS!$H$5:$AF$195,8,),"")</f>
        <v/>
      </c>
      <c r="E122" s="24" t="str">
        <f t="shared" si="5"/>
        <v/>
      </c>
      <c r="F122" s="65" t="str">
        <f>IFERROR(VLOOKUP(A122,BUFFS!$H$5:$AF$195,5,),"")</f>
        <v/>
      </c>
      <c r="G122" s="66" t="str">
        <f>IFERROR(VLOOKUP(A122,BUFFS!$H$5:$AF$195,6,),"")</f>
        <v/>
      </c>
      <c r="H122" s="67" t="str">
        <f>IFERROR(VLOOKUP(A122,BUFFS!$H$5:$AF$195,7,),"")</f>
        <v/>
      </c>
      <c r="I122" s="66" t="str">
        <f>IFERROR(VLOOKUP(A122,BUFFS!$H$5:$AF$195,9,),"")</f>
        <v/>
      </c>
      <c r="J122" s="65" t="str">
        <f>IFERROR(VLOOKUP(A122,BUFFS!$H$5:$AF$195,10,),"")</f>
        <v/>
      </c>
      <c r="K122" s="66" t="str">
        <f>IFERROR(VLOOKUP(A122,BUFFS!$H$5:$AF$195,11,),"")</f>
        <v/>
      </c>
      <c r="L122" s="66" t="str">
        <f>IFERROR(VLOOKUP(A122,BUFFS!$H$5:$AF$195,12,),"")</f>
        <v/>
      </c>
      <c r="M122" s="66" t="str">
        <f>IFERROR(VLOOKUP(A122,BUFFS!$H$5:$AF$195,14,),"")</f>
        <v/>
      </c>
      <c r="N122" s="68" t="str">
        <f t="shared" si="6"/>
        <v/>
      </c>
      <c r="O122" s="65" t="str">
        <f>IFERROR(VLOOKUP(A122,BUFFS!$H$5:$AF$195,15,),"")</f>
        <v/>
      </c>
      <c r="P122" s="66" t="str">
        <f>IFERROR(VLOOKUP(A122,BUFFS!$H$5:$AF$195,16,),"")</f>
        <v/>
      </c>
      <c r="Q122" s="66" t="str">
        <f>IFERROR(VLOOKUP(A122,BUFFS!$H$5:$AF$195,17,),"")</f>
        <v/>
      </c>
      <c r="R122" s="66" t="str">
        <f>IFERROR(VLOOKUP(A122,BUFFS!$H$5:$AF$195,19,),"")</f>
        <v/>
      </c>
      <c r="S122" s="69" t="str">
        <f t="shared" si="7"/>
        <v/>
      </c>
      <c r="T122" s="70" t="str">
        <f>IFERROR(VLOOKUP(A122,BUFFS!$H$5:$AF$195,20,),"")</f>
        <v/>
      </c>
    </row>
    <row r="123" spans="1:20" x14ac:dyDescent="0.35">
      <c r="A123" s="17"/>
      <c r="B123" s="18"/>
      <c r="C123" s="13"/>
      <c r="D123" s="31" t="str">
        <f>IFERROR(VLOOKUP(A123,BUFFS!$H$5:$AF$195,8,),"")</f>
        <v/>
      </c>
      <c r="E123" s="24" t="str">
        <f t="shared" si="5"/>
        <v/>
      </c>
      <c r="F123" s="65" t="str">
        <f>IFERROR(VLOOKUP(A123,BUFFS!$H$5:$AF$195,5,),"")</f>
        <v/>
      </c>
      <c r="G123" s="66" t="str">
        <f>IFERROR(VLOOKUP(A123,BUFFS!$H$5:$AF$195,6,),"")</f>
        <v/>
      </c>
      <c r="H123" s="67" t="str">
        <f>IFERROR(VLOOKUP(A123,BUFFS!$H$5:$AF$195,7,),"")</f>
        <v/>
      </c>
      <c r="I123" s="66" t="str">
        <f>IFERROR(VLOOKUP(A123,BUFFS!$H$5:$AF$195,9,),"")</f>
        <v/>
      </c>
      <c r="J123" s="65" t="str">
        <f>IFERROR(VLOOKUP(A123,BUFFS!$H$5:$AF$195,10,),"")</f>
        <v/>
      </c>
      <c r="K123" s="66" t="str">
        <f>IFERROR(VLOOKUP(A123,BUFFS!$H$5:$AF$195,11,),"")</f>
        <v/>
      </c>
      <c r="L123" s="66" t="str">
        <f>IFERROR(VLOOKUP(A123,BUFFS!$H$5:$AF$195,12,),"")</f>
        <v/>
      </c>
      <c r="M123" s="66" t="str">
        <f>IFERROR(VLOOKUP(A123,BUFFS!$H$5:$AF$195,14,),"")</f>
        <v/>
      </c>
      <c r="N123" s="68" t="str">
        <f t="shared" si="6"/>
        <v/>
      </c>
      <c r="O123" s="65" t="str">
        <f>IFERROR(VLOOKUP(A123,BUFFS!$H$5:$AF$195,15,),"")</f>
        <v/>
      </c>
      <c r="P123" s="66" t="str">
        <f>IFERROR(VLOOKUP(A123,BUFFS!$H$5:$AF$195,16,),"")</f>
        <v/>
      </c>
      <c r="Q123" s="66" t="str">
        <f>IFERROR(VLOOKUP(A123,BUFFS!$H$5:$AF$195,17,),"")</f>
        <v/>
      </c>
      <c r="R123" s="66" t="str">
        <f>IFERROR(VLOOKUP(A123,BUFFS!$H$5:$AF$195,19,),"")</f>
        <v/>
      </c>
      <c r="S123" s="69" t="str">
        <f t="shared" si="7"/>
        <v/>
      </c>
      <c r="T123" s="70" t="str">
        <f>IFERROR(VLOOKUP(A123,BUFFS!$H$5:$AF$195,20,),"")</f>
        <v/>
      </c>
    </row>
    <row r="124" spans="1:20" x14ac:dyDescent="0.35">
      <c r="A124" s="17"/>
      <c r="B124" s="18"/>
      <c r="C124" s="13"/>
      <c r="D124" s="31" t="str">
        <f>IFERROR(VLOOKUP(A124,BUFFS!$H$5:$AF$195,8,),"")</f>
        <v/>
      </c>
      <c r="E124" s="24" t="str">
        <f t="shared" si="5"/>
        <v/>
      </c>
      <c r="F124" s="65" t="str">
        <f>IFERROR(VLOOKUP(A124,BUFFS!$H$5:$AF$195,5,),"")</f>
        <v/>
      </c>
      <c r="G124" s="66" t="str">
        <f>IFERROR(VLOOKUP(A124,BUFFS!$H$5:$AF$195,6,),"")</f>
        <v/>
      </c>
      <c r="H124" s="67" t="str">
        <f>IFERROR(VLOOKUP(A124,BUFFS!$H$5:$AF$195,7,),"")</f>
        <v/>
      </c>
      <c r="I124" s="66" t="str">
        <f>IFERROR(VLOOKUP(A124,BUFFS!$H$5:$AF$195,9,),"")</f>
        <v/>
      </c>
      <c r="J124" s="65" t="str">
        <f>IFERROR(VLOOKUP(A124,BUFFS!$H$5:$AF$195,10,),"")</f>
        <v/>
      </c>
      <c r="K124" s="66" t="str">
        <f>IFERROR(VLOOKUP(A124,BUFFS!$H$5:$AF$195,11,),"")</f>
        <v/>
      </c>
      <c r="L124" s="66" t="str">
        <f>IFERROR(VLOOKUP(A124,BUFFS!$H$5:$AF$195,12,),"")</f>
        <v/>
      </c>
      <c r="M124" s="66" t="str">
        <f>IFERROR(VLOOKUP(A124,BUFFS!$H$5:$AF$195,14,),"")</f>
        <v/>
      </c>
      <c r="N124" s="68" t="str">
        <f t="shared" si="6"/>
        <v/>
      </c>
      <c r="O124" s="65" t="str">
        <f>IFERROR(VLOOKUP(A124,BUFFS!$H$5:$AF$195,15,),"")</f>
        <v/>
      </c>
      <c r="P124" s="66" t="str">
        <f>IFERROR(VLOOKUP(A124,BUFFS!$H$5:$AF$195,16,),"")</f>
        <v/>
      </c>
      <c r="Q124" s="66" t="str">
        <f>IFERROR(VLOOKUP(A124,BUFFS!$H$5:$AF$195,17,),"")</f>
        <v/>
      </c>
      <c r="R124" s="66" t="str">
        <f>IFERROR(VLOOKUP(A124,BUFFS!$H$5:$AF$195,19,),"")</f>
        <v/>
      </c>
      <c r="S124" s="69" t="str">
        <f t="shared" si="7"/>
        <v/>
      </c>
      <c r="T124" s="70" t="str">
        <f>IFERROR(VLOOKUP(A124,BUFFS!$H$5:$AF$195,20,),"")</f>
        <v/>
      </c>
    </row>
    <row r="125" spans="1:20" x14ac:dyDescent="0.35">
      <c r="A125" s="17"/>
      <c r="B125" s="18"/>
      <c r="C125" s="13"/>
      <c r="D125" s="31" t="str">
        <f>IFERROR(VLOOKUP(A125,BUFFS!$H$5:$AF$195,8,),"")</f>
        <v/>
      </c>
      <c r="E125" s="24" t="str">
        <f t="shared" si="5"/>
        <v/>
      </c>
      <c r="F125" s="65" t="str">
        <f>IFERROR(VLOOKUP(A125,BUFFS!$H$5:$AF$195,5,),"")</f>
        <v/>
      </c>
      <c r="G125" s="66" t="str">
        <f>IFERROR(VLOOKUP(A125,BUFFS!$H$5:$AF$195,6,),"")</f>
        <v/>
      </c>
      <c r="H125" s="67" t="str">
        <f>IFERROR(VLOOKUP(A125,BUFFS!$H$5:$AF$195,7,),"")</f>
        <v/>
      </c>
      <c r="I125" s="66" t="str">
        <f>IFERROR(VLOOKUP(A125,BUFFS!$H$5:$AF$195,9,),"")</f>
        <v/>
      </c>
      <c r="J125" s="65" t="str">
        <f>IFERROR(VLOOKUP(A125,BUFFS!$H$5:$AF$195,10,),"")</f>
        <v/>
      </c>
      <c r="K125" s="66" t="str">
        <f>IFERROR(VLOOKUP(A125,BUFFS!$H$5:$AF$195,11,),"")</f>
        <v/>
      </c>
      <c r="L125" s="66" t="str">
        <f>IFERROR(VLOOKUP(A125,BUFFS!$H$5:$AF$195,12,),"")</f>
        <v/>
      </c>
      <c r="M125" s="66" t="str">
        <f>IFERROR(VLOOKUP(A125,BUFFS!$H$5:$AF$195,14,),"")</f>
        <v/>
      </c>
      <c r="N125" s="68" t="str">
        <f t="shared" si="6"/>
        <v/>
      </c>
      <c r="O125" s="65" t="str">
        <f>IFERROR(VLOOKUP(A125,BUFFS!$H$5:$AF$195,15,),"")</f>
        <v/>
      </c>
      <c r="P125" s="66" t="str">
        <f>IFERROR(VLOOKUP(A125,BUFFS!$H$5:$AF$195,16,),"")</f>
        <v/>
      </c>
      <c r="Q125" s="66" t="str">
        <f>IFERROR(VLOOKUP(A125,BUFFS!$H$5:$AF$195,17,),"")</f>
        <v/>
      </c>
      <c r="R125" s="66" t="str">
        <f>IFERROR(VLOOKUP(A125,BUFFS!$H$5:$AF$195,19,),"")</f>
        <v/>
      </c>
      <c r="S125" s="69" t="str">
        <f t="shared" si="7"/>
        <v/>
      </c>
      <c r="T125" s="70" t="str">
        <f>IFERROR(VLOOKUP(A125,BUFFS!$H$5:$AF$195,20,),"")</f>
        <v/>
      </c>
    </row>
    <row r="126" spans="1:20" x14ac:dyDescent="0.35">
      <c r="A126" s="17"/>
      <c r="B126" s="18"/>
      <c r="C126" s="13"/>
      <c r="D126" s="31" t="str">
        <f>IFERROR(VLOOKUP(A126,BUFFS!$H$5:$AF$195,8,),"")</f>
        <v/>
      </c>
      <c r="E126" s="24" t="str">
        <f t="shared" si="5"/>
        <v/>
      </c>
      <c r="F126" s="65" t="str">
        <f>IFERROR(VLOOKUP(A126,BUFFS!$H$5:$AF$195,5,),"")</f>
        <v/>
      </c>
      <c r="G126" s="66" t="str">
        <f>IFERROR(VLOOKUP(A126,BUFFS!$H$5:$AF$195,6,),"")</f>
        <v/>
      </c>
      <c r="H126" s="67" t="str">
        <f>IFERROR(VLOOKUP(A126,BUFFS!$H$5:$AF$195,7,),"")</f>
        <v/>
      </c>
      <c r="I126" s="66" t="str">
        <f>IFERROR(VLOOKUP(A126,BUFFS!$H$5:$AF$195,9,),"")</f>
        <v/>
      </c>
      <c r="J126" s="65" t="str">
        <f>IFERROR(VLOOKUP(A126,BUFFS!$H$5:$AF$195,10,),"")</f>
        <v/>
      </c>
      <c r="K126" s="66" t="str">
        <f>IFERROR(VLOOKUP(A126,BUFFS!$H$5:$AF$195,11,),"")</f>
        <v/>
      </c>
      <c r="L126" s="66" t="str">
        <f>IFERROR(VLOOKUP(A126,BUFFS!$H$5:$AF$195,12,),"")</f>
        <v/>
      </c>
      <c r="M126" s="66" t="str">
        <f>IFERROR(VLOOKUP(A126,BUFFS!$H$5:$AF$195,14,),"")</f>
        <v/>
      </c>
      <c r="N126" s="68" t="str">
        <f t="shared" si="6"/>
        <v/>
      </c>
      <c r="O126" s="65" t="str">
        <f>IFERROR(VLOOKUP(A126,BUFFS!$H$5:$AF$195,15,),"")</f>
        <v/>
      </c>
      <c r="P126" s="66" t="str">
        <f>IFERROR(VLOOKUP(A126,BUFFS!$H$5:$AF$195,16,),"")</f>
        <v/>
      </c>
      <c r="Q126" s="66" t="str">
        <f>IFERROR(VLOOKUP(A126,BUFFS!$H$5:$AF$195,17,),"")</f>
        <v/>
      </c>
      <c r="R126" s="66" t="str">
        <f>IFERROR(VLOOKUP(A126,BUFFS!$H$5:$AF$195,19,),"")</f>
        <v/>
      </c>
      <c r="S126" s="69" t="str">
        <f t="shared" si="7"/>
        <v/>
      </c>
      <c r="T126" s="70" t="str">
        <f>IFERROR(VLOOKUP(A126,BUFFS!$H$5:$AF$195,20,),"")</f>
        <v/>
      </c>
    </row>
    <row r="127" spans="1:20" x14ac:dyDescent="0.35">
      <c r="A127" s="17"/>
      <c r="B127" s="18"/>
      <c r="C127" s="13"/>
      <c r="D127" s="31" t="str">
        <f>IFERROR(VLOOKUP(A127,BUFFS!$H$5:$AF$195,8,),"")</f>
        <v/>
      </c>
      <c r="E127" s="24" t="str">
        <f t="shared" si="5"/>
        <v/>
      </c>
      <c r="F127" s="65" t="str">
        <f>IFERROR(VLOOKUP(A127,BUFFS!$H$5:$AF$195,5,),"")</f>
        <v/>
      </c>
      <c r="G127" s="66" t="str">
        <f>IFERROR(VLOOKUP(A127,BUFFS!$H$5:$AF$195,6,),"")</f>
        <v/>
      </c>
      <c r="H127" s="67" t="str">
        <f>IFERROR(VLOOKUP(A127,BUFFS!$H$5:$AF$195,7,),"")</f>
        <v/>
      </c>
      <c r="I127" s="66" t="str">
        <f>IFERROR(VLOOKUP(A127,BUFFS!$H$5:$AF$195,9,),"")</f>
        <v/>
      </c>
      <c r="J127" s="65" t="str">
        <f>IFERROR(VLOOKUP(A127,BUFFS!$H$5:$AF$195,10,),"")</f>
        <v/>
      </c>
      <c r="K127" s="66" t="str">
        <f>IFERROR(VLOOKUP(A127,BUFFS!$H$5:$AF$195,11,),"")</f>
        <v/>
      </c>
      <c r="L127" s="66" t="str">
        <f>IFERROR(VLOOKUP(A127,BUFFS!$H$5:$AF$195,12,),"")</f>
        <v/>
      </c>
      <c r="M127" s="66" t="str">
        <f>IFERROR(VLOOKUP(A127,BUFFS!$H$5:$AF$195,14,),"")</f>
        <v/>
      </c>
      <c r="N127" s="68" t="str">
        <f t="shared" si="6"/>
        <v/>
      </c>
      <c r="O127" s="65" t="str">
        <f>IFERROR(VLOOKUP(A127,BUFFS!$H$5:$AF$195,15,),"")</f>
        <v/>
      </c>
      <c r="P127" s="66" t="str">
        <f>IFERROR(VLOOKUP(A127,BUFFS!$H$5:$AF$195,16,),"")</f>
        <v/>
      </c>
      <c r="Q127" s="66" t="str">
        <f>IFERROR(VLOOKUP(A127,BUFFS!$H$5:$AF$195,17,),"")</f>
        <v/>
      </c>
      <c r="R127" s="66" t="str">
        <f>IFERROR(VLOOKUP(A127,BUFFS!$H$5:$AF$195,19,),"")</f>
        <v/>
      </c>
      <c r="S127" s="69" t="str">
        <f t="shared" si="7"/>
        <v/>
      </c>
      <c r="T127" s="70" t="str">
        <f>IFERROR(VLOOKUP(A127,BUFFS!$H$5:$AF$195,20,),"")</f>
        <v/>
      </c>
    </row>
    <row r="128" spans="1:20" x14ac:dyDescent="0.35">
      <c r="A128" s="17"/>
      <c r="B128" s="18"/>
      <c r="C128" s="13"/>
      <c r="D128" s="31" t="str">
        <f>IFERROR(VLOOKUP(A128,BUFFS!$H$5:$AF$195,8,),"")</f>
        <v/>
      </c>
      <c r="E128" s="24" t="str">
        <f t="shared" si="5"/>
        <v/>
      </c>
      <c r="F128" s="65" t="str">
        <f>IFERROR(VLOOKUP(A128,BUFFS!$H$5:$AF$195,5,),"")</f>
        <v/>
      </c>
      <c r="G128" s="66" t="str">
        <f>IFERROR(VLOOKUP(A128,BUFFS!$H$5:$AF$195,6,),"")</f>
        <v/>
      </c>
      <c r="H128" s="67" t="str">
        <f>IFERROR(VLOOKUP(A128,BUFFS!$H$5:$AF$195,7,),"")</f>
        <v/>
      </c>
      <c r="I128" s="66" t="str">
        <f>IFERROR(VLOOKUP(A128,BUFFS!$H$5:$AF$195,9,),"")</f>
        <v/>
      </c>
      <c r="J128" s="65" t="str">
        <f>IFERROR(VLOOKUP(A128,BUFFS!$H$5:$AF$195,10,),"")</f>
        <v/>
      </c>
      <c r="K128" s="66" t="str">
        <f>IFERROR(VLOOKUP(A128,BUFFS!$H$5:$AF$195,11,),"")</f>
        <v/>
      </c>
      <c r="L128" s="66" t="str">
        <f>IFERROR(VLOOKUP(A128,BUFFS!$H$5:$AF$195,12,),"")</f>
        <v/>
      </c>
      <c r="M128" s="66" t="str">
        <f>IFERROR(VLOOKUP(A128,BUFFS!$H$5:$AF$195,14,),"")</f>
        <v/>
      </c>
      <c r="N128" s="68" t="str">
        <f t="shared" si="6"/>
        <v/>
      </c>
      <c r="O128" s="65" t="str">
        <f>IFERROR(VLOOKUP(A128,BUFFS!$H$5:$AF$195,15,),"")</f>
        <v/>
      </c>
      <c r="P128" s="66" t="str">
        <f>IFERROR(VLOOKUP(A128,BUFFS!$H$5:$AF$195,16,),"")</f>
        <v/>
      </c>
      <c r="Q128" s="66" t="str">
        <f>IFERROR(VLOOKUP(A128,BUFFS!$H$5:$AF$195,17,),"")</f>
        <v/>
      </c>
      <c r="R128" s="66" t="str">
        <f>IFERROR(VLOOKUP(A128,BUFFS!$H$5:$AF$195,19,),"")</f>
        <v/>
      </c>
      <c r="S128" s="69" t="str">
        <f t="shared" si="7"/>
        <v/>
      </c>
      <c r="T128" s="70" t="str">
        <f>IFERROR(VLOOKUP(A128,BUFFS!$H$5:$AF$195,20,),"")</f>
        <v/>
      </c>
    </row>
    <row r="129" spans="1:20" x14ac:dyDescent="0.35">
      <c r="A129" s="17"/>
      <c r="B129" s="18"/>
      <c r="C129" s="13"/>
      <c r="D129" s="31" t="str">
        <f>IFERROR(VLOOKUP(A129,BUFFS!$H$5:$AF$195,8,),"")</f>
        <v/>
      </c>
      <c r="E129" s="24" t="str">
        <f t="shared" si="5"/>
        <v/>
      </c>
      <c r="F129" s="65" t="str">
        <f>IFERROR(VLOOKUP(A129,BUFFS!$H$5:$AF$195,5,),"")</f>
        <v/>
      </c>
      <c r="G129" s="66" t="str">
        <f>IFERROR(VLOOKUP(A129,BUFFS!$H$5:$AF$195,6,),"")</f>
        <v/>
      </c>
      <c r="H129" s="67" t="str">
        <f>IFERROR(VLOOKUP(A129,BUFFS!$H$5:$AF$195,7,),"")</f>
        <v/>
      </c>
      <c r="I129" s="66" t="str">
        <f>IFERROR(VLOOKUP(A129,BUFFS!$H$5:$AF$195,9,),"")</f>
        <v/>
      </c>
      <c r="J129" s="65" t="str">
        <f>IFERROR(VLOOKUP(A129,BUFFS!$H$5:$AF$195,10,),"")</f>
        <v/>
      </c>
      <c r="K129" s="66" t="str">
        <f>IFERROR(VLOOKUP(A129,BUFFS!$H$5:$AF$195,11,),"")</f>
        <v/>
      </c>
      <c r="L129" s="66" t="str">
        <f>IFERROR(VLOOKUP(A129,BUFFS!$H$5:$AF$195,12,),"")</f>
        <v/>
      </c>
      <c r="M129" s="66" t="str">
        <f>IFERROR(VLOOKUP(A129,BUFFS!$H$5:$AF$195,14,),"")</f>
        <v/>
      </c>
      <c r="N129" s="68" t="str">
        <f t="shared" si="6"/>
        <v/>
      </c>
      <c r="O129" s="65" t="str">
        <f>IFERROR(VLOOKUP(A129,BUFFS!$H$5:$AF$195,15,),"")</f>
        <v/>
      </c>
      <c r="P129" s="66" t="str">
        <f>IFERROR(VLOOKUP(A129,BUFFS!$H$5:$AF$195,16,),"")</f>
        <v/>
      </c>
      <c r="Q129" s="66" t="str">
        <f>IFERROR(VLOOKUP(A129,BUFFS!$H$5:$AF$195,17,),"")</f>
        <v/>
      </c>
      <c r="R129" s="66" t="str">
        <f>IFERROR(VLOOKUP(A129,BUFFS!$H$5:$AF$195,19,),"")</f>
        <v/>
      </c>
      <c r="S129" s="69" t="str">
        <f t="shared" si="7"/>
        <v/>
      </c>
      <c r="T129" s="70" t="str">
        <f>IFERROR(VLOOKUP(A129,BUFFS!$H$5:$AF$195,20,),"")</f>
        <v/>
      </c>
    </row>
    <row r="130" spans="1:20" x14ac:dyDescent="0.35">
      <c r="A130" s="17"/>
      <c r="B130" s="18"/>
      <c r="C130" s="13"/>
      <c r="D130" s="31" t="str">
        <f>IFERROR(VLOOKUP(A130,BUFFS!$H$5:$AF$195,8,),"")</f>
        <v/>
      </c>
      <c r="E130" s="24" t="str">
        <f t="shared" si="5"/>
        <v/>
      </c>
      <c r="F130" s="65" t="str">
        <f>IFERROR(VLOOKUP(A130,BUFFS!$H$5:$AF$195,5,),"")</f>
        <v/>
      </c>
      <c r="G130" s="66" t="str">
        <f>IFERROR(VLOOKUP(A130,BUFFS!$H$5:$AF$195,6,),"")</f>
        <v/>
      </c>
      <c r="H130" s="67" t="str">
        <f>IFERROR(VLOOKUP(A130,BUFFS!$H$5:$AF$195,7,),"")</f>
        <v/>
      </c>
      <c r="I130" s="66" t="str">
        <f>IFERROR(VLOOKUP(A130,BUFFS!$H$5:$AF$195,9,),"")</f>
        <v/>
      </c>
      <c r="J130" s="65" t="str">
        <f>IFERROR(VLOOKUP(A130,BUFFS!$H$5:$AF$195,10,),"")</f>
        <v/>
      </c>
      <c r="K130" s="66" t="str">
        <f>IFERROR(VLOOKUP(A130,BUFFS!$H$5:$AF$195,11,),"")</f>
        <v/>
      </c>
      <c r="L130" s="66" t="str">
        <f>IFERROR(VLOOKUP(A130,BUFFS!$H$5:$AF$195,12,),"")</f>
        <v/>
      </c>
      <c r="M130" s="66" t="str">
        <f>IFERROR(VLOOKUP(A130,BUFFS!$H$5:$AF$195,14,),"")</f>
        <v/>
      </c>
      <c r="N130" s="68" t="str">
        <f t="shared" si="6"/>
        <v/>
      </c>
      <c r="O130" s="65" t="str">
        <f>IFERROR(VLOOKUP(A130,BUFFS!$H$5:$AF$195,15,),"")</f>
        <v/>
      </c>
      <c r="P130" s="66" t="str">
        <f>IFERROR(VLOOKUP(A130,BUFFS!$H$5:$AF$195,16,),"")</f>
        <v/>
      </c>
      <c r="Q130" s="66" t="str">
        <f>IFERROR(VLOOKUP(A130,BUFFS!$H$5:$AF$195,17,),"")</f>
        <v/>
      </c>
      <c r="R130" s="66" t="str">
        <f>IFERROR(VLOOKUP(A130,BUFFS!$H$5:$AF$195,19,),"")</f>
        <v/>
      </c>
      <c r="S130" s="69" t="str">
        <f t="shared" si="7"/>
        <v/>
      </c>
      <c r="T130" s="70" t="str">
        <f>IFERROR(VLOOKUP(A130,BUFFS!$H$5:$AF$195,20,),"")</f>
        <v/>
      </c>
    </row>
    <row r="131" spans="1:20" x14ac:dyDescent="0.35">
      <c r="A131" s="17"/>
      <c r="B131" s="18"/>
      <c r="C131" s="13"/>
      <c r="D131" s="31" t="str">
        <f>IFERROR(VLOOKUP(A131,BUFFS!$H$5:$AF$195,8,),"")</f>
        <v/>
      </c>
      <c r="E131" s="24" t="str">
        <f t="shared" si="5"/>
        <v/>
      </c>
      <c r="F131" s="65" t="str">
        <f>IFERROR(VLOOKUP(A131,BUFFS!$H$5:$AF$195,5,),"")</f>
        <v/>
      </c>
      <c r="G131" s="66" t="str">
        <f>IFERROR(VLOOKUP(A131,BUFFS!$H$5:$AF$195,6,),"")</f>
        <v/>
      </c>
      <c r="H131" s="67" t="str">
        <f>IFERROR(VLOOKUP(A131,BUFFS!$H$5:$AF$195,7,),"")</f>
        <v/>
      </c>
      <c r="I131" s="66" t="str">
        <f>IFERROR(VLOOKUP(A131,BUFFS!$H$5:$AF$195,9,),"")</f>
        <v/>
      </c>
      <c r="J131" s="65" t="str">
        <f>IFERROR(VLOOKUP(A131,BUFFS!$H$5:$AF$195,10,),"")</f>
        <v/>
      </c>
      <c r="K131" s="66" t="str">
        <f>IFERROR(VLOOKUP(A131,BUFFS!$H$5:$AF$195,11,),"")</f>
        <v/>
      </c>
      <c r="L131" s="66" t="str">
        <f>IFERROR(VLOOKUP(A131,BUFFS!$H$5:$AF$195,12,),"")</f>
        <v/>
      </c>
      <c r="M131" s="66" t="str">
        <f>IFERROR(VLOOKUP(A131,BUFFS!$H$5:$AF$195,14,),"")</f>
        <v/>
      </c>
      <c r="N131" s="68" t="str">
        <f t="shared" si="6"/>
        <v/>
      </c>
      <c r="O131" s="65" t="str">
        <f>IFERROR(VLOOKUP(A131,BUFFS!$H$5:$AF$195,15,),"")</f>
        <v/>
      </c>
      <c r="P131" s="66" t="str">
        <f>IFERROR(VLOOKUP(A131,BUFFS!$H$5:$AF$195,16,),"")</f>
        <v/>
      </c>
      <c r="Q131" s="66" t="str">
        <f>IFERROR(VLOOKUP(A131,BUFFS!$H$5:$AF$195,17,),"")</f>
        <v/>
      </c>
      <c r="R131" s="66" t="str">
        <f>IFERROR(VLOOKUP(A131,BUFFS!$H$5:$AF$195,19,),"")</f>
        <v/>
      </c>
      <c r="S131" s="69" t="str">
        <f t="shared" si="7"/>
        <v/>
      </c>
      <c r="T131" s="70" t="str">
        <f>IFERROR(VLOOKUP(A131,BUFFS!$H$5:$AF$195,20,),"")</f>
        <v/>
      </c>
    </row>
    <row r="132" spans="1:20" x14ac:dyDescent="0.35">
      <c r="A132" s="17"/>
      <c r="B132" s="18"/>
      <c r="C132" s="13"/>
      <c r="D132" s="31" t="str">
        <f>IFERROR(VLOOKUP(A132,BUFFS!$H$5:$AF$195,8,),"")</f>
        <v/>
      </c>
      <c r="E132" s="24" t="str">
        <f t="shared" si="5"/>
        <v/>
      </c>
      <c r="F132" s="65" t="str">
        <f>IFERROR(VLOOKUP(A132,BUFFS!$H$5:$AF$195,5,),"")</f>
        <v/>
      </c>
      <c r="G132" s="66" t="str">
        <f>IFERROR(VLOOKUP(A132,BUFFS!$H$5:$AF$195,6,),"")</f>
        <v/>
      </c>
      <c r="H132" s="67" t="str">
        <f>IFERROR(VLOOKUP(A132,BUFFS!$H$5:$AF$195,7,),"")</f>
        <v/>
      </c>
      <c r="I132" s="66" t="str">
        <f>IFERROR(VLOOKUP(A132,BUFFS!$H$5:$AF$195,9,),"")</f>
        <v/>
      </c>
      <c r="J132" s="65" t="str">
        <f>IFERROR(VLOOKUP(A132,BUFFS!$H$5:$AF$195,10,),"")</f>
        <v/>
      </c>
      <c r="K132" s="66" t="str">
        <f>IFERROR(VLOOKUP(A132,BUFFS!$H$5:$AF$195,11,),"")</f>
        <v/>
      </c>
      <c r="L132" s="66" t="str">
        <f>IFERROR(VLOOKUP(A132,BUFFS!$H$5:$AF$195,12,),"")</f>
        <v/>
      </c>
      <c r="M132" s="66" t="str">
        <f>IFERROR(VLOOKUP(A132,BUFFS!$H$5:$AF$195,14,),"")</f>
        <v/>
      </c>
      <c r="N132" s="68" t="str">
        <f t="shared" si="6"/>
        <v/>
      </c>
      <c r="O132" s="65" t="str">
        <f>IFERROR(VLOOKUP(A132,BUFFS!$H$5:$AF$195,15,),"")</f>
        <v/>
      </c>
      <c r="P132" s="66" t="str">
        <f>IFERROR(VLOOKUP(A132,BUFFS!$H$5:$AF$195,16,),"")</f>
        <v/>
      </c>
      <c r="Q132" s="66" t="str">
        <f>IFERROR(VLOOKUP(A132,BUFFS!$H$5:$AF$195,17,),"")</f>
        <v/>
      </c>
      <c r="R132" s="66" t="str">
        <f>IFERROR(VLOOKUP(A132,BUFFS!$H$5:$AF$195,19,),"")</f>
        <v/>
      </c>
      <c r="S132" s="69" t="str">
        <f t="shared" si="7"/>
        <v/>
      </c>
      <c r="T132" s="70" t="str">
        <f>IFERROR(VLOOKUP(A132,BUFFS!$H$5:$AF$195,20,),"")</f>
        <v/>
      </c>
    </row>
    <row r="133" spans="1:20" x14ac:dyDescent="0.35">
      <c r="A133" s="17"/>
      <c r="B133" s="18"/>
      <c r="C133" s="13"/>
      <c r="D133" s="31" t="str">
        <f>IFERROR(VLOOKUP(A133,BUFFS!$H$5:$AF$195,8,),"")</f>
        <v/>
      </c>
      <c r="E133" s="24" t="str">
        <f t="shared" si="5"/>
        <v/>
      </c>
      <c r="F133" s="65" t="str">
        <f>IFERROR(VLOOKUP(A133,BUFFS!$H$5:$AF$195,5,),"")</f>
        <v/>
      </c>
      <c r="G133" s="66" t="str">
        <f>IFERROR(VLOOKUP(A133,BUFFS!$H$5:$AF$195,6,),"")</f>
        <v/>
      </c>
      <c r="H133" s="67" t="str">
        <f>IFERROR(VLOOKUP(A133,BUFFS!$H$5:$AF$195,7,),"")</f>
        <v/>
      </c>
      <c r="I133" s="66" t="str">
        <f>IFERROR(VLOOKUP(A133,BUFFS!$H$5:$AF$195,9,),"")</f>
        <v/>
      </c>
      <c r="J133" s="65" t="str">
        <f>IFERROR(VLOOKUP(A133,BUFFS!$H$5:$AF$195,10,),"")</f>
        <v/>
      </c>
      <c r="K133" s="66" t="str">
        <f>IFERROR(VLOOKUP(A133,BUFFS!$H$5:$AF$195,11,),"")</f>
        <v/>
      </c>
      <c r="L133" s="66" t="str">
        <f>IFERROR(VLOOKUP(A133,BUFFS!$H$5:$AF$195,12,),"")</f>
        <v/>
      </c>
      <c r="M133" s="66" t="str">
        <f>IFERROR(VLOOKUP(A133,BUFFS!$H$5:$AF$195,14,),"")</f>
        <v/>
      </c>
      <c r="N133" s="68" t="str">
        <f t="shared" si="6"/>
        <v/>
      </c>
      <c r="O133" s="65" t="str">
        <f>IFERROR(VLOOKUP(A133,BUFFS!$H$5:$AF$195,15,),"")</f>
        <v/>
      </c>
      <c r="P133" s="66" t="str">
        <f>IFERROR(VLOOKUP(A133,BUFFS!$H$5:$AF$195,16,),"")</f>
        <v/>
      </c>
      <c r="Q133" s="66" t="str">
        <f>IFERROR(VLOOKUP(A133,BUFFS!$H$5:$AF$195,17,),"")</f>
        <v/>
      </c>
      <c r="R133" s="66" t="str">
        <f>IFERROR(VLOOKUP(A133,BUFFS!$H$5:$AF$195,19,),"")</f>
        <v/>
      </c>
      <c r="S133" s="69" t="str">
        <f t="shared" si="7"/>
        <v/>
      </c>
      <c r="T133" s="70" t="str">
        <f>IFERROR(VLOOKUP(A133,BUFFS!$H$5:$AF$195,20,),"")</f>
        <v/>
      </c>
    </row>
    <row r="134" spans="1:20" x14ac:dyDescent="0.35">
      <c r="A134" s="17"/>
      <c r="B134" s="18"/>
      <c r="C134" s="13"/>
      <c r="D134" s="31" t="str">
        <f>IFERROR(VLOOKUP(A134,BUFFS!$H$5:$AF$195,8,),"")</f>
        <v/>
      </c>
      <c r="E134" s="24" t="str">
        <f t="shared" si="5"/>
        <v/>
      </c>
      <c r="F134" s="65" t="str">
        <f>IFERROR(VLOOKUP(A134,BUFFS!$H$5:$AF$195,5,),"")</f>
        <v/>
      </c>
      <c r="G134" s="66" t="str">
        <f>IFERROR(VLOOKUP(A134,BUFFS!$H$5:$AF$195,6,),"")</f>
        <v/>
      </c>
      <c r="H134" s="67" t="str">
        <f>IFERROR(VLOOKUP(A134,BUFFS!$H$5:$AF$195,7,),"")</f>
        <v/>
      </c>
      <c r="I134" s="66" t="str">
        <f>IFERROR(VLOOKUP(A134,BUFFS!$H$5:$AF$195,9,),"")</f>
        <v/>
      </c>
      <c r="J134" s="65" t="str">
        <f>IFERROR(VLOOKUP(A134,BUFFS!$H$5:$AF$195,10,),"")</f>
        <v/>
      </c>
      <c r="K134" s="66" t="str">
        <f>IFERROR(VLOOKUP(A134,BUFFS!$H$5:$AF$195,11,),"")</f>
        <v/>
      </c>
      <c r="L134" s="66" t="str">
        <f>IFERROR(VLOOKUP(A134,BUFFS!$H$5:$AF$195,12,),"")</f>
        <v/>
      </c>
      <c r="M134" s="66" t="str">
        <f>IFERROR(VLOOKUP(A134,BUFFS!$H$5:$AF$195,14,),"")</f>
        <v/>
      </c>
      <c r="N134" s="68" t="str">
        <f t="shared" si="6"/>
        <v/>
      </c>
      <c r="O134" s="65" t="str">
        <f>IFERROR(VLOOKUP(A134,BUFFS!$H$5:$AF$195,15,),"")</f>
        <v/>
      </c>
      <c r="P134" s="66" t="str">
        <f>IFERROR(VLOOKUP(A134,BUFFS!$H$5:$AF$195,16,),"")</f>
        <v/>
      </c>
      <c r="Q134" s="66" t="str">
        <f>IFERROR(VLOOKUP(A134,BUFFS!$H$5:$AF$195,17,),"")</f>
        <v/>
      </c>
      <c r="R134" s="66" t="str">
        <f>IFERROR(VLOOKUP(A134,BUFFS!$H$5:$AF$195,19,),"")</f>
        <v/>
      </c>
      <c r="S134" s="69" t="str">
        <f t="shared" si="7"/>
        <v/>
      </c>
      <c r="T134" s="70" t="str">
        <f>IFERROR(VLOOKUP(A134,BUFFS!$H$5:$AF$195,20,),"")</f>
        <v/>
      </c>
    </row>
    <row r="135" spans="1:20" x14ac:dyDescent="0.35">
      <c r="A135" s="17"/>
      <c r="B135" s="18"/>
      <c r="C135" s="13"/>
      <c r="D135" s="31" t="str">
        <f>IFERROR(VLOOKUP(A135,BUFFS!$H$5:$AF$195,8,),"")</f>
        <v/>
      </c>
      <c r="E135" s="24" t="str">
        <f t="shared" si="5"/>
        <v/>
      </c>
      <c r="F135" s="65" t="str">
        <f>IFERROR(VLOOKUP(A135,BUFFS!$H$5:$AF$195,5,),"")</f>
        <v/>
      </c>
      <c r="G135" s="66" t="str">
        <f>IFERROR(VLOOKUP(A135,BUFFS!$H$5:$AF$195,6,),"")</f>
        <v/>
      </c>
      <c r="H135" s="67" t="str">
        <f>IFERROR(VLOOKUP(A135,BUFFS!$H$5:$AF$195,7,),"")</f>
        <v/>
      </c>
      <c r="I135" s="66" t="str">
        <f>IFERROR(VLOOKUP(A135,BUFFS!$H$5:$AF$195,9,),"")</f>
        <v/>
      </c>
      <c r="J135" s="65" t="str">
        <f>IFERROR(VLOOKUP(A135,BUFFS!$H$5:$AF$195,10,),"")</f>
        <v/>
      </c>
      <c r="K135" s="66" t="str">
        <f>IFERROR(VLOOKUP(A135,BUFFS!$H$5:$AF$195,11,),"")</f>
        <v/>
      </c>
      <c r="L135" s="66" t="str">
        <f>IFERROR(VLOOKUP(A135,BUFFS!$H$5:$AF$195,12,),"")</f>
        <v/>
      </c>
      <c r="M135" s="66" t="str">
        <f>IFERROR(VLOOKUP(A135,BUFFS!$H$5:$AF$195,14,),"")</f>
        <v/>
      </c>
      <c r="N135" s="68" t="str">
        <f t="shared" si="6"/>
        <v/>
      </c>
      <c r="O135" s="65" t="str">
        <f>IFERROR(VLOOKUP(A135,BUFFS!$H$5:$AF$195,15,),"")</f>
        <v/>
      </c>
      <c r="P135" s="66" t="str">
        <f>IFERROR(VLOOKUP(A135,BUFFS!$H$5:$AF$195,16,),"")</f>
        <v/>
      </c>
      <c r="Q135" s="66" t="str">
        <f>IFERROR(VLOOKUP(A135,BUFFS!$H$5:$AF$195,17,),"")</f>
        <v/>
      </c>
      <c r="R135" s="66" t="str">
        <f>IFERROR(VLOOKUP(A135,BUFFS!$H$5:$AF$195,19,),"")</f>
        <v/>
      </c>
      <c r="S135" s="69" t="str">
        <f t="shared" si="7"/>
        <v/>
      </c>
      <c r="T135" s="70" t="str">
        <f>IFERROR(VLOOKUP(A135,BUFFS!$H$5:$AF$195,20,),"")</f>
        <v/>
      </c>
    </row>
    <row r="136" spans="1:20" x14ac:dyDescent="0.35">
      <c r="A136" s="17"/>
      <c r="B136" s="18"/>
      <c r="C136" s="13"/>
      <c r="D136" s="31" t="str">
        <f>IFERROR(VLOOKUP(A136,BUFFS!$H$5:$AF$195,8,),"")</f>
        <v/>
      </c>
      <c r="E136" s="24" t="str">
        <f t="shared" si="5"/>
        <v/>
      </c>
      <c r="F136" s="65" t="str">
        <f>IFERROR(VLOOKUP(A136,BUFFS!$H$5:$AF$195,5,),"")</f>
        <v/>
      </c>
      <c r="G136" s="66" t="str">
        <f>IFERROR(VLOOKUP(A136,BUFFS!$H$5:$AF$195,6,),"")</f>
        <v/>
      </c>
      <c r="H136" s="67" t="str">
        <f>IFERROR(VLOOKUP(A136,BUFFS!$H$5:$AF$195,7,),"")</f>
        <v/>
      </c>
      <c r="I136" s="66" t="str">
        <f>IFERROR(VLOOKUP(A136,BUFFS!$H$5:$AF$195,9,),"")</f>
        <v/>
      </c>
      <c r="J136" s="65" t="str">
        <f>IFERROR(VLOOKUP(A136,BUFFS!$H$5:$AF$195,10,),"")</f>
        <v/>
      </c>
      <c r="K136" s="66" t="str">
        <f>IFERROR(VLOOKUP(A136,BUFFS!$H$5:$AF$195,11,),"")</f>
        <v/>
      </c>
      <c r="L136" s="66" t="str">
        <f>IFERROR(VLOOKUP(A136,BUFFS!$H$5:$AF$195,12,),"")</f>
        <v/>
      </c>
      <c r="M136" s="66" t="str">
        <f>IFERROR(VLOOKUP(A136,BUFFS!$H$5:$AF$195,14,),"")</f>
        <v/>
      </c>
      <c r="N136" s="68" t="str">
        <f t="shared" si="6"/>
        <v/>
      </c>
      <c r="O136" s="65" t="str">
        <f>IFERROR(VLOOKUP(A136,BUFFS!$H$5:$AF$195,15,),"")</f>
        <v/>
      </c>
      <c r="P136" s="66" t="str">
        <f>IFERROR(VLOOKUP(A136,BUFFS!$H$5:$AF$195,16,),"")</f>
        <v/>
      </c>
      <c r="Q136" s="66" t="str">
        <f>IFERROR(VLOOKUP(A136,BUFFS!$H$5:$AF$195,17,),"")</f>
        <v/>
      </c>
      <c r="R136" s="66" t="str">
        <f>IFERROR(VLOOKUP(A136,BUFFS!$H$5:$AF$195,19,),"")</f>
        <v/>
      </c>
      <c r="S136" s="69" t="str">
        <f t="shared" si="7"/>
        <v/>
      </c>
      <c r="T136" s="70" t="str">
        <f>IFERROR(VLOOKUP(A136,BUFFS!$H$5:$AF$195,20,),"")</f>
        <v/>
      </c>
    </row>
    <row r="137" spans="1:20" x14ac:dyDescent="0.35">
      <c r="A137" s="17"/>
      <c r="B137" s="18"/>
      <c r="C137" s="13"/>
      <c r="D137" s="31" t="str">
        <f>IFERROR(VLOOKUP(A137,BUFFS!$H$5:$AF$195,8,),"")</f>
        <v/>
      </c>
      <c r="E137" s="24" t="str">
        <f t="shared" si="5"/>
        <v/>
      </c>
      <c r="F137" s="65" t="str">
        <f>IFERROR(VLOOKUP(A137,BUFFS!$H$5:$AF$195,5,),"")</f>
        <v/>
      </c>
      <c r="G137" s="66" t="str">
        <f>IFERROR(VLOOKUP(A137,BUFFS!$H$5:$AF$195,6,),"")</f>
        <v/>
      </c>
      <c r="H137" s="67" t="str">
        <f>IFERROR(VLOOKUP(A137,BUFFS!$H$5:$AF$195,7,),"")</f>
        <v/>
      </c>
      <c r="I137" s="66" t="str">
        <f>IFERROR(VLOOKUP(A137,BUFFS!$H$5:$AF$195,9,),"")</f>
        <v/>
      </c>
      <c r="J137" s="65" t="str">
        <f>IFERROR(VLOOKUP(A137,BUFFS!$H$5:$AF$195,10,),"")</f>
        <v/>
      </c>
      <c r="K137" s="66" t="str">
        <f>IFERROR(VLOOKUP(A137,BUFFS!$H$5:$AF$195,11,),"")</f>
        <v/>
      </c>
      <c r="L137" s="66" t="str">
        <f>IFERROR(VLOOKUP(A137,BUFFS!$H$5:$AF$195,12,),"")</f>
        <v/>
      </c>
      <c r="M137" s="66" t="str">
        <f>IFERROR(VLOOKUP(A137,BUFFS!$H$5:$AF$195,14,),"")</f>
        <v/>
      </c>
      <c r="N137" s="68" t="str">
        <f t="shared" si="6"/>
        <v/>
      </c>
      <c r="O137" s="65" t="str">
        <f>IFERROR(VLOOKUP(A137,BUFFS!$H$5:$AF$195,15,),"")</f>
        <v/>
      </c>
      <c r="P137" s="66" t="str">
        <f>IFERROR(VLOOKUP(A137,BUFFS!$H$5:$AF$195,16,),"")</f>
        <v/>
      </c>
      <c r="Q137" s="66" t="str">
        <f>IFERROR(VLOOKUP(A137,BUFFS!$H$5:$AF$195,17,),"")</f>
        <v/>
      </c>
      <c r="R137" s="66" t="str">
        <f>IFERROR(VLOOKUP(A137,BUFFS!$H$5:$AF$195,19,),"")</f>
        <v/>
      </c>
      <c r="S137" s="69" t="str">
        <f t="shared" si="7"/>
        <v/>
      </c>
      <c r="T137" s="70" t="str">
        <f>IFERROR(VLOOKUP(A137,BUFFS!$H$5:$AF$195,20,),"")</f>
        <v/>
      </c>
    </row>
    <row r="138" spans="1:20" x14ac:dyDescent="0.35">
      <c r="A138" s="17"/>
      <c r="B138" s="18"/>
      <c r="C138" s="13"/>
      <c r="D138" s="31" t="str">
        <f>IFERROR(VLOOKUP(A138,BUFFS!$H$5:$AF$195,8,),"")</f>
        <v/>
      </c>
      <c r="E138" s="24" t="str">
        <f t="shared" si="5"/>
        <v/>
      </c>
      <c r="F138" s="65" t="str">
        <f>IFERROR(VLOOKUP(A138,BUFFS!$H$5:$AF$195,5,),"")</f>
        <v/>
      </c>
      <c r="G138" s="66" t="str">
        <f>IFERROR(VLOOKUP(A138,BUFFS!$H$5:$AF$195,6,),"")</f>
        <v/>
      </c>
      <c r="H138" s="67" t="str">
        <f>IFERROR(VLOOKUP(A138,BUFFS!$H$5:$AF$195,7,),"")</f>
        <v/>
      </c>
      <c r="I138" s="66" t="str">
        <f>IFERROR(VLOOKUP(A138,BUFFS!$H$5:$AF$195,9,),"")</f>
        <v/>
      </c>
      <c r="J138" s="65" t="str">
        <f>IFERROR(VLOOKUP(A138,BUFFS!$H$5:$AF$195,10,),"")</f>
        <v/>
      </c>
      <c r="K138" s="66" t="str">
        <f>IFERROR(VLOOKUP(A138,BUFFS!$H$5:$AF$195,11,),"")</f>
        <v/>
      </c>
      <c r="L138" s="66" t="str">
        <f>IFERROR(VLOOKUP(A138,BUFFS!$H$5:$AF$195,12,),"")</f>
        <v/>
      </c>
      <c r="M138" s="66" t="str">
        <f>IFERROR(VLOOKUP(A138,BUFFS!$H$5:$AF$195,14,),"")</f>
        <v/>
      </c>
      <c r="N138" s="68" t="str">
        <f t="shared" si="6"/>
        <v/>
      </c>
      <c r="O138" s="65" t="str">
        <f>IFERROR(VLOOKUP(A138,BUFFS!$H$5:$AF$195,15,),"")</f>
        <v/>
      </c>
      <c r="P138" s="66" t="str">
        <f>IFERROR(VLOOKUP(A138,BUFFS!$H$5:$AF$195,16,),"")</f>
        <v/>
      </c>
      <c r="Q138" s="66" t="str">
        <f>IFERROR(VLOOKUP(A138,BUFFS!$H$5:$AF$195,17,),"")</f>
        <v/>
      </c>
      <c r="R138" s="66" t="str">
        <f>IFERROR(VLOOKUP(A138,BUFFS!$H$5:$AF$195,19,),"")</f>
        <v/>
      </c>
      <c r="S138" s="69" t="str">
        <f t="shared" si="7"/>
        <v/>
      </c>
      <c r="T138" s="70" t="str">
        <f>IFERROR(VLOOKUP(A138,BUFFS!$H$5:$AF$195,20,),"")</f>
        <v/>
      </c>
    </row>
    <row r="139" spans="1:20" x14ac:dyDescent="0.35">
      <c r="A139" s="17"/>
      <c r="B139" s="18"/>
      <c r="C139" s="13"/>
      <c r="D139" s="31" t="str">
        <f>IFERROR(VLOOKUP(A139,BUFFS!$H$5:$AF$195,8,),"")</f>
        <v/>
      </c>
      <c r="E139" s="24" t="str">
        <f t="shared" si="5"/>
        <v/>
      </c>
      <c r="F139" s="65" t="str">
        <f>IFERROR(VLOOKUP(A139,BUFFS!$H$5:$AF$195,5,),"")</f>
        <v/>
      </c>
      <c r="G139" s="66" t="str">
        <f>IFERROR(VLOOKUP(A139,BUFFS!$H$5:$AF$195,6,),"")</f>
        <v/>
      </c>
      <c r="H139" s="67" t="str">
        <f>IFERROR(VLOOKUP(A139,BUFFS!$H$5:$AF$195,7,),"")</f>
        <v/>
      </c>
      <c r="I139" s="66" t="str">
        <f>IFERROR(VLOOKUP(A139,BUFFS!$H$5:$AF$195,9,),"")</f>
        <v/>
      </c>
      <c r="J139" s="65" t="str">
        <f>IFERROR(VLOOKUP(A139,BUFFS!$H$5:$AF$195,10,),"")</f>
        <v/>
      </c>
      <c r="K139" s="66" t="str">
        <f>IFERROR(VLOOKUP(A139,BUFFS!$H$5:$AF$195,11,),"")</f>
        <v/>
      </c>
      <c r="L139" s="66" t="str">
        <f>IFERROR(VLOOKUP(A139,BUFFS!$H$5:$AF$195,12,),"")</f>
        <v/>
      </c>
      <c r="M139" s="66" t="str">
        <f>IFERROR(VLOOKUP(A139,BUFFS!$H$5:$AF$195,14,),"")</f>
        <v/>
      </c>
      <c r="N139" s="68" t="str">
        <f t="shared" si="6"/>
        <v/>
      </c>
      <c r="O139" s="65" t="str">
        <f>IFERROR(VLOOKUP(A139,BUFFS!$H$5:$AF$195,15,),"")</f>
        <v/>
      </c>
      <c r="P139" s="66" t="str">
        <f>IFERROR(VLOOKUP(A139,BUFFS!$H$5:$AF$195,16,),"")</f>
        <v/>
      </c>
      <c r="Q139" s="66" t="str">
        <f>IFERROR(VLOOKUP(A139,BUFFS!$H$5:$AF$195,17,),"")</f>
        <v/>
      </c>
      <c r="R139" s="66" t="str">
        <f>IFERROR(VLOOKUP(A139,BUFFS!$H$5:$AF$195,19,),"")</f>
        <v/>
      </c>
      <c r="S139" s="69" t="str">
        <f t="shared" si="7"/>
        <v/>
      </c>
      <c r="T139" s="70" t="str">
        <f>IFERROR(VLOOKUP(A139,BUFFS!$H$5:$AF$195,20,),"")</f>
        <v/>
      </c>
    </row>
    <row r="140" spans="1:20" x14ac:dyDescent="0.35">
      <c r="A140" s="17"/>
      <c r="B140" s="18"/>
      <c r="C140" s="13"/>
      <c r="D140" s="31" t="str">
        <f>IFERROR(VLOOKUP(A140,BUFFS!$H$5:$AF$195,8,),"")</f>
        <v/>
      </c>
      <c r="E140" s="24" t="str">
        <f t="shared" si="5"/>
        <v/>
      </c>
      <c r="F140" s="65" t="str">
        <f>IFERROR(VLOOKUP(A140,BUFFS!$H$5:$AF$195,5,),"")</f>
        <v/>
      </c>
      <c r="G140" s="66" t="str">
        <f>IFERROR(VLOOKUP(A140,BUFFS!$H$5:$AF$195,6,),"")</f>
        <v/>
      </c>
      <c r="H140" s="67" t="str">
        <f>IFERROR(VLOOKUP(A140,BUFFS!$H$5:$AF$195,7,),"")</f>
        <v/>
      </c>
      <c r="I140" s="66" t="str">
        <f>IFERROR(VLOOKUP(A140,BUFFS!$H$5:$AF$195,9,),"")</f>
        <v/>
      </c>
      <c r="J140" s="65" t="str">
        <f>IFERROR(VLOOKUP(A140,BUFFS!$H$5:$AF$195,10,),"")</f>
        <v/>
      </c>
      <c r="K140" s="66" t="str">
        <f>IFERROR(VLOOKUP(A140,BUFFS!$H$5:$AF$195,11,),"")</f>
        <v/>
      </c>
      <c r="L140" s="66" t="str">
        <f>IFERROR(VLOOKUP(A140,BUFFS!$H$5:$AF$195,12,),"")</f>
        <v/>
      </c>
      <c r="M140" s="66" t="str">
        <f>IFERROR(VLOOKUP(A140,BUFFS!$H$5:$AF$195,14,),"")</f>
        <v/>
      </c>
      <c r="N140" s="68" t="str">
        <f t="shared" si="6"/>
        <v/>
      </c>
      <c r="O140" s="65" t="str">
        <f>IFERROR(VLOOKUP(A140,BUFFS!$H$5:$AF$195,15,),"")</f>
        <v/>
      </c>
      <c r="P140" s="66" t="str">
        <f>IFERROR(VLOOKUP(A140,BUFFS!$H$5:$AF$195,16,),"")</f>
        <v/>
      </c>
      <c r="Q140" s="66" t="str">
        <f>IFERROR(VLOOKUP(A140,BUFFS!$H$5:$AF$195,17,),"")</f>
        <v/>
      </c>
      <c r="R140" s="66" t="str">
        <f>IFERROR(VLOOKUP(A140,BUFFS!$H$5:$AF$195,19,),"")</f>
        <v/>
      </c>
      <c r="S140" s="69" t="str">
        <f t="shared" si="7"/>
        <v/>
      </c>
      <c r="T140" s="70" t="str">
        <f>IFERROR(VLOOKUP(A140,BUFFS!$H$5:$AF$195,20,),"")</f>
        <v/>
      </c>
    </row>
    <row r="141" spans="1:20" x14ac:dyDescent="0.35">
      <c r="A141" s="17"/>
      <c r="B141" s="18"/>
      <c r="C141" s="13"/>
      <c r="D141" s="31" t="str">
        <f>IFERROR(VLOOKUP(A141,BUFFS!$H$5:$AF$195,8,),"")</f>
        <v/>
      </c>
      <c r="E141" s="24" t="str">
        <f t="shared" ref="E141:E163" si="8">IFERROR(SUM(H141,ROUNDDOWN(MIN(B141,T$35)*I141,0)),"")</f>
        <v/>
      </c>
      <c r="F141" s="65" t="str">
        <f>IFERROR(VLOOKUP(A141,BUFFS!$H$5:$AF$195,5,),"")</f>
        <v/>
      </c>
      <c r="G141" s="66" t="str">
        <f>IFERROR(VLOOKUP(A141,BUFFS!$H$5:$AF$195,6,),"")</f>
        <v/>
      </c>
      <c r="H141" s="67" t="str">
        <f>IFERROR(VLOOKUP(A141,BUFFS!$H$5:$AF$195,7,),"")</f>
        <v/>
      </c>
      <c r="I141" s="66" t="str">
        <f>IFERROR(VLOOKUP(A141,BUFFS!$H$5:$AF$195,9,),"")</f>
        <v/>
      </c>
      <c r="J141" s="65" t="str">
        <f>IFERROR(VLOOKUP(A141,BUFFS!$H$5:$AF$195,10,),"")</f>
        <v/>
      </c>
      <c r="K141" s="66" t="str">
        <f>IFERROR(VLOOKUP(A141,BUFFS!$H$5:$AF$195,11,),"")</f>
        <v/>
      </c>
      <c r="L141" s="66" t="str">
        <f>IFERROR(VLOOKUP(A141,BUFFS!$H$5:$AF$195,12,),"")</f>
        <v/>
      </c>
      <c r="M141" s="66" t="str">
        <f>IFERROR(VLOOKUP(A141,BUFFS!$H$5:$AF$195,14,),"")</f>
        <v/>
      </c>
      <c r="N141" s="68" t="str">
        <f t="shared" ref="N141:N163" si="9">IFERROR(SUM(L141,ROUNDDOWN(MIN(B141,T$35)*M141,0)),"")</f>
        <v/>
      </c>
      <c r="O141" s="65" t="str">
        <f>IFERROR(VLOOKUP(A141,BUFFS!$H$5:$AF$195,15,),"")</f>
        <v/>
      </c>
      <c r="P141" s="66" t="str">
        <f>IFERROR(VLOOKUP(A141,BUFFS!$H$5:$AF$195,16,),"")</f>
        <v/>
      </c>
      <c r="Q141" s="66" t="str">
        <f>IFERROR(VLOOKUP(A141,BUFFS!$H$5:$AF$195,17,),"")</f>
        <v/>
      </c>
      <c r="R141" s="66" t="str">
        <f>IFERROR(VLOOKUP(A141,BUFFS!$H$5:$AF$195,19,),"")</f>
        <v/>
      </c>
      <c r="S141" s="69" t="str">
        <f t="shared" ref="S141:S163" si="10">IFERROR(SUM(Q141,ROUNDDOWN(MIN(B141,T$35)*R141,0)),"")</f>
        <v/>
      </c>
      <c r="T141" s="70" t="str">
        <f>IFERROR(VLOOKUP(A141,BUFFS!$H$5:$AF$195,20,),"")</f>
        <v/>
      </c>
    </row>
    <row r="142" spans="1:20" x14ac:dyDescent="0.35">
      <c r="A142" s="17"/>
      <c r="B142" s="18"/>
      <c r="C142" s="13"/>
      <c r="D142" s="31" t="str">
        <f>IFERROR(VLOOKUP(A142,BUFFS!$H$5:$AF$195,8,),"")</f>
        <v/>
      </c>
      <c r="E142" s="24" t="str">
        <f t="shared" si="8"/>
        <v/>
      </c>
      <c r="F142" s="65" t="str">
        <f>IFERROR(VLOOKUP(A142,BUFFS!$H$5:$AF$195,5,),"")</f>
        <v/>
      </c>
      <c r="G142" s="66" t="str">
        <f>IFERROR(VLOOKUP(A142,BUFFS!$H$5:$AF$195,6,),"")</f>
        <v/>
      </c>
      <c r="H142" s="67" t="str">
        <f>IFERROR(VLOOKUP(A142,BUFFS!$H$5:$AF$195,7,),"")</f>
        <v/>
      </c>
      <c r="I142" s="66" t="str">
        <f>IFERROR(VLOOKUP(A142,BUFFS!$H$5:$AF$195,9,),"")</f>
        <v/>
      </c>
      <c r="J142" s="65" t="str">
        <f>IFERROR(VLOOKUP(A142,BUFFS!$H$5:$AF$195,10,),"")</f>
        <v/>
      </c>
      <c r="K142" s="66" t="str">
        <f>IFERROR(VLOOKUP(A142,BUFFS!$H$5:$AF$195,11,),"")</f>
        <v/>
      </c>
      <c r="L142" s="66" t="str">
        <f>IFERROR(VLOOKUP(A142,BUFFS!$H$5:$AF$195,12,),"")</f>
        <v/>
      </c>
      <c r="M142" s="66" t="str">
        <f>IFERROR(VLOOKUP(A142,BUFFS!$H$5:$AF$195,14,),"")</f>
        <v/>
      </c>
      <c r="N142" s="68" t="str">
        <f t="shared" si="9"/>
        <v/>
      </c>
      <c r="O142" s="65" t="str">
        <f>IFERROR(VLOOKUP(A142,BUFFS!$H$5:$AF$195,15,),"")</f>
        <v/>
      </c>
      <c r="P142" s="66" t="str">
        <f>IFERROR(VLOOKUP(A142,BUFFS!$H$5:$AF$195,16,),"")</f>
        <v/>
      </c>
      <c r="Q142" s="66" t="str">
        <f>IFERROR(VLOOKUP(A142,BUFFS!$H$5:$AF$195,17,),"")</f>
        <v/>
      </c>
      <c r="R142" s="66" t="str">
        <f>IFERROR(VLOOKUP(A142,BUFFS!$H$5:$AF$195,19,),"")</f>
        <v/>
      </c>
      <c r="S142" s="69" t="str">
        <f t="shared" si="10"/>
        <v/>
      </c>
      <c r="T142" s="70" t="str">
        <f>IFERROR(VLOOKUP(A142,BUFFS!$H$5:$AF$195,20,),"")</f>
        <v/>
      </c>
    </row>
    <row r="143" spans="1:20" x14ac:dyDescent="0.35">
      <c r="A143" s="17"/>
      <c r="B143" s="18"/>
      <c r="C143" s="13"/>
      <c r="D143" s="31" t="str">
        <f>IFERROR(VLOOKUP(A143,BUFFS!$H$5:$AF$195,8,),"")</f>
        <v/>
      </c>
      <c r="E143" s="24" t="str">
        <f t="shared" si="8"/>
        <v/>
      </c>
      <c r="F143" s="65" t="str">
        <f>IFERROR(VLOOKUP(A143,BUFFS!$H$5:$AF$195,5,),"")</f>
        <v/>
      </c>
      <c r="G143" s="66" t="str">
        <f>IFERROR(VLOOKUP(A143,BUFFS!$H$5:$AF$195,6,),"")</f>
        <v/>
      </c>
      <c r="H143" s="67" t="str">
        <f>IFERROR(VLOOKUP(A143,BUFFS!$H$5:$AF$195,7,),"")</f>
        <v/>
      </c>
      <c r="I143" s="66" t="str">
        <f>IFERROR(VLOOKUP(A143,BUFFS!$H$5:$AF$195,9,),"")</f>
        <v/>
      </c>
      <c r="J143" s="65" t="str">
        <f>IFERROR(VLOOKUP(A143,BUFFS!$H$5:$AF$195,10,),"")</f>
        <v/>
      </c>
      <c r="K143" s="66" t="str">
        <f>IFERROR(VLOOKUP(A143,BUFFS!$H$5:$AF$195,11,),"")</f>
        <v/>
      </c>
      <c r="L143" s="66" t="str">
        <f>IFERROR(VLOOKUP(A143,BUFFS!$H$5:$AF$195,12,),"")</f>
        <v/>
      </c>
      <c r="M143" s="66" t="str">
        <f>IFERROR(VLOOKUP(A143,BUFFS!$H$5:$AF$195,14,),"")</f>
        <v/>
      </c>
      <c r="N143" s="68" t="str">
        <f t="shared" si="9"/>
        <v/>
      </c>
      <c r="O143" s="65" t="str">
        <f>IFERROR(VLOOKUP(A143,BUFFS!$H$5:$AF$195,15,),"")</f>
        <v/>
      </c>
      <c r="P143" s="66" t="str">
        <f>IFERROR(VLOOKUP(A143,BUFFS!$H$5:$AF$195,16,),"")</f>
        <v/>
      </c>
      <c r="Q143" s="66" t="str">
        <f>IFERROR(VLOOKUP(A143,BUFFS!$H$5:$AF$195,17,),"")</f>
        <v/>
      </c>
      <c r="R143" s="66" t="str">
        <f>IFERROR(VLOOKUP(A143,BUFFS!$H$5:$AF$195,19,),"")</f>
        <v/>
      </c>
      <c r="S143" s="69" t="str">
        <f t="shared" si="10"/>
        <v/>
      </c>
      <c r="T143" s="70" t="str">
        <f>IFERROR(VLOOKUP(A143,BUFFS!$H$5:$AF$195,20,),"")</f>
        <v/>
      </c>
    </row>
    <row r="144" spans="1:20" x14ac:dyDescent="0.35">
      <c r="A144" s="17"/>
      <c r="B144" s="18"/>
      <c r="C144" s="13"/>
      <c r="D144" s="31" t="str">
        <f>IFERROR(VLOOKUP(A144,BUFFS!$H$5:$AF$195,8,),"")</f>
        <v/>
      </c>
      <c r="E144" s="24" t="str">
        <f t="shared" si="8"/>
        <v/>
      </c>
      <c r="F144" s="65" t="str">
        <f>IFERROR(VLOOKUP(A144,BUFFS!$H$5:$AF$195,5,),"")</f>
        <v/>
      </c>
      <c r="G144" s="66" t="str">
        <f>IFERROR(VLOOKUP(A144,BUFFS!$H$5:$AF$195,6,),"")</f>
        <v/>
      </c>
      <c r="H144" s="67" t="str">
        <f>IFERROR(VLOOKUP(A144,BUFFS!$H$5:$AF$195,7,),"")</f>
        <v/>
      </c>
      <c r="I144" s="66" t="str">
        <f>IFERROR(VLOOKUP(A144,BUFFS!$H$5:$AF$195,9,),"")</f>
        <v/>
      </c>
      <c r="J144" s="65" t="str">
        <f>IFERROR(VLOOKUP(A144,BUFFS!$H$5:$AF$195,10,),"")</f>
        <v/>
      </c>
      <c r="K144" s="66" t="str">
        <f>IFERROR(VLOOKUP(A144,BUFFS!$H$5:$AF$195,11,),"")</f>
        <v/>
      </c>
      <c r="L144" s="66" t="str">
        <f>IFERROR(VLOOKUP(A144,BUFFS!$H$5:$AF$195,12,),"")</f>
        <v/>
      </c>
      <c r="M144" s="66" t="str">
        <f>IFERROR(VLOOKUP(A144,BUFFS!$H$5:$AF$195,14,),"")</f>
        <v/>
      </c>
      <c r="N144" s="68" t="str">
        <f t="shared" si="9"/>
        <v/>
      </c>
      <c r="O144" s="65" t="str">
        <f>IFERROR(VLOOKUP(A144,BUFFS!$H$5:$AF$195,15,),"")</f>
        <v/>
      </c>
      <c r="P144" s="66" t="str">
        <f>IFERROR(VLOOKUP(A144,BUFFS!$H$5:$AF$195,16,),"")</f>
        <v/>
      </c>
      <c r="Q144" s="66" t="str">
        <f>IFERROR(VLOOKUP(A144,BUFFS!$H$5:$AF$195,17,),"")</f>
        <v/>
      </c>
      <c r="R144" s="66" t="str">
        <f>IFERROR(VLOOKUP(A144,BUFFS!$H$5:$AF$195,19,),"")</f>
        <v/>
      </c>
      <c r="S144" s="69" t="str">
        <f t="shared" si="10"/>
        <v/>
      </c>
      <c r="T144" s="70" t="str">
        <f>IFERROR(VLOOKUP(A144,BUFFS!$H$5:$AF$195,20,),"")</f>
        <v/>
      </c>
    </row>
    <row r="145" spans="1:20" x14ac:dyDescent="0.35">
      <c r="A145" s="17"/>
      <c r="B145" s="18"/>
      <c r="C145" s="13"/>
      <c r="D145" s="31" t="str">
        <f>IFERROR(VLOOKUP(A145,BUFFS!$H$5:$AF$195,8,),"")</f>
        <v/>
      </c>
      <c r="E145" s="24" t="str">
        <f t="shared" si="8"/>
        <v/>
      </c>
      <c r="F145" s="65" t="str">
        <f>IFERROR(VLOOKUP(A145,BUFFS!$H$5:$AF$195,5,),"")</f>
        <v/>
      </c>
      <c r="G145" s="66" t="str">
        <f>IFERROR(VLOOKUP(A145,BUFFS!$H$5:$AF$195,6,),"")</f>
        <v/>
      </c>
      <c r="H145" s="67" t="str">
        <f>IFERROR(VLOOKUP(A145,BUFFS!$H$5:$AF$195,7,),"")</f>
        <v/>
      </c>
      <c r="I145" s="66" t="str">
        <f>IFERROR(VLOOKUP(A145,BUFFS!$H$5:$AF$195,9,),"")</f>
        <v/>
      </c>
      <c r="J145" s="65" t="str">
        <f>IFERROR(VLOOKUP(A145,BUFFS!$H$5:$AF$195,10,),"")</f>
        <v/>
      </c>
      <c r="K145" s="66" t="str">
        <f>IFERROR(VLOOKUP(A145,BUFFS!$H$5:$AF$195,11,),"")</f>
        <v/>
      </c>
      <c r="L145" s="66" t="str">
        <f>IFERROR(VLOOKUP(A145,BUFFS!$H$5:$AF$195,12,),"")</f>
        <v/>
      </c>
      <c r="M145" s="66" t="str">
        <f>IFERROR(VLOOKUP(A145,BUFFS!$H$5:$AF$195,14,),"")</f>
        <v/>
      </c>
      <c r="N145" s="68" t="str">
        <f t="shared" si="9"/>
        <v/>
      </c>
      <c r="O145" s="65" t="str">
        <f>IFERROR(VLOOKUP(A145,BUFFS!$H$5:$AF$195,15,),"")</f>
        <v/>
      </c>
      <c r="P145" s="66" t="str">
        <f>IFERROR(VLOOKUP(A145,BUFFS!$H$5:$AF$195,16,),"")</f>
        <v/>
      </c>
      <c r="Q145" s="66" t="str">
        <f>IFERROR(VLOOKUP(A145,BUFFS!$H$5:$AF$195,17,),"")</f>
        <v/>
      </c>
      <c r="R145" s="66" t="str">
        <f>IFERROR(VLOOKUP(A145,BUFFS!$H$5:$AF$195,19,),"")</f>
        <v/>
      </c>
      <c r="S145" s="69" t="str">
        <f t="shared" si="10"/>
        <v/>
      </c>
      <c r="T145" s="70" t="str">
        <f>IFERROR(VLOOKUP(A145,BUFFS!$H$5:$AF$195,20,),"")</f>
        <v/>
      </c>
    </row>
    <row r="146" spans="1:20" x14ac:dyDescent="0.35">
      <c r="A146" s="17"/>
      <c r="B146" s="18"/>
      <c r="C146" s="13"/>
      <c r="D146" s="31" t="str">
        <f>IFERROR(VLOOKUP(A146,BUFFS!$H$5:$AF$195,8,),"")</f>
        <v/>
      </c>
      <c r="E146" s="24" t="str">
        <f t="shared" si="8"/>
        <v/>
      </c>
      <c r="F146" s="65" t="str">
        <f>IFERROR(VLOOKUP(A146,BUFFS!$H$5:$AF$195,5,),"")</f>
        <v/>
      </c>
      <c r="G146" s="66" t="str">
        <f>IFERROR(VLOOKUP(A146,BUFFS!$H$5:$AF$195,6,),"")</f>
        <v/>
      </c>
      <c r="H146" s="67" t="str">
        <f>IFERROR(VLOOKUP(A146,BUFFS!$H$5:$AF$195,7,),"")</f>
        <v/>
      </c>
      <c r="I146" s="66" t="str">
        <f>IFERROR(VLOOKUP(A146,BUFFS!$H$5:$AF$195,9,),"")</f>
        <v/>
      </c>
      <c r="J146" s="65" t="str">
        <f>IFERROR(VLOOKUP(A146,BUFFS!$H$5:$AF$195,10,),"")</f>
        <v/>
      </c>
      <c r="K146" s="66" t="str">
        <f>IFERROR(VLOOKUP(A146,BUFFS!$H$5:$AF$195,11,),"")</f>
        <v/>
      </c>
      <c r="L146" s="66" t="str">
        <f>IFERROR(VLOOKUP(A146,BUFFS!$H$5:$AF$195,12,),"")</f>
        <v/>
      </c>
      <c r="M146" s="66" t="str">
        <f>IFERROR(VLOOKUP(A146,BUFFS!$H$5:$AF$195,14,),"")</f>
        <v/>
      </c>
      <c r="N146" s="68" t="str">
        <f t="shared" si="9"/>
        <v/>
      </c>
      <c r="O146" s="65" t="str">
        <f>IFERROR(VLOOKUP(A146,BUFFS!$H$5:$AF$195,15,),"")</f>
        <v/>
      </c>
      <c r="P146" s="66" t="str">
        <f>IFERROR(VLOOKUP(A146,BUFFS!$H$5:$AF$195,16,),"")</f>
        <v/>
      </c>
      <c r="Q146" s="66" t="str">
        <f>IFERROR(VLOOKUP(A146,BUFFS!$H$5:$AF$195,17,),"")</f>
        <v/>
      </c>
      <c r="R146" s="66" t="str">
        <f>IFERROR(VLOOKUP(A146,BUFFS!$H$5:$AF$195,19,),"")</f>
        <v/>
      </c>
      <c r="S146" s="69" t="str">
        <f t="shared" si="10"/>
        <v/>
      </c>
      <c r="T146" s="70" t="str">
        <f>IFERROR(VLOOKUP(A146,BUFFS!$H$5:$AF$195,20,),"")</f>
        <v/>
      </c>
    </row>
    <row r="147" spans="1:20" x14ac:dyDescent="0.35">
      <c r="A147" s="17"/>
      <c r="B147" s="18"/>
      <c r="C147" s="13"/>
      <c r="D147" s="31" t="str">
        <f>IFERROR(VLOOKUP(A147,BUFFS!$H$5:$AF$195,8,),"")</f>
        <v/>
      </c>
      <c r="E147" s="24" t="str">
        <f t="shared" si="8"/>
        <v/>
      </c>
      <c r="F147" s="65" t="str">
        <f>IFERROR(VLOOKUP(A147,BUFFS!$H$5:$AF$195,5,),"")</f>
        <v/>
      </c>
      <c r="G147" s="66" t="str">
        <f>IFERROR(VLOOKUP(A147,BUFFS!$H$5:$AF$195,6,),"")</f>
        <v/>
      </c>
      <c r="H147" s="67" t="str">
        <f>IFERROR(VLOOKUP(A147,BUFFS!$H$5:$AF$195,7,),"")</f>
        <v/>
      </c>
      <c r="I147" s="66" t="str">
        <f>IFERROR(VLOOKUP(A147,BUFFS!$H$5:$AF$195,9,),"")</f>
        <v/>
      </c>
      <c r="J147" s="65" t="str">
        <f>IFERROR(VLOOKUP(A147,BUFFS!$H$5:$AF$195,10,),"")</f>
        <v/>
      </c>
      <c r="K147" s="66" t="str">
        <f>IFERROR(VLOOKUP(A147,BUFFS!$H$5:$AF$195,11,),"")</f>
        <v/>
      </c>
      <c r="L147" s="66" t="str">
        <f>IFERROR(VLOOKUP(A147,BUFFS!$H$5:$AF$195,12,),"")</f>
        <v/>
      </c>
      <c r="M147" s="66" t="str">
        <f>IFERROR(VLOOKUP(A147,BUFFS!$H$5:$AF$195,14,),"")</f>
        <v/>
      </c>
      <c r="N147" s="68" t="str">
        <f t="shared" si="9"/>
        <v/>
      </c>
      <c r="O147" s="65" t="str">
        <f>IFERROR(VLOOKUP(A147,BUFFS!$H$5:$AF$195,15,),"")</f>
        <v/>
      </c>
      <c r="P147" s="66" t="str">
        <f>IFERROR(VLOOKUP(A147,BUFFS!$H$5:$AF$195,16,),"")</f>
        <v/>
      </c>
      <c r="Q147" s="66" t="str">
        <f>IFERROR(VLOOKUP(A147,BUFFS!$H$5:$AF$195,17,),"")</f>
        <v/>
      </c>
      <c r="R147" s="66" t="str">
        <f>IFERROR(VLOOKUP(A147,BUFFS!$H$5:$AF$195,19,),"")</f>
        <v/>
      </c>
      <c r="S147" s="69" t="str">
        <f t="shared" si="10"/>
        <v/>
      </c>
      <c r="T147" s="70" t="str">
        <f>IFERROR(VLOOKUP(A147,BUFFS!$H$5:$AF$195,20,),"")</f>
        <v/>
      </c>
    </row>
    <row r="148" spans="1:20" x14ac:dyDescent="0.35">
      <c r="A148" s="17"/>
      <c r="B148" s="18"/>
      <c r="C148" s="13"/>
      <c r="D148" s="31" t="str">
        <f>IFERROR(VLOOKUP(A148,BUFFS!$H$5:$AF$195,8,),"")</f>
        <v/>
      </c>
      <c r="E148" s="24" t="str">
        <f t="shared" si="8"/>
        <v/>
      </c>
      <c r="F148" s="65" t="str">
        <f>IFERROR(VLOOKUP(A148,BUFFS!$H$5:$AF$195,5,),"")</f>
        <v/>
      </c>
      <c r="G148" s="66" t="str">
        <f>IFERROR(VLOOKUP(A148,BUFFS!$H$5:$AF$195,6,),"")</f>
        <v/>
      </c>
      <c r="H148" s="67" t="str">
        <f>IFERROR(VLOOKUP(A148,BUFFS!$H$5:$AF$195,7,),"")</f>
        <v/>
      </c>
      <c r="I148" s="66" t="str">
        <f>IFERROR(VLOOKUP(A148,BUFFS!$H$5:$AF$195,9,),"")</f>
        <v/>
      </c>
      <c r="J148" s="65" t="str">
        <f>IFERROR(VLOOKUP(A148,BUFFS!$H$5:$AF$195,10,),"")</f>
        <v/>
      </c>
      <c r="K148" s="66" t="str">
        <f>IFERROR(VLOOKUP(A148,BUFFS!$H$5:$AF$195,11,),"")</f>
        <v/>
      </c>
      <c r="L148" s="66" t="str">
        <f>IFERROR(VLOOKUP(A148,BUFFS!$H$5:$AF$195,12,),"")</f>
        <v/>
      </c>
      <c r="M148" s="66" t="str">
        <f>IFERROR(VLOOKUP(A148,BUFFS!$H$5:$AF$195,14,),"")</f>
        <v/>
      </c>
      <c r="N148" s="68" t="str">
        <f t="shared" si="9"/>
        <v/>
      </c>
      <c r="O148" s="65" t="str">
        <f>IFERROR(VLOOKUP(A148,BUFFS!$H$5:$AF$195,15,),"")</f>
        <v/>
      </c>
      <c r="P148" s="66" t="str">
        <f>IFERROR(VLOOKUP(A148,BUFFS!$H$5:$AF$195,16,),"")</f>
        <v/>
      </c>
      <c r="Q148" s="66" t="str">
        <f>IFERROR(VLOOKUP(A148,BUFFS!$H$5:$AF$195,17,),"")</f>
        <v/>
      </c>
      <c r="R148" s="66" t="str">
        <f>IFERROR(VLOOKUP(A148,BUFFS!$H$5:$AF$195,19,),"")</f>
        <v/>
      </c>
      <c r="S148" s="69" t="str">
        <f t="shared" si="10"/>
        <v/>
      </c>
      <c r="T148" s="70" t="str">
        <f>IFERROR(VLOOKUP(A148,BUFFS!$H$5:$AF$195,20,),"")</f>
        <v/>
      </c>
    </row>
    <row r="149" spans="1:20" x14ac:dyDescent="0.35">
      <c r="A149" s="17"/>
      <c r="B149" s="18"/>
      <c r="C149" s="13"/>
      <c r="D149" s="31" t="str">
        <f>IFERROR(VLOOKUP(A149,BUFFS!$H$5:$AF$195,8,),"")</f>
        <v/>
      </c>
      <c r="E149" s="24" t="str">
        <f t="shared" si="8"/>
        <v/>
      </c>
      <c r="F149" s="65" t="str">
        <f>IFERROR(VLOOKUP(A149,BUFFS!$H$5:$AF$195,5,),"")</f>
        <v/>
      </c>
      <c r="G149" s="66" t="str">
        <f>IFERROR(VLOOKUP(A149,BUFFS!$H$5:$AF$195,6,),"")</f>
        <v/>
      </c>
      <c r="H149" s="67" t="str">
        <f>IFERROR(VLOOKUP(A149,BUFFS!$H$5:$AF$195,7,),"")</f>
        <v/>
      </c>
      <c r="I149" s="66" t="str">
        <f>IFERROR(VLOOKUP(A149,BUFFS!$H$5:$AF$195,9,),"")</f>
        <v/>
      </c>
      <c r="J149" s="65" t="str">
        <f>IFERROR(VLOOKUP(A149,BUFFS!$H$5:$AF$195,10,),"")</f>
        <v/>
      </c>
      <c r="K149" s="66" t="str">
        <f>IFERROR(VLOOKUP(A149,BUFFS!$H$5:$AF$195,11,),"")</f>
        <v/>
      </c>
      <c r="L149" s="66" t="str">
        <f>IFERROR(VLOOKUP(A149,BUFFS!$H$5:$AF$195,12,),"")</f>
        <v/>
      </c>
      <c r="M149" s="66" t="str">
        <f>IFERROR(VLOOKUP(A149,BUFFS!$H$5:$AF$195,14,),"")</f>
        <v/>
      </c>
      <c r="N149" s="68" t="str">
        <f t="shared" si="9"/>
        <v/>
      </c>
      <c r="O149" s="65" t="str">
        <f>IFERROR(VLOOKUP(A149,BUFFS!$H$5:$AF$195,15,),"")</f>
        <v/>
      </c>
      <c r="P149" s="66" t="str">
        <f>IFERROR(VLOOKUP(A149,BUFFS!$H$5:$AF$195,16,),"")</f>
        <v/>
      </c>
      <c r="Q149" s="66" t="str">
        <f>IFERROR(VLOOKUP(A149,BUFFS!$H$5:$AF$195,17,),"")</f>
        <v/>
      </c>
      <c r="R149" s="66" t="str">
        <f>IFERROR(VLOOKUP(A149,BUFFS!$H$5:$AF$195,19,),"")</f>
        <v/>
      </c>
      <c r="S149" s="69" t="str">
        <f t="shared" si="10"/>
        <v/>
      </c>
      <c r="T149" s="70" t="str">
        <f>IFERROR(VLOOKUP(A149,BUFFS!$H$5:$AF$195,20,),"")</f>
        <v/>
      </c>
    </row>
    <row r="150" spans="1:20" x14ac:dyDescent="0.35">
      <c r="A150" s="17"/>
      <c r="B150" s="18"/>
      <c r="C150" s="13"/>
      <c r="D150" s="31" t="str">
        <f>IFERROR(VLOOKUP(A150,BUFFS!$H$5:$AF$195,8,),"")</f>
        <v/>
      </c>
      <c r="E150" s="24" t="str">
        <f t="shared" si="8"/>
        <v/>
      </c>
      <c r="F150" s="65" t="str">
        <f>IFERROR(VLOOKUP(A150,BUFFS!$H$5:$AF$195,5,),"")</f>
        <v/>
      </c>
      <c r="G150" s="66" t="str">
        <f>IFERROR(VLOOKUP(A150,BUFFS!$H$5:$AF$195,6,),"")</f>
        <v/>
      </c>
      <c r="H150" s="67" t="str">
        <f>IFERROR(VLOOKUP(A150,BUFFS!$H$5:$AF$195,7,),"")</f>
        <v/>
      </c>
      <c r="I150" s="66" t="str">
        <f>IFERROR(VLOOKUP(A150,BUFFS!$H$5:$AF$195,9,),"")</f>
        <v/>
      </c>
      <c r="J150" s="65" t="str">
        <f>IFERROR(VLOOKUP(A150,BUFFS!$H$5:$AF$195,10,),"")</f>
        <v/>
      </c>
      <c r="K150" s="66" t="str">
        <f>IFERROR(VLOOKUP(A150,BUFFS!$H$5:$AF$195,11,),"")</f>
        <v/>
      </c>
      <c r="L150" s="66" t="str">
        <f>IFERROR(VLOOKUP(A150,BUFFS!$H$5:$AF$195,12,),"")</f>
        <v/>
      </c>
      <c r="M150" s="66" t="str">
        <f>IFERROR(VLOOKUP(A150,BUFFS!$H$5:$AF$195,14,),"")</f>
        <v/>
      </c>
      <c r="N150" s="68" t="str">
        <f t="shared" si="9"/>
        <v/>
      </c>
      <c r="O150" s="65" t="str">
        <f>IFERROR(VLOOKUP(A150,BUFFS!$H$5:$AF$195,15,),"")</f>
        <v/>
      </c>
      <c r="P150" s="66" t="str">
        <f>IFERROR(VLOOKUP(A150,BUFFS!$H$5:$AF$195,16,),"")</f>
        <v/>
      </c>
      <c r="Q150" s="66" t="str">
        <f>IFERROR(VLOOKUP(A150,BUFFS!$H$5:$AF$195,17,),"")</f>
        <v/>
      </c>
      <c r="R150" s="66" t="str">
        <f>IFERROR(VLOOKUP(A150,BUFFS!$H$5:$AF$195,19,),"")</f>
        <v/>
      </c>
      <c r="S150" s="69" t="str">
        <f t="shared" si="10"/>
        <v/>
      </c>
      <c r="T150" s="70" t="str">
        <f>IFERROR(VLOOKUP(A150,BUFFS!$H$5:$AF$195,20,),"")</f>
        <v/>
      </c>
    </row>
    <row r="151" spans="1:20" x14ac:dyDescent="0.35">
      <c r="A151" s="17"/>
      <c r="B151" s="18"/>
      <c r="C151" s="13"/>
      <c r="D151" s="31" t="str">
        <f>IFERROR(VLOOKUP(A151,BUFFS!$H$5:$AF$195,8,),"")</f>
        <v/>
      </c>
      <c r="E151" s="24" t="str">
        <f t="shared" si="8"/>
        <v/>
      </c>
      <c r="F151" s="65" t="str">
        <f>IFERROR(VLOOKUP(A151,BUFFS!$H$5:$AF$195,5,),"")</f>
        <v/>
      </c>
      <c r="G151" s="66" t="str">
        <f>IFERROR(VLOOKUP(A151,BUFFS!$H$5:$AF$195,6,),"")</f>
        <v/>
      </c>
      <c r="H151" s="67" t="str">
        <f>IFERROR(VLOOKUP(A151,BUFFS!$H$5:$AF$195,7,),"")</f>
        <v/>
      </c>
      <c r="I151" s="66" t="str">
        <f>IFERROR(VLOOKUP(A151,BUFFS!$H$5:$AF$195,9,),"")</f>
        <v/>
      </c>
      <c r="J151" s="65" t="str">
        <f>IFERROR(VLOOKUP(A151,BUFFS!$H$5:$AF$195,10,),"")</f>
        <v/>
      </c>
      <c r="K151" s="66" t="str">
        <f>IFERROR(VLOOKUP(A151,BUFFS!$H$5:$AF$195,11,),"")</f>
        <v/>
      </c>
      <c r="L151" s="66" t="str">
        <f>IFERROR(VLOOKUP(A151,BUFFS!$H$5:$AF$195,12,),"")</f>
        <v/>
      </c>
      <c r="M151" s="66" t="str">
        <f>IFERROR(VLOOKUP(A151,BUFFS!$H$5:$AF$195,14,),"")</f>
        <v/>
      </c>
      <c r="N151" s="68" t="str">
        <f t="shared" si="9"/>
        <v/>
      </c>
      <c r="O151" s="65" t="str">
        <f>IFERROR(VLOOKUP(A151,BUFFS!$H$5:$AF$195,15,),"")</f>
        <v/>
      </c>
      <c r="P151" s="66" t="str">
        <f>IFERROR(VLOOKUP(A151,BUFFS!$H$5:$AF$195,16,),"")</f>
        <v/>
      </c>
      <c r="Q151" s="66" t="str">
        <f>IFERROR(VLOOKUP(A151,BUFFS!$H$5:$AF$195,17,),"")</f>
        <v/>
      </c>
      <c r="R151" s="66" t="str">
        <f>IFERROR(VLOOKUP(A151,BUFFS!$H$5:$AF$195,19,),"")</f>
        <v/>
      </c>
      <c r="S151" s="69" t="str">
        <f t="shared" si="10"/>
        <v/>
      </c>
      <c r="T151" s="70" t="str">
        <f>IFERROR(VLOOKUP(A151,BUFFS!$H$5:$AF$195,20,),"")</f>
        <v/>
      </c>
    </row>
    <row r="152" spans="1:20" x14ac:dyDescent="0.35">
      <c r="A152" s="17"/>
      <c r="B152" s="18"/>
      <c r="C152" s="13"/>
      <c r="D152" s="31" t="str">
        <f>IFERROR(VLOOKUP(A152,BUFFS!$H$5:$AF$195,8,),"")</f>
        <v/>
      </c>
      <c r="E152" s="24" t="str">
        <f t="shared" si="8"/>
        <v/>
      </c>
      <c r="F152" s="65" t="str">
        <f>IFERROR(VLOOKUP(A152,BUFFS!$H$5:$AF$195,5,),"")</f>
        <v/>
      </c>
      <c r="G152" s="66" t="str">
        <f>IFERROR(VLOOKUP(A152,BUFFS!$H$5:$AF$195,6,),"")</f>
        <v/>
      </c>
      <c r="H152" s="67" t="str">
        <f>IFERROR(VLOOKUP(A152,BUFFS!$H$5:$AF$195,7,),"")</f>
        <v/>
      </c>
      <c r="I152" s="66" t="str">
        <f>IFERROR(VLOOKUP(A152,BUFFS!$H$5:$AF$195,9,),"")</f>
        <v/>
      </c>
      <c r="J152" s="65" t="str">
        <f>IFERROR(VLOOKUP(A152,BUFFS!$H$5:$AF$195,10,),"")</f>
        <v/>
      </c>
      <c r="K152" s="66" t="str">
        <f>IFERROR(VLOOKUP(A152,BUFFS!$H$5:$AF$195,11,),"")</f>
        <v/>
      </c>
      <c r="L152" s="66" t="str">
        <f>IFERROR(VLOOKUP(A152,BUFFS!$H$5:$AF$195,12,),"")</f>
        <v/>
      </c>
      <c r="M152" s="66" t="str">
        <f>IFERROR(VLOOKUP(A152,BUFFS!$H$5:$AF$195,14,),"")</f>
        <v/>
      </c>
      <c r="N152" s="68" t="str">
        <f t="shared" si="9"/>
        <v/>
      </c>
      <c r="O152" s="65" t="str">
        <f>IFERROR(VLOOKUP(A152,BUFFS!$H$5:$AF$195,15,),"")</f>
        <v/>
      </c>
      <c r="P152" s="66" t="str">
        <f>IFERROR(VLOOKUP(A152,BUFFS!$H$5:$AF$195,16,),"")</f>
        <v/>
      </c>
      <c r="Q152" s="66" t="str">
        <f>IFERROR(VLOOKUP(A152,BUFFS!$H$5:$AF$195,17,),"")</f>
        <v/>
      </c>
      <c r="R152" s="66" t="str">
        <f>IFERROR(VLOOKUP(A152,BUFFS!$H$5:$AF$195,19,),"")</f>
        <v/>
      </c>
      <c r="S152" s="69" t="str">
        <f t="shared" si="10"/>
        <v/>
      </c>
      <c r="T152" s="70" t="str">
        <f>IFERROR(VLOOKUP(A152,BUFFS!$H$5:$AF$195,20,),"")</f>
        <v/>
      </c>
    </row>
    <row r="153" spans="1:20" x14ac:dyDescent="0.35">
      <c r="A153" s="17"/>
      <c r="B153" s="18"/>
      <c r="C153" s="13"/>
      <c r="D153" s="31" t="str">
        <f>IFERROR(VLOOKUP(A153,BUFFS!$H$5:$AF$195,8,),"")</f>
        <v/>
      </c>
      <c r="E153" s="24" t="str">
        <f t="shared" si="8"/>
        <v/>
      </c>
      <c r="F153" s="65" t="str">
        <f>IFERROR(VLOOKUP(A153,BUFFS!$H$5:$AF$195,5,),"")</f>
        <v/>
      </c>
      <c r="G153" s="66" t="str">
        <f>IFERROR(VLOOKUP(A153,BUFFS!$H$5:$AF$195,6,),"")</f>
        <v/>
      </c>
      <c r="H153" s="67" t="str">
        <f>IFERROR(VLOOKUP(A153,BUFFS!$H$5:$AF$195,7,),"")</f>
        <v/>
      </c>
      <c r="I153" s="66" t="str">
        <f>IFERROR(VLOOKUP(A153,BUFFS!$H$5:$AF$195,9,),"")</f>
        <v/>
      </c>
      <c r="J153" s="65" t="str">
        <f>IFERROR(VLOOKUP(A153,BUFFS!$H$5:$AF$195,10,),"")</f>
        <v/>
      </c>
      <c r="K153" s="66" t="str">
        <f>IFERROR(VLOOKUP(A153,BUFFS!$H$5:$AF$195,11,),"")</f>
        <v/>
      </c>
      <c r="L153" s="66" t="str">
        <f>IFERROR(VLOOKUP(A153,BUFFS!$H$5:$AF$195,12,),"")</f>
        <v/>
      </c>
      <c r="M153" s="66" t="str">
        <f>IFERROR(VLOOKUP(A153,BUFFS!$H$5:$AF$195,14,),"")</f>
        <v/>
      </c>
      <c r="N153" s="68" t="str">
        <f t="shared" si="9"/>
        <v/>
      </c>
      <c r="O153" s="65" t="str">
        <f>IFERROR(VLOOKUP(A153,BUFFS!$H$5:$AF$195,15,),"")</f>
        <v/>
      </c>
      <c r="P153" s="66" t="str">
        <f>IFERROR(VLOOKUP(A153,BUFFS!$H$5:$AF$195,16,),"")</f>
        <v/>
      </c>
      <c r="Q153" s="66" t="str">
        <f>IFERROR(VLOOKUP(A153,BUFFS!$H$5:$AF$195,17,),"")</f>
        <v/>
      </c>
      <c r="R153" s="66" t="str">
        <f>IFERROR(VLOOKUP(A153,BUFFS!$H$5:$AF$195,19,),"")</f>
        <v/>
      </c>
      <c r="S153" s="69" t="str">
        <f t="shared" si="10"/>
        <v/>
      </c>
      <c r="T153" s="70" t="str">
        <f>IFERROR(VLOOKUP(A153,BUFFS!$H$5:$AF$195,20,),"")</f>
        <v/>
      </c>
    </row>
    <row r="154" spans="1:20" x14ac:dyDescent="0.35">
      <c r="A154" s="17"/>
      <c r="B154" s="18"/>
      <c r="C154" s="13"/>
      <c r="D154" s="31" t="str">
        <f>IFERROR(VLOOKUP(A154,BUFFS!$H$5:$AF$195,8,),"")</f>
        <v/>
      </c>
      <c r="E154" s="24" t="str">
        <f t="shared" si="8"/>
        <v/>
      </c>
      <c r="F154" s="65" t="str">
        <f>IFERROR(VLOOKUP(A154,BUFFS!$H$5:$AF$195,5,),"")</f>
        <v/>
      </c>
      <c r="G154" s="66" t="str">
        <f>IFERROR(VLOOKUP(A154,BUFFS!$H$5:$AF$195,6,),"")</f>
        <v/>
      </c>
      <c r="H154" s="67" t="str">
        <f>IFERROR(VLOOKUP(A154,BUFFS!$H$5:$AF$195,7,),"")</f>
        <v/>
      </c>
      <c r="I154" s="66" t="str">
        <f>IFERROR(VLOOKUP(A154,BUFFS!$H$5:$AF$195,9,),"")</f>
        <v/>
      </c>
      <c r="J154" s="65" t="str">
        <f>IFERROR(VLOOKUP(A154,BUFFS!$H$5:$AF$195,10,),"")</f>
        <v/>
      </c>
      <c r="K154" s="66" t="str">
        <f>IFERROR(VLOOKUP(A154,BUFFS!$H$5:$AF$195,11,),"")</f>
        <v/>
      </c>
      <c r="L154" s="66" t="str">
        <f>IFERROR(VLOOKUP(A154,BUFFS!$H$5:$AF$195,12,),"")</f>
        <v/>
      </c>
      <c r="M154" s="66" t="str">
        <f>IFERROR(VLOOKUP(A154,BUFFS!$H$5:$AF$195,14,),"")</f>
        <v/>
      </c>
      <c r="N154" s="68" t="str">
        <f t="shared" si="9"/>
        <v/>
      </c>
      <c r="O154" s="65" t="str">
        <f>IFERROR(VLOOKUP(A154,BUFFS!$H$5:$AF$195,15,),"")</f>
        <v/>
      </c>
      <c r="P154" s="66" t="str">
        <f>IFERROR(VLOOKUP(A154,BUFFS!$H$5:$AF$195,16,),"")</f>
        <v/>
      </c>
      <c r="Q154" s="66" t="str">
        <f>IFERROR(VLOOKUP(A154,BUFFS!$H$5:$AF$195,17,),"")</f>
        <v/>
      </c>
      <c r="R154" s="66" t="str">
        <f>IFERROR(VLOOKUP(A154,BUFFS!$H$5:$AF$195,19,),"")</f>
        <v/>
      </c>
      <c r="S154" s="69" t="str">
        <f t="shared" si="10"/>
        <v/>
      </c>
      <c r="T154" s="70" t="str">
        <f>IFERROR(VLOOKUP(A154,BUFFS!$H$5:$AF$195,20,),"")</f>
        <v/>
      </c>
    </row>
    <row r="155" spans="1:20" x14ac:dyDescent="0.35">
      <c r="A155" s="17"/>
      <c r="B155" s="18"/>
      <c r="C155" s="13"/>
      <c r="D155" s="31" t="str">
        <f>IFERROR(VLOOKUP(A155,BUFFS!$H$5:$AF$195,8,),"")</f>
        <v/>
      </c>
      <c r="E155" s="24" t="str">
        <f t="shared" si="8"/>
        <v/>
      </c>
      <c r="F155" s="65" t="str">
        <f>IFERROR(VLOOKUP(A155,BUFFS!$H$5:$AF$195,5,),"")</f>
        <v/>
      </c>
      <c r="G155" s="66" t="str">
        <f>IFERROR(VLOOKUP(A155,BUFFS!$H$5:$AF$195,6,),"")</f>
        <v/>
      </c>
      <c r="H155" s="67" t="str">
        <f>IFERROR(VLOOKUP(A155,BUFFS!$H$5:$AF$195,7,),"")</f>
        <v/>
      </c>
      <c r="I155" s="66" t="str">
        <f>IFERROR(VLOOKUP(A155,BUFFS!$H$5:$AF$195,9,),"")</f>
        <v/>
      </c>
      <c r="J155" s="65" t="str">
        <f>IFERROR(VLOOKUP(A155,BUFFS!$H$5:$AF$195,10,),"")</f>
        <v/>
      </c>
      <c r="K155" s="66" t="str">
        <f>IFERROR(VLOOKUP(A155,BUFFS!$H$5:$AF$195,11,),"")</f>
        <v/>
      </c>
      <c r="L155" s="66" t="str">
        <f>IFERROR(VLOOKUP(A155,BUFFS!$H$5:$AF$195,12,),"")</f>
        <v/>
      </c>
      <c r="M155" s="66" t="str">
        <f>IFERROR(VLOOKUP(A155,BUFFS!$H$5:$AF$195,14,),"")</f>
        <v/>
      </c>
      <c r="N155" s="68" t="str">
        <f t="shared" si="9"/>
        <v/>
      </c>
      <c r="O155" s="65" t="str">
        <f>IFERROR(VLOOKUP(A155,BUFFS!$H$5:$AF$195,15,),"")</f>
        <v/>
      </c>
      <c r="P155" s="66" t="str">
        <f>IFERROR(VLOOKUP(A155,BUFFS!$H$5:$AF$195,16,),"")</f>
        <v/>
      </c>
      <c r="Q155" s="66" t="str">
        <f>IFERROR(VLOOKUP(A155,BUFFS!$H$5:$AF$195,17,),"")</f>
        <v/>
      </c>
      <c r="R155" s="66" t="str">
        <f>IFERROR(VLOOKUP(A155,BUFFS!$H$5:$AF$195,19,),"")</f>
        <v/>
      </c>
      <c r="S155" s="69" t="str">
        <f t="shared" si="10"/>
        <v/>
      </c>
      <c r="T155" s="70" t="str">
        <f>IFERROR(VLOOKUP(A155,BUFFS!$H$5:$AF$195,20,),"")</f>
        <v/>
      </c>
    </row>
    <row r="156" spans="1:20" x14ac:dyDescent="0.35">
      <c r="A156" s="17"/>
      <c r="B156" s="18"/>
      <c r="C156" s="13"/>
      <c r="D156" s="31" t="str">
        <f>IFERROR(VLOOKUP(A156,BUFFS!$H$5:$AF$195,8,),"")</f>
        <v/>
      </c>
      <c r="E156" s="24" t="str">
        <f t="shared" si="8"/>
        <v/>
      </c>
      <c r="F156" s="65" t="str">
        <f>IFERROR(VLOOKUP(A156,BUFFS!$H$5:$AF$195,5,),"")</f>
        <v/>
      </c>
      <c r="G156" s="66" t="str">
        <f>IFERROR(VLOOKUP(A156,BUFFS!$H$5:$AF$195,6,),"")</f>
        <v/>
      </c>
      <c r="H156" s="67" t="str">
        <f>IFERROR(VLOOKUP(A156,BUFFS!$H$5:$AF$195,7,),"")</f>
        <v/>
      </c>
      <c r="I156" s="66" t="str">
        <f>IFERROR(VLOOKUP(A156,BUFFS!$H$5:$AF$195,9,),"")</f>
        <v/>
      </c>
      <c r="J156" s="65" t="str">
        <f>IFERROR(VLOOKUP(A156,BUFFS!$H$5:$AF$195,10,),"")</f>
        <v/>
      </c>
      <c r="K156" s="66" t="str">
        <f>IFERROR(VLOOKUP(A156,BUFFS!$H$5:$AF$195,11,),"")</f>
        <v/>
      </c>
      <c r="L156" s="66" t="str">
        <f>IFERROR(VLOOKUP(A156,BUFFS!$H$5:$AF$195,12,),"")</f>
        <v/>
      </c>
      <c r="M156" s="66" t="str">
        <f>IFERROR(VLOOKUP(A156,BUFFS!$H$5:$AF$195,14,),"")</f>
        <v/>
      </c>
      <c r="N156" s="68" t="str">
        <f t="shared" si="9"/>
        <v/>
      </c>
      <c r="O156" s="65" t="str">
        <f>IFERROR(VLOOKUP(A156,BUFFS!$H$5:$AF$195,15,),"")</f>
        <v/>
      </c>
      <c r="P156" s="66" t="str">
        <f>IFERROR(VLOOKUP(A156,BUFFS!$H$5:$AF$195,16,),"")</f>
        <v/>
      </c>
      <c r="Q156" s="66" t="str">
        <f>IFERROR(VLOOKUP(A156,BUFFS!$H$5:$AF$195,17,),"")</f>
        <v/>
      </c>
      <c r="R156" s="66" t="str">
        <f>IFERROR(VLOOKUP(A156,BUFFS!$H$5:$AF$195,19,),"")</f>
        <v/>
      </c>
      <c r="S156" s="69" t="str">
        <f t="shared" si="10"/>
        <v/>
      </c>
      <c r="T156" s="70" t="str">
        <f>IFERROR(VLOOKUP(A156,BUFFS!$H$5:$AF$195,20,),"")</f>
        <v/>
      </c>
    </row>
    <row r="157" spans="1:20" x14ac:dyDescent="0.35">
      <c r="A157" s="17"/>
      <c r="B157" s="18"/>
      <c r="C157" s="13"/>
      <c r="D157" s="31" t="str">
        <f>IFERROR(VLOOKUP(A157,BUFFS!$H$5:$AF$195,8,),"")</f>
        <v/>
      </c>
      <c r="E157" s="24" t="str">
        <f t="shared" si="8"/>
        <v/>
      </c>
      <c r="F157" s="65" t="str">
        <f>IFERROR(VLOOKUP(A157,BUFFS!$H$5:$AF$195,5,),"")</f>
        <v/>
      </c>
      <c r="G157" s="66" t="str">
        <f>IFERROR(VLOOKUP(A157,BUFFS!$H$5:$AF$195,6,),"")</f>
        <v/>
      </c>
      <c r="H157" s="67" t="str">
        <f>IFERROR(VLOOKUP(A157,BUFFS!$H$5:$AF$195,7,),"")</f>
        <v/>
      </c>
      <c r="I157" s="66" t="str">
        <f>IFERROR(VLOOKUP(A157,BUFFS!$H$5:$AF$195,9,),"")</f>
        <v/>
      </c>
      <c r="J157" s="65" t="str">
        <f>IFERROR(VLOOKUP(A157,BUFFS!$H$5:$AF$195,10,),"")</f>
        <v/>
      </c>
      <c r="K157" s="66" t="str">
        <f>IFERROR(VLOOKUP(A157,BUFFS!$H$5:$AF$195,11,),"")</f>
        <v/>
      </c>
      <c r="L157" s="66" t="str">
        <f>IFERROR(VLOOKUP(A157,BUFFS!$H$5:$AF$195,12,),"")</f>
        <v/>
      </c>
      <c r="M157" s="66" t="str">
        <f>IFERROR(VLOOKUP(A157,BUFFS!$H$5:$AF$195,14,),"")</f>
        <v/>
      </c>
      <c r="N157" s="68" t="str">
        <f t="shared" si="9"/>
        <v/>
      </c>
      <c r="O157" s="65" t="str">
        <f>IFERROR(VLOOKUP(A157,BUFFS!$H$5:$AF$195,15,),"")</f>
        <v/>
      </c>
      <c r="P157" s="66" t="str">
        <f>IFERROR(VLOOKUP(A157,BUFFS!$H$5:$AF$195,16,),"")</f>
        <v/>
      </c>
      <c r="Q157" s="66" t="str">
        <f>IFERROR(VLOOKUP(A157,BUFFS!$H$5:$AF$195,17,),"")</f>
        <v/>
      </c>
      <c r="R157" s="66" t="str">
        <f>IFERROR(VLOOKUP(A157,BUFFS!$H$5:$AF$195,19,),"")</f>
        <v/>
      </c>
      <c r="S157" s="69" t="str">
        <f t="shared" si="10"/>
        <v/>
      </c>
      <c r="T157" s="70" t="str">
        <f>IFERROR(VLOOKUP(A157,BUFFS!$H$5:$AF$195,20,),"")</f>
        <v/>
      </c>
    </row>
    <row r="158" spans="1:20" x14ac:dyDescent="0.35">
      <c r="A158" s="17"/>
      <c r="B158" s="18"/>
      <c r="C158" s="13"/>
      <c r="D158" s="31" t="str">
        <f>IFERROR(VLOOKUP(A158,BUFFS!$H$5:$AF$195,8,),"")</f>
        <v/>
      </c>
      <c r="E158" s="24" t="str">
        <f t="shared" si="8"/>
        <v/>
      </c>
      <c r="F158" s="65" t="str">
        <f>IFERROR(VLOOKUP(A158,BUFFS!$H$5:$AF$195,5,),"")</f>
        <v/>
      </c>
      <c r="G158" s="66" t="str">
        <f>IFERROR(VLOOKUP(A158,BUFFS!$H$5:$AF$195,6,),"")</f>
        <v/>
      </c>
      <c r="H158" s="67" t="str">
        <f>IFERROR(VLOOKUP(A158,BUFFS!$H$5:$AF$195,7,),"")</f>
        <v/>
      </c>
      <c r="I158" s="66" t="str">
        <f>IFERROR(VLOOKUP(A158,BUFFS!$H$5:$AF$195,9,),"")</f>
        <v/>
      </c>
      <c r="J158" s="65" t="str">
        <f>IFERROR(VLOOKUP(A158,BUFFS!$H$5:$AF$195,10,),"")</f>
        <v/>
      </c>
      <c r="K158" s="66" t="str">
        <f>IFERROR(VLOOKUP(A158,BUFFS!$H$5:$AF$195,11,),"")</f>
        <v/>
      </c>
      <c r="L158" s="66" t="str">
        <f>IFERROR(VLOOKUP(A158,BUFFS!$H$5:$AF$195,12,),"")</f>
        <v/>
      </c>
      <c r="M158" s="66" t="str">
        <f>IFERROR(VLOOKUP(A158,BUFFS!$H$5:$AF$195,14,),"")</f>
        <v/>
      </c>
      <c r="N158" s="68" t="str">
        <f t="shared" si="9"/>
        <v/>
      </c>
      <c r="O158" s="65" t="str">
        <f>IFERROR(VLOOKUP(A158,BUFFS!$H$5:$AF$195,15,),"")</f>
        <v/>
      </c>
      <c r="P158" s="66" t="str">
        <f>IFERROR(VLOOKUP(A158,BUFFS!$H$5:$AF$195,16,),"")</f>
        <v/>
      </c>
      <c r="Q158" s="66" t="str">
        <f>IFERROR(VLOOKUP(A158,BUFFS!$H$5:$AF$195,17,),"")</f>
        <v/>
      </c>
      <c r="R158" s="66" t="str">
        <f>IFERROR(VLOOKUP(A158,BUFFS!$H$5:$AF$195,19,),"")</f>
        <v/>
      </c>
      <c r="S158" s="69" t="str">
        <f t="shared" si="10"/>
        <v/>
      </c>
      <c r="T158" s="70" t="str">
        <f>IFERROR(VLOOKUP(A158,BUFFS!$H$5:$AF$195,20,),"")</f>
        <v/>
      </c>
    </row>
    <row r="159" spans="1:20" x14ac:dyDescent="0.35">
      <c r="A159" s="17"/>
      <c r="B159" s="18"/>
      <c r="C159" s="13"/>
      <c r="D159" s="31" t="str">
        <f>IFERROR(VLOOKUP(A159,BUFFS!$H$5:$AF$195,8,),"")</f>
        <v/>
      </c>
      <c r="E159" s="24" t="str">
        <f t="shared" si="8"/>
        <v/>
      </c>
      <c r="F159" s="65" t="str">
        <f>IFERROR(VLOOKUP(A159,BUFFS!$H$5:$AF$195,5,),"")</f>
        <v/>
      </c>
      <c r="G159" s="66" t="str">
        <f>IFERROR(VLOOKUP(A159,BUFFS!$H$5:$AF$195,6,),"")</f>
        <v/>
      </c>
      <c r="H159" s="67" t="str">
        <f>IFERROR(VLOOKUP(A159,BUFFS!$H$5:$AF$195,7,),"")</f>
        <v/>
      </c>
      <c r="I159" s="66" t="str">
        <f>IFERROR(VLOOKUP(A159,BUFFS!$H$5:$AF$195,9,),"")</f>
        <v/>
      </c>
      <c r="J159" s="65" t="str">
        <f>IFERROR(VLOOKUP(A159,BUFFS!$H$5:$AF$195,10,),"")</f>
        <v/>
      </c>
      <c r="K159" s="66" t="str">
        <f>IFERROR(VLOOKUP(A159,BUFFS!$H$5:$AF$195,11,),"")</f>
        <v/>
      </c>
      <c r="L159" s="66" t="str">
        <f>IFERROR(VLOOKUP(A159,BUFFS!$H$5:$AF$195,12,),"")</f>
        <v/>
      </c>
      <c r="M159" s="66" t="str">
        <f>IFERROR(VLOOKUP(A159,BUFFS!$H$5:$AF$195,14,),"")</f>
        <v/>
      </c>
      <c r="N159" s="68" t="str">
        <f t="shared" si="9"/>
        <v/>
      </c>
      <c r="O159" s="65" t="str">
        <f>IFERROR(VLOOKUP(A159,BUFFS!$H$5:$AF$195,15,),"")</f>
        <v/>
      </c>
      <c r="P159" s="66" t="str">
        <f>IFERROR(VLOOKUP(A159,BUFFS!$H$5:$AF$195,16,),"")</f>
        <v/>
      </c>
      <c r="Q159" s="66" t="str">
        <f>IFERROR(VLOOKUP(A159,BUFFS!$H$5:$AF$195,17,),"")</f>
        <v/>
      </c>
      <c r="R159" s="66" t="str">
        <f>IFERROR(VLOOKUP(A159,BUFFS!$H$5:$AF$195,19,),"")</f>
        <v/>
      </c>
      <c r="S159" s="69" t="str">
        <f t="shared" si="10"/>
        <v/>
      </c>
      <c r="T159" s="70" t="str">
        <f>IFERROR(VLOOKUP(A159,BUFFS!$H$5:$AF$195,20,),"")</f>
        <v/>
      </c>
    </row>
    <row r="160" spans="1:20" x14ac:dyDescent="0.35">
      <c r="A160" s="17"/>
      <c r="B160" s="18"/>
      <c r="C160" s="13"/>
      <c r="D160" s="31" t="str">
        <f>IFERROR(VLOOKUP(A160,BUFFS!$H$5:$AF$195,8,),"")</f>
        <v/>
      </c>
      <c r="E160" s="24" t="str">
        <f t="shared" si="8"/>
        <v/>
      </c>
      <c r="F160" s="65" t="str">
        <f>IFERROR(VLOOKUP(A160,BUFFS!$H$5:$AF$195,5,),"")</f>
        <v/>
      </c>
      <c r="G160" s="66" t="str">
        <f>IFERROR(VLOOKUP(A160,BUFFS!$H$5:$AF$195,6,),"")</f>
        <v/>
      </c>
      <c r="H160" s="67" t="str">
        <f>IFERROR(VLOOKUP(A160,BUFFS!$H$5:$AF$195,7,),"")</f>
        <v/>
      </c>
      <c r="I160" s="66" t="str">
        <f>IFERROR(VLOOKUP(A160,BUFFS!$H$5:$AF$195,9,),"")</f>
        <v/>
      </c>
      <c r="J160" s="65" t="str">
        <f>IFERROR(VLOOKUP(A160,BUFFS!$H$5:$AF$195,10,),"")</f>
        <v/>
      </c>
      <c r="K160" s="66" t="str">
        <f>IFERROR(VLOOKUP(A160,BUFFS!$H$5:$AF$195,11,),"")</f>
        <v/>
      </c>
      <c r="L160" s="66" t="str">
        <f>IFERROR(VLOOKUP(A160,BUFFS!$H$5:$AF$195,12,),"")</f>
        <v/>
      </c>
      <c r="M160" s="66" t="str">
        <f>IFERROR(VLOOKUP(A160,BUFFS!$H$5:$AF$195,14,),"")</f>
        <v/>
      </c>
      <c r="N160" s="68" t="str">
        <f t="shared" si="9"/>
        <v/>
      </c>
      <c r="O160" s="65" t="str">
        <f>IFERROR(VLOOKUP(A160,BUFFS!$H$5:$AF$195,15,),"")</f>
        <v/>
      </c>
      <c r="P160" s="66" t="str">
        <f>IFERROR(VLOOKUP(A160,BUFFS!$H$5:$AF$195,16,),"")</f>
        <v/>
      </c>
      <c r="Q160" s="66" t="str">
        <f>IFERROR(VLOOKUP(A160,BUFFS!$H$5:$AF$195,17,),"")</f>
        <v/>
      </c>
      <c r="R160" s="66" t="str">
        <f>IFERROR(VLOOKUP(A160,BUFFS!$H$5:$AF$195,19,),"")</f>
        <v/>
      </c>
      <c r="S160" s="69" t="str">
        <f t="shared" si="10"/>
        <v/>
      </c>
      <c r="T160" s="70" t="str">
        <f>IFERROR(VLOOKUP(A160,BUFFS!$H$5:$AF$195,20,),"")</f>
        <v/>
      </c>
    </row>
    <row r="161" spans="1:20" x14ac:dyDescent="0.35">
      <c r="A161" s="17"/>
      <c r="B161" s="18"/>
      <c r="C161" s="13"/>
      <c r="D161" s="31" t="str">
        <f>IFERROR(VLOOKUP(A161,BUFFS!$H$5:$AF$195,8,),"")</f>
        <v/>
      </c>
      <c r="E161" s="24" t="str">
        <f t="shared" si="8"/>
        <v/>
      </c>
      <c r="F161" s="65" t="str">
        <f>IFERROR(VLOOKUP(A161,BUFFS!$H$5:$AF$195,5,),"")</f>
        <v/>
      </c>
      <c r="G161" s="66" t="str">
        <f>IFERROR(VLOOKUP(A161,BUFFS!$H$5:$AF$195,6,),"")</f>
        <v/>
      </c>
      <c r="H161" s="67" t="str">
        <f>IFERROR(VLOOKUP(A161,BUFFS!$H$5:$AF$195,7,),"")</f>
        <v/>
      </c>
      <c r="I161" s="66" t="str">
        <f>IFERROR(VLOOKUP(A161,BUFFS!$H$5:$AF$195,9,),"")</f>
        <v/>
      </c>
      <c r="J161" s="65" t="str">
        <f>IFERROR(VLOOKUP(A161,BUFFS!$H$5:$AF$195,10,),"")</f>
        <v/>
      </c>
      <c r="K161" s="66" t="str">
        <f>IFERROR(VLOOKUP(A161,BUFFS!$H$5:$AF$195,11,),"")</f>
        <v/>
      </c>
      <c r="L161" s="66" t="str">
        <f>IFERROR(VLOOKUP(A161,BUFFS!$H$5:$AF$195,12,),"")</f>
        <v/>
      </c>
      <c r="M161" s="66" t="str">
        <f>IFERROR(VLOOKUP(A161,BUFFS!$H$5:$AF$195,14,),"")</f>
        <v/>
      </c>
      <c r="N161" s="68" t="str">
        <f t="shared" si="9"/>
        <v/>
      </c>
      <c r="O161" s="65" t="str">
        <f>IFERROR(VLOOKUP(A161,BUFFS!$H$5:$AF$195,15,),"")</f>
        <v/>
      </c>
      <c r="P161" s="66" t="str">
        <f>IFERROR(VLOOKUP(A161,BUFFS!$H$5:$AF$195,16,),"")</f>
        <v/>
      </c>
      <c r="Q161" s="66" t="str">
        <f>IFERROR(VLOOKUP(A161,BUFFS!$H$5:$AF$195,17,),"")</f>
        <v/>
      </c>
      <c r="R161" s="66" t="str">
        <f>IFERROR(VLOOKUP(A161,BUFFS!$H$5:$AF$195,19,),"")</f>
        <v/>
      </c>
      <c r="S161" s="69" t="str">
        <f t="shared" si="10"/>
        <v/>
      </c>
      <c r="T161" s="70" t="str">
        <f>IFERROR(VLOOKUP(A161,BUFFS!$H$5:$AF$195,20,),"")</f>
        <v/>
      </c>
    </row>
    <row r="162" spans="1:20" x14ac:dyDescent="0.35">
      <c r="A162" s="17"/>
      <c r="B162" s="18"/>
      <c r="C162" s="13"/>
      <c r="D162" s="31" t="str">
        <f>IFERROR(VLOOKUP(A162,BUFFS!$H$5:$AF$195,8,),"")</f>
        <v/>
      </c>
      <c r="E162" s="24" t="str">
        <f t="shared" si="8"/>
        <v/>
      </c>
      <c r="F162" s="65" t="str">
        <f>IFERROR(VLOOKUP(A162,BUFFS!$H$5:$AF$195,5,),"")</f>
        <v/>
      </c>
      <c r="G162" s="66" t="str">
        <f>IFERROR(VLOOKUP(A162,BUFFS!$H$5:$AF$195,6,),"")</f>
        <v/>
      </c>
      <c r="H162" s="67" t="str">
        <f>IFERROR(VLOOKUP(A162,BUFFS!$H$5:$AF$195,7,),"")</f>
        <v/>
      </c>
      <c r="I162" s="66" t="str">
        <f>IFERROR(VLOOKUP(A162,BUFFS!$H$5:$AF$195,9,),"")</f>
        <v/>
      </c>
      <c r="J162" s="65" t="str">
        <f>IFERROR(VLOOKUP(A162,BUFFS!$H$5:$AF$195,10,),"")</f>
        <v/>
      </c>
      <c r="K162" s="66" t="str">
        <f>IFERROR(VLOOKUP(A162,BUFFS!$H$5:$AF$195,11,),"")</f>
        <v/>
      </c>
      <c r="L162" s="66" t="str">
        <f>IFERROR(VLOOKUP(A162,BUFFS!$H$5:$AF$195,12,),"")</f>
        <v/>
      </c>
      <c r="M162" s="66" t="str">
        <f>IFERROR(VLOOKUP(A162,BUFFS!$H$5:$AF$195,14,),"")</f>
        <v/>
      </c>
      <c r="N162" s="68" t="str">
        <f t="shared" si="9"/>
        <v/>
      </c>
      <c r="O162" s="65" t="str">
        <f>IFERROR(VLOOKUP(A162,BUFFS!$H$5:$AF$195,15,),"")</f>
        <v/>
      </c>
      <c r="P162" s="66" t="str">
        <f>IFERROR(VLOOKUP(A162,BUFFS!$H$5:$AF$195,16,),"")</f>
        <v/>
      </c>
      <c r="Q162" s="66" t="str">
        <f>IFERROR(VLOOKUP(A162,BUFFS!$H$5:$AF$195,17,),"")</f>
        <v/>
      </c>
      <c r="R162" s="66" t="str">
        <f>IFERROR(VLOOKUP(A162,BUFFS!$H$5:$AF$195,19,),"")</f>
        <v/>
      </c>
      <c r="S162" s="69" t="str">
        <f t="shared" si="10"/>
        <v/>
      </c>
      <c r="T162" s="70" t="str">
        <f>IFERROR(VLOOKUP(A162,BUFFS!$H$5:$AF$195,20,),"")</f>
        <v/>
      </c>
    </row>
    <row r="163" spans="1:20" x14ac:dyDescent="0.35">
      <c r="A163" s="17"/>
      <c r="B163" s="18"/>
      <c r="C163" s="13"/>
      <c r="D163" s="31" t="str">
        <f>IFERROR(VLOOKUP(A163,BUFFS!$H$5:$AF$195,8,),"")</f>
        <v/>
      </c>
      <c r="E163" s="24" t="str">
        <f t="shared" si="8"/>
        <v/>
      </c>
      <c r="F163" s="65" t="str">
        <f>IFERROR(VLOOKUP(A163,BUFFS!$H$5:$AF$195,5,),"")</f>
        <v/>
      </c>
      <c r="G163" s="66" t="str">
        <f>IFERROR(VLOOKUP(A163,BUFFS!$H$5:$AF$195,6,),"")</f>
        <v/>
      </c>
      <c r="H163" s="67" t="str">
        <f>IFERROR(VLOOKUP(A163,BUFFS!$H$5:$AF$195,7,),"")</f>
        <v/>
      </c>
      <c r="I163" s="66" t="str">
        <f>IFERROR(VLOOKUP(A163,BUFFS!$H$5:$AF$195,9,),"")</f>
        <v/>
      </c>
      <c r="J163" s="65" t="str">
        <f>IFERROR(VLOOKUP(A163,BUFFS!$H$5:$AF$195,10,),"")</f>
        <v/>
      </c>
      <c r="K163" s="66" t="str">
        <f>IFERROR(VLOOKUP(A163,BUFFS!$H$5:$AF$195,11,),"")</f>
        <v/>
      </c>
      <c r="L163" s="66" t="str">
        <f>IFERROR(VLOOKUP(A163,BUFFS!$H$5:$AF$195,12,),"")</f>
        <v/>
      </c>
      <c r="M163" s="66" t="str">
        <f>IFERROR(VLOOKUP(A163,BUFFS!$H$5:$AF$195,14,),"")</f>
        <v/>
      </c>
      <c r="N163" s="68" t="str">
        <f t="shared" si="9"/>
        <v/>
      </c>
      <c r="O163" s="65" t="str">
        <f>IFERROR(VLOOKUP(A163,BUFFS!$H$5:$AF$195,15,),"")</f>
        <v/>
      </c>
      <c r="P163" s="66" t="str">
        <f>IFERROR(VLOOKUP(A163,BUFFS!$H$5:$AF$195,16,),"")</f>
        <v/>
      </c>
      <c r="Q163" s="66" t="str">
        <f>IFERROR(VLOOKUP(A163,BUFFS!$H$5:$AF$195,17,),"")</f>
        <v/>
      </c>
      <c r="R163" s="66" t="str">
        <f>IFERROR(VLOOKUP(A163,BUFFS!$H$5:$AF$195,19,),"")</f>
        <v/>
      </c>
      <c r="S163" s="69" t="str">
        <f t="shared" si="10"/>
        <v/>
      </c>
      <c r="T163" s="70" t="str">
        <f>IFERROR(VLOOKUP(A163,BUFFS!$H$5:$AF$195,20,),"")</f>
        <v/>
      </c>
    </row>
    <row r="164" spans="1:20" x14ac:dyDescent="0.35">
      <c r="A164" s="17"/>
      <c r="B164" s="18"/>
      <c r="C164" s="13"/>
      <c r="D164" s="31"/>
      <c r="E164" s="24"/>
      <c r="F164" s="71"/>
      <c r="G164" s="72"/>
      <c r="H164" s="73"/>
      <c r="I164" s="72"/>
      <c r="J164" s="71"/>
      <c r="K164" s="72"/>
      <c r="L164" s="72"/>
      <c r="M164" s="72"/>
      <c r="N164" s="74"/>
      <c r="O164" s="71"/>
      <c r="P164" s="72"/>
      <c r="Q164" s="72"/>
      <c r="R164" s="72"/>
      <c r="S164" s="74"/>
      <c r="T164" s="75"/>
    </row>
    <row r="165" spans="1:20" x14ac:dyDescent="0.35">
      <c r="A165" s="17"/>
      <c r="B165" s="18"/>
      <c r="C165" s="13"/>
      <c r="D165" s="31"/>
      <c r="E165" s="24"/>
      <c r="F165" s="71"/>
      <c r="G165" s="72"/>
      <c r="H165" s="73"/>
      <c r="I165" s="72"/>
      <c r="J165" s="71"/>
      <c r="K165" s="72"/>
      <c r="L165" s="72"/>
      <c r="M165" s="72"/>
      <c r="N165" s="74"/>
      <c r="O165" s="71"/>
      <c r="P165" s="72"/>
      <c r="Q165" s="72"/>
      <c r="R165" s="72"/>
      <c r="S165" s="74"/>
      <c r="T165" s="75"/>
    </row>
    <row r="166" spans="1:20" x14ac:dyDescent="0.35">
      <c r="A166" s="17"/>
      <c r="B166" s="18"/>
      <c r="C166" s="13"/>
      <c r="D166" s="31"/>
      <c r="E166" s="24"/>
      <c r="F166" s="71"/>
      <c r="G166" s="72"/>
      <c r="H166" s="73"/>
      <c r="I166" s="72"/>
      <c r="J166" s="71"/>
      <c r="K166" s="72"/>
      <c r="L166" s="72"/>
      <c r="M166" s="72"/>
      <c r="N166" s="74"/>
      <c r="O166" s="71"/>
      <c r="P166" s="72"/>
      <c r="Q166" s="72"/>
      <c r="R166" s="72"/>
      <c r="S166" s="74"/>
      <c r="T166" s="75"/>
    </row>
    <row r="167" spans="1:20" x14ac:dyDescent="0.35">
      <c r="A167" s="17"/>
      <c r="B167" s="18"/>
      <c r="C167" s="13"/>
      <c r="D167" s="31"/>
      <c r="E167" s="24"/>
      <c r="F167" s="71"/>
      <c r="G167" s="72"/>
      <c r="H167" s="73"/>
      <c r="I167" s="72"/>
      <c r="J167" s="71"/>
      <c r="K167" s="72"/>
      <c r="L167" s="72"/>
      <c r="M167" s="72"/>
      <c r="N167" s="74"/>
      <c r="O167" s="71"/>
      <c r="P167" s="72"/>
      <c r="Q167" s="72"/>
      <c r="R167" s="72"/>
      <c r="S167" s="74"/>
      <c r="T167" s="75"/>
    </row>
    <row r="168" spans="1:20" x14ac:dyDescent="0.35">
      <c r="A168" s="17"/>
      <c r="B168" s="18"/>
      <c r="C168" s="13"/>
      <c r="D168" s="31"/>
      <c r="E168" s="24"/>
      <c r="F168" s="71"/>
      <c r="G168" s="72"/>
      <c r="H168" s="73"/>
      <c r="I168" s="72"/>
      <c r="J168" s="71"/>
      <c r="K168" s="72"/>
      <c r="L168" s="72"/>
      <c r="M168" s="72"/>
      <c r="N168" s="74"/>
      <c r="O168" s="71"/>
      <c r="P168" s="72"/>
      <c r="Q168" s="72"/>
      <c r="R168" s="72"/>
      <c r="S168" s="74"/>
      <c r="T168" s="75"/>
    </row>
    <row r="169" spans="1:20" x14ac:dyDescent="0.35">
      <c r="A169" s="17"/>
      <c r="B169" s="18"/>
      <c r="C169" s="13"/>
      <c r="D169" s="31"/>
      <c r="E169" s="24"/>
      <c r="F169" s="71"/>
      <c r="G169" s="72"/>
      <c r="H169" s="73"/>
      <c r="I169" s="72"/>
      <c r="J169" s="71"/>
      <c r="K169" s="72"/>
      <c r="L169" s="72"/>
      <c r="M169" s="72"/>
      <c r="N169" s="74"/>
      <c r="O169" s="71"/>
      <c r="P169" s="72"/>
      <c r="Q169" s="72"/>
      <c r="R169" s="72"/>
      <c r="S169" s="74"/>
      <c r="T169" s="75"/>
    </row>
    <row r="170" spans="1:20" x14ac:dyDescent="0.35">
      <c r="A170" s="17"/>
      <c r="B170" s="18"/>
      <c r="C170" s="13"/>
      <c r="D170" s="31"/>
      <c r="E170" s="24"/>
      <c r="F170" s="71"/>
      <c r="G170" s="72"/>
      <c r="H170" s="73"/>
      <c r="I170" s="72"/>
      <c r="J170" s="71"/>
      <c r="K170" s="72"/>
      <c r="L170" s="72"/>
      <c r="M170" s="72"/>
      <c r="N170" s="74"/>
      <c r="O170" s="71"/>
      <c r="P170" s="72"/>
      <c r="Q170" s="72"/>
      <c r="R170" s="72"/>
      <c r="S170" s="74"/>
      <c r="T170" s="75"/>
    </row>
    <row r="171" spans="1:20" x14ac:dyDescent="0.35">
      <c r="A171" s="17"/>
      <c r="B171" s="18"/>
      <c r="C171" s="13"/>
      <c r="D171" s="31"/>
      <c r="E171" s="24"/>
      <c r="F171" s="71"/>
      <c r="G171" s="72"/>
      <c r="H171" s="73"/>
      <c r="I171" s="72"/>
      <c r="J171" s="71"/>
      <c r="K171" s="72"/>
      <c r="L171" s="72"/>
      <c r="M171" s="72"/>
      <c r="N171" s="74"/>
      <c r="O171" s="71"/>
      <c r="P171" s="72"/>
      <c r="Q171" s="72"/>
      <c r="R171" s="72"/>
      <c r="S171" s="74"/>
      <c r="T171" s="75"/>
    </row>
    <row r="172" spans="1:20" x14ac:dyDescent="0.35">
      <c r="A172" s="17"/>
      <c r="B172" s="18"/>
      <c r="C172" s="13"/>
      <c r="D172" s="31"/>
      <c r="E172" s="24"/>
      <c r="F172" s="71"/>
      <c r="G172" s="72"/>
      <c r="H172" s="73"/>
      <c r="I172" s="72"/>
      <c r="J172" s="71"/>
      <c r="K172" s="72"/>
      <c r="L172" s="72"/>
      <c r="M172" s="72"/>
      <c r="N172" s="74"/>
      <c r="O172" s="71"/>
      <c r="P172" s="72"/>
      <c r="Q172" s="72"/>
      <c r="R172" s="72"/>
      <c r="S172" s="74"/>
      <c r="T172" s="75"/>
    </row>
    <row r="173" spans="1:20" x14ac:dyDescent="0.35">
      <c r="A173" s="17"/>
      <c r="B173" s="18"/>
      <c r="C173" s="13"/>
      <c r="D173" s="31"/>
      <c r="E173" s="24"/>
      <c r="F173" s="71"/>
      <c r="G173" s="72"/>
      <c r="H173" s="73"/>
      <c r="I173" s="72"/>
      <c r="J173" s="71"/>
      <c r="K173" s="72"/>
      <c r="L173" s="72"/>
      <c r="M173" s="72"/>
      <c r="N173" s="74"/>
      <c r="O173" s="71"/>
      <c r="P173" s="72"/>
      <c r="Q173" s="72"/>
      <c r="R173" s="72"/>
      <c r="S173" s="74"/>
      <c r="T173" s="75"/>
    </row>
    <row r="174" spans="1:20" x14ac:dyDescent="0.35">
      <c r="A174" s="17"/>
      <c r="B174" s="18"/>
      <c r="C174" s="13"/>
      <c r="D174" s="31"/>
      <c r="E174" s="24"/>
      <c r="F174" s="71"/>
      <c r="G174" s="72"/>
      <c r="H174" s="73"/>
      <c r="I174" s="72"/>
      <c r="J174" s="71"/>
      <c r="K174" s="72"/>
      <c r="L174" s="72"/>
      <c r="M174" s="72"/>
      <c r="N174" s="74"/>
      <c r="O174" s="71"/>
      <c r="P174" s="72"/>
      <c r="Q174" s="72"/>
      <c r="R174" s="72"/>
      <c r="S174" s="74"/>
      <c r="T174" s="75"/>
    </row>
    <row r="175" spans="1:20" x14ac:dyDescent="0.35">
      <c r="A175" s="17"/>
      <c r="B175" s="18"/>
      <c r="C175" s="13"/>
      <c r="D175" s="31"/>
      <c r="E175" s="24"/>
      <c r="F175" s="71"/>
      <c r="G175" s="72"/>
      <c r="H175" s="73"/>
      <c r="I175" s="72"/>
      <c r="J175" s="71"/>
      <c r="K175" s="72"/>
      <c r="L175" s="72"/>
      <c r="M175" s="72"/>
      <c r="N175" s="74"/>
      <c r="O175" s="71"/>
      <c r="P175" s="72"/>
      <c r="Q175" s="72"/>
      <c r="R175" s="72"/>
      <c r="S175" s="74"/>
      <c r="T175" s="75"/>
    </row>
    <row r="176" spans="1:20" x14ac:dyDescent="0.35">
      <c r="A176" s="17"/>
      <c r="B176" s="18"/>
      <c r="C176" s="13"/>
      <c r="D176" s="31"/>
      <c r="E176" s="24"/>
      <c r="F176" s="71"/>
      <c r="G176" s="72"/>
      <c r="H176" s="73"/>
      <c r="I176" s="72"/>
      <c r="J176" s="71"/>
      <c r="K176" s="72"/>
      <c r="L176" s="72"/>
      <c r="M176" s="72"/>
      <c r="N176" s="74"/>
      <c r="O176" s="71"/>
      <c r="P176" s="72"/>
      <c r="Q176" s="72"/>
      <c r="R176" s="72"/>
      <c r="S176" s="74"/>
      <c r="T176" s="75"/>
    </row>
    <row r="177" spans="1:20" x14ac:dyDescent="0.35">
      <c r="A177" s="17"/>
      <c r="B177" s="18"/>
      <c r="C177" s="13"/>
      <c r="D177" s="31"/>
      <c r="E177" s="24"/>
      <c r="F177" s="71"/>
      <c r="G177" s="72"/>
      <c r="H177" s="73"/>
      <c r="I177" s="72"/>
      <c r="J177" s="71"/>
      <c r="K177" s="72"/>
      <c r="L177" s="72"/>
      <c r="M177" s="72"/>
      <c r="N177" s="74"/>
      <c r="O177" s="71"/>
      <c r="P177" s="72"/>
      <c r="Q177" s="72"/>
      <c r="R177" s="72"/>
      <c r="S177" s="74"/>
      <c r="T177" s="75"/>
    </row>
    <row r="178" spans="1:20" x14ac:dyDescent="0.35">
      <c r="A178" s="17"/>
      <c r="B178" s="18"/>
      <c r="C178" s="13"/>
      <c r="D178" s="31"/>
      <c r="E178" s="24"/>
      <c r="F178" s="71"/>
      <c r="G178" s="72"/>
      <c r="H178" s="73"/>
      <c r="I178" s="72"/>
      <c r="J178" s="71"/>
      <c r="K178" s="72"/>
      <c r="L178" s="72"/>
      <c r="M178" s="72"/>
      <c r="N178" s="74"/>
      <c r="O178" s="71"/>
      <c r="P178" s="72"/>
      <c r="Q178" s="72"/>
      <c r="R178" s="72"/>
      <c r="S178" s="74"/>
      <c r="T178" s="75"/>
    </row>
    <row r="179" spans="1:20" x14ac:dyDescent="0.35">
      <c r="A179" s="17"/>
      <c r="B179" s="18"/>
      <c r="C179" s="13"/>
      <c r="D179" s="31"/>
      <c r="E179" s="24"/>
      <c r="F179" s="71"/>
      <c r="G179" s="72"/>
      <c r="H179" s="73"/>
      <c r="I179" s="72"/>
      <c r="J179" s="71"/>
      <c r="K179" s="72"/>
      <c r="L179" s="72"/>
      <c r="M179" s="72"/>
      <c r="N179" s="74"/>
      <c r="O179" s="71"/>
      <c r="P179" s="72"/>
      <c r="Q179" s="72"/>
      <c r="R179" s="72"/>
      <c r="S179" s="74"/>
      <c r="T179" s="75"/>
    </row>
    <row r="180" spans="1:20" x14ac:dyDescent="0.35">
      <c r="A180" s="17"/>
      <c r="B180" s="18"/>
      <c r="C180" s="13"/>
      <c r="D180" s="31"/>
      <c r="E180" s="24"/>
      <c r="F180" s="71"/>
      <c r="G180" s="72"/>
      <c r="H180" s="73"/>
      <c r="I180" s="72"/>
      <c r="J180" s="71"/>
      <c r="K180" s="72"/>
      <c r="L180" s="72"/>
      <c r="M180" s="72"/>
      <c r="N180" s="74"/>
      <c r="O180" s="71"/>
      <c r="P180" s="72"/>
      <c r="Q180" s="72"/>
      <c r="R180" s="72"/>
      <c r="S180" s="74"/>
      <c r="T180" s="75"/>
    </row>
    <row r="181" spans="1:20" x14ac:dyDescent="0.35">
      <c r="A181" s="17"/>
      <c r="B181" s="18"/>
      <c r="C181" s="13"/>
      <c r="D181" s="31"/>
      <c r="E181" s="24"/>
      <c r="F181" s="71"/>
      <c r="G181" s="72"/>
      <c r="H181" s="73"/>
      <c r="I181" s="72"/>
      <c r="J181" s="71"/>
      <c r="K181" s="72"/>
      <c r="L181" s="72"/>
      <c r="M181" s="72"/>
      <c r="N181" s="74"/>
      <c r="O181" s="71"/>
      <c r="P181" s="72"/>
      <c r="Q181" s="72"/>
      <c r="R181" s="72"/>
      <c r="S181" s="74"/>
      <c r="T181" s="75"/>
    </row>
    <row r="182" spans="1:20" x14ac:dyDescent="0.35">
      <c r="A182" s="17"/>
      <c r="B182" s="18"/>
      <c r="C182" s="13"/>
      <c r="D182" s="31"/>
      <c r="E182" s="24"/>
      <c r="F182" s="71"/>
      <c r="G182" s="72"/>
      <c r="H182" s="73"/>
      <c r="I182" s="72"/>
      <c r="J182" s="71"/>
      <c r="K182" s="72"/>
      <c r="L182" s="72"/>
      <c r="M182" s="72"/>
      <c r="N182" s="74"/>
      <c r="O182" s="71"/>
      <c r="P182" s="72"/>
      <c r="Q182" s="72"/>
      <c r="R182" s="72"/>
      <c r="S182" s="74"/>
      <c r="T182" s="75"/>
    </row>
    <row r="183" spans="1:20" x14ac:dyDescent="0.35">
      <c r="A183" s="17"/>
      <c r="B183" s="18"/>
      <c r="C183" s="13"/>
      <c r="D183" s="31"/>
      <c r="E183" s="24"/>
      <c r="F183" s="71"/>
      <c r="G183" s="72"/>
      <c r="H183" s="73"/>
      <c r="I183" s="72"/>
      <c r="J183" s="71"/>
      <c r="K183" s="72"/>
      <c r="L183" s="72"/>
      <c r="M183" s="72"/>
      <c r="N183" s="74"/>
      <c r="O183" s="71"/>
      <c r="P183" s="72"/>
      <c r="Q183" s="72"/>
      <c r="R183" s="72"/>
      <c r="S183" s="74"/>
      <c r="T183" s="75"/>
    </row>
    <row r="184" spans="1:20" x14ac:dyDescent="0.35">
      <c r="A184" s="17"/>
      <c r="B184" s="18"/>
      <c r="C184" s="13"/>
      <c r="D184" s="31"/>
      <c r="E184" s="24"/>
      <c r="F184" s="71"/>
      <c r="G184" s="72"/>
      <c r="H184" s="73"/>
      <c r="I184" s="72"/>
      <c r="J184" s="71"/>
      <c r="K184" s="72"/>
      <c r="L184" s="72"/>
      <c r="M184" s="72"/>
      <c r="N184" s="74"/>
      <c r="O184" s="71"/>
      <c r="P184" s="72"/>
      <c r="Q184" s="72"/>
      <c r="R184" s="72"/>
      <c r="S184" s="74"/>
      <c r="T184" s="75"/>
    </row>
    <row r="185" spans="1:20" x14ac:dyDescent="0.35">
      <c r="A185" s="17"/>
      <c r="B185" s="18"/>
      <c r="C185" s="13"/>
      <c r="D185" s="31"/>
      <c r="E185" s="24"/>
      <c r="F185" s="71"/>
      <c r="G185" s="72"/>
      <c r="H185" s="73"/>
      <c r="I185" s="72"/>
      <c r="J185" s="71"/>
      <c r="K185" s="72"/>
      <c r="L185" s="72"/>
      <c r="M185" s="72"/>
      <c r="N185" s="74"/>
      <c r="O185" s="71"/>
      <c r="P185" s="72"/>
      <c r="Q185" s="72"/>
      <c r="R185" s="72"/>
      <c r="S185" s="74"/>
      <c r="T185" s="75"/>
    </row>
    <row r="186" spans="1:20" x14ac:dyDescent="0.35">
      <c r="A186" s="17"/>
      <c r="B186" s="18"/>
      <c r="C186" s="13"/>
      <c r="D186" s="31"/>
      <c r="E186" s="24"/>
      <c r="F186" s="71"/>
      <c r="G186" s="72"/>
      <c r="H186" s="73"/>
      <c r="I186" s="72"/>
      <c r="J186" s="71"/>
      <c r="K186" s="72"/>
      <c r="L186" s="72"/>
      <c r="M186" s="72"/>
      <c r="N186" s="74"/>
      <c r="O186" s="71"/>
      <c r="P186" s="72"/>
      <c r="Q186" s="72"/>
      <c r="R186" s="72"/>
      <c r="S186" s="74"/>
      <c r="T186" s="75"/>
    </row>
    <row r="187" spans="1:20" x14ac:dyDescent="0.35">
      <c r="A187" s="17"/>
      <c r="B187" s="18"/>
      <c r="C187" s="13"/>
      <c r="D187" s="31"/>
      <c r="E187" s="24"/>
      <c r="F187" s="71"/>
      <c r="G187" s="72"/>
      <c r="H187" s="73"/>
      <c r="I187" s="72"/>
      <c r="J187" s="71"/>
      <c r="K187" s="72"/>
      <c r="L187" s="72"/>
      <c r="M187" s="72"/>
      <c r="N187" s="74"/>
      <c r="O187" s="71"/>
      <c r="P187" s="72"/>
      <c r="Q187" s="72"/>
      <c r="R187" s="72"/>
      <c r="S187" s="74"/>
      <c r="T187" s="75"/>
    </row>
    <row r="188" spans="1:20" x14ac:dyDescent="0.35">
      <c r="A188" s="17"/>
      <c r="B188" s="18"/>
      <c r="C188" s="13"/>
      <c r="D188" s="31"/>
      <c r="E188" s="24"/>
      <c r="F188" s="71"/>
      <c r="G188" s="72"/>
      <c r="H188" s="73"/>
      <c r="I188" s="72"/>
      <c r="J188" s="71"/>
      <c r="K188" s="72"/>
      <c r="L188" s="72"/>
      <c r="M188" s="72"/>
      <c r="N188" s="74"/>
      <c r="O188" s="71"/>
      <c r="P188" s="72"/>
      <c r="Q188" s="72"/>
      <c r="R188" s="72"/>
      <c r="S188" s="74"/>
      <c r="T188" s="75"/>
    </row>
    <row r="189" spans="1:20" x14ac:dyDescent="0.35">
      <c r="A189" s="17"/>
      <c r="B189" s="18"/>
      <c r="C189" s="13"/>
      <c r="D189" s="31"/>
      <c r="E189" s="24"/>
      <c r="F189" s="71"/>
      <c r="G189" s="72"/>
      <c r="H189" s="73"/>
      <c r="I189" s="72"/>
      <c r="J189" s="71"/>
      <c r="K189" s="72"/>
      <c r="L189" s="72"/>
      <c r="M189" s="72"/>
      <c r="N189" s="74"/>
      <c r="O189" s="71"/>
      <c r="P189" s="72"/>
      <c r="Q189" s="72"/>
      <c r="R189" s="72"/>
      <c r="S189" s="74"/>
      <c r="T189" s="75"/>
    </row>
    <row r="190" spans="1:20" x14ac:dyDescent="0.35">
      <c r="A190" s="17"/>
      <c r="B190" s="18"/>
      <c r="C190" s="13"/>
      <c r="D190" s="31"/>
      <c r="E190" s="24"/>
      <c r="F190" s="71"/>
      <c r="G190" s="72"/>
      <c r="H190" s="73"/>
      <c r="I190" s="72"/>
      <c r="J190" s="71"/>
      <c r="K190" s="72"/>
      <c r="L190" s="72"/>
      <c r="M190" s="72"/>
      <c r="N190" s="74"/>
      <c r="O190" s="71"/>
      <c r="P190" s="72"/>
      <c r="Q190" s="72"/>
      <c r="R190" s="72"/>
      <c r="S190" s="74"/>
      <c r="T190" s="75"/>
    </row>
    <row r="191" spans="1:20" x14ac:dyDescent="0.35">
      <c r="A191" s="17"/>
      <c r="B191" s="18"/>
      <c r="C191" s="13"/>
      <c r="D191" s="31"/>
      <c r="E191" s="24"/>
      <c r="F191" s="71"/>
      <c r="G191" s="72"/>
      <c r="H191" s="73"/>
      <c r="I191" s="72"/>
      <c r="J191" s="71"/>
      <c r="K191" s="72"/>
      <c r="L191" s="72"/>
      <c r="M191" s="72"/>
      <c r="N191" s="74"/>
      <c r="O191" s="71"/>
      <c r="P191" s="72"/>
      <c r="Q191" s="72"/>
      <c r="R191" s="72"/>
      <c r="S191" s="74"/>
      <c r="T191" s="75"/>
    </row>
    <row r="192" spans="1:20" x14ac:dyDescent="0.35">
      <c r="A192" s="17"/>
      <c r="B192" s="18"/>
      <c r="C192" s="13"/>
      <c r="D192" s="31"/>
      <c r="E192" s="24"/>
      <c r="F192" s="71"/>
      <c r="G192" s="72"/>
      <c r="H192" s="73"/>
      <c r="I192" s="72"/>
      <c r="J192" s="71"/>
      <c r="K192" s="72"/>
      <c r="L192" s="72"/>
      <c r="M192" s="72"/>
      <c r="N192" s="74"/>
      <c r="O192" s="71"/>
      <c r="P192" s="72"/>
      <c r="Q192" s="72"/>
      <c r="R192" s="72"/>
      <c r="S192" s="74"/>
      <c r="T192" s="75"/>
    </row>
    <row r="193" spans="1:20" x14ac:dyDescent="0.35">
      <c r="A193" s="17"/>
      <c r="B193" s="18"/>
      <c r="C193" s="13"/>
      <c r="D193" s="31"/>
      <c r="E193" s="24"/>
      <c r="F193" s="71"/>
      <c r="G193" s="72"/>
      <c r="H193" s="73"/>
      <c r="I193" s="72"/>
      <c r="J193" s="71"/>
      <c r="K193" s="72"/>
      <c r="L193" s="72"/>
      <c r="M193" s="72"/>
      <c r="N193" s="74"/>
      <c r="O193" s="71"/>
      <c r="P193" s="72"/>
      <c r="Q193" s="72"/>
      <c r="R193" s="72"/>
      <c r="S193" s="74"/>
      <c r="T193" s="75"/>
    </row>
    <row r="194" spans="1:20" x14ac:dyDescent="0.35">
      <c r="A194" s="17"/>
      <c r="B194" s="18"/>
      <c r="C194" s="13"/>
      <c r="D194" s="31"/>
      <c r="E194" s="24"/>
      <c r="F194" s="71"/>
      <c r="G194" s="72"/>
      <c r="H194" s="73"/>
      <c r="I194" s="72"/>
      <c r="J194" s="71"/>
      <c r="K194" s="72"/>
      <c r="L194" s="72"/>
      <c r="M194" s="72"/>
      <c r="N194" s="74"/>
      <c r="O194" s="71"/>
      <c r="P194" s="72"/>
      <c r="Q194" s="72"/>
      <c r="R194" s="72"/>
      <c r="S194" s="74"/>
      <c r="T194" s="75"/>
    </row>
    <row r="195" spans="1:20" x14ac:dyDescent="0.35">
      <c r="A195" s="17"/>
      <c r="B195" s="18"/>
      <c r="C195" s="13"/>
      <c r="D195" s="31"/>
      <c r="E195" s="24"/>
      <c r="F195" s="71"/>
      <c r="G195" s="72"/>
      <c r="H195" s="73"/>
      <c r="I195" s="72"/>
      <c r="J195" s="71"/>
      <c r="K195" s="72"/>
      <c r="L195" s="72"/>
      <c r="M195" s="72"/>
      <c r="N195" s="74"/>
      <c r="O195" s="71"/>
      <c r="P195" s="72"/>
      <c r="Q195" s="72"/>
      <c r="R195" s="72"/>
      <c r="S195" s="74"/>
      <c r="T195" s="75"/>
    </row>
    <row r="196" spans="1:20" x14ac:dyDescent="0.35">
      <c r="A196" s="17"/>
      <c r="B196" s="18"/>
      <c r="C196" s="13"/>
      <c r="D196" s="31"/>
      <c r="E196" s="24"/>
      <c r="F196" s="71"/>
      <c r="G196" s="72"/>
      <c r="H196" s="73"/>
      <c r="I196" s="72"/>
      <c r="J196" s="71"/>
      <c r="K196" s="72"/>
      <c r="L196" s="72"/>
      <c r="M196" s="72"/>
      <c r="N196" s="74"/>
      <c r="O196" s="71"/>
      <c r="P196" s="72"/>
      <c r="Q196" s="72"/>
      <c r="R196" s="72"/>
      <c r="S196" s="74"/>
      <c r="T196" s="75"/>
    </row>
    <row r="197" spans="1:20" x14ac:dyDescent="0.35">
      <c r="A197" s="17"/>
      <c r="B197" s="18"/>
      <c r="C197" s="13"/>
      <c r="D197" s="31"/>
      <c r="E197" s="24"/>
      <c r="F197" s="71"/>
      <c r="G197" s="72"/>
      <c r="H197" s="73"/>
      <c r="I197" s="72"/>
      <c r="J197" s="71"/>
      <c r="K197" s="72"/>
      <c r="L197" s="72"/>
      <c r="M197" s="72"/>
      <c r="N197" s="74"/>
      <c r="O197" s="71"/>
      <c r="P197" s="72"/>
      <c r="Q197" s="72"/>
      <c r="R197" s="72"/>
      <c r="S197" s="74"/>
      <c r="T197" s="75"/>
    </row>
    <row r="198" spans="1:20" x14ac:dyDescent="0.35">
      <c r="A198" s="17"/>
      <c r="B198" s="18"/>
      <c r="C198" s="13"/>
      <c r="D198" s="31"/>
      <c r="E198" s="24"/>
      <c r="F198" s="71"/>
      <c r="G198" s="72"/>
      <c r="H198" s="73"/>
      <c r="I198" s="72"/>
      <c r="J198" s="71"/>
      <c r="K198" s="72"/>
      <c r="L198" s="72"/>
      <c r="M198" s="72"/>
      <c r="N198" s="74"/>
      <c r="O198" s="71"/>
      <c r="P198" s="72"/>
      <c r="Q198" s="72"/>
      <c r="R198" s="72"/>
      <c r="S198" s="74"/>
      <c r="T198" s="75"/>
    </row>
    <row r="199" spans="1:20" x14ac:dyDescent="0.35">
      <c r="A199" s="17"/>
      <c r="B199" s="18"/>
      <c r="C199" s="13"/>
      <c r="D199" s="31"/>
      <c r="E199" s="24"/>
      <c r="F199" s="71"/>
      <c r="G199" s="72"/>
      <c r="H199" s="73"/>
      <c r="I199" s="72"/>
      <c r="J199" s="71"/>
      <c r="K199" s="72"/>
      <c r="L199" s="72"/>
      <c r="M199" s="72"/>
      <c r="N199" s="74"/>
      <c r="O199" s="71"/>
      <c r="P199" s="72"/>
      <c r="Q199" s="72"/>
      <c r="R199" s="72"/>
      <c r="S199" s="74"/>
      <c r="T199" s="75"/>
    </row>
    <row r="200" spans="1:20" x14ac:dyDescent="0.35">
      <c r="A200" s="17"/>
      <c r="B200" s="18"/>
      <c r="C200" s="13"/>
      <c r="D200" s="31"/>
      <c r="E200" s="24"/>
      <c r="F200" s="71"/>
      <c r="G200" s="72"/>
      <c r="H200" s="73"/>
      <c r="I200" s="72"/>
      <c r="J200" s="71"/>
      <c r="K200" s="72"/>
      <c r="L200" s="72"/>
      <c r="M200" s="72"/>
      <c r="N200" s="74"/>
      <c r="O200" s="71"/>
      <c r="P200" s="72"/>
      <c r="Q200" s="72"/>
      <c r="R200" s="72"/>
      <c r="S200" s="74"/>
      <c r="T200" s="75"/>
    </row>
    <row r="201" spans="1:20" x14ac:dyDescent="0.35">
      <c r="A201" s="17"/>
      <c r="B201" s="18"/>
      <c r="C201" s="13"/>
      <c r="D201" s="31"/>
      <c r="E201" s="24"/>
      <c r="F201" s="71"/>
      <c r="G201" s="72"/>
      <c r="H201" s="73"/>
      <c r="I201" s="72"/>
      <c r="J201" s="71"/>
      <c r="K201" s="72"/>
      <c r="L201" s="72"/>
      <c r="M201" s="72"/>
      <c r="N201" s="74"/>
      <c r="O201" s="71"/>
      <c r="P201" s="72"/>
      <c r="Q201" s="72"/>
      <c r="R201" s="72"/>
      <c r="S201" s="74"/>
      <c r="T201" s="75"/>
    </row>
    <row r="202" spans="1:20" x14ac:dyDescent="0.35">
      <c r="A202" s="17"/>
      <c r="B202" s="18"/>
      <c r="C202" s="13"/>
      <c r="D202" s="31"/>
      <c r="E202" s="24"/>
      <c r="F202" s="71"/>
      <c r="G202" s="72"/>
      <c r="H202" s="73"/>
      <c r="I202" s="72"/>
      <c r="J202" s="71"/>
      <c r="K202" s="72"/>
      <c r="L202" s="72"/>
      <c r="M202" s="72"/>
      <c r="N202" s="74"/>
      <c r="O202" s="71"/>
      <c r="P202" s="72"/>
      <c r="Q202" s="72"/>
      <c r="R202" s="72"/>
      <c r="S202" s="74"/>
      <c r="T202" s="75"/>
    </row>
    <row r="203" spans="1:20" x14ac:dyDescent="0.35">
      <c r="A203" s="17"/>
      <c r="B203" s="18"/>
      <c r="C203" s="13"/>
      <c r="D203" s="31"/>
      <c r="E203" s="24"/>
      <c r="F203" s="71"/>
      <c r="G203" s="72"/>
      <c r="H203" s="73"/>
      <c r="I203" s="72"/>
      <c r="J203" s="71"/>
      <c r="K203" s="72"/>
      <c r="L203" s="72"/>
      <c r="M203" s="72"/>
      <c r="N203" s="74"/>
      <c r="O203" s="71"/>
      <c r="P203" s="72"/>
      <c r="Q203" s="72"/>
      <c r="R203" s="72"/>
      <c r="S203" s="74"/>
      <c r="T203" s="75"/>
    </row>
    <row r="204" spans="1:20" x14ac:dyDescent="0.35">
      <c r="A204" s="17"/>
      <c r="B204" s="18"/>
      <c r="C204" s="13"/>
      <c r="D204" s="31"/>
      <c r="E204" s="24"/>
      <c r="F204" s="71"/>
      <c r="G204" s="72"/>
      <c r="H204" s="73"/>
      <c r="I204" s="72"/>
      <c r="J204" s="71"/>
      <c r="K204" s="72"/>
      <c r="L204" s="72"/>
      <c r="M204" s="72"/>
      <c r="N204" s="74"/>
      <c r="O204" s="71"/>
      <c r="P204" s="72"/>
      <c r="Q204" s="72"/>
      <c r="R204" s="72"/>
      <c r="S204" s="74"/>
      <c r="T204" s="75"/>
    </row>
    <row r="205" spans="1:20" x14ac:dyDescent="0.35">
      <c r="A205" s="17"/>
      <c r="B205" s="18"/>
      <c r="C205" s="13"/>
      <c r="D205" s="31"/>
      <c r="E205" s="24"/>
      <c r="F205" s="71"/>
      <c r="G205" s="72"/>
      <c r="H205" s="73"/>
      <c r="I205" s="72"/>
      <c r="J205" s="71"/>
      <c r="K205" s="72"/>
      <c r="L205" s="72"/>
      <c r="M205" s="72"/>
      <c r="N205" s="74"/>
      <c r="O205" s="71"/>
      <c r="P205" s="72"/>
      <c r="Q205" s="72"/>
      <c r="R205" s="72"/>
      <c r="S205" s="74"/>
      <c r="T205" s="75"/>
    </row>
    <row r="206" spans="1:20" x14ac:dyDescent="0.35">
      <c r="A206" s="17"/>
      <c r="B206" s="18"/>
      <c r="C206" s="13"/>
      <c r="D206" s="31"/>
      <c r="E206" s="24"/>
      <c r="F206" s="71"/>
      <c r="G206" s="72"/>
      <c r="H206" s="73"/>
      <c r="I206" s="72"/>
      <c r="J206" s="71"/>
      <c r="K206" s="72"/>
      <c r="L206" s="72"/>
      <c r="M206" s="72"/>
      <c r="N206" s="74"/>
      <c r="O206" s="71"/>
      <c r="P206" s="72"/>
      <c r="Q206" s="72"/>
      <c r="R206" s="72"/>
      <c r="S206" s="74"/>
      <c r="T206" s="75"/>
    </row>
    <row r="207" spans="1:20" x14ac:dyDescent="0.35">
      <c r="A207" s="17"/>
      <c r="B207" s="18"/>
      <c r="C207" s="13"/>
      <c r="D207" s="31"/>
      <c r="E207" s="24"/>
      <c r="F207" s="71"/>
      <c r="G207" s="72"/>
      <c r="H207" s="73"/>
      <c r="I207" s="72"/>
      <c r="J207" s="71"/>
      <c r="K207" s="72"/>
      <c r="L207" s="72"/>
      <c r="M207" s="72"/>
      <c r="N207" s="74"/>
      <c r="O207" s="71"/>
      <c r="P207" s="72"/>
      <c r="Q207" s="72"/>
      <c r="R207" s="72"/>
      <c r="S207" s="74"/>
      <c r="T207" s="75"/>
    </row>
    <row r="208" spans="1:20" x14ac:dyDescent="0.35">
      <c r="A208" s="17"/>
      <c r="B208" s="18"/>
      <c r="C208" s="13"/>
      <c r="D208" s="31"/>
      <c r="E208" s="24"/>
      <c r="F208" s="71"/>
      <c r="G208" s="72"/>
      <c r="H208" s="73"/>
      <c r="I208" s="72"/>
      <c r="J208" s="71"/>
      <c r="K208" s="72"/>
      <c r="L208" s="72"/>
      <c r="M208" s="72"/>
      <c r="N208" s="74"/>
      <c r="O208" s="71"/>
      <c r="P208" s="72"/>
      <c r="Q208" s="72"/>
      <c r="R208" s="72"/>
      <c r="S208" s="74"/>
      <c r="T208" s="75"/>
    </row>
    <row r="209" spans="1:21" x14ac:dyDescent="0.35">
      <c r="A209" s="17"/>
      <c r="B209" s="18"/>
      <c r="C209" s="13"/>
      <c r="D209" s="31"/>
      <c r="E209" s="24"/>
      <c r="F209" s="71"/>
      <c r="G209" s="72"/>
      <c r="H209" s="73"/>
      <c r="I209" s="72"/>
      <c r="J209" s="71"/>
      <c r="K209" s="72"/>
      <c r="L209" s="72"/>
      <c r="M209" s="72"/>
      <c r="N209" s="74"/>
      <c r="O209" s="71"/>
      <c r="P209" s="72"/>
      <c r="Q209" s="72"/>
      <c r="R209" s="72"/>
      <c r="S209" s="74"/>
      <c r="T209" s="75"/>
      <c r="U209" s="33"/>
    </row>
    <row r="210" spans="1:21" x14ac:dyDescent="0.35">
      <c r="A210" s="17"/>
      <c r="B210" s="18"/>
      <c r="C210" s="13"/>
      <c r="D210" s="31"/>
      <c r="E210" s="24"/>
      <c r="F210" s="71"/>
      <c r="G210" s="72"/>
      <c r="H210" s="73"/>
      <c r="I210" s="72"/>
      <c r="J210" s="71"/>
      <c r="K210" s="72"/>
      <c r="L210" s="72"/>
      <c r="M210" s="72"/>
      <c r="N210" s="74"/>
      <c r="O210" s="71"/>
      <c r="P210" s="72"/>
      <c r="Q210" s="72"/>
      <c r="R210" s="72"/>
      <c r="S210" s="74"/>
      <c r="T210" s="75"/>
      <c r="U210" s="33"/>
    </row>
    <row r="211" spans="1:21" x14ac:dyDescent="0.35">
      <c r="A211" s="17"/>
      <c r="B211" s="18"/>
      <c r="C211" s="13"/>
      <c r="D211" s="31"/>
      <c r="E211" s="24"/>
      <c r="F211" s="71"/>
      <c r="G211" s="72"/>
      <c r="H211" s="73"/>
      <c r="I211" s="72"/>
      <c r="J211" s="71"/>
      <c r="K211" s="72"/>
      <c r="L211" s="72"/>
      <c r="M211" s="72"/>
      <c r="N211" s="74"/>
      <c r="O211" s="71"/>
      <c r="P211" s="72"/>
      <c r="Q211" s="72"/>
      <c r="R211" s="72"/>
      <c r="S211" s="74"/>
      <c r="T211" s="75"/>
      <c r="U211" s="33"/>
    </row>
    <row r="212" spans="1:21" x14ac:dyDescent="0.35">
      <c r="A212" s="17"/>
      <c r="B212" s="18"/>
      <c r="C212" s="13"/>
      <c r="D212" s="31"/>
      <c r="E212" s="24"/>
      <c r="F212" s="71"/>
      <c r="G212" s="72"/>
      <c r="H212" s="73"/>
      <c r="I212" s="72"/>
      <c r="J212" s="71"/>
      <c r="K212" s="72"/>
      <c r="L212" s="72"/>
      <c r="M212" s="72"/>
      <c r="N212" s="74"/>
      <c r="O212" s="71"/>
      <c r="P212" s="72"/>
      <c r="Q212" s="72"/>
      <c r="R212" s="72"/>
      <c r="S212" s="74"/>
      <c r="T212" s="75"/>
      <c r="U212" s="33"/>
    </row>
    <row r="213" spans="1:21" x14ac:dyDescent="0.35">
      <c r="A213" s="17"/>
      <c r="B213" s="18"/>
      <c r="C213" s="13"/>
      <c r="D213" s="31"/>
      <c r="E213" s="24"/>
      <c r="F213" s="71"/>
      <c r="G213" s="72"/>
      <c r="H213" s="73"/>
      <c r="I213" s="72"/>
      <c r="J213" s="71"/>
      <c r="K213" s="72"/>
      <c r="L213" s="72"/>
      <c r="M213" s="72"/>
      <c r="N213" s="74"/>
      <c r="O213" s="71"/>
      <c r="P213" s="72"/>
      <c r="Q213" s="72"/>
      <c r="R213" s="72"/>
      <c r="S213" s="74"/>
      <c r="T213" s="75"/>
    </row>
    <row r="214" spans="1:21" x14ac:dyDescent="0.35">
      <c r="A214" s="17"/>
      <c r="B214" s="18"/>
      <c r="C214" s="13"/>
      <c r="D214" s="31"/>
      <c r="E214" s="24"/>
      <c r="F214" s="71"/>
      <c r="G214" s="72"/>
      <c r="H214" s="73"/>
      <c r="I214" s="72"/>
      <c r="J214" s="71"/>
      <c r="K214" s="72"/>
      <c r="L214" s="72"/>
      <c r="M214" s="72"/>
      <c r="N214" s="74"/>
      <c r="O214" s="71"/>
      <c r="P214" s="72"/>
      <c r="Q214" s="72"/>
      <c r="R214" s="72"/>
      <c r="S214" s="74"/>
      <c r="T214" s="75"/>
    </row>
    <row r="215" spans="1:21" x14ac:dyDescent="0.35">
      <c r="A215" s="17"/>
      <c r="B215" s="18"/>
      <c r="C215" s="13"/>
      <c r="D215" s="31"/>
      <c r="E215" s="24"/>
      <c r="F215" s="71"/>
      <c r="G215" s="72"/>
      <c r="H215" s="73"/>
      <c r="I215" s="72"/>
      <c r="J215" s="71"/>
      <c r="K215" s="72"/>
      <c r="L215" s="72"/>
      <c r="M215" s="72"/>
      <c r="N215" s="74"/>
      <c r="O215" s="71"/>
      <c r="P215" s="72"/>
      <c r="Q215" s="72"/>
      <c r="R215" s="72"/>
      <c r="S215" s="74"/>
      <c r="T215" s="75"/>
    </row>
    <row r="216" spans="1:21" x14ac:dyDescent="0.35">
      <c r="A216" s="17"/>
      <c r="B216" s="18"/>
      <c r="C216" s="13"/>
      <c r="D216" s="31"/>
      <c r="E216" s="24"/>
      <c r="F216" s="71"/>
      <c r="G216" s="72"/>
      <c r="H216" s="73"/>
      <c r="I216" s="72"/>
      <c r="J216" s="71"/>
      <c r="K216" s="72"/>
      <c r="L216" s="72"/>
      <c r="M216" s="72"/>
      <c r="N216" s="74"/>
      <c r="O216" s="71"/>
      <c r="P216" s="72"/>
      <c r="Q216" s="72"/>
      <c r="R216" s="72"/>
      <c r="S216" s="74"/>
      <c r="T216" s="75"/>
    </row>
    <row r="217" spans="1:21" x14ac:dyDescent="0.35">
      <c r="A217" s="17"/>
      <c r="B217" s="18"/>
      <c r="C217" s="13"/>
      <c r="D217" s="31"/>
      <c r="E217" s="24"/>
      <c r="F217" s="71"/>
      <c r="G217" s="72"/>
      <c r="H217" s="73"/>
      <c r="I217" s="72"/>
      <c r="J217" s="71"/>
      <c r="K217" s="72"/>
      <c r="L217" s="72"/>
      <c r="M217" s="72"/>
      <c r="N217" s="74"/>
      <c r="O217" s="71"/>
      <c r="P217" s="72"/>
      <c r="Q217" s="72"/>
      <c r="R217" s="72"/>
      <c r="S217" s="74"/>
      <c r="T217" s="75"/>
    </row>
    <row r="218" spans="1:21" x14ac:dyDescent="0.35">
      <c r="A218" s="17"/>
      <c r="B218" s="18"/>
      <c r="C218" s="13"/>
      <c r="D218" s="31"/>
      <c r="E218" s="24"/>
      <c r="F218" s="71"/>
      <c r="G218" s="72"/>
      <c r="H218" s="73"/>
      <c r="I218" s="72"/>
      <c r="J218" s="71"/>
      <c r="K218" s="72"/>
      <c r="L218" s="72"/>
      <c r="M218" s="72"/>
      <c r="N218" s="74"/>
      <c r="O218" s="71"/>
      <c r="P218" s="72"/>
      <c r="Q218" s="72"/>
      <c r="R218" s="72"/>
      <c r="S218" s="74"/>
      <c r="T218" s="75"/>
    </row>
    <row r="219" spans="1:21" x14ac:dyDescent="0.35">
      <c r="A219" s="17"/>
      <c r="B219" s="18"/>
      <c r="C219" s="13"/>
      <c r="D219" s="31"/>
      <c r="E219" s="24"/>
      <c r="F219" s="71"/>
      <c r="G219" s="72"/>
      <c r="H219" s="73"/>
      <c r="I219" s="72"/>
      <c r="J219" s="71"/>
      <c r="K219" s="72"/>
      <c r="L219" s="72"/>
      <c r="M219" s="72"/>
      <c r="N219" s="74"/>
      <c r="O219" s="71"/>
      <c r="P219" s="72"/>
      <c r="Q219" s="72"/>
      <c r="R219" s="72"/>
      <c r="S219" s="74"/>
      <c r="T219" s="75"/>
    </row>
    <row r="220" spans="1:21" x14ac:dyDescent="0.35">
      <c r="A220" s="17"/>
      <c r="B220" s="18"/>
      <c r="C220" s="13"/>
      <c r="D220" s="31"/>
      <c r="E220" s="24"/>
      <c r="F220" s="71"/>
      <c r="G220" s="72"/>
      <c r="H220" s="73"/>
      <c r="I220" s="72"/>
      <c r="J220" s="71"/>
      <c r="K220" s="72"/>
      <c r="L220" s="72"/>
      <c r="M220" s="72"/>
      <c r="N220" s="74"/>
      <c r="O220" s="71"/>
      <c r="P220" s="72"/>
      <c r="Q220" s="72"/>
      <c r="R220" s="72"/>
      <c r="S220" s="74"/>
      <c r="T220" s="75"/>
    </row>
    <row r="221" spans="1:21" x14ac:dyDescent="0.35">
      <c r="A221" s="17"/>
      <c r="B221" s="18"/>
      <c r="C221" s="13"/>
      <c r="D221" s="31"/>
      <c r="E221" s="24"/>
      <c r="F221" s="71"/>
      <c r="G221" s="72"/>
      <c r="H221" s="73"/>
      <c r="I221" s="72"/>
      <c r="J221" s="71"/>
      <c r="K221" s="72"/>
      <c r="L221" s="72"/>
      <c r="M221" s="72"/>
      <c r="N221" s="74"/>
      <c r="O221" s="71"/>
      <c r="P221" s="72"/>
      <c r="Q221" s="72"/>
      <c r="R221" s="72"/>
      <c r="S221" s="74"/>
      <c r="T221" s="75"/>
    </row>
    <row r="222" spans="1:21" x14ac:dyDescent="0.35">
      <c r="A222" s="17"/>
      <c r="B222" s="18"/>
      <c r="C222" s="13"/>
      <c r="D222" s="31"/>
      <c r="E222" s="24"/>
      <c r="F222" s="71"/>
      <c r="G222" s="72"/>
      <c r="H222" s="73"/>
      <c r="I222" s="72"/>
      <c r="J222" s="71"/>
      <c r="K222" s="72"/>
      <c r="L222" s="72"/>
      <c r="M222" s="72"/>
      <c r="N222" s="74"/>
      <c r="O222" s="71"/>
      <c r="P222" s="72"/>
      <c r="Q222" s="72"/>
      <c r="R222" s="72"/>
      <c r="S222" s="74"/>
      <c r="T222" s="75"/>
    </row>
    <row r="223" spans="1:21" x14ac:dyDescent="0.35">
      <c r="A223" s="17"/>
      <c r="B223" s="18"/>
      <c r="C223" s="13"/>
      <c r="D223" s="31"/>
      <c r="E223" s="24"/>
      <c r="F223" s="71"/>
      <c r="G223" s="72"/>
      <c r="H223" s="73"/>
      <c r="I223" s="72"/>
      <c r="J223" s="71"/>
      <c r="K223" s="72"/>
      <c r="L223" s="72"/>
      <c r="M223" s="72"/>
      <c r="N223" s="74"/>
      <c r="O223" s="71"/>
      <c r="P223" s="72"/>
      <c r="Q223" s="72"/>
      <c r="R223" s="72"/>
      <c r="S223" s="74"/>
      <c r="T223" s="75"/>
    </row>
    <row r="224" spans="1:21" x14ac:dyDescent="0.35">
      <c r="A224" s="17"/>
      <c r="B224" s="18"/>
      <c r="C224" s="13"/>
      <c r="D224" s="31"/>
      <c r="E224" s="24"/>
      <c r="F224" s="71"/>
      <c r="G224" s="72"/>
      <c r="H224" s="73"/>
      <c r="I224" s="72"/>
      <c r="J224" s="71"/>
      <c r="K224" s="72"/>
      <c r="L224" s="72"/>
      <c r="M224" s="72"/>
      <c r="N224" s="74"/>
      <c r="O224" s="71"/>
      <c r="P224" s="72"/>
      <c r="Q224" s="72"/>
      <c r="R224" s="72"/>
      <c r="S224" s="74"/>
      <c r="T224" s="75"/>
    </row>
    <row r="225" spans="1:20" x14ac:dyDescent="0.35">
      <c r="A225" s="17"/>
      <c r="B225" s="18"/>
      <c r="C225" s="13"/>
      <c r="D225" s="31"/>
      <c r="E225" s="24"/>
      <c r="F225" s="71"/>
      <c r="G225" s="72"/>
      <c r="H225" s="73"/>
      <c r="I225" s="72"/>
      <c r="J225" s="71"/>
      <c r="K225" s="72"/>
      <c r="L225" s="72"/>
      <c r="M225" s="72"/>
      <c r="N225" s="74"/>
      <c r="O225" s="71"/>
      <c r="P225" s="72"/>
      <c r="Q225" s="72"/>
      <c r="R225" s="72"/>
      <c r="S225" s="74"/>
      <c r="T225" s="75"/>
    </row>
    <row r="226" spans="1:20" x14ac:dyDescent="0.35">
      <c r="A226" s="17"/>
      <c r="B226" s="18"/>
      <c r="C226" s="13"/>
      <c r="D226" s="31"/>
      <c r="E226" s="24"/>
      <c r="F226" s="71"/>
      <c r="G226" s="72"/>
      <c r="H226" s="73"/>
      <c r="I226" s="72"/>
      <c r="J226" s="71"/>
      <c r="K226" s="72"/>
      <c r="L226" s="72"/>
      <c r="M226" s="72"/>
      <c r="N226" s="74"/>
      <c r="O226" s="71"/>
      <c r="P226" s="72"/>
      <c r="Q226" s="72"/>
      <c r="R226" s="72"/>
      <c r="S226" s="74"/>
      <c r="T226" s="75"/>
    </row>
    <row r="227" spans="1:20" x14ac:dyDescent="0.35">
      <c r="A227" s="17"/>
      <c r="B227" s="18"/>
      <c r="C227" s="13"/>
      <c r="D227" s="31"/>
      <c r="E227" s="24"/>
      <c r="F227" s="71"/>
      <c r="G227" s="72"/>
      <c r="H227" s="73"/>
      <c r="I227" s="72"/>
      <c r="J227" s="71"/>
      <c r="K227" s="72"/>
      <c r="L227" s="72"/>
      <c r="M227" s="72"/>
      <c r="N227" s="74"/>
      <c r="O227" s="71"/>
      <c r="P227" s="72"/>
      <c r="Q227" s="72"/>
      <c r="R227" s="72"/>
      <c r="S227" s="74"/>
      <c r="T227" s="75"/>
    </row>
    <row r="228" spans="1:20" x14ac:dyDescent="0.35">
      <c r="A228" s="17"/>
      <c r="B228" s="18"/>
      <c r="C228" s="13"/>
      <c r="D228" s="31"/>
      <c r="E228" s="24"/>
      <c r="F228" s="71"/>
      <c r="G228" s="72"/>
      <c r="H228" s="73"/>
      <c r="I228" s="72"/>
      <c r="J228" s="71"/>
      <c r="K228" s="72"/>
      <c r="L228" s="72"/>
      <c r="M228" s="72"/>
      <c r="N228" s="74"/>
      <c r="O228" s="71"/>
      <c r="P228" s="72"/>
      <c r="Q228" s="72"/>
      <c r="R228" s="72"/>
      <c r="S228" s="74"/>
      <c r="T228" s="75"/>
    </row>
    <row r="229" spans="1:20" x14ac:dyDescent="0.35">
      <c r="A229" s="17"/>
      <c r="B229" s="18"/>
      <c r="C229" s="13"/>
      <c r="D229" s="31"/>
      <c r="E229" s="24"/>
      <c r="F229" s="71"/>
      <c r="G229" s="72"/>
      <c r="H229" s="73"/>
      <c r="I229" s="72"/>
      <c r="J229" s="71"/>
      <c r="K229" s="72"/>
      <c r="L229" s="72"/>
      <c r="M229" s="72"/>
      <c r="N229" s="74"/>
      <c r="O229" s="71"/>
      <c r="P229" s="72"/>
      <c r="Q229" s="72"/>
      <c r="R229" s="72"/>
      <c r="S229" s="74"/>
      <c r="T229" s="75"/>
    </row>
    <row r="230" spans="1:20" x14ac:dyDescent="0.35">
      <c r="A230" s="17"/>
      <c r="B230" s="18"/>
      <c r="C230" s="13"/>
      <c r="D230" s="31"/>
      <c r="E230" s="24"/>
      <c r="F230" s="71"/>
      <c r="G230" s="72"/>
      <c r="H230" s="73"/>
      <c r="I230" s="72"/>
      <c r="J230" s="71"/>
      <c r="K230" s="72"/>
      <c r="L230" s="72"/>
      <c r="M230" s="72"/>
      <c r="N230" s="74"/>
      <c r="O230" s="71"/>
      <c r="P230" s="72"/>
      <c r="Q230" s="72"/>
      <c r="R230" s="72"/>
      <c r="S230" s="74"/>
      <c r="T230" s="75"/>
    </row>
    <row r="231" spans="1:20" x14ac:dyDescent="0.35">
      <c r="A231" s="17"/>
      <c r="B231" s="18"/>
      <c r="C231" s="13"/>
      <c r="D231" s="31"/>
      <c r="E231" s="24"/>
      <c r="F231" s="71"/>
      <c r="G231" s="72"/>
      <c r="H231" s="73"/>
      <c r="I231" s="72"/>
      <c r="J231" s="71"/>
      <c r="K231" s="72"/>
      <c r="L231" s="72"/>
      <c r="M231" s="72"/>
      <c r="N231" s="74"/>
      <c r="O231" s="71"/>
      <c r="P231" s="72"/>
      <c r="Q231" s="72"/>
      <c r="R231" s="72"/>
      <c r="S231" s="74"/>
      <c r="T231" s="75"/>
    </row>
    <row r="232" spans="1:20" x14ac:dyDescent="0.35">
      <c r="A232" s="17"/>
      <c r="B232" s="18"/>
      <c r="C232" s="13"/>
      <c r="D232" s="31"/>
      <c r="E232" s="24"/>
      <c r="F232" s="71"/>
      <c r="G232" s="72"/>
      <c r="H232" s="73"/>
      <c r="I232" s="72"/>
      <c r="J232" s="71"/>
      <c r="K232" s="72"/>
      <c r="L232" s="72"/>
      <c r="M232" s="72"/>
      <c r="N232" s="74"/>
      <c r="O232" s="71"/>
      <c r="P232" s="72"/>
      <c r="Q232" s="72"/>
      <c r="R232" s="72"/>
      <c r="S232" s="74"/>
      <c r="T232" s="75"/>
    </row>
    <row r="233" spans="1:20" x14ac:dyDescent="0.35">
      <c r="A233" s="17"/>
      <c r="B233" s="18"/>
      <c r="C233" s="13"/>
      <c r="D233" s="31"/>
      <c r="E233" s="24"/>
      <c r="F233" s="71"/>
      <c r="G233" s="72"/>
      <c r="H233" s="73"/>
      <c r="I233" s="72"/>
      <c r="J233" s="71"/>
      <c r="K233" s="72"/>
      <c r="L233" s="72"/>
      <c r="M233" s="72"/>
      <c r="N233" s="74"/>
      <c r="O233" s="71"/>
      <c r="P233" s="72"/>
      <c r="Q233" s="72"/>
      <c r="R233" s="72"/>
      <c r="S233" s="74"/>
      <c r="T233" s="75"/>
    </row>
    <row r="234" spans="1:20" x14ac:dyDescent="0.35">
      <c r="A234" s="17"/>
      <c r="B234" s="18"/>
      <c r="C234" s="13"/>
      <c r="D234" s="31"/>
      <c r="E234" s="24"/>
      <c r="F234" s="71"/>
      <c r="G234" s="72"/>
      <c r="H234" s="73"/>
      <c r="I234" s="72"/>
      <c r="J234" s="71"/>
      <c r="K234" s="72"/>
      <c r="L234" s="72"/>
      <c r="M234" s="72"/>
      <c r="N234" s="74"/>
      <c r="O234" s="71"/>
      <c r="P234" s="72"/>
      <c r="Q234" s="72"/>
      <c r="R234" s="72"/>
      <c r="S234" s="74"/>
      <c r="T234" s="75"/>
    </row>
    <row r="235" spans="1:20" x14ac:dyDescent="0.35">
      <c r="A235" s="17"/>
      <c r="B235" s="18"/>
      <c r="C235" s="13"/>
      <c r="D235" s="31"/>
      <c r="E235" s="24"/>
      <c r="F235" s="71"/>
      <c r="G235" s="72"/>
      <c r="H235" s="73"/>
      <c r="I235" s="72"/>
      <c r="J235" s="71"/>
      <c r="K235" s="72"/>
      <c r="L235" s="72"/>
      <c r="M235" s="72"/>
      <c r="N235" s="74"/>
      <c r="O235" s="71"/>
      <c r="P235" s="72"/>
      <c r="Q235" s="72"/>
      <c r="R235" s="72"/>
      <c r="S235" s="74"/>
      <c r="T235" s="75"/>
    </row>
    <row r="236" spans="1:20" x14ac:dyDescent="0.35">
      <c r="A236" s="17"/>
      <c r="B236" s="18"/>
      <c r="C236" s="13"/>
      <c r="D236" s="31"/>
      <c r="E236" s="24"/>
      <c r="F236" s="71"/>
      <c r="G236" s="72"/>
      <c r="H236" s="73"/>
      <c r="I236" s="72"/>
      <c r="J236" s="71"/>
      <c r="K236" s="72"/>
      <c r="L236" s="72"/>
      <c r="M236" s="72"/>
      <c r="N236" s="74"/>
      <c r="O236" s="71"/>
      <c r="P236" s="72"/>
      <c r="Q236" s="72"/>
      <c r="R236" s="72"/>
      <c r="S236" s="74"/>
      <c r="T236" s="75"/>
    </row>
    <row r="237" spans="1:20" x14ac:dyDescent="0.35">
      <c r="A237" s="17"/>
      <c r="B237" s="18"/>
      <c r="C237" s="13"/>
      <c r="D237" s="31"/>
      <c r="E237" s="24"/>
      <c r="F237" s="71"/>
      <c r="G237" s="72"/>
      <c r="H237" s="73"/>
      <c r="I237" s="72"/>
      <c r="J237" s="71"/>
      <c r="K237" s="72"/>
      <c r="L237" s="72"/>
      <c r="M237" s="72"/>
      <c r="N237" s="74"/>
      <c r="O237" s="71"/>
      <c r="P237" s="72"/>
      <c r="Q237" s="72"/>
      <c r="R237" s="72"/>
      <c r="S237" s="74"/>
      <c r="T237" s="75"/>
    </row>
    <row r="238" spans="1:20" x14ac:dyDescent="0.35">
      <c r="A238" s="17"/>
      <c r="B238" s="18"/>
      <c r="C238" s="13"/>
      <c r="D238" s="31"/>
      <c r="E238" s="24"/>
      <c r="F238" s="71"/>
      <c r="G238" s="72"/>
      <c r="H238" s="73"/>
      <c r="I238" s="72"/>
      <c r="J238" s="71"/>
      <c r="K238" s="72"/>
      <c r="L238" s="72"/>
      <c r="M238" s="72"/>
      <c r="N238" s="74"/>
      <c r="O238" s="71"/>
      <c r="P238" s="72"/>
      <c r="Q238" s="72"/>
      <c r="R238" s="72"/>
      <c r="S238" s="74"/>
      <c r="T238" s="75"/>
    </row>
    <row r="239" spans="1:20" x14ac:dyDescent="0.35">
      <c r="A239" s="17"/>
      <c r="B239" s="18"/>
      <c r="C239" s="13"/>
      <c r="D239" s="31"/>
      <c r="E239" s="24"/>
      <c r="F239" s="71"/>
      <c r="G239" s="72"/>
      <c r="H239" s="73"/>
      <c r="I239" s="72"/>
      <c r="J239" s="71"/>
      <c r="K239" s="72"/>
      <c r="L239" s="72"/>
      <c r="M239" s="72"/>
      <c r="N239" s="74"/>
      <c r="O239" s="71"/>
      <c r="P239" s="72"/>
      <c r="Q239" s="72"/>
      <c r="R239" s="72"/>
      <c r="S239" s="74"/>
      <c r="T239" s="75"/>
    </row>
    <row r="240" spans="1:20" x14ac:dyDescent="0.35">
      <c r="A240" s="17"/>
      <c r="B240" s="18"/>
      <c r="C240" s="13"/>
      <c r="D240" s="31"/>
      <c r="E240" s="24"/>
      <c r="F240" s="71"/>
      <c r="G240" s="72"/>
      <c r="H240" s="73"/>
      <c r="I240" s="72"/>
      <c r="J240" s="71"/>
      <c r="K240" s="72"/>
      <c r="L240" s="72"/>
      <c r="M240" s="72"/>
      <c r="N240" s="74"/>
      <c r="O240" s="71"/>
      <c r="P240" s="72"/>
      <c r="Q240" s="72"/>
      <c r="R240" s="72"/>
      <c r="S240" s="74"/>
      <c r="T240" s="75"/>
    </row>
    <row r="241" spans="1:20" x14ac:dyDescent="0.35">
      <c r="A241" s="17"/>
      <c r="B241" s="18"/>
      <c r="C241" s="13"/>
      <c r="D241" s="31"/>
      <c r="E241" s="24"/>
      <c r="F241" s="71"/>
      <c r="G241" s="72"/>
      <c r="H241" s="73"/>
      <c r="I241" s="72"/>
      <c r="J241" s="71"/>
      <c r="K241" s="72"/>
      <c r="L241" s="72"/>
      <c r="M241" s="72"/>
      <c r="N241" s="74"/>
      <c r="O241" s="71"/>
      <c r="P241" s="72"/>
      <c r="Q241" s="72"/>
      <c r="R241" s="72"/>
      <c r="S241" s="74"/>
      <c r="T241" s="75"/>
    </row>
    <row r="242" spans="1:20" x14ac:dyDescent="0.35">
      <c r="A242" s="17"/>
      <c r="B242" s="18"/>
      <c r="C242" s="13"/>
      <c r="D242" s="31"/>
      <c r="E242" s="24"/>
      <c r="F242" s="71"/>
      <c r="G242" s="72"/>
      <c r="H242" s="73"/>
      <c r="I242" s="72"/>
      <c r="J242" s="71"/>
      <c r="K242" s="72"/>
      <c r="L242" s="72"/>
      <c r="M242" s="72"/>
      <c r="N242" s="74"/>
      <c r="O242" s="71"/>
      <c r="P242" s="72"/>
      <c r="Q242" s="72"/>
      <c r="R242" s="72"/>
      <c r="S242" s="74"/>
      <c r="T242" s="75"/>
    </row>
    <row r="243" spans="1:20" x14ac:dyDescent="0.35">
      <c r="A243" s="17"/>
      <c r="B243" s="18"/>
      <c r="C243" s="13"/>
      <c r="D243" s="31"/>
      <c r="E243" s="24"/>
      <c r="F243" s="71"/>
      <c r="G243" s="72"/>
      <c r="H243" s="73"/>
      <c r="I243" s="72"/>
      <c r="J243" s="71"/>
      <c r="K243" s="72"/>
      <c r="L243" s="72"/>
      <c r="M243" s="72"/>
      <c r="N243" s="74"/>
      <c r="O243" s="71"/>
      <c r="P243" s="72"/>
      <c r="Q243" s="72"/>
      <c r="R243" s="72"/>
      <c r="S243" s="74"/>
      <c r="T243" s="75"/>
    </row>
    <row r="244" spans="1:20" x14ac:dyDescent="0.35">
      <c r="A244" s="17"/>
      <c r="B244" s="18"/>
      <c r="C244" s="13"/>
      <c r="D244" s="31"/>
      <c r="E244" s="24"/>
      <c r="F244" s="71"/>
      <c r="G244" s="72"/>
      <c r="H244" s="73"/>
      <c r="I244" s="72"/>
      <c r="J244" s="71"/>
      <c r="K244" s="72"/>
      <c r="L244" s="72"/>
      <c r="M244" s="72"/>
      <c r="N244" s="74"/>
      <c r="O244" s="71"/>
      <c r="P244" s="72"/>
      <c r="Q244" s="72"/>
      <c r="R244" s="72"/>
      <c r="S244" s="74"/>
      <c r="T244" s="75"/>
    </row>
    <row r="245" spans="1:20" x14ac:dyDescent="0.35">
      <c r="A245" s="17"/>
      <c r="B245" s="18"/>
      <c r="C245" s="13"/>
      <c r="D245" s="31"/>
      <c r="E245" s="24"/>
      <c r="F245" s="71"/>
      <c r="G245" s="72"/>
      <c r="H245" s="73"/>
      <c r="I245" s="72"/>
      <c r="J245" s="71"/>
      <c r="K245" s="72"/>
      <c r="L245" s="72"/>
      <c r="M245" s="72"/>
      <c r="N245" s="74"/>
      <c r="O245" s="71"/>
      <c r="P245" s="72"/>
      <c r="Q245" s="72"/>
      <c r="R245" s="72"/>
      <c r="S245" s="74"/>
      <c r="T245" s="75"/>
    </row>
    <row r="246" spans="1:20" x14ac:dyDescent="0.35">
      <c r="A246" s="17"/>
      <c r="B246" s="18"/>
      <c r="C246" s="13"/>
      <c r="D246" s="31"/>
      <c r="E246" s="24"/>
      <c r="F246" s="71"/>
      <c r="G246" s="72"/>
      <c r="H246" s="73"/>
      <c r="I246" s="72"/>
      <c r="J246" s="71"/>
      <c r="K246" s="72"/>
      <c r="L246" s="72"/>
      <c r="M246" s="72"/>
      <c r="N246" s="74"/>
      <c r="O246" s="71"/>
      <c r="P246" s="72"/>
      <c r="Q246" s="72"/>
      <c r="R246" s="72"/>
      <c r="S246" s="74"/>
      <c r="T246" s="75"/>
    </row>
    <row r="247" spans="1:20" x14ac:dyDescent="0.35">
      <c r="A247" s="17"/>
      <c r="B247" s="18"/>
      <c r="C247" s="13"/>
      <c r="D247" s="31"/>
      <c r="E247" s="24"/>
      <c r="F247" s="71"/>
      <c r="G247" s="72"/>
      <c r="H247" s="73"/>
      <c r="I247" s="72"/>
      <c r="J247" s="71"/>
      <c r="K247" s="72"/>
      <c r="L247" s="72"/>
      <c r="M247" s="72"/>
      <c r="N247" s="74"/>
      <c r="O247" s="71"/>
      <c r="P247" s="72"/>
      <c r="Q247" s="72"/>
      <c r="R247" s="72"/>
      <c r="S247" s="74"/>
      <c r="T247" s="75"/>
    </row>
    <row r="248" spans="1:20" x14ac:dyDescent="0.35">
      <c r="A248" s="17"/>
      <c r="B248" s="18"/>
      <c r="C248" s="13"/>
      <c r="D248" s="31"/>
      <c r="E248" s="24"/>
      <c r="F248" s="71"/>
      <c r="G248" s="72"/>
      <c r="H248" s="73"/>
      <c r="I248" s="72"/>
      <c r="J248" s="71"/>
      <c r="K248" s="72"/>
      <c r="L248" s="72"/>
      <c r="M248" s="72"/>
      <c r="N248" s="74"/>
      <c r="O248" s="71"/>
      <c r="P248" s="72"/>
      <c r="Q248" s="72"/>
      <c r="R248" s="72"/>
      <c r="S248" s="74"/>
      <c r="T248" s="75"/>
    </row>
    <row r="249" spans="1:20" x14ac:dyDescent="0.35">
      <c r="A249" s="17"/>
      <c r="B249" s="18"/>
      <c r="C249" s="13"/>
      <c r="D249" s="31"/>
      <c r="E249" s="24"/>
      <c r="F249" s="71"/>
      <c r="G249" s="72"/>
      <c r="H249" s="73"/>
      <c r="I249" s="72"/>
      <c r="J249" s="71"/>
      <c r="K249" s="72"/>
      <c r="L249" s="72"/>
      <c r="M249" s="72"/>
      <c r="N249" s="74"/>
      <c r="O249" s="71"/>
      <c r="P249" s="72"/>
      <c r="Q249" s="72"/>
      <c r="R249" s="72"/>
      <c r="S249" s="74"/>
      <c r="T249" s="75"/>
    </row>
    <row r="250" spans="1:20" x14ac:dyDescent="0.35">
      <c r="A250" s="17"/>
      <c r="B250" s="18"/>
      <c r="C250" s="13"/>
      <c r="D250" s="31"/>
      <c r="E250" s="24"/>
      <c r="F250" s="71"/>
      <c r="G250" s="72"/>
      <c r="H250" s="73"/>
      <c r="I250" s="72"/>
      <c r="J250" s="71"/>
      <c r="K250" s="72"/>
      <c r="L250" s="72"/>
      <c r="M250" s="72"/>
      <c r="N250" s="74"/>
      <c r="O250" s="71"/>
      <c r="P250" s="72"/>
      <c r="Q250" s="72"/>
      <c r="R250" s="72"/>
      <c r="S250" s="74"/>
      <c r="T250" s="75"/>
    </row>
    <row r="251" spans="1:20" x14ac:dyDescent="0.35">
      <c r="A251" s="17"/>
      <c r="B251" s="18"/>
      <c r="C251" s="13"/>
      <c r="D251" s="31"/>
      <c r="E251" s="24"/>
      <c r="F251" s="71"/>
      <c r="G251" s="72"/>
      <c r="H251" s="73"/>
      <c r="I251" s="72"/>
      <c r="J251" s="71"/>
      <c r="K251" s="72"/>
      <c r="L251" s="72"/>
      <c r="M251" s="72"/>
      <c r="N251" s="74"/>
      <c r="O251" s="71"/>
      <c r="P251" s="72"/>
      <c r="Q251" s="72"/>
      <c r="R251" s="72"/>
      <c r="S251" s="74"/>
      <c r="T251" s="75"/>
    </row>
    <row r="252" spans="1:20" x14ac:dyDescent="0.35">
      <c r="A252" s="17"/>
      <c r="B252" s="18"/>
      <c r="C252" s="13"/>
      <c r="D252" s="31"/>
      <c r="E252" s="24"/>
      <c r="F252" s="71"/>
      <c r="G252" s="72"/>
      <c r="H252" s="73"/>
      <c r="I252" s="72"/>
      <c r="J252" s="71"/>
      <c r="K252" s="72"/>
      <c r="L252" s="72"/>
      <c r="M252" s="72"/>
      <c r="N252" s="74"/>
      <c r="O252" s="71"/>
      <c r="P252" s="72"/>
      <c r="Q252" s="72"/>
      <c r="R252" s="72"/>
      <c r="S252" s="74"/>
      <c r="T252" s="75"/>
    </row>
    <row r="253" spans="1:20" x14ac:dyDescent="0.35">
      <c r="A253" s="17"/>
      <c r="B253" s="18"/>
      <c r="C253" s="13"/>
      <c r="D253" s="31"/>
      <c r="E253" s="24"/>
      <c r="F253" s="71"/>
      <c r="G253" s="72"/>
      <c r="H253" s="73"/>
      <c r="I253" s="72"/>
      <c r="J253" s="71"/>
      <c r="K253" s="72"/>
      <c r="L253" s="72"/>
      <c r="M253" s="72"/>
      <c r="N253" s="74"/>
      <c r="O253" s="71"/>
      <c r="P253" s="72"/>
      <c r="Q253" s="72"/>
      <c r="R253" s="72"/>
      <c r="S253" s="74"/>
      <c r="T253" s="75"/>
    </row>
    <row r="254" spans="1:20" x14ac:dyDescent="0.35">
      <c r="A254" s="17"/>
      <c r="B254" s="18"/>
      <c r="C254" s="13"/>
      <c r="D254" s="31"/>
      <c r="E254" s="24"/>
      <c r="F254" s="71"/>
      <c r="G254" s="72"/>
      <c r="H254" s="73"/>
      <c r="I254" s="72"/>
      <c r="J254" s="71"/>
      <c r="K254" s="72"/>
      <c r="L254" s="72"/>
      <c r="M254" s="72"/>
      <c r="N254" s="74"/>
      <c r="O254" s="71"/>
      <c r="P254" s="72"/>
      <c r="Q254" s="72"/>
      <c r="R254" s="72"/>
      <c r="S254" s="74"/>
      <c r="T254" s="75"/>
    </row>
    <row r="255" spans="1:20" x14ac:dyDescent="0.35">
      <c r="A255" s="17"/>
      <c r="B255" s="18"/>
      <c r="C255" s="13"/>
      <c r="D255" s="31"/>
      <c r="E255" s="24"/>
      <c r="F255" s="71"/>
      <c r="G255" s="72"/>
      <c r="H255" s="73"/>
      <c r="I255" s="72"/>
      <c r="J255" s="71"/>
      <c r="K255" s="72"/>
      <c r="L255" s="72"/>
      <c r="M255" s="72"/>
      <c r="N255" s="74"/>
      <c r="O255" s="71"/>
      <c r="P255" s="72"/>
      <c r="Q255" s="72"/>
      <c r="R255" s="72"/>
      <c r="S255" s="74"/>
      <c r="T255" s="75"/>
    </row>
    <row r="256" spans="1:20" x14ac:dyDescent="0.35">
      <c r="A256" s="17"/>
      <c r="B256" s="18"/>
      <c r="C256" s="13"/>
      <c r="D256" s="31"/>
      <c r="E256" s="24"/>
      <c r="F256" s="71"/>
      <c r="G256" s="72"/>
      <c r="H256" s="73"/>
      <c r="I256" s="72"/>
      <c r="J256" s="71"/>
      <c r="K256" s="72"/>
      <c r="L256" s="72"/>
      <c r="M256" s="72"/>
      <c r="N256" s="74"/>
      <c r="O256" s="71"/>
      <c r="P256" s="72"/>
      <c r="Q256" s="72"/>
      <c r="R256" s="72"/>
      <c r="S256" s="74"/>
      <c r="T256" s="75"/>
    </row>
    <row r="257" spans="1:20" x14ac:dyDescent="0.35">
      <c r="A257" s="17"/>
      <c r="B257" s="18"/>
      <c r="C257" s="13"/>
      <c r="D257" s="31"/>
      <c r="E257" s="24"/>
      <c r="F257" s="71"/>
      <c r="G257" s="72"/>
      <c r="H257" s="73"/>
      <c r="I257" s="72"/>
      <c r="J257" s="71"/>
      <c r="K257" s="72"/>
      <c r="L257" s="72"/>
      <c r="M257" s="72"/>
      <c r="N257" s="74"/>
      <c r="O257" s="71"/>
      <c r="P257" s="72"/>
      <c r="Q257" s="72"/>
      <c r="R257" s="72"/>
      <c r="S257" s="74"/>
      <c r="T257" s="75"/>
    </row>
    <row r="258" spans="1:20" x14ac:dyDescent="0.35">
      <c r="A258" s="17"/>
      <c r="B258" s="18"/>
      <c r="C258" s="13"/>
      <c r="D258" s="31"/>
      <c r="E258" s="24"/>
      <c r="F258" s="71"/>
      <c r="G258" s="72"/>
      <c r="H258" s="73"/>
      <c r="I258" s="72"/>
      <c r="J258" s="71"/>
      <c r="K258" s="72"/>
      <c r="L258" s="72"/>
      <c r="M258" s="72"/>
      <c r="N258" s="74"/>
      <c r="O258" s="71"/>
      <c r="P258" s="72"/>
      <c r="Q258" s="72"/>
      <c r="R258" s="72"/>
      <c r="S258" s="74"/>
      <c r="T258" s="75"/>
    </row>
    <row r="259" spans="1:20" x14ac:dyDescent="0.35">
      <c r="A259" s="17"/>
      <c r="B259" s="18"/>
      <c r="C259" s="13"/>
      <c r="D259" s="31"/>
      <c r="E259" s="24"/>
      <c r="F259" s="71"/>
      <c r="G259" s="72"/>
      <c r="H259" s="73"/>
      <c r="I259" s="72"/>
      <c r="J259" s="71"/>
      <c r="K259" s="72"/>
      <c r="L259" s="72"/>
      <c r="M259" s="72"/>
      <c r="N259" s="74"/>
      <c r="O259" s="71"/>
      <c r="P259" s="72"/>
      <c r="Q259" s="72"/>
      <c r="R259" s="72"/>
      <c r="S259" s="74"/>
      <c r="T259" s="75"/>
    </row>
    <row r="260" spans="1:20" x14ac:dyDescent="0.35">
      <c r="A260" s="17"/>
      <c r="B260" s="18"/>
      <c r="C260" s="13"/>
      <c r="D260" s="31"/>
      <c r="E260" s="24"/>
      <c r="F260" s="71"/>
      <c r="G260" s="72"/>
      <c r="H260" s="73"/>
      <c r="I260" s="72"/>
      <c r="J260" s="71"/>
      <c r="K260" s="72"/>
      <c r="L260" s="72"/>
      <c r="M260" s="72"/>
      <c r="N260" s="74"/>
      <c r="O260" s="71"/>
      <c r="P260" s="72"/>
      <c r="Q260" s="72"/>
      <c r="R260" s="72"/>
      <c r="S260" s="74"/>
      <c r="T260" s="75"/>
    </row>
    <row r="261" spans="1:20" x14ac:dyDescent="0.35">
      <c r="A261" s="17"/>
      <c r="B261" s="18"/>
      <c r="C261" s="13"/>
      <c r="D261" s="31"/>
      <c r="E261" s="24"/>
      <c r="F261" s="71"/>
      <c r="G261" s="72"/>
      <c r="H261" s="73"/>
      <c r="I261" s="72"/>
      <c r="J261" s="71"/>
      <c r="K261" s="72"/>
      <c r="L261" s="72"/>
      <c r="M261" s="72"/>
      <c r="N261" s="74"/>
      <c r="O261" s="71"/>
      <c r="P261" s="72"/>
      <c r="Q261" s="72"/>
      <c r="R261" s="72"/>
      <c r="S261" s="74"/>
      <c r="T261" s="75"/>
    </row>
    <row r="262" spans="1:20" x14ac:dyDescent="0.35">
      <c r="A262" s="17"/>
      <c r="B262" s="18"/>
      <c r="C262" s="13"/>
      <c r="D262" s="31"/>
      <c r="E262" s="24"/>
      <c r="F262" s="71"/>
      <c r="G262" s="72"/>
      <c r="H262" s="73"/>
      <c r="I262" s="72"/>
      <c r="J262" s="71"/>
      <c r="K262" s="72"/>
      <c r="L262" s="72"/>
      <c r="M262" s="72"/>
      <c r="N262" s="74"/>
      <c r="O262" s="71"/>
      <c r="P262" s="72"/>
      <c r="Q262" s="72"/>
      <c r="R262" s="72"/>
      <c r="S262" s="74"/>
      <c r="T262" s="75"/>
    </row>
    <row r="263" spans="1:20" x14ac:dyDescent="0.35">
      <c r="A263" s="17"/>
      <c r="B263" s="18"/>
      <c r="C263" s="13"/>
      <c r="D263" s="31"/>
      <c r="E263" s="24"/>
      <c r="F263" s="71"/>
      <c r="G263" s="72"/>
      <c r="H263" s="73"/>
      <c r="I263" s="72"/>
      <c r="J263" s="71"/>
      <c r="K263" s="72"/>
      <c r="L263" s="72"/>
      <c r="M263" s="72"/>
      <c r="N263" s="74"/>
      <c r="O263" s="71"/>
      <c r="P263" s="72"/>
      <c r="Q263" s="72"/>
      <c r="R263" s="72"/>
      <c r="S263" s="74"/>
      <c r="T263" s="75"/>
    </row>
    <row r="264" spans="1:20" x14ac:dyDescent="0.35">
      <c r="A264" s="17"/>
      <c r="B264" s="18"/>
      <c r="C264" s="13"/>
      <c r="D264" s="31"/>
      <c r="E264" s="24"/>
      <c r="F264" s="71"/>
      <c r="G264" s="72"/>
      <c r="H264" s="73"/>
      <c r="I264" s="72"/>
      <c r="J264" s="71"/>
      <c r="K264" s="72"/>
      <c r="L264" s="72"/>
      <c r="M264" s="72"/>
      <c r="N264" s="74"/>
      <c r="O264" s="71"/>
      <c r="P264" s="72"/>
      <c r="Q264" s="72"/>
      <c r="R264" s="72"/>
      <c r="S264" s="74"/>
      <c r="T264" s="75"/>
    </row>
    <row r="265" spans="1:20" x14ac:dyDescent="0.35">
      <c r="A265" s="17"/>
      <c r="B265" s="18"/>
      <c r="C265" s="13"/>
      <c r="D265" s="31"/>
      <c r="E265" s="24"/>
      <c r="F265" s="71"/>
      <c r="G265" s="72"/>
      <c r="H265" s="73"/>
      <c r="I265" s="72"/>
      <c r="J265" s="71"/>
      <c r="K265" s="72"/>
      <c r="L265" s="72"/>
      <c r="M265" s="72"/>
      <c r="N265" s="74"/>
      <c r="O265" s="71"/>
      <c r="P265" s="72"/>
      <c r="Q265" s="72"/>
      <c r="R265" s="72"/>
      <c r="S265" s="74"/>
      <c r="T265" s="75"/>
    </row>
    <row r="266" spans="1:20" x14ac:dyDescent="0.35">
      <c r="A266" s="17"/>
      <c r="B266" s="18"/>
      <c r="C266" s="13"/>
      <c r="D266" s="31"/>
      <c r="E266" s="24"/>
      <c r="F266" s="71"/>
      <c r="G266" s="72"/>
      <c r="H266" s="73"/>
      <c r="I266" s="72"/>
      <c r="J266" s="71"/>
      <c r="K266" s="72"/>
      <c r="L266" s="72"/>
      <c r="M266" s="72"/>
      <c r="N266" s="74"/>
      <c r="O266" s="71"/>
      <c r="P266" s="72"/>
      <c r="Q266" s="72"/>
      <c r="R266" s="72"/>
      <c r="S266" s="74"/>
      <c r="T266" s="75"/>
    </row>
    <row r="267" spans="1:20" x14ac:dyDescent="0.35">
      <c r="A267" s="17"/>
      <c r="B267" s="18"/>
      <c r="C267" s="13"/>
      <c r="D267" s="31"/>
      <c r="E267" s="24"/>
      <c r="F267" s="71"/>
      <c r="G267" s="72"/>
      <c r="H267" s="73"/>
      <c r="I267" s="72"/>
      <c r="J267" s="71"/>
      <c r="K267" s="72"/>
      <c r="L267" s="72"/>
      <c r="M267" s="72"/>
      <c r="N267" s="74"/>
      <c r="O267" s="71"/>
      <c r="P267" s="72"/>
      <c r="Q267" s="72"/>
      <c r="R267" s="72"/>
      <c r="S267" s="74"/>
      <c r="T267" s="75"/>
    </row>
    <row r="268" spans="1:20" x14ac:dyDescent="0.35">
      <c r="A268" s="17"/>
      <c r="B268" s="18"/>
      <c r="C268" s="13"/>
      <c r="D268" s="31"/>
      <c r="E268" s="24"/>
      <c r="F268" s="71"/>
      <c r="G268" s="72"/>
      <c r="H268" s="73"/>
      <c r="I268" s="72"/>
      <c r="J268" s="71"/>
      <c r="K268" s="72"/>
      <c r="L268" s="72"/>
      <c r="M268" s="72"/>
      <c r="N268" s="74"/>
      <c r="O268" s="71"/>
      <c r="P268" s="72"/>
      <c r="Q268" s="72"/>
      <c r="R268" s="72"/>
      <c r="S268" s="74"/>
      <c r="T268" s="75"/>
    </row>
    <row r="269" spans="1:20" x14ac:dyDescent="0.35">
      <c r="A269" s="17"/>
      <c r="B269" s="18"/>
      <c r="C269" s="13"/>
      <c r="D269" s="31"/>
      <c r="E269" s="24"/>
      <c r="F269" s="71"/>
      <c r="G269" s="72"/>
      <c r="H269" s="73"/>
      <c r="I269" s="72"/>
      <c r="J269" s="71"/>
      <c r="K269" s="72"/>
      <c r="L269" s="72"/>
      <c r="M269" s="72"/>
      <c r="N269" s="74"/>
      <c r="O269" s="71"/>
      <c r="P269" s="72"/>
      <c r="Q269" s="72"/>
      <c r="R269" s="72"/>
      <c r="S269" s="74"/>
      <c r="T269" s="75"/>
    </row>
    <row r="270" spans="1:20" x14ac:dyDescent="0.35">
      <c r="A270" s="17"/>
      <c r="B270" s="18"/>
      <c r="C270" s="13"/>
      <c r="D270" s="31"/>
      <c r="E270" s="24"/>
      <c r="F270" s="71"/>
      <c r="G270" s="72"/>
      <c r="H270" s="73"/>
      <c r="I270" s="72"/>
      <c r="J270" s="71"/>
      <c r="K270" s="72"/>
      <c r="L270" s="72"/>
      <c r="M270" s="72"/>
      <c r="N270" s="74"/>
      <c r="O270" s="71"/>
      <c r="P270" s="72"/>
      <c r="Q270" s="72"/>
      <c r="R270" s="72"/>
      <c r="S270" s="74"/>
      <c r="T270" s="75"/>
    </row>
    <row r="271" spans="1:20" x14ac:dyDescent="0.35">
      <c r="A271" s="17"/>
      <c r="B271" s="18"/>
      <c r="C271" s="13"/>
      <c r="D271" s="31"/>
      <c r="E271" s="24"/>
      <c r="F271" s="71"/>
      <c r="G271" s="72"/>
      <c r="H271" s="73"/>
      <c r="I271" s="72"/>
      <c r="J271" s="71"/>
      <c r="K271" s="72"/>
      <c r="L271" s="72"/>
      <c r="M271" s="72"/>
      <c r="N271" s="74"/>
      <c r="O271" s="71"/>
      <c r="P271" s="72"/>
      <c r="Q271" s="72"/>
      <c r="R271" s="72"/>
      <c r="S271" s="74"/>
      <c r="T271" s="75"/>
    </row>
    <row r="272" spans="1:20" x14ac:dyDescent="0.35">
      <c r="A272" s="17"/>
      <c r="B272" s="18"/>
      <c r="C272" s="13"/>
      <c r="D272" s="31"/>
      <c r="E272" s="24"/>
      <c r="F272" s="71"/>
      <c r="G272" s="72"/>
      <c r="H272" s="73"/>
      <c r="I272" s="72"/>
      <c r="J272" s="71"/>
      <c r="K272" s="72"/>
      <c r="L272" s="72"/>
      <c r="M272" s="72"/>
      <c r="N272" s="74"/>
      <c r="O272" s="71"/>
      <c r="P272" s="72"/>
      <c r="Q272" s="72"/>
      <c r="R272" s="72"/>
      <c r="S272" s="74"/>
      <c r="T272" s="75"/>
    </row>
    <row r="273" spans="1:20" x14ac:dyDescent="0.35">
      <c r="A273" s="17"/>
      <c r="B273" s="18"/>
      <c r="C273" s="13"/>
      <c r="D273" s="31"/>
      <c r="E273" s="24"/>
      <c r="F273" s="71"/>
      <c r="G273" s="72"/>
      <c r="H273" s="73"/>
      <c r="I273" s="72"/>
      <c r="J273" s="71"/>
      <c r="K273" s="72"/>
      <c r="L273" s="72"/>
      <c r="M273" s="72"/>
      <c r="N273" s="74"/>
      <c r="O273" s="71"/>
      <c r="P273" s="72"/>
      <c r="Q273" s="72"/>
      <c r="R273" s="72"/>
      <c r="S273" s="74"/>
      <c r="T273" s="75"/>
    </row>
    <row r="274" spans="1:20" x14ac:dyDescent="0.35">
      <c r="A274" s="17"/>
      <c r="B274" s="18"/>
      <c r="C274" s="13"/>
      <c r="D274" s="31"/>
      <c r="E274" s="24"/>
      <c r="F274" s="71"/>
      <c r="G274" s="72"/>
      <c r="H274" s="73"/>
      <c r="I274" s="72"/>
      <c r="J274" s="71"/>
      <c r="K274" s="72"/>
      <c r="L274" s="72"/>
      <c r="M274" s="72"/>
      <c r="N274" s="74"/>
      <c r="O274" s="71"/>
      <c r="P274" s="72"/>
      <c r="Q274" s="72"/>
      <c r="R274" s="72"/>
      <c r="S274" s="74"/>
      <c r="T274" s="75"/>
    </row>
    <row r="275" spans="1:20" x14ac:dyDescent="0.35">
      <c r="A275" s="17"/>
      <c r="B275" s="18"/>
      <c r="C275" s="13"/>
      <c r="D275" s="31"/>
      <c r="E275" s="24"/>
      <c r="F275" s="71"/>
      <c r="G275" s="72"/>
      <c r="H275" s="73"/>
      <c r="I275" s="72"/>
      <c r="J275" s="71"/>
      <c r="K275" s="72"/>
      <c r="L275" s="72"/>
      <c r="M275" s="72"/>
      <c r="N275" s="74"/>
      <c r="O275" s="71"/>
      <c r="P275" s="72"/>
      <c r="Q275" s="72"/>
      <c r="R275" s="72"/>
      <c r="S275" s="74"/>
      <c r="T275" s="75"/>
    </row>
    <row r="276" spans="1:20" x14ac:dyDescent="0.35">
      <c r="A276" s="17"/>
      <c r="B276" s="18"/>
      <c r="C276" s="13"/>
      <c r="D276" s="31"/>
      <c r="E276" s="24"/>
      <c r="F276" s="71"/>
      <c r="G276" s="72"/>
      <c r="H276" s="73"/>
      <c r="I276" s="72"/>
      <c r="J276" s="71"/>
      <c r="K276" s="72"/>
      <c r="L276" s="72"/>
      <c r="M276" s="72"/>
      <c r="N276" s="74"/>
      <c r="O276" s="71"/>
      <c r="P276" s="72"/>
      <c r="Q276" s="72"/>
      <c r="R276" s="72"/>
      <c r="S276" s="74"/>
      <c r="T276" s="75"/>
    </row>
    <row r="277" spans="1:20" x14ac:dyDescent="0.35">
      <c r="A277" s="17"/>
      <c r="B277" s="18"/>
      <c r="C277" s="13"/>
      <c r="D277" s="31"/>
      <c r="E277" s="24"/>
      <c r="F277" s="71"/>
      <c r="G277" s="72"/>
      <c r="H277" s="73"/>
      <c r="I277" s="72"/>
      <c r="J277" s="71"/>
      <c r="K277" s="72"/>
      <c r="L277" s="72"/>
      <c r="M277" s="72"/>
      <c r="N277" s="74"/>
      <c r="O277" s="71"/>
      <c r="P277" s="72"/>
      <c r="Q277" s="72"/>
      <c r="R277" s="72"/>
      <c r="S277" s="74"/>
      <c r="T277" s="75"/>
    </row>
    <row r="278" spans="1:20" x14ac:dyDescent="0.35">
      <c r="A278" s="17"/>
      <c r="B278" s="18"/>
      <c r="C278" s="13"/>
      <c r="D278" s="31"/>
      <c r="E278" s="24"/>
      <c r="F278" s="71"/>
      <c r="G278" s="72"/>
      <c r="H278" s="73"/>
      <c r="I278" s="72"/>
      <c r="J278" s="71"/>
      <c r="K278" s="72"/>
      <c r="L278" s="72"/>
      <c r="M278" s="72"/>
      <c r="N278" s="74"/>
      <c r="O278" s="71"/>
      <c r="P278" s="72"/>
      <c r="Q278" s="72"/>
      <c r="R278" s="72"/>
      <c r="S278" s="74"/>
      <c r="T278" s="75"/>
    </row>
    <row r="279" spans="1:20" x14ac:dyDescent="0.35">
      <c r="A279" s="17"/>
      <c r="B279" s="18"/>
      <c r="C279" s="13"/>
      <c r="D279" s="31"/>
      <c r="E279" s="24"/>
      <c r="F279" s="71"/>
      <c r="G279" s="72"/>
      <c r="H279" s="73"/>
      <c r="I279" s="72"/>
      <c r="J279" s="71"/>
      <c r="K279" s="72"/>
      <c r="L279" s="72"/>
      <c r="M279" s="72"/>
      <c r="N279" s="74"/>
      <c r="O279" s="71"/>
      <c r="P279" s="72"/>
      <c r="Q279" s="72"/>
      <c r="R279" s="72"/>
      <c r="S279" s="74"/>
      <c r="T279" s="75"/>
    </row>
    <row r="280" spans="1:20" x14ac:dyDescent="0.35">
      <c r="A280" s="17"/>
      <c r="B280" s="18"/>
      <c r="C280" s="13"/>
      <c r="D280" s="31"/>
      <c r="E280" s="24"/>
      <c r="F280" s="71"/>
      <c r="G280" s="72"/>
      <c r="H280" s="73"/>
      <c r="I280" s="72"/>
      <c r="J280" s="71"/>
      <c r="K280" s="72"/>
      <c r="L280" s="72"/>
      <c r="M280" s="72"/>
      <c r="N280" s="74"/>
      <c r="O280" s="71"/>
      <c r="P280" s="72"/>
      <c r="Q280" s="72"/>
      <c r="R280" s="72"/>
      <c r="S280" s="74"/>
      <c r="T280" s="75"/>
    </row>
    <row r="281" spans="1:20" x14ac:dyDescent="0.35">
      <c r="A281" s="17"/>
      <c r="B281" s="18"/>
      <c r="C281" s="13"/>
      <c r="D281" s="31"/>
      <c r="E281" s="24"/>
      <c r="F281" s="71"/>
      <c r="G281" s="72"/>
      <c r="H281" s="73"/>
      <c r="I281" s="72"/>
      <c r="J281" s="71"/>
      <c r="K281" s="72"/>
      <c r="L281" s="72"/>
      <c r="M281" s="72"/>
      <c r="N281" s="74"/>
      <c r="O281" s="71"/>
      <c r="P281" s="72"/>
      <c r="Q281" s="72"/>
      <c r="R281" s="72"/>
      <c r="S281" s="74"/>
      <c r="T281" s="75"/>
    </row>
    <row r="282" spans="1:20" x14ac:dyDescent="0.35">
      <c r="A282" s="17"/>
      <c r="B282" s="18"/>
      <c r="C282" s="13"/>
      <c r="D282" s="31"/>
      <c r="E282" s="24"/>
      <c r="F282" s="71"/>
      <c r="G282" s="72"/>
      <c r="H282" s="73"/>
      <c r="I282" s="72"/>
      <c r="J282" s="71"/>
      <c r="K282" s="72"/>
      <c r="L282" s="72"/>
      <c r="M282" s="72"/>
      <c r="N282" s="74"/>
      <c r="O282" s="71"/>
      <c r="P282" s="72"/>
      <c r="Q282" s="72"/>
      <c r="R282" s="72"/>
      <c r="S282" s="74"/>
      <c r="T282" s="75"/>
    </row>
    <row r="283" spans="1:20" x14ac:dyDescent="0.35">
      <c r="A283" s="17"/>
      <c r="B283" s="18"/>
      <c r="C283" s="13"/>
      <c r="D283" s="31"/>
      <c r="E283" s="24"/>
      <c r="F283" s="71"/>
      <c r="G283" s="72"/>
      <c r="H283" s="73"/>
      <c r="I283" s="72"/>
      <c r="J283" s="71"/>
      <c r="K283" s="72"/>
      <c r="L283" s="72"/>
      <c r="M283" s="72"/>
      <c r="N283" s="74"/>
      <c r="O283" s="71"/>
      <c r="P283" s="72"/>
      <c r="Q283" s="72"/>
      <c r="R283" s="72"/>
      <c r="S283" s="74"/>
      <c r="T283" s="75"/>
    </row>
    <row r="284" spans="1:20" x14ac:dyDescent="0.35">
      <c r="A284" s="17"/>
      <c r="B284" s="18"/>
      <c r="C284" s="13"/>
      <c r="D284" s="31"/>
      <c r="E284" s="24"/>
      <c r="F284" s="71"/>
      <c r="G284" s="72"/>
      <c r="H284" s="73"/>
      <c r="I284" s="72"/>
      <c r="J284" s="71"/>
      <c r="K284" s="72"/>
      <c r="L284" s="72"/>
      <c r="M284" s="72"/>
      <c r="N284" s="74"/>
      <c r="O284" s="71"/>
      <c r="P284" s="72"/>
      <c r="Q284" s="72"/>
      <c r="R284" s="72"/>
      <c r="S284" s="74"/>
      <c r="T284" s="75"/>
    </row>
    <row r="285" spans="1:20" x14ac:dyDescent="0.35">
      <c r="A285" s="17"/>
      <c r="B285" s="18"/>
      <c r="C285" s="13"/>
      <c r="D285" s="31"/>
      <c r="E285" s="24"/>
      <c r="F285" s="71"/>
      <c r="G285" s="72"/>
      <c r="H285" s="73"/>
      <c r="I285" s="72"/>
      <c r="J285" s="71"/>
      <c r="K285" s="72"/>
      <c r="L285" s="72"/>
      <c r="M285" s="72"/>
      <c r="N285" s="74"/>
      <c r="O285" s="71"/>
      <c r="P285" s="72"/>
      <c r="Q285" s="72"/>
      <c r="R285" s="72"/>
      <c r="S285" s="74"/>
      <c r="T285" s="75"/>
    </row>
    <row r="286" spans="1:20" x14ac:dyDescent="0.35">
      <c r="A286" s="17"/>
      <c r="B286" s="18"/>
      <c r="C286" s="13"/>
      <c r="D286" s="31"/>
      <c r="E286" s="24"/>
      <c r="F286" s="71"/>
      <c r="G286" s="72"/>
      <c r="H286" s="73"/>
      <c r="I286" s="72"/>
      <c r="J286" s="71"/>
      <c r="K286" s="72"/>
      <c r="L286" s="72"/>
      <c r="M286" s="72"/>
      <c r="N286" s="74"/>
      <c r="O286" s="71"/>
      <c r="P286" s="72"/>
      <c r="Q286" s="72"/>
      <c r="R286" s="72"/>
      <c r="S286" s="74"/>
      <c r="T286" s="75"/>
    </row>
    <row r="287" spans="1:20" x14ac:dyDescent="0.35">
      <c r="A287" s="17"/>
      <c r="B287" s="18"/>
      <c r="C287" s="13"/>
      <c r="D287" s="31"/>
      <c r="E287" s="24"/>
      <c r="F287" s="71"/>
      <c r="G287" s="72"/>
      <c r="H287" s="73"/>
      <c r="I287" s="72"/>
      <c r="J287" s="71"/>
      <c r="K287" s="72"/>
      <c r="L287" s="72"/>
      <c r="M287" s="72"/>
      <c r="N287" s="74"/>
      <c r="O287" s="71"/>
      <c r="P287" s="72"/>
      <c r="Q287" s="72"/>
      <c r="R287" s="72"/>
      <c r="S287" s="74"/>
      <c r="T287" s="75"/>
    </row>
    <row r="288" spans="1:20" x14ac:dyDescent="0.35">
      <c r="A288" s="17"/>
      <c r="B288" s="18"/>
      <c r="C288" s="13"/>
      <c r="D288" s="31"/>
      <c r="E288" s="24"/>
      <c r="F288" s="71"/>
      <c r="G288" s="72"/>
      <c r="H288" s="73"/>
      <c r="I288" s="72"/>
      <c r="J288" s="71"/>
      <c r="K288" s="72"/>
      <c r="L288" s="72"/>
      <c r="M288" s="72"/>
      <c r="N288" s="74"/>
      <c r="O288" s="71"/>
      <c r="P288" s="72"/>
      <c r="Q288" s="72"/>
      <c r="R288" s="72"/>
      <c r="S288" s="74"/>
      <c r="T288" s="75"/>
    </row>
    <row r="289" spans="1:20" x14ac:dyDescent="0.35">
      <c r="A289" s="17"/>
      <c r="B289" s="18"/>
      <c r="C289" s="13"/>
      <c r="D289" s="31"/>
      <c r="E289" s="24"/>
      <c r="F289" s="71"/>
      <c r="G289" s="72"/>
      <c r="H289" s="73"/>
      <c r="I289" s="72"/>
      <c r="J289" s="71"/>
      <c r="K289" s="72"/>
      <c r="L289" s="72"/>
      <c r="M289" s="72"/>
      <c r="N289" s="74"/>
      <c r="O289" s="71"/>
      <c r="P289" s="72"/>
      <c r="Q289" s="72"/>
      <c r="R289" s="72"/>
      <c r="S289" s="74"/>
      <c r="T289" s="75"/>
    </row>
    <row r="290" spans="1:20" x14ac:dyDescent="0.35">
      <c r="A290" s="17"/>
      <c r="B290" s="18"/>
      <c r="C290" s="13"/>
      <c r="D290" s="31"/>
      <c r="E290" s="24"/>
      <c r="F290" s="71"/>
      <c r="G290" s="72"/>
      <c r="H290" s="73"/>
      <c r="I290" s="72"/>
      <c r="J290" s="71"/>
      <c r="K290" s="72"/>
      <c r="L290" s="72"/>
      <c r="M290" s="72"/>
      <c r="N290" s="74"/>
      <c r="O290" s="71"/>
      <c r="P290" s="72"/>
      <c r="Q290" s="72"/>
      <c r="R290" s="72"/>
      <c r="S290" s="74"/>
      <c r="T290" s="75"/>
    </row>
    <row r="291" spans="1:20" x14ac:dyDescent="0.35">
      <c r="A291" s="17"/>
      <c r="B291" s="18"/>
      <c r="C291" s="13"/>
      <c r="D291" s="31"/>
      <c r="E291" s="24"/>
      <c r="F291" s="71"/>
      <c r="G291" s="72"/>
      <c r="H291" s="73"/>
      <c r="I291" s="72"/>
      <c r="J291" s="71"/>
      <c r="K291" s="72"/>
      <c r="L291" s="72"/>
      <c r="M291" s="72"/>
      <c r="N291" s="74"/>
      <c r="O291" s="71"/>
      <c r="P291" s="72"/>
      <c r="Q291" s="72"/>
      <c r="R291" s="72"/>
      <c r="S291" s="74"/>
      <c r="T291" s="75"/>
    </row>
    <row r="292" spans="1:20" x14ac:dyDescent="0.35">
      <c r="A292" s="17"/>
      <c r="B292" s="18"/>
      <c r="C292" s="13"/>
      <c r="D292" s="31"/>
      <c r="E292" s="24"/>
      <c r="F292" s="71"/>
      <c r="G292" s="72"/>
      <c r="H292" s="73"/>
      <c r="I292" s="72"/>
      <c r="J292" s="71"/>
      <c r="K292" s="72"/>
      <c r="L292" s="72"/>
      <c r="M292" s="72"/>
      <c r="N292" s="74"/>
      <c r="O292" s="71"/>
      <c r="P292" s="72"/>
      <c r="Q292" s="72"/>
      <c r="R292" s="72"/>
      <c r="S292" s="74"/>
      <c r="T292" s="75"/>
    </row>
    <row r="293" spans="1:20" x14ac:dyDescent="0.35">
      <c r="A293" s="17"/>
      <c r="B293" s="18"/>
      <c r="C293" s="13"/>
      <c r="D293" s="31"/>
      <c r="E293" s="24"/>
      <c r="F293" s="71"/>
      <c r="G293" s="72"/>
      <c r="H293" s="73"/>
      <c r="I293" s="72"/>
      <c r="J293" s="71"/>
      <c r="K293" s="72"/>
      <c r="L293" s="72"/>
      <c r="M293" s="72"/>
      <c r="N293" s="74"/>
      <c r="O293" s="71"/>
      <c r="P293" s="72"/>
      <c r="Q293" s="72"/>
      <c r="R293" s="72"/>
      <c r="S293" s="74"/>
      <c r="T293" s="75"/>
    </row>
    <row r="294" spans="1:20" x14ac:dyDescent="0.35">
      <c r="A294" s="17"/>
      <c r="B294" s="18"/>
      <c r="C294" s="13"/>
      <c r="D294" s="31"/>
      <c r="E294" s="24"/>
      <c r="F294" s="71"/>
      <c r="G294" s="72"/>
      <c r="H294" s="73"/>
      <c r="I294" s="72"/>
      <c r="J294" s="71"/>
      <c r="K294" s="72"/>
      <c r="L294" s="72"/>
      <c r="M294" s="72"/>
      <c r="N294" s="74"/>
      <c r="O294" s="71"/>
      <c r="P294" s="72"/>
      <c r="Q294" s="72"/>
      <c r="R294" s="72"/>
      <c r="S294" s="74"/>
      <c r="T294" s="75"/>
    </row>
    <row r="295" spans="1:20" x14ac:dyDescent="0.35">
      <c r="A295" s="17"/>
      <c r="B295" s="18"/>
      <c r="C295" s="13"/>
      <c r="D295" s="31"/>
      <c r="E295" s="24"/>
      <c r="F295" s="71"/>
      <c r="G295" s="72"/>
      <c r="H295" s="73"/>
      <c r="I295" s="72"/>
      <c r="J295" s="71"/>
      <c r="K295" s="72"/>
      <c r="L295" s="72"/>
      <c r="M295" s="72"/>
      <c r="N295" s="74"/>
      <c r="O295" s="71"/>
      <c r="P295" s="72"/>
      <c r="Q295" s="72"/>
      <c r="R295" s="72"/>
      <c r="S295" s="74"/>
      <c r="T295" s="75"/>
    </row>
    <row r="296" spans="1:20" x14ac:dyDescent="0.35">
      <c r="A296" s="17"/>
      <c r="B296" s="18"/>
      <c r="C296" s="13"/>
      <c r="D296" s="31"/>
      <c r="E296" s="24"/>
      <c r="F296" s="71"/>
      <c r="G296" s="72"/>
      <c r="H296" s="73"/>
      <c r="I296" s="72"/>
      <c r="J296" s="71"/>
      <c r="K296" s="72"/>
      <c r="L296" s="72"/>
      <c r="M296" s="72"/>
      <c r="N296" s="74"/>
      <c r="O296" s="71"/>
      <c r="P296" s="72"/>
      <c r="Q296" s="72"/>
      <c r="R296" s="72"/>
      <c r="S296" s="74"/>
      <c r="T296" s="75"/>
    </row>
    <row r="297" spans="1:20" x14ac:dyDescent="0.35">
      <c r="A297" s="17"/>
      <c r="B297" s="18"/>
      <c r="C297" s="13"/>
      <c r="D297" s="31"/>
      <c r="E297" s="24"/>
      <c r="F297" s="71"/>
      <c r="G297" s="72"/>
      <c r="H297" s="73"/>
      <c r="I297" s="72"/>
      <c r="J297" s="71"/>
      <c r="K297" s="72"/>
      <c r="L297" s="72"/>
      <c r="M297" s="72"/>
      <c r="N297" s="74"/>
      <c r="O297" s="71"/>
      <c r="P297" s="72"/>
      <c r="Q297" s="72"/>
      <c r="R297" s="72"/>
      <c r="S297" s="74"/>
      <c r="T297" s="75"/>
    </row>
    <row r="298" spans="1:20" x14ac:dyDescent="0.35">
      <c r="A298" s="17"/>
      <c r="B298" s="18"/>
      <c r="C298" s="13"/>
      <c r="D298" s="31"/>
      <c r="E298" s="24"/>
      <c r="F298" s="71"/>
      <c r="G298" s="72"/>
      <c r="H298" s="73"/>
      <c r="I298" s="72"/>
      <c r="J298" s="71"/>
      <c r="K298" s="72"/>
      <c r="L298" s="72"/>
      <c r="M298" s="72"/>
      <c r="N298" s="74"/>
      <c r="O298" s="71"/>
      <c r="P298" s="72"/>
      <c r="Q298" s="72"/>
      <c r="R298" s="72"/>
      <c r="S298" s="74"/>
      <c r="T298" s="75"/>
    </row>
    <row r="299" spans="1:20" x14ac:dyDescent="0.35">
      <c r="A299" s="17"/>
      <c r="B299" s="18"/>
      <c r="C299" s="13"/>
      <c r="D299" s="31"/>
      <c r="E299" s="24"/>
      <c r="F299" s="71"/>
      <c r="G299" s="72"/>
      <c r="H299" s="73"/>
      <c r="I299" s="72"/>
      <c r="J299" s="71"/>
      <c r="K299" s="72"/>
      <c r="L299" s="72"/>
      <c r="M299" s="72"/>
      <c r="N299" s="74"/>
      <c r="O299" s="71"/>
      <c r="P299" s="72"/>
      <c r="Q299" s="72"/>
      <c r="R299" s="72"/>
      <c r="S299" s="74"/>
      <c r="T299" s="75"/>
    </row>
    <row r="300" spans="1:20" x14ac:dyDescent="0.35">
      <c r="A300" s="17"/>
      <c r="B300" s="18"/>
      <c r="C300" s="13"/>
      <c r="D300" s="31"/>
      <c r="E300" s="24"/>
      <c r="F300" s="71"/>
      <c r="G300" s="72"/>
      <c r="H300" s="73"/>
      <c r="I300" s="72"/>
      <c r="J300" s="71"/>
      <c r="K300" s="72"/>
      <c r="L300" s="72"/>
      <c r="M300" s="72"/>
      <c r="N300" s="74"/>
      <c r="O300" s="71"/>
      <c r="P300" s="72"/>
      <c r="Q300" s="72"/>
      <c r="R300" s="72"/>
      <c r="S300" s="74"/>
      <c r="T300" s="75"/>
    </row>
    <row r="301" spans="1:20" x14ac:dyDescent="0.35">
      <c r="A301" s="17"/>
      <c r="B301" s="18"/>
      <c r="C301" s="13"/>
      <c r="D301" s="31"/>
      <c r="E301" s="24"/>
      <c r="F301" s="71"/>
      <c r="G301" s="72"/>
      <c r="H301" s="73"/>
      <c r="I301" s="72"/>
      <c r="J301" s="71"/>
      <c r="K301" s="72"/>
      <c r="L301" s="72"/>
      <c r="M301" s="72"/>
      <c r="N301" s="74"/>
      <c r="O301" s="71"/>
      <c r="P301" s="72"/>
      <c r="Q301" s="72"/>
      <c r="R301" s="72"/>
      <c r="S301" s="74"/>
      <c r="T301" s="75"/>
    </row>
    <row r="302" spans="1:20" x14ac:dyDescent="0.35">
      <c r="A302" s="17"/>
      <c r="B302" s="18"/>
      <c r="C302" s="13"/>
      <c r="D302" s="31"/>
      <c r="E302" s="24"/>
      <c r="F302" s="71"/>
      <c r="G302" s="72"/>
      <c r="H302" s="73"/>
      <c r="I302" s="72"/>
      <c r="J302" s="71"/>
      <c r="K302" s="72"/>
      <c r="L302" s="72"/>
      <c r="M302" s="72"/>
      <c r="N302" s="74"/>
      <c r="O302" s="71"/>
      <c r="P302" s="72"/>
      <c r="Q302" s="72"/>
      <c r="R302" s="72"/>
      <c r="S302" s="74"/>
      <c r="T302" s="75"/>
    </row>
    <row r="303" spans="1:20" x14ac:dyDescent="0.35">
      <c r="A303" s="17"/>
      <c r="B303" s="18"/>
      <c r="C303" s="13"/>
      <c r="D303" s="31"/>
      <c r="E303" s="24"/>
      <c r="F303" s="71"/>
      <c r="G303" s="72"/>
      <c r="H303" s="73"/>
      <c r="I303" s="72"/>
      <c r="J303" s="71"/>
      <c r="K303" s="72"/>
      <c r="L303" s="72"/>
      <c r="M303" s="72"/>
      <c r="N303" s="74"/>
      <c r="O303" s="71"/>
      <c r="P303" s="72"/>
      <c r="Q303" s="72"/>
      <c r="R303" s="72"/>
      <c r="S303" s="74"/>
      <c r="T303" s="75"/>
    </row>
    <row r="304" spans="1:20" x14ac:dyDescent="0.35">
      <c r="A304" s="17"/>
      <c r="B304" s="18"/>
      <c r="C304" s="13"/>
      <c r="D304" s="31"/>
      <c r="E304" s="24"/>
      <c r="F304" s="71"/>
      <c r="G304" s="72"/>
      <c r="H304" s="73"/>
      <c r="I304" s="72"/>
      <c r="J304" s="71"/>
      <c r="K304" s="72"/>
      <c r="L304" s="72"/>
      <c r="M304" s="72"/>
      <c r="N304" s="74"/>
      <c r="O304" s="71"/>
      <c r="P304" s="72"/>
      <c r="Q304" s="72"/>
      <c r="R304" s="72"/>
      <c r="S304" s="74"/>
      <c r="T304" s="75"/>
    </row>
    <row r="305" spans="1:20" x14ac:dyDescent="0.35">
      <c r="A305" s="17"/>
      <c r="B305" s="18"/>
      <c r="C305" s="13"/>
      <c r="D305" s="31"/>
      <c r="E305" s="24"/>
      <c r="F305" s="71"/>
      <c r="G305" s="72"/>
      <c r="H305" s="73"/>
      <c r="I305" s="72"/>
      <c r="J305" s="71"/>
      <c r="K305" s="72"/>
      <c r="L305" s="72"/>
      <c r="M305" s="72"/>
      <c r="N305" s="74"/>
      <c r="O305" s="71"/>
      <c r="P305" s="72"/>
      <c r="Q305" s="72"/>
      <c r="R305" s="72"/>
      <c r="S305" s="74"/>
      <c r="T305" s="75"/>
    </row>
    <row r="306" spans="1:20" x14ac:dyDescent="0.35">
      <c r="A306" s="17"/>
      <c r="B306" s="18"/>
      <c r="C306" s="13"/>
      <c r="D306" s="31"/>
      <c r="E306" s="24"/>
      <c r="F306" s="71"/>
      <c r="G306" s="72"/>
      <c r="H306" s="73"/>
      <c r="I306" s="72"/>
      <c r="J306" s="71"/>
      <c r="K306" s="72"/>
      <c r="L306" s="72"/>
      <c r="M306" s="72"/>
      <c r="N306" s="74"/>
      <c r="O306" s="71"/>
      <c r="P306" s="72"/>
      <c r="Q306" s="72"/>
      <c r="R306" s="72"/>
      <c r="S306" s="74"/>
      <c r="T306" s="75"/>
    </row>
    <row r="307" spans="1:20" x14ac:dyDescent="0.35">
      <c r="A307" s="17"/>
      <c r="B307" s="18"/>
      <c r="C307" s="13"/>
      <c r="D307" s="31"/>
      <c r="E307" s="24"/>
      <c r="F307" s="71"/>
      <c r="G307" s="72"/>
      <c r="H307" s="73"/>
      <c r="I307" s="72"/>
      <c r="J307" s="71"/>
      <c r="K307" s="72"/>
      <c r="L307" s="72"/>
      <c r="M307" s="72"/>
      <c r="N307" s="74"/>
      <c r="O307" s="71"/>
      <c r="P307" s="72"/>
      <c r="Q307" s="72"/>
      <c r="R307" s="72"/>
      <c r="S307" s="74"/>
      <c r="T307" s="75"/>
    </row>
    <row r="308" spans="1:20" x14ac:dyDescent="0.35">
      <c r="A308" s="17"/>
      <c r="B308" s="18"/>
      <c r="C308" s="13"/>
      <c r="D308" s="31"/>
      <c r="E308" s="24"/>
      <c r="F308" s="71"/>
      <c r="G308" s="72"/>
      <c r="H308" s="73"/>
      <c r="I308" s="72"/>
      <c r="J308" s="71"/>
      <c r="K308" s="72"/>
      <c r="L308" s="72"/>
      <c r="M308" s="72"/>
      <c r="N308" s="74"/>
      <c r="O308" s="71"/>
      <c r="P308" s="72"/>
      <c r="Q308" s="72"/>
      <c r="R308" s="72"/>
      <c r="S308" s="74"/>
      <c r="T308" s="75"/>
    </row>
    <row r="309" spans="1:20" x14ac:dyDescent="0.35">
      <c r="A309" s="17"/>
      <c r="B309" s="18"/>
      <c r="C309" s="13"/>
      <c r="D309" s="31"/>
      <c r="E309" s="24"/>
      <c r="F309" s="71"/>
      <c r="G309" s="72"/>
      <c r="H309" s="73"/>
      <c r="I309" s="72"/>
      <c r="J309" s="71"/>
      <c r="K309" s="72"/>
      <c r="L309" s="72"/>
      <c r="M309" s="72"/>
      <c r="N309" s="74"/>
      <c r="O309" s="71"/>
      <c r="P309" s="72"/>
      <c r="Q309" s="72"/>
      <c r="R309" s="72"/>
      <c r="S309" s="74"/>
      <c r="T309" s="75"/>
    </row>
    <row r="310" spans="1:20" x14ac:dyDescent="0.35">
      <c r="A310" s="17"/>
      <c r="B310" s="18"/>
      <c r="C310" s="13"/>
      <c r="D310" s="31"/>
      <c r="E310" s="24"/>
      <c r="F310" s="71"/>
      <c r="G310" s="72"/>
      <c r="H310" s="73"/>
      <c r="I310" s="72"/>
      <c r="J310" s="71"/>
      <c r="K310" s="72"/>
      <c r="L310" s="72"/>
      <c r="M310" s="72"/>
      <c r="N310" s="74"/>
      <c r="O310" s="71"/>
      <c r="P310" s="72"/>
      <c r="Q310" s="72"/>
      <c r="R310" s="72"/>
      <c r="S310" s="74"/>
      <c r="T310" s="75"/>
    </row>
    <row r="311" spans="1:20" x14ac:dyDescent="0.35">
      <c r="A311" s="17"/>
      <c r="B311" s="18"/>
      <c r="C311" s="13"/>
      <c r="D311" s="31"/>
      <c r="E311" s="24"/>
      <c r="F311" s="71"/>
      <c r="G311" s="72"/>
      <c r="H311" s="73"/>
      <c r="I311" s="72"/>
      <c r="J311" s="71"/>
      <c r="K311" s="72"/>
      <c r="L311" s="72"/>
      <c r="M311" s="72"/>
      <c r="N311" s="74"/>
      <c r="O311" s="71"/>
      <c r="P311" s="72"/>
      <c r="Q311" s="72"/>
      <c r="R311" s="72"/>
      <c r="S311" s="74"/>
      <c r="T311" s="75"/>
    </row>
    <row r="312" spans="1:20" x14ac:dyDescent="0.35">
      <c r="A312" s="17"/>
      <c r="B312" s="18"/>
      <c r="C312" s="13"/>
      <c r="D312" s="31"/>
      <c r="E312" s="24"/>
      <c r="F312" s="71"/>
      <c r="G312" s="72"/>
      <c r="H312" s="73"/>
      <c r="I312" s="72"/>
      <c r="J312" s="71"/>
      <c r="K312" s="72"/>
      <c r="L312" s="72"/>
      <c r="M312" s="72"/>
      <c r="N312" s="74"/>
      <c r="O312" s="71"/>
      <c r="P312" s="72"/>
      <c r="Q312" s="72"/>
      <c r="R312" s="72"/>
      <c r="S312" s="74"/>
      <c r="T312" s="75"/>
    </row>
    <row r="313" spans="1:20" x14ac:dyDescent="0.35">
      <c r="A313" s="17"/>
      <c r="B313" s="18"/>
      <c r="C313" s="13"/>
      <c r="D313" s="31"/>
      <c r="E313" s="24"/>
      <c r="F313" s="71"/>
      <c r="G313" s="72"/>
      <c r="H313" s="73"/>
      <c r="I313" s="72"/>
      <c r="J313" s="71"/>
      <c r="K313" s="72"/>
      <c r="L313" s="72"/>
      <c r="M313" s="72"/>
      <c r="N313" s="74"/>
      <c r="O313" s="71"/>
      <c r="P313" s="72"/>
      <c r="Q313" s="72"/>
      <c r="R313" s="72"/>
      <c r="S313" s="74"/>
      <c r="T313" s="75"/>
    </row>
    <row r="314" spans="1:20" x14ac:dyDescent="0.35">
      <c r="A314" s="17"/>
      <c r="B314" s="18"/>
      <c r="C314" s="13"/>
      <c r="D314" s="31"/>
      <c r="E314" s="24"/>
      <c r="F314" s="71"/>
      <c r="G314" s="72"/>
      <c r="H314" s="73"/>
      <c r="I314" s="72"/>
      <c r="J314" s="71"/>
      <c r="K314" s="72"/>
      <c r="L314" s="72"/>
      <c r="M314" s="72"/>
      <c r="N314" s="74"/>
      <c r="O314" s="71"/>
      <c r="P314" s="72"/>
      <c r="Q314" s="72"/>
      <c r="R314" s="72"/>
      <c r="S314" s="74"/>
      <c r="T314" s="75"/>
    </row>
    <row r="315" spans="1:20" x14ac:dyDescent="0.35">
      <c r="A315" s="17"/>
      <c r="B315" s="18"/>
      <c r="C315" s="13"/>
      <c r="D315" s="31"/>
      <c r="E315" s="24"/>
      <c r="F315" s="71"/>
      <c r="G315" s="72"/>
      <c r="H315" s="73"/>
      <c r="I315" s="72"/>
      <c r="J315" s="71"/>
      <c r="K315" s="72"/>
      <c r="L315" s="72"/>
      <c r="M315" s="72"/>
      <c r="N315" s="74"/>
      <c r="O315" s="71"/>
      <c r="P315" s="72"/>
      <c r="Q315" s="72"/>
      <c r="R315" s="72"/>
      <c r="S315" s="74"/>
      <c r="T315" s="75"/>
    </row>
    <row r="316" spans="1:20" x14ac:dyDescent="0.35">
      <c r="A316" s="17"/>
      <c r="B316" s="18"/>
      <c r="C316" s="13"/>
      <c r="D316" s="31"/>
      <c r="E316" s="24"/>
      <c r="F316" s="71"/>
      <c r="G316" s="72"/>
      <c r="H316" s="73"/>
      <c r="I316" s="72"/>
      <c r="J316" s="71"/>
      <c r="K316" s="72"/>
      <c r="L316" s="72"/>
      <c r="M316" s="72"/>
      <c r="N316" s="74"/>
      <c r="O316" s="71"/>
      <c r="P316" s="72"/>
      <c r="Q316" s="72"/>
      <c r="R316" s="72"/>
      <c r="S316" s="74"/>
      <c r="T316" s="75"/>
    </row>
    <row r="317" spans="1:20" x14ac:dyDescent="0.35">
      <c r="A317" s="17"/>
      <c r="B317" s="18"/>
      <c r="C317" s="13"/>
      <c r="D317" s="31"/>
      <c r="E317" s="24"/>
      <c r="F317" s="71"/>
      <c r="G317" s="72"/>
      <c r="H317" s="73"/>
      <c r="I317" s="72"/>
      <c r="J317" s="71"/>
      <c r="K317" s="72"/>
      <c r="L317" s="72"/>
      <c r="M317" s="72"/>
      <c r="N317" s="74"/>
      <c r="O317" s="71"/>
      <c r="P317" s="72"/>
      <c r="Q317" s="72"/>
      <c r="R317" s="72"/>
      <c r="S317" s="74"/>
      <c r="T317" s="75"/>
    </row>
    <row r="318" spans="1:20" x14ac:dyDescent="0.35">
      <c r="A318" s="17"/>
      <c r="B318" s="18"/>
      <c r="C318" s="13"/>
      <c r="D318" s="31"/>
      <c r="E318" s="24"/>
      <c r="F318" s="71"/>
      <c r="G318" s="72"/>
      <c r="H318" s="73"/>
      <c r="I318" s="72"/>
      <c r="J318" s="71"/>
      <c r="K318" s="72"/>
      <c r="L318" s="72"/>
      <c r="M318" s="72"/>
      <c r="N318" s="74"/>
      <c r="O318" s="71"/>
      <c r="P318" s="72"/>
      <c r="Q318" s="72"/>
      <c r="R318" s="72"/>
      <c r="S318" s="74"/>
      <c r="T318" s="75"/>
    </row>
    <row r="319" spans="1:20" x14ac:dyDescent="0.35">
      <c r="A319" s="17"/>
      <c r="B319" s="18"/>
      <c r="C319" s="13"/>
      <c r="D319" s="31"/>
      <c r="E319" s="24"/>
      <c r="F319" s="71"/>
      <c r="G319" s="72"/>
      <c r="H319" s="73"/>
      <c r="I319" s="72"/>
      <c r="J319" s="71"/>
      <c r="K319" s="72"/>
      <c r="L319" s="72"/>
      <c r="M319" s="72"/>
      <c r="N319" s="74"/>
      <c r="O319" s="71"/>
      <c r="P319" s="72"/>
      <c r="Q319" s="72"/>
      <c r="R319" s="72"/>
      <c r="S319" s="74"/>
      <c r="T319" s="75"/>
    </row>
    <row r="320" spans="1:20" x14ac:dyDescent="0.35">
      <c r="A320" s="17"/>
      <c r="B320" s="18"/>
      <c r="C320" s="13"/>
      <c r="D320" s="31"/>
      <c r="E320" s="24"/>
      <c r="F320" s="71"/>
      <c r="G320" s="72"/>
      <c r="H320" s="73"/>
      <c r="I320" s="72"/>
      <c r="J320" s="71"/>
      <c r="K320" s="72"/>
      <c r="L320" s="72"/>
      <c r="M320" s="72"/>
      <c r="N320" s="74"/>
      <c r="O320" s="71"/>
      <c r="P320" s="72"/>
      <c r="Q320" s="72"/>
      <c r="R320" s="72"/>
      <c r="S320" s="74"/>
      <c r="T320" s="75"/>
    </row>
    <row r="321" spans="1:20" x14ac:dyDescent="0.35">
      <c r="A321" s="17"/>
      <c r="B321" s="18"/>
      <c r="C321" s="13"/>
      <c r="D321" s="31"/>
      <c r="E321" s="24"/>
      <c r="F321" s="71"/>
      <c r="G321" s="72"/>
      <c r="H321" s="73"/>
      <c r="I321" s="72"/>
      <c r="J321" s="71"/>
      <c r="K321" s="72"/>
      <c r="L321" s="72"/>
      <c r="M321" s="72"/>
      <c r="N321" s="74"/>
      <c r="O321" s="71"/>
      <c r="P321" s="72"/>
      <c r="Q321" s="72"/>
      <c r="R321" s="72"/>
      <c r="S321" s="74"/>
      <c r="T321" s="75"/>
    </row>
    <row r="322" spans="1:20" x14ac:dyDescent="0.35">
      <c r="A322" s="17"/>
      <c r="B322" s="18"/>
      <c r="C322" s="13"/>
      <c r="D322" s="31"/>
      <c r="E322" s="24"/>
      <c r="F322" s="71"/>
      <c r="G322" s="72"/>
      <c r="H322" s="73"/>
      <c r="I322" s="72"/>
      <c r="J322" s="71"/>
      <c r="K322" s="72"/>
      <c r="L322" s="72"/>
      <c r="M322" s="72"/>
      <c r="N322" s="74"/>
      <c r="O322" s="71"/>
      <c r="P322" s="72"/>
      <c r="Q322" s="72"/>
      <c r="R322" s="72"/>
      <c r="S322" s="74"/>
      <c r="T322" s="75"/>
    </row>
    <row r="323" spans="1:20" x14ac:dyDescent="0.35">
      <c r="A323" s="17"/>
      <c r="B323" s="18"/>
      <c r="C323" s="13"/>
      <c r="D323" s="31"/>
      <c r="E323" s="24"/>
      <c r="F323" s="71"/>
      <c r="G323" s="72"/>
      <c r="H323" s="73"/>
      <c r="I323" s="72"/>
      <c r="J323" s="71"/>
      <c r="K323" s="72"/>
      <c r="L323" s="72"/>
      <c r="M323" s="72"/>
      <c r="N323" s="74"/>
      <c r="O323" s="71"/>
      <c r="P323" s="72"/>
      <c r="Q323" s="72"/>
      <c r="R323" s="72"/>
      <c r="S323" s="74"/>
      <c r="T323" s="75"/>
    </row>
    <row r="324" spans="1:20" x14ac:dyDescent="0.35">
      <c r="A324" s="17"/>
      <c r="B324" s="18"/>
      <c r="C324" s="13"/>
      <c r="D324" s="31"/>
      <c r="E324" s="24"/>
      <c r="F324" s="71"/>
      <c r="G324" s="72"/>
      <c r="H324" s="73"/>
      <c r="I324" s="72"/>
      <c r="J324" s="71"/>
      <c r="K324" s="72"/>
      <c r="L324" s="72"/>
      <c r="M324" s="72"/>
      <c r="N324" s="74"/>
      <c r="O324" s="71"/>
      <c r="P324" s="72"/>
      <c r="Q324" s="72"/>
      <c r="R324" s="72"/>
      <c r="S324" s="74"/>
      <c r="T324" s="75"/>
    </row>
    <row r="325" spans="1:20" x14ac:dyDescent="0.35">
      <c r="A325" s="17"/>
      <c r="B325" s="18"/>
      <c r="C325" s="13"/>
      <c r="D325" s="31"/>
      <c r="E325" s="24"/>
      <c r="F325" s="71"/>
      <c r="G325" s="72"/>
      <c r="H325" s="73"/>
      <c r="I325" s="72"/>
      <c r="J325" s="71"/>
      <c r="K325" s="72"/>
      <c r="L325" s="72"/>
      <c r="M325" s="72"/>
      <c r="N325" s="74"/>
      <c r="O325" s="71"/>
      <c r="P325" s="72"/>
      <c r="Q325" s="72"/>
      <c r="R325" s="72"/>
      <c r="S325" s="74"/>
      <c r="T325" s="75"/>
    </row>
    <row r="326" spans="1:20" x14ac:dyDescent="0.35">
      <c r="A326" s="17"/>
      <c r="B326" s="18"/>
      <c r="C326" s="13"/>
      <c r="D326" s="31"/>
      <c r="E326" s="24"/>
      <c r="F326" s="71"/>
      <c r="G326" s="72"/>
      <c r="H326" s="73"/>
      <c r="I326" s="72"/>
      <c r="J326" s="71"/>
      <c r="K326" s="72"/>
      <c r="L326" s="72"/>
      <c r="M326" s="72"/>
      <c r="N326" s="74"/>
      <c r="O326" s="71"/>
      <c r="P326" s="72"/>
      <c r="Q326" s="72"/>
      <c r="R326" s="72"/>
      <c r="S326" s="74"/>
      <c r="T326" s="75"/>
    </row>
    <row r="327" spans="1:20" x14ac:dyDescent="0.35">
      <c r="A327" s="17"/>
      <c r="B327" s="18"/>
      <c r="C327" s="13"/>
      <c r="D327" s="31"/>
      <c r="E327" s="24"/>
      <c r="F327" s="71"/>
      <c r="G327" s="72"/>
      <c r="H327" s="73"/>
      <c r="I327" s="72"/>
      <c r="J327" s="71"/>
      <c r="K327" s="72"/>
      <c r="L327" s="72"/>
      <c r="M327" s="72"/>
      <c r="N327" s="74"/>
      <c r="O327" s="71"/>
      <c r="P327" s="72"/>
      <c r="Q327" s="72"/>
      <c r="R327" s="72"/>
      <c r="S327" s="74"/>
      <c r="T327" s="75"/>
    </row>
    <row r="328" spans="1:20" x14ac:dyDescent="0.35">
      <c r="A328" s="17"/>
      <c r="B328" s="18"/>
      <c r="C328" s="13"/>
      <c r="D328" s="31"/>
      <c r="E328" s="24"/>
      <c r="F328" s="71"/>
      <c r="G328" s="72"/>
      <c r="H328" s="73"/>
      <c r="I328" s="72"/>
      <c r="J328" s="71"/>
      <c r="K328" s="72"/>
      <c r="L328" s="72"/>
      <c r="M328" s="72"/>
      <c r="N328" s="74"/>
      <c r="O328" s="71"/>
      <c r="P328" s="72"/>
      <c r="Q328" s="72"/>
      <c r="R328" s="72"/>
      <c r="S328" s="74"/>
      <c r="T328" s="75"/>
    </row>
    <row r="329" spans="1:20" x14ac:dyDescent="0.35">
      <c r="A329" s="17"/>
      <c r="B329" s="18"/>
      <c r="C329" s="13"/>
      <c r="D329" s="31"/>
      <c r="E329" s="24"/>
      <c r="F329" s="71"/>
      <c r="G329" s="72"/>
      <c r="H329" s="73"/>
      <c r="I329" s="72"/>
      <c r="J329" s="71"/>
      <c r="K329" s="72"/>
      <c r="L329" s="72"/>
      <c r="M329" s="72"/>
      <c r="N329" s="74"/>
      <c r="O329" s="71"/>
      <c r="P329" s="72"/>
      <c r="Q329" s="72"/>
      <c r="R329" s="72"/>
      <c r="S329" s="74"/>
      <c r="T329" s="75"/>
    </row>
    <row r="330" spans="1:20" x14ac:dyDescent="0.35">
      <c r="A330" s="17"/>
      <c r="B330" s="18"/>
      <c r="C330" s="13"/>
      <c r="D330" s="31"/>
      <c r="E330" s="24"/>
      <c r="F330" s="71"/>
      <c r="G330" s="72"/>
      <c r="H330" s="73"/>
      <c r="I330" s="72"/>
      <c r="J330" s="71"/>
      <c r="K330" s="72"/>
      <c r="L330" s="72"/>
      <c r="M330" s="72"/>
      <c r="N330" s="74"/>
      <c r="O330" s="71"/>
      <c r="P330" s="72"/>
      <c r="Q330" s="72"/>
      <c r="R330" s="72"/>
      <c r="S330" s="74"/>
      <c r="T330" s="75"/>
    </row>
    <row r="331" spans="1:20" x14ac:dyDescent="0.35">
      <c r="A331" s="17"/>
      <c r="B331" s="18"/>
      <c r="C331" s="13"/>
      <c r="D331" s="31"/>
      <c r="E331" s="24"/>
      <c r="F331" s="71"/>
      <c r="G331" s="72"/>
      <c r="H331" s="73"/>
      <c r="I331" s="72"/>
      <c r="J331" s="71"/>
      <c r="K331" s="72"/>
      <c r="L331" s="72"/>
      <c r="M331" s="72"/>
      <c r="N331" s="74"/>
      <c r="O331" s="71"/>
      <c r="P331" s="72"/>
      <c r="Q331" s="72"/>
      <c r="R331" s="72"/>
      <c r="S331" s="74"/>
      <c r="T331" s="75"/>
    </row>
    <row r="332" spans="1:20" x14ac:dyDescent="0.35">
      <c r="A332" s="17"/>
      <c r="B332" s="18"/>
      <c r="C332" s="13"/>
      <c r="D332" s="31"/>
      <c r="E332" s="24"/>
      <c r="F332" s="71"/>
      <c r="G332" s="72"/>
      <c r="H332" s="73"/>
      <c r="I332" s="72"/>
      <c r="J332" s="71"/>
      <c r="K332" s="72"/>
      <c r="L332" s="72"/>
      <c r="M332" s="72"/>
      <c r="N332" s="74"/>
      <c r="O332" s="71"/>
      <c r="P332" s="72"/>
      <c r="Q332" s="72"/>
      <c r="R332" s="72"/>
      <c r="S332" s="74"/>
      <c r="T332" s="75"/>
    </row>
    <row r="333" spans="1:20" x14ac:dyDescent="0.35">
      <c r="A333" s="17"/>
      <c r="B333" s="18"/>
      <c r="C333" s="13"/>
      <c r="D333" s="31"/>
      <c r="E333" s="24"/>
      <c r="F333" s="71"/>
      <c r="G333" s="72"/>
      <c r="H333" s="73"/>
      <c r="I333" s="72"/>
      <c r="J333" s="71"/>
      <c r="K333" s="72"/>
      <c r="L333" s="72"/>
      <c r="M333" s="72"/>
      <c r="N333" s="74"/>
      <c r="O333" s="71"/>
      <c r="P333" s="72"/>
      <c r="Q333" s="72"/>
      <c r="R333" s="72"/>
      <c r="S333" s="74"/>
      <c r="T333" s="75"/>
    </row>
    <row r="334" spans="1:20" x14ac:dyDescent="0.35">
      <c r="A334" s="17"/>
      <c r="B334" s="18"/>
      <c r="C334" s="13"/>
      <c r="D334" s="31"/>
      <c r="E334" s="24"/>
      <c r="F334" s="71"/>
      <c r="G334" s="72"/>
      <c r="H334" s="73"/>
      <c r="I334" s="72"/>
      <c r="J334" s="71"/>
      <c r="K334" s="72"/>
      <c r="L334" s="72"/>
      <c r="M334" s="72"/>
      <c r="N334" s="74"/>
      <c r="O334" s="71"/>
      <c r="P334" s="72"/>
      <c r="Q334" s="72"/>
      <c r="R334" s="72"/>
      <c r="S334" s="74"/>
      <c r="T334" s="75"/>
    </row>
    <row r="335" spans="1:20" x14ac:dyDescent="0.35">
      <c r="A335" s="17"/>
      <c r="B335" s="18"/>
      <c r="C335" s="13"/>
      <c r="D335" s="31"/>
      <c r="E335" s="24"/>
      <c r="F335" s="71"/>
      <c r="G335" s="72"/>
      <c r="H335" s="73"/>
      <c r="I335" s="72"/>
      <c r="J335" s="71"/>
      <c r="K335" s="72"/>
      <c r="L335" s="72"/>
      <c r="M335" s="72"/>
      <c r="N335" s="74"/>
      <c r="O335" s="71"/>
      <c r="P335" s="72"/>
      <c r="Q335" s="72"/>
      <c r="R335" s="72"/>
      <c r="S335" s="74"/>
      <c r="T335" s="75"/>
    </row>
    <row r="336" spans="1:20" x14ac:dyDescent="0.35">
      <c r="A336" s="17"/>
      <c r="B336" s="18"/>
      <c r="C336" s="13"/>
      <c r="D336" s="31"/>
      <c r="E336" s="24"/>
      <c r="F336" s="71"/>
      <c r="G336" s="72"/>
      <c r="H336" s="73"/>
      <c r="I336" s="72"/>
      <c r="J336" s="71"/>
      <c r="K336" s="72"/>
      <c r="L336" s="72"/>
      <c r="M336" s="72"/>
      <c r="N336" s="74"/>
      <c r="O336" s="71"/>
      <c r="P336" s="72"/>
      <c r="Q336" s="72"/>
      <c r="R336" s="72"/>
      <c r="S336" s="74"/>
      <c r="T336" s="75"/>
    </row>
    <row r="337" spans="1:20" x14ac:dyDescent="0.35">
      <c r="A337" s="17"/>
      <c r="B337" s="18"/>
      <c r="C337" s="13"/>
      <c r="D337" s="31"/>
      <c r="E337" s="24"/>
      <c r="F337" s="71"/>
      <c r="G337" s="72"/>
      <c r="H337" s="73"/>
      <c r="I337" s="72"/>
      <c r="J337" s="71"/>
      <c r="K337" s="72"/>
      <c r="L337" s="72"/>
      <c r="M337" s="72"/>
      <c r="N337" s="74"/>
      <c r="O337" s="71"/>
      <c r="P337" s="72"/>
      <c r="Q337" s="72"/>
      <c r="R337" s="72"/>
      <c r="S337" s="74"/>
      <c r="T337" s="75"/>
    </row>
    <row r="338" spans="1:20" x14ac:dyDescent="0.35">
      <c r="A338" s="17"/>
      <c r="B338" s="18"/>
      <c r="C338" s="13"/>
      <c r="D338" s="31"/>
      <c r="E338" s="24"/>
      <c r="F338" s="71"/>
      <c r="G338" s="72"/>
      <c r="H338" s="73"/>
      <c r="I338" s="72"/>
      <c r="J338" s="71"/>
      <c r="K338" s="72"/>
      <c r="L338" s="72"/>
      <c r="M338" s="72"/>
      <c r="N338" s="74"/>
      <c r="O338" s="71"/>
      <c r="P338" s="72"/>
      <c r="Q338" s="72"/>
      <c r="R338" s="72"/>
      <c r="S338" s="74"/>
      <c r="T338" s="75"/>
    </row>
    <row r="339" spans="1:20" x14ac:dyDescent="0.35">
      <c r="A339" s="17"/>
      <c r="B339" s="18"/>
      <c r="C339" s="13"/>
      <c r="D339" s="31"/>
      <c r="E339" s="24"/>
      <c r="F339" s="71"/>
      <c r="G339" s="72"/>
      <c r="H339" s="73"/>
      <c r="I339" s="72"/>
      <c r="J339" s="71"/>
      <c r="K339" s="72"/>
      <c r="L339" s="72"/>
      <c r="M339" s="72"/>
      <c r="N339" s="74"/>
      <c r="O339" s="71"/>
      <c r="P339" s="72"/>
      <c r="Q339" s="72"/>
      <c r="R339" s="72"/>
      <c r="S339" s="74"/>
      <c r="T339" s="75"/>
    </row>
    <row r="340" spans="1:20" x14ac:dyDescent="0.35">
      <c r="A340" s="17"/>
      <c r="B340" s="18"/>
      <c r="C340" s="13"/>
      <c r="D340" s="31"/>
      <c r="E340" s="24"/>
      <c r="F340" s="71"/>
      <c r="G340" s="72"/>
      <c r="H340" s="73"/>
      <c r="I340" s="72"/>
      <c r="J340" s="71"/>
      <c r="K340" s="72"/>
      <c r="L340" s="72"/>
      <c r="M340" s="72"/>
      <c r="N340" s="74"/>
      <c r="O340" s="71"/>
      <c r="P340" s="72"/>
      <c r="Q340" s="72"/>
      <c r="R340" s="72"/>
      <c r="S340" s="74"/>
      <c r="T340" s="75"/>
    </row>
    <row r="341" spans="1:20" x14ac:dyDescent="0.35">
      <c r="A341" s="17"/>
      <c r="B341" s="18"/>
      <c r="C341" s="13"/>
      <c r="D341" s="31"/>
      <c r="E341" s="24"/>
      <c r="F341" s="71"/>
      <c r="G341" s="72"/>
      <c r="H341" s="73"/>
      <c r="I341" s="72"/>
      <c r="J341" s="71"/>
      <c r="K341" s="72"/>
      <c r="L341" s="72"/>
      <c r="M341" s="72"/>
      <c r="N341" s="74"/>
      <c r="O341" s="71"/>
      <c r="P341" s="72"/>
      <c r="Q341" s="72"/>
      <c r="R341" s="72"/>
      <c r="S341" s="74"/>
      <c r="T341" s="75"/>
    </row>
    <row r="342" spans="1:20" x14ac:dyDescent="0.35">
      <c r="A342" s="17"/>
      <c r="B342" s="18"/>
      <c r="C342" s="13"/>
      <c r="D342" s="31"/>
      <c r="E342" s="24"/>
      <c r="F342" s="71"/>
      <c r="G342" s="72"/>
      <c r="H342" s="73"/>
      <c r="I342" s="72"/>
      <c r="J342" s="71"/>
      <c r="K342" s="72"/>
      <c r="L342" s="72"/>
      <c r="M342" s="72"/>
      <c r="N342" s="74"/>
      <c r="O342" s="71"/>
      <c r="P342" s="72"/>
      <c r="Q342" s="72"/>
      <c r="R342" s="72"/>
      <c r="S342" s="74"/>
      <c r="T342" s="75"/>
    </row>
    <row r="343" spans="1:20" x14ac:dyDescent="0.35">
      <c r="A343" s="17"/>
      <c r="B343" s="18"/>
      <c r="C343" s="13"/>
      <c r="D343" s="31"/>
      <c r="E343" s="24"/>
      <c r="F343" s="71"/>
      <c r="G343" s="72"/>
      <c r="H343" s="73"/>
      <c r="I343" s="72"/>
      <c r="J343" s="71"/>
      <c r="K343" s="72"/>
      <c r="L343" s="72"/>
      <c r="M343" s="72"/>
      <c r="N343" s="74"/>
      <c r="O343" s="71"/>
      <c r="P343" s="72"/>
      <c r="Q343" s="72"/>
      <c r="R343" s="72"/>
      <c r="S343" s="74"/>
      <c r="T343" s="75"/>
    </row>
    <row r="344" spans="1:20" x14ac:dyDescent="0.35">
      <c r="A344" s="17"/>
      <c r="B344" s="18"/>
      <c r="C344" s="13"/>
      <c r="D344" s="31"/>
      <c r="E344" s="24"/>
      <c r="F344" s="71"/>
      <c r="G344" s="72"/>
      <c r="H344" s="73"/>
      <c r="I344" s="72"/>
      <c r="J344" s="71"/>
      <c r="K344" s="72"/>
      <c r="L344" s="72"/>
      <c r="M344" s="72"/>
      <c r="N344" s="74"/>
      <c r="O344" s="71"/>
      <c r="P344" s="72"/>
      <c r="Q344" s="72"/>
      <c r="R344" s="72"/>
      <c r="S344" s="74"/>
      <c r="T344" s="75"/>
    </row>
    <row r="345" spans="1:20" x14ac:dyDescent="0.35">
      <c r="A345" s="17"/>
      <c r="B345" s="18"/>
      <c r="C345" s="13"/>
      <c r="D345" s="31"/>
      <c r="E345" s="24"/>
      <c r="F345" s="71"/>
      <c r="G345" s="72"/>
      <c r="H345" s="73"/>
      <c r="I345" s="72"/>
      <c r="J345" s="71"/>
      <c r="K345" s="72"/>
      <c r="L345" s="72"/>
      <c r="M345" s="72"/>
      <c r="N345" s="74"/>
      <c r="O345" s="71"/>
      <c r="P345" s="72"/>
      <c r="Q345" s="72"/>
      <c r="R345" s="72"/>
      <c r="S345" s="74"/>
      <c r="T345" s="75"/>
    </row>
    <row r="346" spans="1:20" x14ac:dyDescent="0.35">
      <c r="A346" s="17"/>
      <c r="B346" s="18"/>
      <c r="C346" s="13"/>
      <c r="D346" s="31"/>
      <c r="E346" s="24"/>
      <c r="F346" s="71"/>
      <c r="G346" s="72"/>
      <c r="H346" s="73"/>
      <c r="I346" s="72"/>
      <c r="J346" s="71"/>
      <c r="K346" s="72"/>
      <c r="L346" s="72"/>
      <c r="M346" s="72"/>
      <c r="N346" s="74"/>
      <c r="O346" s="71"/>
      <c r="P346" s="72"/>
      <c r="Q346" s="72"/>
      <c r="R346" s="72"/>
      <c r="S346" s="74"/>
      <c r="T346" s="75"/>
    </row>
    <row r="347" spans="1:20" x14ac:dyDescent="0.35">
      <c r="A347" s="17"/>
      <c r="B347" s="18"/>
      <c r="C347" s="13"/>
      <c r="D347" s="31"/>
      <c r="E347" s="24"/>
      <c r="F347" s="71"/>
      <c r="G347" s="72"/>
      <c r="H347" s="73"/>
      <c r="I347" s="72"/>
      <c r="J347" s="71"/>
      <c r="K347" s="72"/>
      <c r="L347" s="72"/>
      <c r="M347" s="72"/>
      <c r="N347" s="74"/>
      <c r="O347" s="71"/>
      <c r="P347" s="72"/>
      <c r="Q347" s="72"/>
      <c r="R347" s="72"/>
      <c r="S347" s="74"/>
      <c r="T347" s="75"/>
    </row>
    <row r="348" spans="1:20" x14ac:dyDescent="0.35">
      <c r="A348" s="17"/>
      <c r="B348" s="18"/>
      <c r="C348" s="13"/>
      <c r="D348" s="31"/>
      <c r="E348" s="24"/>
      <c r="F348" s="71"/>
      <c r="G348" s="72"/>
      <c r="H348" s="73"/>
      <c r="I348" s="72"/>
      <c r="J348" s="71"/>
      <c r="K348" s="72"/>
      <c r="L348" s="72"/>
      <c r="M348" s="72"/>
      <c r="N348" s="74"/>
      <c r="O348" s="71"/>
      <c r="P348" s="72"/>
      <c r="Q348" s="72"/>
      <c r="R348" s="72"/>
      <c r="S348" s="74"/>
      <c r="T348" s="75"/>
    </row>
    <row r="349" spans="1:20" x14ac:dyDescent="0.35">
      <c r="A349" s="17"/>
      <c r="B349" s="18"/>
      <c r="C349" s="13"/>
      <c r="D349" s="31"/>
      <c r="E349" s="24"/>
      <c r="F349" s="71"/>
      <c r="G349" s="72"/>
      <c r="H349" s="73"/>
      <c r="I349" s="72"/>
      <c r="J349" s="71"/>
      <c r="K349" s="72"/>
      <c r="L349" s="72"/>
      <c r="M349" s="72"/>
      <c r="N349" s="74"/>
      <c r="O349" s="71"/>
      <c r="P349" s="72"/>
      <c r="Q349" s="72"/>
      <c r="R349" s="72"/>
      <c r="S349" s="74"/>
      <c r="T349" s="75"/>
    </row>
    <row r="350" spans="1:20" x14ac:dyDescent="0.35">
      <c r="A350" s="17"/>
      <c r="B350" s="18"/>
      <c r="C350" s="13"/>
      <c r="D350" s="31"/>
      <c r="E350" s="24"/>
      <c r="F350" s="71"/>
      <c r="G350" s="72"/>
      <c r="H350" s="73"/>
      <c r="I350" s="72"/>
      <c r="J350" s="71"/>
      <c r="K350" s="72"/>
      <c r="L350" s="72"/>
      <c r="M350" s="72"/>
      <c r="N350" s="74"/>
      <c r="O350" s="71"/>
      <c r="P350" s="72"/>
      <c r="Q350" s="72"/>
      <c r="R350" s="72"/>
      <c r="S350" s="74"/>
      <c r="T350" s="75"/>
    </row>
    <row r="351" spans="1:20" x14ac:dyDescent="0.35">
      <c r="A351" s="17"/>
      <c r="B351" s="18"/>
      <c r="C351" s="13"/>
      <c r="D351" s="31"/>
      <c r="E351" s="24"/>
      <c r="F351" s="71"/>
      <c r="G351" s="72"/>
      <c r="H351" s="73"/>
      <c r="I351" s="72"/>
      <c r="J351" s="71"/>
      <c r="K351" s="72"/>
      <c r="L351" s="72"/>
      <c r="M351" s="72"/>
      <c r="N351" s="74"/>
      <c r="O351" s="71"/>
      <c r="P351" s="72"/>
      <c r="Q351" s="72"/>
      <c r="R351" s="72"/>
      <c r="S351" s="74"/>
      <c r="T351" s="75"/>
    </row>
    <row r="352" spans="1:20" x14ac:dyDescent="0.35">
      <c r="A352" s="17"/>
      <c r="B352" s="18"/>
      <c r="C352" s="13"/>
      <c r="D352" s="31"/>
      <c r="E352" s="24"/>
      <c r="F352" s="71"/>
      <c r="G352" s="72"/>
      <c r="H352" s="73"/>
      <c r="I352" s="72"/>
      <c r="J352" s="71"/>
      <c r="K352" s="72"/>
      <c r="L352" s="72"/>
      <c r="M352" s="72"/>
      <c r="N352" s="74"/>
      <c r="O352" s="71"/>
      <c r="P352" s="72"/>
      <c r="Q352" s="72"/>
      <c r="R352" s="72"/>
      <c r="S352" s="74"/>
      <c r="T352" s="75"/>
    </row>
    <row r="353" spans="1:20" x14ac:dyDescent="0.35">
      <c r="A353" s="17"/>
      <c r="B353" s="18"/>
      <c r="C353" s="13"/>
      <c r="D353" s="31"/>
      <c r="E353" s="24"/>
      <c r="F353" s="71"/>
      <c r="G353" s="72"/>
      <c r="H353" s="73"/>
      <c r="I353" s="72"/>
      <c r="J353" s="71"/>
      <c r="K353" s="72"/>
      <c r="L353" s="72"/>
      <c r="M353" s="72"/>
      <c r="N353" s="74"/>
      <c r="O353" s="71"/>
      <c r="P353" s="72"/>
      <c r="Q353" s="72"/>
      <c r="R353" s="72"/>
      <c r="S353" s="74"/>
      <c r="T353" s="75"/>
    </row>
    <row r="354" spans="1:20" x14ac:dyDescent="0.35">
      <c r="A354" s="17"/>
      <c r="B354" s="18"/>
      <c r="C354" s="13"/>
      <c r="D354" s="31"/>
      <c r="E354" s="24"/>
      <c r="F354" s="71"/>
      <c r="G354" s="72"/>
      <c r="H354" s="73"/>
      <c r="I354" s="72"/>
      <c r="J354" s="71"/>
      <c r="K354" s="72"/>
      <c r="L354" s="72"/>
      <c r="M354" s="72"/>
      <c r="N354" s="74"/>
      <c r="O354" s="71"/>
      <c r="P354" s="72"/>
      <c r="Q354" s="72"/>
      <c r="R354" s="72"/>
      <c r="S354" s="74"/>
      <c r="T354" s="75"/>
    </row>
    <row r="355" spans="1:20" x14ac:dyDescent="0.35">
      <c r="A355" s="17"/>
      <c r="B355" s="18"/>
      <c r="C355" s="13"/>
      <c r="D355" s="31"/>
      <c r="E355" s="24"/>
      <c r="F355" s="71"/>
      <c r="G355" s="72"/>
      <c r="H355" s="73"/>
      <c r="I355" s="72"/>
      <c r="J355" s="71"/>
      <c r="K355" s="72"/>
      <c r="L355" s="72"/>
      <c r="M355" s="72"/>
      <c r="N355" s="74"/>
      <c r="O355" s="71"/>
      <c r="P355" s="72"/>
      <c r="Q355" s="72"/>
      <c r="R355" s="72"/>
      <c r="S355" s="74"/>
      <c r="T355" s="75"/>
    </row>
    <row r="356" spans="1:20" x14ac:dyDescent="0.35">
      <c r="A356" s="17"/>
      <c r="B356" s="18"/>
      <c r="C356" s="13"/>
      <c r="D356" s="31"/>
      <c r="E356" s="24"/>
      <c r="F356" s="71"/>
      <c r="G356" s="72"/>
      <c r="H356" s="73"/>
      <c r="I356" s="72"/>
      <c r="J356" s="71"/>
      <c r="K356" s="72"/>
      <c r="L356" s="72"/>
      <c r="M356" s="72"/>
      <c r="N356" s="74"/>
      <c r="O356" s="71"/>
      <c r="P356" s="72"/>
      <c r="Q356" s="72"/>
      <c r="R356" s="72"/>
      <c r="S356" s="74"/>
      <c r="T356" s="75"/>
    </row>
    <row r="357" spans="1:20" x14ac:dyDescent="0.35">
      <c r="A357" s="17"/>
      <c r="B357" s="18"/>
      <c r="C357" s="13"/>
      <c r="D357" s="31"/>
      <c r="E357" s="24"/>
      <c r="F357" s="71"/>
      <c r="G357" s="72"/>
      <c r="H357" s="73"/>
      <c r="I357" s="72"/>
      <c r="J357" s="71"/>
      <c r="K357" s="72"/>
      <c r="L357" s="72"/>
      <c r="M357" s="72"/>
      <c r="N357" s="74"/>
      <c r="O357" s="71"/>
      <c r="P357" s="72"/>
      <c r="Q357" s="72"/>
      <c r="R357" s="72"/>
      <c r="S357" s="74"/>
      <c r="T357" s="75"/>
    </row>
    <row r="358" spans="1:20" x14ac:dyDescent="0.35">
      <c r="A358" s="17"/>
      <c r="B358" s="18"/>
      <c r="C358" s="13"/>
      <c r="D358" s="31"/>
      <c r="E358" s="24"/>
      <c r="F358" s="71"/>
      <c r="G358" s="72"/>
      <c r="H358" s="73"/>
      <c r="I358" s="72"/>
      <c r="J358" s="71"/>
      <c r="K358" s="72"/>
      <c r="L358" s="72"/>
      <c r="M358" s="72"/>
      <c r="N358" s="74"/>
      <c r="O358" s="71"/>
      <c r="P358" s="72"/>
      <c r="Q358" s="72"/>
      <c r="R358" s="72"/>
      <c r="S358" s="74"/>
      <c r="T358" s="75"/>
    </row>
    <row r="359" spans="1:20" x14ac:dyDescent="0.35">
      <c r="A359" s="17"/>
      <c r="B359" s="18"/>
      <c r="C359" s="13"/>
      <c r="D359" s="31"/>
      <c r="E359" s="24"/>
      <c r="F359" s="71"/>
      <c r="G359" s="72"/>
      <c r="H359" s="73"/>
      <c r="I359" s="72"/>
      <c r="J359" s="71"/>
      <c r="K359" s="72"/>
      <c r="L359" s="72"/>
      <c r="M359" s="72"/>
      <c r="N359" s="74"/>
      <c r="O359" s="71"/>
      <c r="P359" s="72"/>
      <c r="Q359" s="72"/>
      <c r="R359" s="72"/>
      <c r="S359" s="74"/>
      <c r="T359" s="75"/>
    </row>
    <row r="360" spans="1:20" x14ac:dyDescent="0.35">
      <c r="A360" s="17"/>
      <c r="B360" s="18"/>
      <c r="C360" s="13"/>
      <c r="D360" s="31"/>
      <c r="E360" s="24"/>
      <c r="F360" s="71"/>
      <c r="G360" s="72"/>
      <c r="H360" s="73"/>
      <c r="I360" s="72"/>
      <c r="J360" s="71"/>
      <c r="K360" s="72"/>
      <c r="L360" s="72"/>
      <c r="M360" s="72"/>
      <c r="N360" s="74"/>
      <c r="O360" s="71"/>
      <c r="P360" s="72"/>
      <c r="Q360" s="72"/>
      <c r="R360" s="72"/>
      <c r="S360" s="74"/>
      <c r="T360" s="75"/>
    </row>
    <row r="361" spans="1:20" x14ac:dyDescent="0.35">
      <c r="A361" s="17"/>
      <c r="B361" s="18"/>
      <c r="C361" s="13"/>
      <c r="D361" s="31"/>
      <c r="E361" s="24"/>
      <c r="F361" s="71"/>
      <c r="G361" s="72"/>
      <c r="H361" s="73"/>
      <c r="I361" s="72"/>
      <c r="J361" s="71"/>
      <c r="K361" s="72"/>
      <c r="L361" s="72"/>
      <c r="M361" s="72"/>
      <c r="N361" s="74"/>
      <c r="O361" s="71"/>
      <c r="P361" s="72"/>
      <c r="Q361" s="72"/>
      <c r="R361" s="72"/>
      <c r="S361" s="74"/>
      <c r="T361" s="75"/>
    </row>
    <row r="362" spans="1:20" x14ac:dyDescent="0.35">
      <c r="A362" s="17"/>
      <c r="B362" s="18"/>
      <c r="C362" s="13"/>
      <c r="D362" s="31"/>
      <c r="E362" s="24"/>
      <c r="F362" s="71"/>
      <c r="G362" s="72"/>
      <c r="H362" s="73"/>
      <c r="I362" s="72"/>
      <c r="J362" s="71"/>
      <c r="K362" s="72"/>
      <c r="L362" s="72"/>
      <c r="M362" s="72"/>
      <c r="N362" s="74"/>
      <c r="O362" s="71"/>
      <c r="P362" s="72"/>
      <c r="Q362" s="72"/>
      <c r="R362" s="72"/>
      <c r="S362" s="74"/>
      <c r="T362" s="75"/>
    </row>
    <row r="363" spans="1:20" x14ac:dyDescent="0.35">
      <c r="A363" s="17"/>
      <c r="B363" s="18"/>
      <c r="C363" s="13"/>
      <c r="D363" s="31"/>
      <c r="E363" s="24"/>
      <c r="F363" s="71"/>
      <c r="G363" s="72"/>
      <c r="H363" s="73"/>
      <c r="I363" s="72"/>
      <c r="J363" s="71"/>
      <c r="K363" s="72"/>
      <c r="L363" s="72"/>
      <c r="M363" s="72"/>
      <c r="N363" s="74"/>
      <c r="O363" s="71"/>
      <c r="P363" s="72"/>
      <c r="Q363" s="72"/>
      <c r="R363" s="72"/>
      <c r="S363" s="74"/>
      <c r="T363" s="75"/>
    </row>
    <row r="364" spans="1:20" x14ac:dyDescent="0.35">
      <c r="A364" s="17"/>
      <c r="B364" s="18"/>
      <c r="C364" s="13"/>
      <c r="D364" s="31"/>
      <c r="E364" s="24"/>
      <c r="F364" s="71"/>
      <c r="G364" s="72"/>
      <c r="H364" s="73"/>
      <c r="I364" s="72"/>
      <c r="J364" s="71"/>
      <c r="K364" s="72"/>
      <c r="L364" s="72"/>
      <c r="M364" s="72"/>
      <c r="N364" s="74"/>
      <c r="O364" s="71"/>
      <c r="P364" s="72"/>
      <c r="Q364" s="72"/>
      <c r="R364" s="72"/>
      <c r="S364" s="74"/>
      <c r="T364" s="75"/>
    </row>
    <row r="365" spans="1:20" x14ac:dyDescent="0.35">
      <c r="A365" s="17"/>
      <c r="B365" s="18"/>
      <c r="C365" s="13"/>
      <c r="D365" s="31"/>
      <c r="E365" s="24"/>
      <c r="F365" s="71"/>
      <c r="G365" s="72"/>
      <c r="H365" s="73"/>
      <c r="I365" s="72"/>
      <c r="J365" s="71"/>
      <c r="K365" s="72"/>
      <c r="L365" s="72"/>
      <c r="M365" s="72"/>
      <c r="N365" s="74"/>
      <c r="O365" s="71"/>
      <c r="P365" s="72"/>
      <c r="Q365" s="72"/>
      <c r="R365" s="72"/>
      <c r="S365" s="74"/>
      <c r="T365" s="75"/>
    </row>
    <row r="366" spans="1:20" x14ac:dyDescent="0.35">
      <c r="A366" s="17"/>
      <c r="B366" s="18"/>
      <c r="C366" s="13"/>
      <c r="D366" s="31"/>
      <c r="E366" s="24"/>
      <c r="F366" s="71"/>
      <c r="G366" s="72"/>
      <c r="H366" s="73"/>
      <c r="I366" s="72"/>
      <c r="J366" s="71"/>
      <c r="K366" s="72"/>
      <c r="L366" s="72"/>
      <c r="M366" s="72"/>
      <c r="N366" s="74"/>
      <c r="O366" s="71"/>
      <c r="P366" s="72"/>
      <c r="Q366" s="72"/>
      <c r="R366" s="72"/>
      <c r="S366" s="74"/>
      <c r="T366" s="75"/>
    </row>
    <row r="367" spans="1:20" x14ac:dyDescent="0.35">
      <c r="A367" s="17"/>
      <c r="B367" s="18"/>
      <c r="C367" s="13"/>
      <c r="D367" s="31"/>
      <c r="E367" s="24"/>
      <c r="F367" s="71"/>
      <c r="G367" s="72"/>
      <c r="H367" s="73"/>
      <c r="I367" s="72"/>
      <c r="J367" s="71"/>
      <c r="K367" s="72"/>
      <c r="L367" s="72"/>
      <c r="M367" s="72"/>
      <c r="N367" s="74"/>
      <c r="O367" s="71"/>
      <c r="P367" s="72"/>
      <c r="Q367" s="72"/>
      <c r="R367" s="72"/>
      <c r="S367" s="74"/>
      <c r="T367" s="75"/>
    </row>
    <row r="368" spans="1:20" x14ac:dyDescent="0.35">
      <c r="A368" s="17"/>
      <c r="B368" s="18"/>
      <c r="C368" s="13"/>
      <c r="D368" s="31"/>
      <c r="E368" s="24"/>
      <c r="F368" s="71"/>
      <c r="G368" s="72"/>
      <c r="H368" s="73"/>
      <c r="I368" s="72"/>
      <c r="J368" s="71"/>
      <c r="K368" s="72"/>
      <c r="L368" s="72"/>
      <c r="M368" s="72"/>
      <c r="N368" s="74"/>
      <c r="O368" s="71"/>
      <c r="P368" s="72"/>
      <c r="Q368" s="72"/>
      <c r="R368" s="72"/>
      <c r="S368" s="74"/>
      <c r="T368" s="75"/>
    </row>
    <row r="369" spans="1:20" x14ac:dyDescent="0.35">
      <c r="A369" s="17"/>
      <c r="B369" s="18"/>
      <c r="C369" s="13"/>
      <c r="D369" s="31"/>
      <c r="E369" s="24"/>
      <c r="F369" s="71"/>
      <c r="G369" s="72"/>
      <c r="H369" s="73"/>
      <c r="I369" s="72"/>
      <c r="J369" s="71"/>
      <c r="K369" s="72"/>
      <c r="L369" s="72"/>
      <c r="M369" s="72"/>
      <c r="N369" s="74"/>
      <c r="O369" s="71"/>
      <c r="P369" s="72"/>
      <c r="Q369" s="72"/>
      <c r="R369" s="72"/>
      <c r="S369" s="74"/>
      <c r="T369" s="75"/>
    </row>
    <row r="370" spans="1:20" x14ac:dyDescent="0.35">
      <c r="A370" s="17"/>
      <c r="B370" s="18"/>
      <c r="C370" s="13"/>
      <c r="D370" s="31"/>
      <c r="E370" s="24"/>
      <c r="F370" s="71"/>
      <c r="G370" s="72"/>
      <c r="H370" s="73"/>
      <c r="I370" s="72"/>
      <c r="J370" s="71"/>
      <c r="K370" s="72"/>
      <c r="L370" s="72"/>
      <c r="M370" s="72"/>
      <c r="N370" s="74"/>
      <c r="O370" s="71"/>
      <c r="P370" s="72"/>
      <c r="Q370" s="72"/>
      <c r="R370" s="72"/>
      <c r="S370" s="74"/>
      <c r="T370" s="75"/>
    </row>
    <row r="371" spans="1:20" x14ac:dyDescent="0.35">
      <c r="A371" s="17"/>
      <c r="B371" s="18"/>
      <c r="C371" s="13"/>
      <c r="D371" s="31"/>
      <c r="E371" s="24"/>
      <c r="F371" s="71"/>
      <c r="G371" s="72"/>
      <c r="H371" s="73"/>
      <c r="I371" s="72"/>
      <c r="J371" s="71"/>
      <c r="K371" s="72"/>
      <c r="L371" s="72"/>
      <c r="M371" s="72"/>
      <c r="N371" s="74"/>
      <c r="O371" s="71"/>
      <c r="P371" s="72"/>
      <c r="Q371" s="72"/>
      <c r="R371" s="72"/>
      <c r="S371" s="74"/>
      <c r="T371" s="75"/>
    </row>
    <row r="372" spans="1:20" x14ac:dyDescent="0.35">
      <c r="A372" s="17"/>
      <c r="B372" s="18"/>
      <c r="C372" s="13"/>
      <c r="D372" s="31"/>
      <c r="E372" s="24"/>
      <c r="F372" s="71"/>
      <c r="G372" s="72"/>
      <c r="H372" s="73"/>
      <c r="I372" s="72"/>
      <c r="J372" s="71"/>
      <c r="K372" s="72"/>
      <c r="L372" s="72"/>
      <c r="M372" s="72"/>
      <c r="N372" s="74"/>
      <c r="O372" s="71"/>
      <c r="P372" s="72"/>
      <c r="Q372" s="72"/>
      <c r="R372" s="72"/>
      <c r="S372" s="74"/>
      <c r="T372" s="75"/>
    </row>
    <row r="373" spans="1:20" x14ac:dyDescent="0.35">
      <c r="A373" s="17"/>
      <c r="B373" s="18"/>
      <c r="C373" s="13"/>
      <c r="D373" s="31"/>
      <c r="E373" s="24"/>
      <c r="F373" s="71"/>
      <c r="G373" s="72"/>
      <c r="H373" s="73"/>
      <c r="I373" s="72"/>
      <c r="J373" s="71"/>
      <c r="K373" s="72"/>
      <c r="L373" s="72"/>
      <c r="M373" s="72"/>
      <c r="N373" s="74"/>
      <c r="O373" s="71"/>
      <c r="P373" s="72"/>
      <c r="Q373" s="72"/>
      <c r="R373" s="72"/>
      <c r="S373" s="74"/>
      <c r="T373" s="75"/>
    </row>
    <row r="374" spans="1:20" x14ac:dyDescent="0.35">
      <c r="A374" s="17"/>
      <c r="B374" s="18"/>
      <c r="C374" s="13"/>
      <c r="D374" s="31"/>
      <c r="E374" s="24"/>
      <c r="F374" s="71"/>
      <c r="G374" s="72"/>
      <c r="H374" s="73"/>
      <c r="I374" s="72"/>
      <c r="J374" s="71"/>
      <c r="K374" s="72"/>
      <c r="L374" s="72"/>
      <c r="M374" s="72"/>
      <c r="N374" s="74"/>
      <c r="O374" s="71"/>
      <c r="P374" s="72"/>
      <c r="Q374" s="72"/>
      <c r="R374" s="72"/>
      <c r="S374" s="74"/>
      <c r="T374" s="75"/>
    </row>
    <row r="375" spans="1:20" x14ac:dyDescent="0.35">
      <c r="A375" s="17"/>
      <c r="B375" s="18"/>
      <c r="C375" s="13"/>
      <c r="D375" s="31"/>
      <c r="E375" s="24"/>
      <c r="F375" s="71"/>
      <c r="G375" s="72"/>
      <c r="H375" s="73"/>
      <c r="I375" s="72"/>
      <c r="J375" s="71"/>
      <c r="K375" s="72"/>
      <c r="L375" s="72"/>
      <c r="M375" s="72"/>
      <c r="N375" s="74"/>
      <c r="O375" s="71"/>
      <c r="P375" s="72"/>
      <c r="Q375" s="72"/>
      <c r="R375" s="72"/>
      <c r="S375" s="74"/>
      <c r="T375" s="75"/>
    </row>
    <row r="376" spans="1:20" x14ac:dyDescent="0.35">
      <c r="A376" s="17"/>
      <c r="B376" s="18"/>
      <c r="C376" s="13"/>
      <c r="D376" s="31"/>
      <c r="E376" s="24"/>
      <c r="F376" s="71"/>
      <c r="G376" s="72"/>
      <c r="H376" s="73"/>
      <c r="I376" s="72"/>
      <c r="J376" s="71"/>
      <c r="K376" s="72"/>
      <c r="L376" s="72"/>
      <c r="M376" s="72"/>
      <c r="N376" s="74"/>
      <c r="O376" s="71"/>
      <c r="P376" s="72"/>
      <c r="Q376" s="72"/>
      <c r="R376" s="72"/>
      <c r="S376" s="74"/>
      <c r="T376" s="75"/>
    </row>
    <row r="377" spans="1:20" x14ac:dyDescent="0.35">
      <c r="A377" s="17"/>
      <c r="B377" s="18"/>
      <c r="C377" s="13"/>
      <c r="D377" s="31"/>
      <c r="E377" s="24"/>
      <c r="F377" s="71"/>
      <c r="G377" s="72"/>
      <c r="H377" s="73"/>
      <c r="I377" s="72"/>
      <c r="J377" s="71"/>
      <c r="K377" s="72"/>
      <c r="L377" s="72"/>
      <c r="M377" s="72"/>
      <c r="N377" s="74"/>
      <c r="O377" s="71"/>
      <c r="P377" s="72"/>
      <c r="Q377" s="72"/>
      <c r="R377" s="72"/>
      <c r="S377" s="74"/>
      <c r="T377" s="75"/>
    </row>
    <row r="378" spans="1:20" x14ac:dyDescent="0.35">
      <c r="A378" s="17"/>
      <c r="B378" s="18"/>
      <c r="C378" s="13"/>
      <c r="D378" s="31"/>
      <c r="E378" s="24"/>
      <c r="F378" s="71"/>
      <c r="G378" s="72"/>
      <c r="H378" s="73"/>
      <c r="I378" s="72"/>
      <c r="J378" s="71"/>
      <c r="K378" s="72"/>
      <c r="L378" s="72"/>
      <c r="M378" s="72"/>
      <c r="N378" s="74"/>
      <c r="O378" s="71"/>
      <c r="P378" s="72"/>
      <c r="Q378" s="72"/>
      <c r="R378" s="72"/>
      <c r="S378" s="74"/>
      <c r="T378" s="75"/>
    </row>
    <row r="379" spans="1:20" x14ac:dyDescent="0.35">
      <c r="A379" s="17"/>
      <c r="B379" s="18"/>
      <c r="C379" s="13"/>
      <c r="D379" s="31"/>
      <c r="E379" s="24"/>
      <c r="F379" s="71"/>
      <c r="G379" s="72"/>
      <c r="H379" s="73"/>
      <c r="I379" s="72"/>
      <c r="J379" s="71"/>
      <c r="K379" s="72"/>
      <c r="L379" s="72"/>
      <c r="M379" s="72"/>
      <c r="N379" s="74"/>
      <c r="O379" s="71"/>
      <c r="P379" s="72"/>
      <c r="Q379" s="72"/>
      <c r="R379" s="72"/>
      <c r="S379" s="74"/>
      <c r="T379" s="75"/>
    </row>
    <row r="380" spans="1:20" x14ac:dyDescent="0.35">
      <c r="A380" s="17"/>
      <c r="B380" s="18"/>
      <c r="C380" s="13"/>
      <c r="D380" s="31"/>
      <c r="E380" s="24"/>
      <c r="F380" s="71"/>
      <c r="G380" s="72"/>
      <c r="H380" s="73"/>
      <c r="I380" s="72"/>
      <c r="J380" s="71"/>
      <c r="K380" s="72"/>
      <c r="L380" s="72"/>
      <c r="M380" s="72"/>
      <c r="N380" s="74"/>
      <c r="O380" s="71"/>
      <c r="P380" s="72"/>
      <c r="Q380" s="72"/>
      <c r="R380" s="72"/>
      <c r="S380" s="74"/>
      <c r="T380" s="75"/>
    </row>
    <row r="381" spans="1:20" x14ac:dyDescent="0.35">
      <c r="A381" s="17"/>
      <c r="B381" s="18"/>
      <c r="C381" s="13"/>
      <c r="D381" s="31"/>
      <c r="E381" s="24"/>
      <c r="F381" s="71"/>
      <c r="G381" s="72"/>
      <c r="H381" s="73"/>
      <c r="I381" s="72"/>
      <c r="J381" s="71"/>
      <c r="K381" s="72"/>
      <c r="L381" s="72"/>
      <c r="M381" s="72"/>
      <c r="N381" s="74"/>
      <c r="O381" s="71"/>
      <c r="P381" s="72"/>
      <c r="Q381" s="72"/>
      <c r="R381" s="72"/>
      <c r="S381" s="74"/>
      <c r="T381" s="75"/>
    </row>
    <row r="382" spans="1:20" x14ac:dyDescent="0.35">
      <c r="A382" s="17"/>
      <c r="B382" s="18"/>
      <c r="C382" s="13"/>
      <c r="D382" s="31"/>
      <c r="E382" s="24"/>
      <c r="F382" s="71"/>
      <c r="G382" s="72"/>
      <c r="H382" s="73"/>
      <c r="I382" s="72"/>
      <c r="J382" s="71"/>
      <c r="K382" s="72"/>
      <c r="L382" s="72"/>
      <c r="M382" s="72"/>
      <c r="N382" s="74"/>
      <c r="O382" s="71"/>
      <c r="P382" s="72"/>
      <c r="Q382" s="72"/>
      <c r="R382" s="72"/>
      <c r="S382" s="74"/>
      <c r="T382" s="75"/>
    </row>
    <row r="383" spans="1:20" x14ac:dyDescent="0.35">
      <c r="A383" s="17"/>
      <c r="B383" s="18"/>
      <c r="C383" s="13"/>
      <c r="D383" s="31"/>
      <c r="E383" s="24"/>
      <c r="F383" s="71"/>
      <c r="G383" s="72"/>
      <c r="H383" s="73"/>
      <c r="I383" s="72"/>
      <c r="J383" s="71"/>
      <c r="K383" s="72"/>
      <c r="L383" s="72"/>
      <c r="M383" s="72"/>
      <c r="N383" s="74"/>
      <c r="O383" s="71"/>
      <c r="P383" s="72"/>
      <c r="Q383" s="72"/>
      <c r="R383" s="72"/>
      <c r="S383" s="74"/>
      <c r="T383" s="75"/>
    </row>
    <row r="384" spans="1:20" x14ac:dyDescent="0.35">
      <c r="A384" s="17"/>
      <c r="B384" s="18"/>
      <c r="C384" s="13"/>
      <c r="D384" s="31"/>
      <c r="E384" s="24"/>
      <c r="F384" s="71"/>
      <c r="G384" s="72"/>
      <c r="H384" s="73"/>
      <c r="I384" s="72"/>
      <c r="J384" s="71"/>
      <c r="K384" s="72"/>
      <c r="L384" s="72"/>
      <c r="M384" s="72"/>
      <c r="N384" s="74"/>
      <c r="O384" s="71"/>
      <c r="P384" s="72"/>
      <c r="Q384" s="72"/>
      <c r="R384" s="72"/>
      <c r="S384" s="74"/>
      <c r="T384" s="75"/>
    </row>
    <row r="385" spans="1:20" x14ac:dyDescent="0.35">
      <c r="A385" s="17"/>
      <c r="B385" s="18"/>
      <c r="C385" s="13"/>
      <c r="D385" s="31"/>
      <c r="E385" s="24"/>
      <c r="F385" s="71"/>
      <c r="G385" s="72"/>
      <c r="H385" s="73"/>
      <c r="I385" s="72"/>
      <c r="J385" s="71"/>
      <c r="K385" s="72"/>
      <c r="L385" s="72"/>
      <c r="M385" s="72"/>
      <c r="N385" s="74"/>
      <c r="O385" s="71"/>
      <c r="P385" s="72"/>
      <c r="Q385" s="72"/>
      <c r="R385" s="72"/>
      <c r="S385" s="74"/>
      <c r="T385" s="75"/>
    </row>
    <row r="386" spans="1:20" x14ac:dyDescent="0.35">
      <c r="A386" s="17"/>
      <c r="B386" s="18"/>
      <c r="C386" s="13"/>
      <c r="D386" s="31"/>
      <c r="E386" s="24"/>
      <c r="F386" s="71"/>
      <c r="G386" s="72"/>
      <c r="H386" s="73"/>
      <c r="I386" s="72"/>
      <c r="J386" s="71"/>
      <c r="K386" s="72"/>
      <c r="L386" s="72"/>
      <c r="M386" s="72"/>
      <c r="N386" s="74"/>
      <c r="O386" s="71"/>
      <c r="P386" s="72"/>
      <c r="Q386" s="72"/>
      <c r="R386" s="72"/>
      <c r="S386" s="74"/>
      <c r="T386" s="75"/>
    </row>
    <row r="387" spans="1:20" x14ac:dyDescent="0.35">
      <c r="A387" s="17"/>
      <c r="B387" s="18"/>
      <c r="C387" s="13"/>
      <c r="D387" s="31"/>
      <c r="E387" s="24"/>
      <c r="F387" s="71"/>
      <c r="G387" s="72"/>
      <c r="H387" s="73"/>
      <c r="I387" s="72"/>
      <c r="J387" s="71"/>
      <c r="K387" s="72"/>
      <c r="L387" s="72"/>
      <c r="M387" s="72"/>
      <c r="N387" s="74"/>
      <c r="O387" s="71"/>
      <c r="P387" s="72"/>
      <c r="Q387" s="72"/>
      <c r="R387" s="72"/>
      <c r="S387" s="74"/>
      <c r="T387" s="75"/>
    </row>
    <row r="388" spans="1:20" x14ac:dyDescent="0.35">
      <c r="A388" s="17"/>
      <c r="B388" s="18"/>
      <c r="C388" s="13"/>
      <c r="D388" s="31"/>
      <c r="E388" s="24"/>
      <c r="F388" s="71"/>
      <c r="G388" s="72"/>
      <c r="H388" s="73"/>
      <c r="I388" s="72"/>
      <c r="J388" s="71"/>
      <c r="K388" s="72"/>
      <c r="L388" s="72"/>
      <c r="M388" s="72"/>
      <c r="N388" s="74"/>
      <c r="O388" s="71"/>
      <c r="P388" s="72"/>
      <c r="Q388" s="72"/>
      <c r="R388" s="72"/>
      <c r="S388" s="74"/>
      <c r="T388" s="75"/>
    </row>
    <row r="389" spans="1:20" x14ac:dyDescent="0.35">
      <c r="A389" s="17"/>
      <c r="B389" s="18"/>
      <c r="C389" s="13"/>
      <c r="D389" s="31"/>
      <c r="E389" s="24"/>
      <c r="F389" s="71"/>
      <c r="G389" s="72"/>
      <c r="H389" s="73"/>
      <c r="I389" s="72"/>
      <c r="J389" s="71"/>
      <c r="K389" s="72"/>
      <c r="L389" s="72"/>
      <c r="M389" s="72"/>
      <c r="N389" s="74"/>
      <c r="O389" s="71"/>
      <c r="P389" s="72"/>
      <c r="Q389" s="72"/>
      <c r="R389" s="72"/>
      <c r="S389" s="74"/>
      <c r="T389" s="75"/>
    </row>
    <row r="390" spans="1:20" x14ac:dyDescent="0.35">
      <c r="A390" s="17"/>
      <c r="B390" s="18"/>
      <c r="C390" s="13"/>
      <c r="D390" s="31"/>
      <c r="E390" s="24"/>
      <c r="F390" s="71"/>
      <c r="G390" s="72"/>
      <c r="H390" s="73"/>
      <c r="I390" s="72"/>
      <c r="J390" s="71"/>
      <c r="K390" s="72"/>
      <c r="L390" s="72"/>
      <c r="M390" s="72"/>
      <c r="N390" s="74"/>
      <c r="O390" s="71"/>
      <c r="P390" s="72"/>
      <c r="Q390" s="72"/>
      <c r="R390" s="72"/>
      <c r="S390" s="74"/>
      <c r="T390" s="75"/>
    </row>
    <row r="391" spans="1:20" x14ac:dyDescent="0.35">
      <c r="A391" s="17"/>
      <c r="B391" s="18"/>
      <c r="C391" s="13"/>
      <c r="D391" s="31"/>
      <c r="E391" s="24"/>
      <c r="F391" s="71"/>
      <c r="G391" s="72"/>
      <c r="H391" s="73"/>
      <c r="I391" s="72"/>
      <c r="J391" s="71"/>
      <c r="K391" s="72"/>
      <c r="L391" s="72"/>
      <c r="M391" s="72"/>
      <c r="N391" s="74"/>
      <c r="O391" s="71"/>
      <c r="P391" s="72"/>
      <c r="Q391" s="72"/>
      <c r="R391" s="72"/>
      <c r="S391" s="74"/>
      <c r="T391" s="75"/>
    </row>
    <row r="392" spans="1:20" x14ac:dyDescent="0.35">
      <c r="A392" s="17"/>
      <c r="B392" s="18"/>
      <c r="C392" s="13"/>
      <c r="D392" s="31"/>
      <c r="E392" s="24"/>
      <c r="F392" s="71"/>
      <c r="G392" s="72"/>
      <c r="H392" s="73"/>
      <c r="I392" s="72"/>
      <c r="J392" s="71"/>
      <c r="K392" s="72"/>
      <c r="L392" s="72"/>
      <c r="M392" s="72"/>
      <c r="N392" s="74"/>
      <c r="O392" s="71"/>
      <c r="P392" s="72"/>
      <c r="Q392" s="72"/>
      <c r="R392" s="72"/>
      <c r="S392" s="74"/>
      <c r="T392" s="75"/>
    </row>
    <row r="393" spans="1:20" x14ac:dyDescent="0.35">
      <c r="A393" s="17"/>
      <c r="B393" s="18"/>
      <c r="C393" s="13"/>
      <c r="D393" s="31"/>
      <c r="E393" s="24"/>
      <c r="F393" s="71"/>
      <c r="G393" s="72"/>
      <c r="H393" s="73"/>
      <c r="I393" s="72"/>
      <c r="J393" s="71"/>
      <c r="K393" s="72"/>
      <c r="L393" s="72"/>
      <c r="M393" s="72"/>
      <c r="N393" s="74"/>
      <c r="O393" s="71"/>
      <c r="P393" s="72"/>
      <c r="Q393" s="72"/>
      <c r="R393" s="72"/>
      <c r="S393" s="74"/>
      <c r="T393" s="75"/>
    </row>
    <row r="394" spans="1:20" x14ac:dyDescent="0.35">
      <c r="A394" s="17"/>
      <c r="B394" s="18"/>
      <c r="C394" s="13"/>
      <c r="D394" s="31"/>
      <c r="E394" s="24"/>
      <c r="F394" s="71"/>
      <c r="G394" s="72"/>
      <c r="H394" s="73"/>
      <c r="I394" s="72"/>
      <c r="J394" s="71"/>
      <c r="K394" s="72"/>
      <c r="L394" s="72"/>
      <c r="M394" s="72"/>
      <c r="N394" s="74"/>
      <c r="O394" s="71"/>
      <c r="P394" s="72"/>
      <c r="Q394" s="72"/>
      <c r="R394" s="72"/>
      <c r="S394" s="74"/>
      <c r="T394" s="75"/>
    </row>
    <row r="395" spans="1:20" x14ac:dyDescent="0.35">
      <c r="A395" s="17"/>
      <c r="B395" s="18"/>
      <c r="C395" s="13"/>
      <c r="D395" s="31"/>
      <c r="E395" s="24"/>
      <c r="F395" s="71"/>
      <c r="G395" s="72"/>
      <c r="H395" s="73"/>
      <c r="I395" s="72"/>
      <c r="J395" s="71"/>
      <c r="K395" s="72"/>
      <c r="L395" s="72"/>
      <c r="M395" s="72"/>
      <c r="N395" s="74"/>
      <c r="O395" s="71"/>
      <c r="P395" s="72"/>
      <c r="Q395" s="72"/>
      <c r="R395" s="72"/>
      <c r="S395" s="74"/>
      <c r="T395" s="75"/>
    </row>
    <row r="396" spans="1:20" x14ac:dyDescent="0.35">
      <c r="A396" s="17"/>
      <c r="B396" s="18"/>
      <c r="C396" s="13"/>
      <c r="D396" s="31"/>
      <c r="E396" s="24"/>
      <c r="F396" s="71"/>
      <c r="G396" s="72"/>
      <c r="H396" s="73"/>
      <c r="I396" s="72"/>
      <c r="J396" s="71"/>
      <c r="K396" s="72"/>
      <c r="L396" s="72"/>
      <c r="M396" s="72"/>
      <c r="N396" s="74"/>
      <c r="O396" s="71"/>
      <c r="P396" s="72"/>
      <c r="Q396" s="72"/>
      <c r="R396" s="72"/>
      <c r="S396" s="74"/>
      <c r="T396" s="75"/>
    </row>
    <row r="397" spans="1:20" x14ac:dyDescent="0.35">
      <c r="A397" s="17"/>
      <c r="B397" s="18"/>
      <c r="C397" s="13"/>
      <c r="D397" s="31"/>
      <c r="E397" s="24"/>
      <c r="F397" s="71"/>
      <c r="G397" s="72"/>
      <c r="H397" s="73"/>
      <c r="I397" s="72"/>
      <c r="J397" s="71"/>
      <c r="K397" s="72"/>
      <c r="L397" s="72"/>
      <c r="M397" s="72"/>
      <c r="N397" s="74"/>
      <c r="O397" s="71"/>
      <c r="P397" s="72"/>
      <c r="Q397" s="72"/>
      <c r="R397" s="72"/>
      <c r="S397" s="74"/>
      <c r="T397" s="75"/>
    </row>
    <row r="398" spans="1:20" x14ac:dyDescent="0.35">
      <c r="A398" s="17"/>
      <c r="B398" s="18"/>
      <c r="C398" s="13"/>
      <c r="D398" s="31"/>
      <c r="E398" s="24"/>
      <c r="F398" s="71"/>
      <c r="G398" s="72"/>
      <c r="H398" s="73"/>
      <c r="I398" s="72"/>
      <c r="J398" s="71"/>
      <c r="K398" s="72"/>
      <c r="L398" s="72"/>
      <c r="M398" s="72"/>
      <c r="N398" s="74"/>
      <c r="O398" s="71"/>
      <c r="P398" s="72"/>
      <c r="Q398" s="72"/>
      <c r="R398" s="72"/>
      <c r="S398" s="74"/>
      <c r="T398" s="75"/>
    </row>
    <row r="399" spans="1:20" x14ac:dyDescent="0.35">
      <c r="A399" s="17"/>
      <c r="B399" s="18"/>
      <c r="C399" s="13"/>
      <c r="D399" s="31"/>
      <c r="E399" s="24"/>
      <c r="F399" s="71"/>
      <c r="G399" s="72"/>
      <c r="H399" s="73"/>
      <c r="I399" s="72"/>
      <c r="J399" s="71"/>
      <c r="K399" s="72"/>
      <c r="L399" s="72"/>
      <c r="M399" s="72"/>
      <c r="N399" s="74"/>
      <c r="O399" s="71"/>
      <c r="P399" s="72"/>
      <c r="Q399" s="72"/>
      <c r="R399" s="72"/>
      <c r="S399" s="74"/>
      <c r="T399" s="75"/>
    </row>
    <row r="400" spans="1:20" x14ac:dyDescent="0.35">
      <c r="A400" s="17"/>
      <c r="B400" s="18"/>
      <c r="C400" s="13"/>
      <c r="D400" s="31"/>
      <c r="E400" s="24"/>
      <c r="F400" s="71"/>
      <c r="G400" s="72"/>
      <c r="H400" s="73"/>
      <c r="I400" s="72"/>
      <c r="J400" s="71"/>
      <c r="K400" s="72"/>
      <c r="L400" s="72"/>
      <c r="M400" s="72"/>
      <c r="N400" s="74"/>
      <c r="O400" s="71"/>
      <c r="P400" s="72"/>
      <c r="Q400" s="72"/>
      <c r="R400" s="72"/>
      <c r="S400" s="74"/>
      <c r="T400" s="75"/>
    </row>
    <row r="401" spans="1:20" x14ac:dyDescent="0.35">
      <c r="A401" s="17"/>
      <c r="B401" s="18"/>
      <c r="C401" s="13"/>
      <c r="D401" s="31"/>
      <c r="E401" s="24"/>
      <c r="F401" s="71"/>
      <c r="G401" s="72"/>
      <c r="H401" s="73"/>
      <c r="I401" s="72"/>
      <c r="J401" s="71"/>
      <c r="K401" s="72"/>
      <c r="L401" s="72"/>
      <c r="M401" s="72"/>
      <c r="N401" s="74"/>
      <c r="O401" s="71"/>
      <c r="P401" s="72"/>
      <c r="Q401" s="72"/>
      <c r="R401" s="72"/>
      <c r="S401" s="74"/>
      <c r="T401" s="75"/>
    </row>
    <row r="402" spans="1:20" x14ac:dyDescent="0.35">
      <c r="A402" s="17"/>
      <c r="B402" s="18"/>
      <c r="C402" s="13"/>
      <c r="D402" s="31"/>
      <c r="E402" s="24"/>
      <c r="F402" s="71"/>
      <c r="G402" s="72"/>
      <c r="H402" s="73"/>
      <c r="I402" s="72"/>
      <c r="J402" s="71"/>
      <c r="K402" s="72"/>
      <c r="L402" s="72"/>
      <c r="M402" s="72"/>
      <c r="N402" s="74"/>
      <c r="O402" s="71"/>
      <c r="P402" s="72"/>
      <c r="Q402" s="72"/>
      <c r="R402" s="72"/>
      <c r="S402" s="74"/>
      <c r="T402" s="75"/>
    </row>
    <row r="403" spans="1:20" x14ac:dyDescent="0.35">
      <c r="A403" s="17"/>
      <c r="B403" s="18"/>
      <c r="C403" s="13"/>
      <c r="D403" s="31"/>
      <c r="E403" s="24"/>
      <c r="F403" s="71"/>
      <c r="G403" s="72"/>
      <c r="H403" s="73"/>
      <c r="I403" s="72"/>
      <c r="J403" s="71"/>
      <c r="K403" s="72"/>
      <c r="L403" s="72"/>
      <c r="M403" s="72"/>
      <c r="N403" s="74"/>
      <c r="O403" s="71"/>
      <c r="P403" s="72"/>
      <c r="Q403" s="72"/>
      <c r="R403" s="72"/>
      <c r="S403" s="74"/>
      <c r="T403" s="75"/>
    </row>
    <row r="404" spans="1:20" x14ac:dyDescent="0.35">
      <c r="A404" s="17"/>
      <c r="B404" s="18"/>
      <c r="C404" s="13"/>
      <c r="D404" s="31"/>
      <c r="E404" s="24"/>
      <c r="F404" s="71"/>
      <c r="G404" s="72"/>
      <c r="H404" s="73"/>
      <c r="I404" s="72"/>
      <c r="J404" s="71"/>
      <c r="K404" s="72"/>
      <c r="L404" s="72"/>
      <c r="M404" s="72"/>
      <c r="N404" s="74"/>
      <c r="O404" s="71"/>
      <c r="P404" s="72"/>
      <c r="Q404" s="72"/>
      <c r="R404" s="72"/>
      <c r="S404" s="74"/>
      <c r="T404" s="75"/>
    </row>
    <row r="405" spans="1:20" x14ac:dyDescent="0.35">
      <c r="A405" s="17"/>
      <c r="B405" s="18"/>
      <c r="C405" s="13"/>
      <c r="D405" s="31"/>
      <c r="E405" s="24"/>
      <c r="F405" s="71"/>
      <c r="G405" s="72"/>
      <c r="H405" s="73"/>
      <c r="I405" s="72"/>
      <c r="J405" s="71"/>
      <c r="K405" s="72"/>
      <c r="L405" s="72"/>
      <c r="M405" s="72"/>
      <c r="N405" s="74"/>
      <c r="O405" s="71"/>
      <c r="P405" s="72"/>
      <c r="Q405" s="72"/>
      <c r="R405" s="72"/>
      <c r="S405" s="74"/>
      <c r="T405" s="75"/>
    </row>
    <row r="406" spans="1:20" x14ac:dyDescent="0.35">
      <c r="A406" s="17"/>
      <c r="B406" s="18"/>
      <c r="C406" s="13"/>
      <c r="D406" s="31"/>
      <c r="E406" s="24"/>
      <c r="F406" s="71"/>
      <c r="G406" s="72"/>
      <c r="H406" s="73"/>
      <c r="I406" s="72"/>
      <c r="J406" s="71"/>
      <c r="K406" s="72"/>
      <c r="L406" s="72"/>
      <c r="M406" s="72"/>
      <c r="N406" s="74"/>
      <c r="O406" s="71"/>
      <c r="P406" s="72"/>
      <c r="Q406" s="72"/>
      <c r="R406" s="72"/>
      <c r="S406" s="74"/>
      <c r="T406" s="75"/>
    </row>
    <row r="407" spans="1:20" x14ac:dyDescent="0.35">
      <c r="A407" s="17"/>
      <c r="B407" s="18"/>
      <c r="C407" s="13"/>
      <c r="D407" s="31"/>
      <c r="E407" s="24"/>
      <c r="F407" s="71"/>
      <c r="G407" s="72"/>
      <c r="H407" s="73"/>
      <c r="I407" s="72"/>
      <c r="J407" s="71"/>
      <c r="K407" s="72"/>
      <c r="L407" s="72"/>
      <c r="M407" s="72"/>
      <c r="N407" s="74"/>
      <c r="O407" s="71"/>
      <c r="P407" s="72"/>
      <c r="Q407" s="72"/>
      <c r="R407" s="72"/>
      <c r="S407" s="74"/>
      <c r="T407" s="75"/>
    </row>
    <row r="408" spans="1:20" x14ac:dyDescent="0.35">
      <c r="A408" s="17"/>
      <c r="B408" s="18"/>
      <c r="C408" s="13"/>
      <c r="D408" s="31"/>
      <c r="E408" s="24"/>
      <c r="F408" s="71"/>
      <c r="G408" s="72"/>
      <c r="H408" s="73"/>
      <c r="I408" s="72"/>
      <c r="J408" s="71"/>
      <c r="K408" s="72"/>
      <c r="L408" s="72"/>
      <c r="M408" s="72"/>
      <c r="N408" s="74"/>
      <c r="O408" s="71"/>
      <c r="P408" s="72"/>
      <c r="Q408" s="72"/>
      <c r="R408" s="72"/>
      <c r="S408" s="74"/>
      <c r="T408" s="75"/>
    </row>
    <row r="409" spans="1:20" x14ac:dyDescent="0.35">
      <c r="A409" s="17"/>
      <c r="B409" s="18"/>
      <c r="C409" s="13"/>
      <c r="D409" s="31"/>
      <c r="E409" s="24"/>
      <c r="F409" s="71"/>
      <c r="G409" s="72"/>
      <c r="H409" s="73"/>
      <c r="I409" s="72"/>
      <c r="J409" s="71"/>
      <c r="K409" s="72"/>
      <c r="L409" s="72"/>
      <c r="M409" s="72"/>
      <c r="N409" s="74"/>
      <c r="O409" s="71"/>
      <c r="P409" s="72"/>
      <c r="Q409" s="72"/>
      <c r="R409" s="72"/>
      <c r="S409" s="74"/>
      <c r="T409" s="75"/>
    </row>
    <row r="410" spans="1:20" x14ac:dyDescent="0.35">
      <c r="A410" s="17"/>
      <c r="B410" s="18"/>
      <c r="C410" s="13"/>
      <c r="D410" s="31"/>
      <c r="E410" s="24"/>
      <c r="F410" s="71"/>
      <c r="G410" s="72"/>
      <c r="H410" s="73"/>
      <c r="I410" s="72"/>
      <c r="J410" s="71"/>
      <c r="K410" s="72"/>
      <c r="L410" s="72"/>
      <c r="M410" s="72"/>
      <c r="N410" s="74"/>
      <c r="O410" s="71"/>
      <c r="P410" s="72"/>
      <c r="Q410" s="72"/>
      <c r="R410" s="72"/>
      <c r="S410" s="74"/>
      <c r="T410" s="75"/>
    </row>
    <row r="411" spans="1:20" x14ac:dyDescent="0.35">
      <c r="A411" s="17"/>
      <c r="B411" s="18"/>
      <c r="C411" s="13"/>
      <c r="D411" s="31"/>
      <c r="E411" s="24"/>
      <c r="F411" s="71"/>
      <c r="G411" s="72"/>
      <c r="H411" s="73"/>
      <c r="I411" s="72"/>
      <c r="J411" s="71"/>
      <c r="K411" s="72"/>
      <c r="L411" s="72"/>
      <c r="M411" s="72"/>
      <c r="N411" s="74"/>
      <c r="O411" s="71"/>
      <c r="P411" s="72"/>
      <c r="Q411" s="72"/>
      <c r="R411" s="72"/>
      <c r="S411" s="74"/>
      <c r="T411" s="75"/>
    </row>
    <row r="412" spans="1:20" x14ac:dyDescent="0.35">
      <c r="A412" s="17"/>
      <c r="B412" s="18"/>
      <c r="C412" s="13"/>
      <c r="D412" s="31"/>
      <c r="E412" s="24"/>
      <c r="F412" s="71"/>
      <c r="G412" s="72"/>
      <c r="H412" s="73"/>
      <c r="I412" s="72"/>
      <c r="J412" s="71"/>
      <c r="K412" s="72"/>
      <c r="L412" s="72"/>
      <c r="M412" s="72"/>
      <c r="N412" s="74"/>
      <c r="O412" s="71"/>
      <c r="P412" s="72"/>
      <c r="Q412" s="72"/>
      <c r="R412" s="72"/>
      <c r="S412" s="74"/>
      <c r="T412" s="75"/>
    </row>
    <row r="413" spans="1:20" x14ac:dyDescent="0.35">
      <c r="A413" s="17"/>
      <c r="B413" s="18"/>
      <c r="C413" s="13"/>
      <c r="D413" s="31"/>
      <c r="E413" s="24"/>
      <c r="F413" s="71"/>
      <c r="G413" s="72"/>
      <c r="H413" s="73"/>
      <c r="I413" s="72"/>
      <c r="J413" s="71"/>
      <c r="K413" s="72"/>
      <c r="L413" s="72"/>
      <c r="M413" s="72"/>
      <c r="N413" s="74"/>
      <c r="O413" s="71"/>
      <c r="P413" s="72"/>
      <c r="Q413" s="72"/>
      <c r="R413" s="72"/>
      <c r="S413" s="74"/>
      <c r="T413" s="75"/>
    </row>
    <row r="414" spans="1:20" x14ac:dyDescent="0.35">
      <c r="A414" s="17"/>
      <c r="B414" s="18"/>
      <c r="C414" s="13"/>
      <c r="D414" s="31"/>
      <c r="E414" s="24"/>
      <c r="F414" s="71"/>
      <c r="G414" s="72"/>
      <c r="H414" s="73"/>
      <c r="I414" s="72"/>
      <c r="J414" s="71"/>
      <c r="K414" s="72"/>
      <c r="L414" s="72"/>
      <c r="M414" s="72"/>
      <c r="N414" s="74"/>
      <c r="O414" s="71"/>
      <c r="P414" s="72"/>
      <c r="Q414" s="72"/>
      <c r="R414" s="72"/>
      <c r="S414" s="74"/>
      <c r="T414" s="75"/>
    </row>
    <row r="415" spans="1:20" x14ac:dyDescent="0.35">
      <c r="A415" s="17"/>
      <c r="B415" s="18"/>
      <c r="C415" s="13"/>
      <c r="D415" s="31"/>
      <c r="E415" s="24"/>
      <c r="F415" s="71"/>
      <c r="G415" s="72"/>
      <c r="H415" s="73"/>
      <c r="I415" s="72"/>
      <c r="J415" s="71"/>
      <c r="K415" s="72"/>
      <c r="L415" s="72"/>
      <c r="M415" s="72"/>
      <c r="N415" s="74"/>
      <c r="O415" s="71"/>
      <c r="P415" s="72"/>
      <c r="Q415" s="72"/>
      <c r="R415" s="72"/>
      <c r="S415" s="74"/>
      <c r="T415" s="75"/>
    </row>
    <row r="416" spans="1:20" x14ac:dyDescent="0.35">
      <c r="A416" s="17"/>
      <c r="B416" s="18"/>
      <c r="C416" s="13"/>
      <c r="D416" s="31"/>
      <c r="E416" s="24"/>
      <c r="F416" s="71"/>
      <c r="G416" s="72"/>
      <c r="H416" s="73"/>
      <c r="I416" s="72"/>
      <c r="J416" s="71"/>
      <c r="K416" s="72"/>
      <c r="L416" s="72"/>
      <c r="M416" s="72"/>
      <c r="N416" s="74"/>
      <c r="O416" s="71"/>
      <c r="P416" s="72"/>
      <c r="Q416" s="72"/>
      <c r="R416" s="72"/>
      <c r="S416" s="74"/>
      <c r="T416" s="75"/>
    </row>
    <row r="417" spans="1:20" x14ac:dyDescent="0.35">
      <c r="A417" s="17"/>
      <c r="B417" s="18"/>
      <c r="C417" s="13"/>
      <c r="D417" s="31"/>
      <c r="E417" s="24"/>
      <c r="F417" s="71"/>
      <c r="G417" s="72"/>
      <c r="H417" s="73"/>
      <c r="I417" s="72"/>
      <c r="J417" s="71"/>
      <c r="K417" s="72"/>
      <c r="L417" s="72"/>
      <c r="M417" s="72"/>
      <c r="N417" s="74"/>
      <c r="O417" s="71"/>
      <c r="P417" s="72"/>
      <c r="Q417" s="72"/>
      <c r="R417" s="72"/>
      <c r="S417" s="74"/>
      <c r="T417" s="75"/>
    </row>
    <row r="418" spans="1:20" x14ac:dyDescent="0.35">
      <c r="A418" s="17"/>
      <c r="B418" s="18"/>
      <c r="C418" s="13"/>
      <c r="D418" s="31"/>
      <c r="E418" s="24"/>
      <c r="F418" s="71"/>
      <c r="G418" s="72"/>
      <c r="H418" s="73"/>
      <c r="I418" s="72"/>
      <c r="J418" s="71"/>
      <c r="K418" s="72"/>
      <c r="L418" s="72"/>
      <c r="M418" s="72"/>
      <c r="N418" s="74"/>
      <c r="O418" s="71"/>
      <c r="P418" s="72"/>
      <c r="Q418" s="72"/>
      <c r="R418" s="72"/>
      <c r="S418" s="74"/>
      <c r="T418" s="75"/>
    </row>
    <row r="419" spans="1:20" x14ac:dyDescent="0.35">
      <c r="A419" s="17"/>
      <c r="B419" s="18"/>
      <c r="C419" s="13"/>
      <c r="D419" s="31"/>
      <c r="E419" s="24"/>
      <c r="F419" s="71"/>
      <c r="G419" s="72"/>
      <c r="H419" s="73"/>
      <c r="I419" s="72"/>
      <c r="J419" s="71"/>
      <c r="K419" s="72"/>
      <c r="L419" s="72"/>
      <c r="M419" s="72"/>
      <c r="N419" s="74"/>
      <c r="O419" s="71"/>
      <c r="P419" s="72"/>
      <c r="Q419" s="72"/>
      <c r="R419" s="72"/>
      <c r="S419" s="74"/>
      <c r="T419" s="75"/>
    </row>
    <row r="420" spans="1:20" x14ac:dyDescent="0.35">
      <c r="A420" s="17"/>
      <c r="B420" s="18"/>
      <c r="C420" s="13"/>
      <c r="D420" s="31"/>
      <c r="E420" s="24"/>
      <c r="F420" s="71"/>
      <c r="G420" s="72"/>
      <c r="H420" s="73"/>
      <c r="I420" s="72"/>
      <c r="J420" s="71"/>
      <c r="K420" s="72"/>
      <c r="L420" s="72"/>
      <c r="M420" s="72"/>
      <c r="N420" s="74"/>
      <c r="O420" s="71"/>
      <c r="P420" s="72"/>
      <c r="Q420" s="72"/>
      <c r="R420" s="72"/>
      <c r="S420" s="74"/>
      <c r="T420" s="75"/>
    </row>
    <row r="421" spans="1:20" x14ac:dyDescent="0.35">
      <c r="A421" s="17"/>
      <c r="B421" s="18"/>
      <c r="C421" s="13"/>
      <c r="D421" s="31"/>
      <c r="E421" s="24"/>
      <c r="F421" s="71"/>
      <c r="G421" s="72"/>
      <c r="H421" s="73"/>
      <c r="I421" s="72"/>
      <c r="J421" s="71"/>
      <c r="K421" s="72"/>
      <c r="L421" s="72"/>
      <c r="M421" s="72"/>
      <c r="N421" s="74"/>
      <c r="O421" s="71"/>
      <c r="P421" s="72"/>
      <c r="Q421" s="72"/>
      <c r="R421" s="72"/>
      <c r="S421" s="74"/>
      <c r="T421" s="75"/>
    </row>
    <row r="422" spans="1:20" x14ac:dyDescent="0.35">
      <c r="A422" s="17"/>
      <c r="B422" s="18"/>
      <c r="C422" s="13"/>
      <c r="D422" s="31"/>
      <c r="E422" s="24"/>
      <c r="F422" s="71"/>
      <c r="G422" s="72"/>
      <c r="H422" s="73"/>
      <c r="I422" s="72"/>
      <c r="J422" s="71"/>
      <c r="K422" s="72"/>
      <c r="L422" s="72"/>
      <c r="M422" s="72"/>
      <c r="N422" s="74"/>
      <c r="O422" s="71"/>
      <c r="P422" s="72"/>
      <c r="Q422" s="72"/>
      <c r="R422" s="72"/>
      <c r="S422" s="74"/>
      <c r="T422" s="75"/>
    </row>
    <row r="423" spans="1:20" x14ac:dyDescent="0.35">
      <c r="A423" s="17"/>
      <c r="B423" s="18"/>
      <c r="C423" s="13"/>
      <c r="D423" s="31"/>
      <c r="E423" s="24"/>
      <c r="F423" s="71"/>
      <c r="G423" s="72"/>
      <c r="H423" s="73"/>
      <c r="I423" s="72"/>
      <c r="J423" s="71"/>
      <c r="K423" s="72"/>
      <c r="L423" s="72"/>
      <c r="M423" s="72"/>
      <c r="N423" s="74"/>
      <c r="O423" s="71"/>
      <c r="P423" s="72"/>
      <c r="Q423" s="72"/>
      <c r="R423" s="72"/>
      <c r="S423" s="74"/>
      <c r="T423" s="75"/>
    </row>
    <row r="424" spans="1:20" x14ac:dyDescent="0.35">
      <c r="A424" s="17"/>
      <c r="B424" s="18"/>
      <c r="C424" s="13"/>
      <c r="D424" s="31"/>
      <c r="E424" s="24"/>
      <c r="F424" s="71"/>
      <c r="G424" s="72"/>
      <c r="H424" s="73"/>
      <c r="I424" s="72"/>
      <c r="J424" s="71"/>
      <c r="K424" s="72"/>
      <c r="L424" s="72"/>
      <c r="M424" s="72"/>
      <c r="N424" s="74"/>
      <c r="O424" s="71"/>
      <c r="P424" s="72"/>
      <c r="Q424" s="72"/>
      <c r="R424" s="72"/>
      <c r="S424" s="74"/>
      <c r="T424" s="75"/>
    </row>
    <row r="425" spans="1:20" x14ac:dyDescent="0.35">
      <c r="A425" s="17"/>
      <c r="B425" s="18"/>
      <c r="C425" s="13"/>
      <c r="D425" s="31"/>
      <c r="E425" s="24"/>
      <c r="F425" s="71"/>
      <c r="G425" s="72"/>
      <c r="H425" s="73"/>
      <c r="I425" s="72"/>
      <c r="J425" s="71"/>
      <c r="K425" s="72"/>
      <c r="L425" s="72"/>
      <c r="M425" s="72"/>
      <c r="N425" s="74"/>
      <c r="O425" s="71"/>
      <c r="P425" s="72"/>
      <c r="Q425" s="72"/>
      <c r="R425" s="72"/>
      <c r="S425" s="74"/>
      <c r="T425" s="75"/>
    </row>
    <row r="426" spans="1:20" x14ac:dyDescent="0.35">
      <c r="A426" s="17"/>
      <c r="B426" s="18"/>
      <c r="C426" s="13"/>
      <c r="D426" s="31"/>
      <c r="E426" s="24"/>
      <c r="F426" s="71"/>
      <c r="G426" s="72"/>
      <c r="H426" s="73"/>
      <c r="I426" s="72"/>
      <c r="J426" s="71"/>
      <c r="K426" s="72"/>
      <c r="L426" s="72"/>
      <c r="M426" s="72"/>
      <c r="N426" s="74"/>
      <c r="O426" s="71"/>
      <c r="P426" s="72"/>
      <c r="Q426" s="72"/>
      <c r="R426" s="72"/>
      <c r="S426" s="74"/>
      <c r="T426" s="75"/>
    </row>
    <row r="427" spans="1:20" x14ac:dyDescent="0.35">
      <c r="A427" s="17"/>
      <c r="B427" s="18"/>
      <c r="C427" s="13"/>
      <c r="D427" s="31"/>
      <c r="E427" s="24"/>
      <c r="F427" s="71"/>
      <c r="G427" s="72"/>
      <c r="H427" s="73"/>
      <c r="I427" s="72"/>
      <c r="J427" s="71"/>
      <c r="K427" s="72"/>
      <c r="L427" s="72"/>
      <c r="M427" s="72"/>
      <c r="N427" s="74"/>
      <c r="O427" s="71"/>
      <c r="P427" s="72"/>
      <c r="Q427" s="72"/>
      <c r="R427" s="72"/>
      <c r="S427" s="74"/>
      <c r="T427" s="75"/>
    </row>
    <row r="428" spans="1:20" x14ac:dyDescent="0.35">
      <c r="A428" s="17"/>
      <c r="B428" s="18"/>
      <c r="C428" s="13"/>
      <c r="D428" s="31"/>
      <c r="E428" s="24"/>
      <c r="F428" s="71"/>
      <c r="G428" s="72"/>
      <c r="H428" s="73"/>
      <c r="I428" s="72"/>
      <c r="J428" s="71"/>
      <c r="K428" s="72"/>
      <c r="L428" s="72"/>
      <c r="M428" s="72"/>
      <c r="N428" s="74"/>
      <c r="O428" s="71"/>
      <c r="P428" s="72"/>
      <c r="Q428" s="72"/>
      <c r="R428" s="72"/>
      <c r="S428" s="74"/>
      <c r="T428" s="75"/>
    </row>
    <row r="429" spans="1:20" x14ac:dyDescent="0.35">
      <c r="A429" s="17"/>
      <c r="B429" s="18"/>
      <c r="C429" s="13"/>
      <c r="D429" s="31"/>
      <c r="E429" s="24"/>
      <c r="F429" s="71"/>
      <c r="G429" s="72"/>
      <c r="H429" s="73"/>
      <c r="I429" s="72"/>
      <c r="J429" s="71"/>
      <c r="K429" s="72"/>
      <c r="L429" s="72"/>
      <c r="M429" s="72"/>
      <c r="N429" s="74"/>
      <c r="O429" s="71"/>
      <c r="P429" s="72"/>
      <c r="Q429" s="72"/>
      <c r="R429" s="72"/>
      <c r="S429" s="74"/>
      <c r="T429" s="75"/>
    </row>
    <row r="430" spans="1:20" x14ac:dyDescent="0.35">
      <c r="A430" s="17"/>
      <c r="B430" s="18"/>
      <c r="C430" s="13"/>
      <c r="D430" s="31"/>
      <c r="E430" s="24"/>
      <c r="F430" s="71"/>
      <c r="G430" s="72"/>
      <c r="H430" s="73"/>
      <c r="I430" s="72"/>
      <c r="J430" s="71"/>
      <c r="K430" s="72"/>
      <c r="L430" s="72"/>
      <c r="M430" s="72"/>
      <c r="N430" s="74"/>
      <c r="O430" s="71"/>
      <c r="P430" s="72"/>
      <c r="Q430" s="72"/>
      <c r="R430" s="72"/>
      <c r="S430" s="74"/>
      <c r="T430" s="75"/>
    </row>
    <row r="431" spans="1:20" x14ac:dyDescent="0.35">
      <c r="A431" s="17"/>
      <c r="B431" s="18"/>
      <c r="C431" s="13"/>
      <c r="D431" s="31"/>
      <c r="E431" s="24"/>
      <c r="F431" s="71"/>
      <c r="G431" s="72"/>
      <c r="H431" s="73"/>
      <c r="I431" s="72"/>
      <c r="J431" s="71"/>
      <c r="K431" s="72"/>
      <c r="L431" s="72"/>
      <c r="M431" s="72"/>
      <c r="N431" s="74"/>
      <c r="O431" s="71"/>
      <c r="P431" s="72"/>
      <c r="Q431" s="72"/>
      <c r="R431" s="72"/>
      <c r="S431" s="74"/>
      <c r="T431" s="75"/>
    </row>
    <row r="432" spans="1:20" x14ac:dyDescent="0.35">
      <c r="A432" s="17"/>
      <c r="B432" s="18"/>
      <c r="C432" s="13"/>
      <c r="D432" s="31"/>
      <c r="E432" s="24"/>
      <c r="F432" s="71"/>
      <c r="G432" s="72"/>
      <c r="H432" s="73"/>
      <c r="I432" s="72"/>
      <c r="J432" s="71"/>
      <c r="K432" s="72"/>
      <c r="L432" s="72"/>
      <c r="M432" s="72"/>
      <c r="N432" s="74"/>
      <c r="O432" s="71"/>
      <c r="P432" s="72"/>
      <c r="Q432" s="72"/>
      <c r="R432" s="72"/>
      <c r="S432" s="74"/>
      <c r="T432" s="75"/>
    </row>
    <row r="433" spans="1:20" x14ac:dyDescent="0.35">
      <c r="A433" s="17"/>
      <c r="B433" s="18"/>
      <c r="C433" s="13"/>
      <c r="D433" s="31"/>
      <c r="E433" s="24"/>
      <c r="F433" s="71"/>
      <c r="G433" s="72"/>
      <c r="H433" s="73"/>
      <c r="I433" s="72"/>
      <c r="J433" s="71"/>
      <c r="K433" s="72"/>
      <c r="L433" s="72"/>
      <c r="M433" s="72"/>
      <c r="N433" s="74"/>
      <c r="O433" s="71"/>
      <c r="P433" s="72"/>
      <c r="Q433" s="72"/>
      <c r="R433" s="72"/>
      <c r="S433" s="74"/>
      <c r="T433" s="75"/>
    </row>
    <row r="434" spans="1:20" x14ac:dyDescent="0.35">
      <c r="A434" s="17"/>
      <c r="B434" s="18"/>
      <c r="C434" s="13"/>
      <c r="D434" s="31"/>
      <c r="E434" s="24"/>
      <c r="F434" s="71"/>
      <c r="G434" s="72"/>
      <c r="H434" s="73"/>
      <c r="I434" s="72"/>
      <c r="J434" s="71"/>
      <c r="K434" s="72"/>
      <c r="L434" s="72"/>
      <c r="M434" s="72"/>
      <c r="N434" s="74"/>
      <c r="O434" s="71"/>
      <c r="P434" s="72"/>
      <c r="Q434" s="72"/>
      <c r="R434" s="72"/>
      <c r="S434" s="74"/>
      <c r="T434" s="75"/>
    </row>
    <row r="435" spans="1:20" x14ac:dyDescent="0.35">
      <c r="A435" s="17"/>
      <c r="B435" s="18"/>
      <c r="C435" s="13"/>
      <c r="D435" s="31"/>
      <c r="E435" s="24"/>
      <c r="F435" s="71"/>
      <c r="G435" s="72"/>
      <c r="H435" s="73"/>
      <c r="I435" s="72"/>
      <c r="J435" s="71"/>
      <c r="K435" s="72"/>
      <c r="L435" s="72"/>
      <c r="M435" s="72"/>
      <c r="N435" s="74"/>
      <c r="O435" s="71"/>
      <c r="P435" s="72"/>
      <c r="Q435" s="72"/>
      <c r="R435" s="72"/>
      <c r="S435" s="74"/>
      <c r="T435" s="75"/>
    </row>
    <row r="436" spans="1:20" x14ac:dyDescent="0.35">
      <c r="A436" s="17"/>
      <c r="B436" s="18"/>
      <c r="C436" s="13"/>
      <c r="D436" s="31"/>
      <c r="E436" s="24"/>
      <c r="F436" s="71"/>
      <c r="G436" s="72"/>
      <c r="H436" s="73"/>
      <c r="I436" s="72"/>
      <c r="J436" s="71"/>
      <c r="K436" s="72"/>
      <c r="L436" s="72"/>
      <c r="M436" s="72"/>
      <c r="N436" s="74"/>
      <c r="O436" s="71"/>
      <c r="P436" s="72"/>
      <c r="Q436" s="72"/>
      <c r="R436" s="72"/>
      <c r="S436" s="74"/>
      <c r="T436" s="75"/>
    </row>
    <row r="437" spans="1:20" x14ac:dyDescent="0.35">
      <c r="A437" s="17"/>
      <c r="B437" s="18"/>
      <c r="C437" s="13"/>
      <c r="D437" s="31"/>
      <c r="E437" s="24"/>
      <c r="F437" s="71"/>
      <c r="G437" s="72"/>
      <c r="H437" s="73"/>
      <c r="I437" s="72"/>
      <c r="J437" s="71"/>
      <c r="K437" s="72"/>
      <c r="L437" s="72"/>
      <c r="M437" s="72"/>
      <c r="N437" s="74"/>
      <c r="O437" s="71"/>
      <c r="P437" s="72"/>
      <c r="Q437" s="72"/>
      <c r="R437" s="72"/>
      <c r="S437" s="74"/>
      <c r="T437" s="75"/>
    </row>
    <row r="438" spans="1:20" x14ac:dyDescent="0.35">
      <c r="A438" s="17"/>
      <c r="B438" s="18"/>
      <c r="C438" s="13"/>
      <c r="D438" s="31"/>
      <c r="E438" s="24"/>
      <c r="F438" s="71"/>
      <c r="G438" s="72"/>
      <c r="H438" s="73"/>
      <c r="I438" s="72"/>
      <c r="J438" s="71"/>
      <c r="K438" s="72"/>
      <c r="L438" s="72"/>
      <c r="M438" s="72"/>
      <c r="N438" s="74"/>
      <c r="O438" s="71"/>
      <c r="P438" s="72"/>
      <c r="Q438" s="72"/>
      <c r="R438" s="72"/>
      <c r="S438" s="74"/>
      <c r="T438" s="75"/>
    </row>
    <row r="439" spans="1:20" x14ac:dyDescent="0.35">
      <c r="A439" s="17"/>
      <c r="B439" s="18"/>
      <c r="C439" s="13"/>
      <c r="D439" s="31"/>
      <c r="E439" s="24"/>
      <c r="F439" s="71"/>
      <c r="G439" s="72"/>
      <c r="H439" s="73"/>
      <c r="I439" s="72"/>
      <c r="J439" s="71"/>
      <c r="K439" s="72"/>
      <c r="L439" s="72"/>
      <c r="M439" s="72"/>
      <c r="N439" s="74"/>
      <c r="O439" s="71"/>
      <c r="P439" s="72"/>
      <c r="Q439" s="72"/>
      <c r="R439" s="72"/>
      <c r="S439" s="74"/>
      <c r="T439" s="75"/>
    </row>
    <row r="440" spans="1:20" x14ac:dyDescent="0.35">
      <c r="A440" s="17"/>
      <c r="B440" s="18"/>
      <c r="C440" s="13"/>
      <c r="D440" s="31"/>
      <c r="E440" s="24"/>
      <c r="F440" s="71"/>
      <c r="G440" s="72"/>
      <c r="H440" s="73"/>
      <c r="I440" s="72"/>
      <c r="J440" s="71"/>
      <c r="K440" s="72"/>
      <c r="L440" s="72"/>
      <c r="M440" s="72"/>
      <c r="N440" s="74"/>
      <c r="O440" s="71"/>
      <c r="P440" s="72"/>
      <c r="Q440" s="72"/>
      <c r="R440" s="72"/>
      <c r="S440" s="74"/>
      <c r="T440" s="75"/>
    </row>
    <row r="441" spans="1:20" x14ac:dyDescent="0.35">
      <c r="A441" s="17"/>
      <c r="B441" s="18"/>
      <c r="C441" s="13"/>
      <c r="D441" s="31"/>
      <c r="E441" s="24"/>
      <c r="F441" s="71"/>
      <c r="G441" s="72"/>
      <c r="H441" s="73"/>
      <c r="I441" s="72"/>
      <c r="J441" s="71"/>
      <c r="K441" s="72"/>
      <c r="L441" s="72"/>
      <c r="M441" s="72"/>
      <c r="N441" s="74"/>
      <c r="O441" s="71"/>
      <c r="P441" s="72"/>
      <c r="Q441" s="72"/>
      <c r="R441" s="72"/>
      <c r="S441" s="74"/>
      <c r="T441" s="75"/>
    </row>
    <row r="442" spans="1:20" x14ac:dyDescent="0.35">
      <c r="A442" s="17"/>
      <c r="B442" s="18"/>
      <c r="C442" s="13"/>
      <c r="D442" s="31"/>
      <c r="E442" s="24"/>
      <c r="F442" s="71"/>
      <c r="G442" s="72"/>
      <c r="H442" s="73"/>
      <c r="I442" s="72"/>
      <c r="J442" s="71"/>
      <c r="K442" s="72"/>
      <c r="L442" s="72"/>
      <c r="M442" s="72"/>
      <c r="N442" s="74"/>
      <c r="O442" s="71"/>
      <c r="P442" s="72"/>
      <c r="Q442" s="72"/>
      <c r="R442" s="72"/>
      <c r="S442" s="74"/>
      <c r="T442" s="75"/>
    </row>
    <row r="443" spans="1:20" x14ac:dyDescent="0.35">
      <c r="A443" s="17"/>
      <c r="B443" s="18"/>
      <c r="C443" s="13"/>
      <c r="D443" s="31"/>
      <c r="E443" s="24"/>
      <c r="F443" s="71"/>
      <c r="G443" s="72"/>
      <c r="H443" s="73"/>
      <c r="I443" s="72"/>
      <c r="J443" s="71"/>
      <c r="K443" s="72"/>
      <c r="L443" s="72"/>
      <c r="M443" s="72"/>
      <c r="N443" s="74"/>
      <c r="O443" s="71"/>
      <c r="P443" s="72"/>
      <c r="Q443" s="72"/>
      <c r="R443" s="72"/>
      <c r="S443" s="74"/>
      <c r="T443" s="75"/>
    </row>
    <row r="444" spans="1:20" x14ac:dyDescent="0.35">
      <c r="A444" s="17"/>
      <c r="B444" s="18"/>
      <c r="C444" s="13"/>
      <c r="D444" s="31"/>
      <c r="E444" s="24"/>
      <c r="F444" s="71"/>
      <c r="G444" s="72"/>
      <c r="H444" s="73"/>
      <c r="I444" s="72"/>
      <c r="J444" s="71"/>
      <c r="K444" s="72"/>
      <c r="L444" s="72"/>
      <c r="M444" s="72"/>
      <c r="N444" s="74"/>
      <c r="O444" s="71"/>
      <c r="P444" s="72"/>
      <c r="Q444" s="72"/>
      <c r="R444" s="72"/>
      <c r="S444" s="74"/>
      <c r="T444" s="75"/>
    </row>
    <row r="445" spans="1:20" x14ac:dyDescent="0.35">
      <c r="A445" s="17"/>
      <c r="B445" s="18"/>
      <c r="C445" s="13"/>
      <c r="D445" s="31"/>
      <c r="E445" s="24"/>
      <c r="F445" s="71"/>
      <c r="G445" s="72"/>
      <c r="H445" s="73"/>
      <c r="I445" s="72"/>
      <c r="J445" s="71"/>
      <c r="K445" s="72"/>
      <c r="L445" s="72"/>
      <c r="M445" s="72"/>
      <c r="N445" s="74"/>
      <c r="O445" s="71"/>
      <c r="P445" s="72"/>
      <c r="Q445" s="72"/>
      <c r="R445" s="72"/>
      <c r="S445" s="74"/>
      <c r="T445" s="75"/>
    </row>
    <row r="446" spans="1:20" x14ac:dyDescent="0.35">
      <c r="A446" s="17"/>
      <c r="B446" s="18"/>
      <c r="C446" s="13"/>
      <c r="D446" s="31"/>
      <c r="E446" s="24"/>
      <c r="F446" s="71"/>
      <c r="G446" s="72"/>
      <c r="H446" s="73"/>
      <c r="I446" s="72"/>
      <c r="J446" s="71"/>
      <c r="K446" s="72"/>
      <c r="L446" s="72"/>
      <c r="M446" s="72"/>
      <c r="N446" s="74"/>
      <c r="O446" s="71"/>
      <c r="P446" s="72"/>
      <c r="Q446" s="72"/>
      <c r="R446" s="72"/>
      <c r="S446" s="74"/>
      <c r="T446" s="75"/>
    </row>
    <row r="447" spans="1:20" x14ac:dyDescent="0.35">
      <c r="A447" s="17"/>
      <c r="B447" s="18"/>
      <c r="C447" s="13"/>
      <c r="D447" s="31"/>
      <c r="E447" s="24"/>
      <c r="F447" s="71"/>
      <c r="G447" s="72"/>
      <c r="H447" s="73"/>
      <c r="I447" s="72"/>
      <c r="J447" s="71"/>
      <c r="K447" s="72"/>
      <c r="L447" s="72"/>
      <c r="M447" s="72"/>
      <c r="N447" s="74"/>
      <c r="O447" s="71"/>
      <c r="P447" s="72"/>
      <c r="Q447" s="72"/>
      <c r="R447" s="72"/>
      <c r="S447" s="74"/>
      <c r="T447" s="75"/>
    </row>
    <row r="448" spans="1:20" x14ac:dyDescent="0.35">
      <c r="A448" s="17"/>
      <c r="B448" s="18"/>
      <c r="C448" s="13"/>
      <c r="D448" s="31"/>
      <c r="E448" s="24"/>
      <c r="F448" s="71"/>
      <c r="G448" s="72"/>
      <c r="H448" s="73"/>
      <c r="I448" s="72"/>
      <c r="J448" s="71"/>
      <c r="K448" s="72"/>
      <c r="L448" s="72"/>
      <c r="M448" s="72"/>
      <c r="N448" s="74"/>
      <c r="O448" s="71"/>
      <c r="P448" s="72"/>
      <c r="Q448" s="72"/>
      <c r="R448" s="72"/>
      <c r="S448" s="74"/>
      <c r="T448" s="75"/>
    </row>
    <row r="449" spans="1:20" x14ac:dyDescent="0.35">
      <c r="A449" s="17"/>
      <c r="B449" s="18"/>
      <c r="C449" s="13"/>
      <c r="D449" s="31"/>
      <c r="E449" s="24"/>
      <c r="F449" s="71"/>
      <c r="G449" s="72"/>
      <c r="H449" s="73"/>
      <c r="I449" s="72"/>
      <c r="J449" s="71"/>
      <c r="K449" s="72"/>
      <c r="L449" s="72"/>
      <c r="M449" s="72"/>
      <c r="N449" s="74"/>
      <c r="O449" s="71"/>
      <c r="P449" s="72"/>
      <c r="Q449" s="72"/>
      <c r="R449" s="72"/>
      <c r="S449" s="74"/>
      <c r="T449" s="75"/>
    </row>
    <row r="450" spans="1:20" x14ac:dyDescent="0.35">
      <c r="A450" s="17"/>
      <c r="B450" s="18"/>
      <c r="C450" s="13"/>
      <c r="D450" s="31"/>
      <c r="E450" s="24"/>
      <c r="F450" s="71"/>
      <c r="G450" s="72"/>
      <c r="H450" s="73"/>
      <c r="I450" s="72"/>
      <c r="J450" s="71"/>
      <c r="K450" s="72"/>
      <c r="L450" s="72"/>
      <c r="M450" s="72"/>
      <c r="N450" s="74"/>
      <c r="O450" s="71"/>
      <c r="P450" s="72"/>
      <c r="Q450" s="72"/>
      <c r="R450" s="72"/>
      <c r="S450" s="74"/>
      <c r="T450" s="75"/>
    </row>
    <row r="451" spans="1:20" x14ac:dyDescent="0.35">
      <c r="A451" s="17"/>
      <c r="B451" s="18"/>
      <c r="C451" s="13"/>
      <c r="D451" s="31"/>
      <c r="E451" s="24"/>
      <c r="F451" s="71"/>
      <c r="G451" s="72"/>
      <c r="H451" s="73"/>
      <c r="I451" s="72"/>
      <c r="J451" s="71"/>
      <c r="K451" s="72"/>
      <c r="L451" s="72"/>
      <c r="M451" s="72"/>
      <c r="N451" s="74"/>
      <c r="O451" s="71"/>
      <c r="P451" s="72"/>
      <c r="Q451" s="72"/>
      <c r="R451" s="72"/>
      <c r="S451" s="74"/>
      <c r="T451" s="75"/>
    </row>
    <row r="452" spans="1:20" x14ac:dyDescent="0.35">
      <c r="A452" s="17"/>
      <c r="B452" s="18"/>
      <c r="C452" s="13"/>
      <c r="D452" s="31"/>
      <c r="E452" s="24"/>
      <c r="F452" s="71"/>
      <c r="G452" s="72"/>
      <c r="H452" s="73"/>
      <c r="I452" s="72"/>
      <c r="J452" s="71"/>
      <c r="K452" s="72"/>
      <c r="L452" s="72"/>
      <c r="M452" s="72"/>
      <c r="N452" s="74"/>
      <c r="O452" s="71"/>
      <c r="P452" s="72"/>
      <c r="Q452" s="72"/>
      <c r="R452" s="72"/>
      <c r="S452" s="74"/>
      <c r="T452" s="75"/>
    </row>
    <row r="453" spans="1:20" x14ac:dyDescent="0.35">
      <c r="A453" s="17"/>
      <c r="B453" s="18"/>
      <c r="C453" s="13"/>
      <c r="D453" s="31"/>
      <c r="E453" s="24"/>
      <c r="F453" s="71"/>
      <c r="G453" s="72"/>
      <c r="H453" s="73"/>
      <c r="I453" s="72"/>
      <c r="J453" s="71"/>
      <c r="K453" s="72"/>
      <c r="L453" s="72"/>
      <c r="M453" s="72"/>
      <c r="N453" s="74"/>
      <c r="O453" s="71"/>
      <c r="P453" s="72"/>
      <c r="Q453" s="72"/>
      <c r="R453" s="72"/>
      <c r="S453" s="74"/>
      <c r="T453" s="75"/>
    </row>
    <row r="454" spans="1:20" x14ac:dyDescent="0.35">
      <c r="A454" s="17"/>
      <c r="B454" s="18"/>
      <c r="C454" s="13"/>
      <c r="D454" s="31"/>
      <c r="E454" s="24"/>
      <c r="F454" s="71"/>
      <c r="G454" s="72"/>
      <c r="H454" s="73"/>
      <c r="I454" s="72"/>
      <c r="J454" s="71"/>
      <c r="K454" s="72"/>
      <c r="L454" s="72"/>
      <c r="M454" s="72"/>
      <c r="N454" s="74"/>
      <c r="O454" s="71"/>
      <c r="P454" s="72"/>
      <c r="Q454" s="72"/>
      <c r="R454" s="72"/>
      <c r="S454" s="74"/>
      <c r="T454" s="75"/>
    </row>
    <row r="455" spans="1:20" x14ac:dyDescent="0.35">
      <c r="A455" s="17"/>
      <c r="B455" s="18"/>
      <c r="C455" s="13"/>
      <c r="D455" s="31"/>
      <c r="E455" s="24"/>
      <c r="F455" s="71"/>
      <c r="G455" s="72"/>
      <c r="H455" s="73"/>
      <c r="I455" s="72"/>
      <c r="J455" s="71"/>
      <c r="K455" s="72"/>
      <c r="L455" s="72"/>
      <c r="M455" s="72"/>
      <c r="N455" s="74"/>
      <c r="O455" s="71"/>
      <c r="P455" s="72"/>
      <c r="Q455" s="72"/>
      <c r="R455" s="72"/>
      <c r="S455" s="74"/>
      <c r="T455" s="75"/>
    </row>
    <row r="456" spans="1:20" x14ac:dyDescent="0.35">
      <c r="A456" s="17"/>
      <c r="B456" s="18"/>
      <c r="C456" s="13"/>
      <c r="D456" s="31"/>
      <c r="E456" s="24"/>
      <c r="F456" s="71"/>
      <c r="G456" s="72"/>
      <c r="H456" s="73"/>
      <c r="I456" s="72"/>
      <c r="J456" s="71"/>
      <c r="K456" s="72"/>
      <c r="L456" s="72"/>
      <c r="M456" s="72"/>
      <c r="N456" s="74"/>
      <c r="O456" s="71"/>
      <c r="P456" s="72"/>
      <c r="Q456" s="72"/>
      <c r="R456" s="72"/>
      <c r="S456" s="74"/>
      <c r="T456" s="75"/>
    </row>
    <row r="457" spans="1:20" x14ac:dyDescent="0.35">
      <c r="A457" s="17"/>
      <c r="B457" s="18"/>
      <c r="C457" s="13"/>
      <c r="D457" s="31"/>
      <c r="E457" s="24"/>
      <c r="F457" s="71"/>
      <c r="G457" s="72"/>
      <c r="H457" s="73"/>
      <c r="I457" s="72"/>
      <c r="J457" s="71"/>
      <c r="K457" s="72"/>
      <c r="L457" s="72"/>
      <c r="M457" s="72"/>
      <c r="N457" s="74"/>
      <c r="O457" s="71"/>
      <c r="P457" s="72"/>
      <c r="Q457" s="72"/>
      <c r="R457" s="72"/>
      <c r="S457" s="74"/>
      <c r="T457" s="75"/>
    </row>
    <row r="458" spans="1:20" x14ac:dyDescent="0.35">
      <c r="A458" s="17"/>
      <c r="B458" s="18"/>
      <c r="C458" s="13"/>
      <c r="D458" s="31"/>
      <c r="E458" s="24"/>
      <c r="F458" s="71"/>
      <c r="G458" s="72"/>
      <c r="H458" s="73"/>
      <c r="I458" s="72"/>
      <c r="J458" s="71"/>
      <c r="K458" s="72"/>
      <c r="L458" s="72"/>
      <c r="M458" s="72"/>
      <c r="N458" s="74"/>
      <c r="O458" s="71"/>
      <c r="P458" s="72"/>
      <c r="Q458" s="72"/>
      <c r="R458" s="72"/>
      <c r="S458" s="74"/>
      <c r="T458" s="75"/>
    </row>
    <row r="459" spans="1:20" x14ac:dyDescent="0.35">
      <c r="A459" s="17"/>
      <c r="B459" s="18"/>
      <c r="C459" s="13"/>
      <c r="D459" s="31"/>
      <c r="E459" s="24"/>
      <c r="F459" s="71"/>
      <c r="G459" s="72"/>
      <c r="H459" s="73"/>
      <c r="I459" s="72"/>
      <c r="J459" s="71"/>
      <c r="K459" s="72"/>
      <c r="L459" s="72"/>
      <c r="M459" s="72"/>
      <c r="N459" s="74"/>
      <c r="O459" s="71"/>
      <c r="P459" s="72"/>
      <c r="Q459" s="72"/>
      <c r="R459" s="72"/>
      <c r="S459" s="74"/>
      <c r="T459" s="75"/>
    </row>
    <row r="460" spans="1:20" x14ac:dyDescent="0.35">
      <c r="A460" s="17"/>
      <c r="B460" s="18"/>
      <c r="C460" s="13"/>
      <c r="D460" s="31"/>
      <c r="E460" s="24"/>
      <c r="F460" s="71"/>
      <c r="G460" s="72"/>
      <c r="H460" s="73"/>
      <c r="I460" s="72"/>
      <c r="J460" s="71"/>
      <c r="K460" s="72"/>
      <c r="L460" s="72"/>
      <c r="M460" s="72"/>
      <c r="N460" s="74"/>
      <c r="O460" s="71"/>
      <c r="P460" s="72"/>
      <c r="Q460" s="72"/>
      <c r="R460" s="72"/>
      <c r="S460" s="74"/>
      <c r="T460" s="75"/>
    </row>
    <row r="461" spans="1:20" x14ac:dyDescent="0.35">
      <c r="A461" s="17"/>
      <c r="B461" s="18"/>
      <c r="C461" s="13"/>
      <c r="D461" s="31"/>
      <c r="E461" s="24"/>
      <c r="F461" s="71"/>
      <c r="G461" s="72"/>
      <c r="H461" s="73"/>
      <c r="I461" s="72"/>
      <c r="J461" s="71"/>
      <c r="K461" s="72"/>
      <c r="L461" s="72"/>
      <c r="M461" s="72"/>
      <c r="N461" s="74"/>
      <c r="O461" s="71"/>
      <c r="P461" s="72"/>
      <c r="Q461" s="72"/>
      <c r="R461" s="72"/>
      <c r="S461" s="74"/>
      <c r="T461" s="75"/>
    </row>
    <row r="462" spans="1:20" x14ac:dyDescent="0.35">
      <c r="A462" s="17"/>
      <c r="B462" s="18"/>
      <c r="C462" s="13"/>
      <c r="D462" s="31"/>
      <c r="E462" s="24"/>
      <c r="F462" s="71"/>
      <c r="G462" s="72"/>
      <c r="H462" s="73"/>
      <c r="I462" s="72"/>
      <c r="J462" s="71"/>
      <c r="K462" s="72"/>
      <c r="L462" s="72"/>
      <c r="M462" s="72"/>
      <c r="N462" s="74"/>
      <c r="O462" s="71"/>
      <c r="P462" s="72"/>
      <c r="Q462" s="72"/>
      <c r="R462" s="72"/>
      <c r="S462" s="74"/>
      <c r="T462" s="75"/>
    </row>
    <row r="463" spans="1:20" x14ac:dyDescent="0.35">
      <c r="A463" s="17"/>
      <c r="B463" s="18"/>
      <c r="C463" s="13"/>
      <c r="D463" s="31"/>
      <c r="E463" s="24"/>
      <c r="F463" s="71"/>
      <c r="G463" s="72"/>
      <c r="H463" s="73"/>
      <c r="I463" s="72"/>
      <c r="J463" s="71"/>
      <c r="K463" s="72"/>
      <c r="L463" s="72"/>
      <c r="M463" s="72"/>
      <c r="N463" s="74"/>
      <c r="O463" s="71"/>
      <c r="P463" s="72"/>
      <c r="Q463" s="72"/>
      <c r="R463" s="72"/>
      <c r="S463" s="74"/>
      <c r="T463" s="75"/>
    </row>
    <row r="464" spans="1:20" x14ac:dyDescent="0.35">
      <c r="A464" s="17"/>
      <c r="B464" s="18"/>
      <c r="C464" s="13"/>
      <c r="D464" s="31"/>
      <c r="E464" s="24"/>
      <c r="F464" s="71"/>
      <c r="G464" s="72"/>
      <c r="H464" s="73"/>
      <c r="I464" s="72"/>
      <c r="J464" s="71"/>
      <c r="K464" s="72"/>
      <c r="L464" s="72"/>
      <c r="M464" s="72"/>
      <c r="N464" s="74"/>
      <c r="O464" s="71"/>
      <c r="P464" s="72"/>
      <c r="Q464" s="72"/>
      <c r="R464" s="72"/>
      <c r="S464" s="74"/>
      <c r="T464" s="75"/>
    </row>
    <row r="465" spans="1:20" x14ac:dyDescent="0.35">
      <c r="A465" s="17"/>
      <c r="B465" s="18"/>
      <c r="C465" s="13"/>
      <c r="D465" s="31"/>
      <c r="E465" s="24"/>
      <c r="F465" s="71"/>
      <c r="G465" s="72"/>
      <c r="H465" s="73"/>
      <c r="I465" s="72"/>
      <c r="J465" s="71"/>
      <c r="K465" s="72"/>
      <c r="L465" s="72"/>
      <c r="M465" s="72"/>
      <c r="N465" s="74"/>
      <c r="O465" s="71"/>
      <c r="P465" s="72"/>
      <c r="Q465" s="72"/>
      <c r="R465" s="72"/>
      <c r="S465" s="74"/>
      <c r="T465" s="75"/>
    </row>
    <row r="466" spans="1:20" x14ac:dyDescent="0.35">
      <c r="A466" s="17"/>
      <c r="B466" s="18"/>
      <c r="C466" s="13"/>
      <c r="D466" s="31"/>
      <c r="E466" s="24"/>
      <c r="F466" s="71"/>
      <c r="G466" s="72"/>
      <c r="H466" s="73"/>
      <c r="I466" s="72"/>
      <c r="J466" s="71"/>
      <c r="K466" s="72"/>
      <c r="L466" s="72"/>
      <c r="M466" s="72"/>
      <c r="N466" s="74"/>
      <c r="O466" s="71"/>
      <c r="P466" s="72"/>
      <c r="Q466" s="72"/>
      <c r="R466" s="72"/>
      <c r="S466" s="74"/>
      <c r="T466" s="75"/>
    </row>
    <row r="467" spans="1:20" x14ac:dyDescent="0.35">
      <c r="A467" s="17"/>
      <c r="B467" s="18"/>
      <c r="C467" s="13"/>
      <c r="D467" s="31"/>
      <c r="E467" s="24"/>
      <c r="F467" s="71"/>
      <c r="G467" s="72"/>
      <c r="H467" s="73"/>
      <c r="I467" s="72"/>
      <c r="J467" s="71"/>
      <c r="K467" s="72"/>
      <c r="L467" s="72"/>
      <c r="M467" s="72"/>
      <c r="N467" s="74"/>
      <c r="O467" s="71"/>
      <c r="P467" s="72"/>
      <c r="Q467" s="72"/>
      <c r="R467" s="72"/>
      <c r="S467" s="74"/>
      <c r="T467" s="75"/>
    </row>
    <row r="468" spans="1:20" x14ac:dyDescent="0.35">
      <c r="A468" s="17"/>
      <c r="B468" s="18"/>
      <c r="C468" s="13"/>
      <c r="D468" s="31"/>
      <c r="E468" s="24"/>
      <c r="F468" s="71"/>
      <c r="G468" s="72"/>
      <c r="H468" s="73"/>
      <c r="I468" s="72"/>
      <c r="J468" s="71"/>
      <c r="K468" s="72"/>
      <c r="L468" s="72"/>
      <c r="M468" s="72"/>
      <c r="N468" s="74"/>
      <c r="O468" s="71"/>
      <c r="P468" s="72"/>
      <c r="Q468" s="72"/>
      <c r="R468" s="72"/>
      <c r="S468" s="74"/>
      <c r="T468" s="75"/>
    </row>
    <row r="469" spans="1:20" x14ac:dyDescent="0.35">
      <c r="A469" s="17"/>
      <c r="B469" s="18"/>
      <c r="C469" s="13"/>
      <c r="D469" s="31"/>
      <c r="E469" s="24"/>
      <c r="F469" s="71"/>
      <c r="G469" s="72"/>
      <c r="H469" s="73"/>
      <c r="I469" s="72"/>
      <c r="J469" s="71"/>
      <c r="K469" s="72"/>
      <c r="L469" s="72"/>
      <c r="M469" s="72"/>
      <c r="N469" s="74"/>
      <c r="O469" s="71"/>
      <c r="P469" s="72"/>
      <c r="Q469" s="72"/>
      <c r="R469" s="72"/>
      <c r="S469" s="74"/>
      <c r="T469" s="75"/>
    </row>
    <row r="470" spans="1:20" x14ac:dyDescent="0.35">
      <c r="A470" s="17"/>
      <c r="B470" s="18"/>
      <c r="C470" s="13"/>
      <c r="D470" s="31"/>
      <c r="E470" s="24"/>
      <c r="F470" s="71"/>
      <c r="G470" s="72"/>
      <c r="H470" s="73"/>
      <c r="I470" s="72"/>
      <c r="J470" s="71"/>
      <c r="K470" s="72"/>
      <c r="L470" s="72"/>
      <c r="M470" s="72"/>
      <c r="N470" s="74"/>
      <c r="O470" s="71"/>
      <c r="P470" s="72"/>
      <c r="Q470" s="72"/>
      <c r="R470" s="72"/>
      <c r="S470" s="74"/>
      <c r="T470" s="75"/>
    </row>
    <row r="471" spans="1:20" x14ac:dyDescent="0.35">
      <c r="A471" s="17"/>
      <c r="B471" s="18"/>
      <c r="C471" s="13"/>
      <c r="D471" s="31"/>
      <c r="E471" s="24"/>
      <c r="F471" s="22"/>
      <c r="G471" s="23"/>
      <c r="H471" s="24"/>
      <c r="I471" s="23"/>
      <c r="J471" s="22"/>
      <c r="K471" s="23"/>
      <c r="L471" s="23"/>
      <c r="M471" s="23"/>
      <c r="N471" s="25"/>
      <c r="O471" s="22"/>
      <c r="P471" s="23"/>
      <c r="Q471" s="23"/>
      <c r="R471" s="23"/>
      <c r="S471" s="25"/>
      <c r="T471" s="26"/>
    </row>
    <row r="472" spans="1:20" x14ac:dyDescent="0.35">
      <c r="A472" s="17"/>
      <c r="B472" s="18"/>
      <c r="C472" s="13"/>
      <c r="D472" s="31"/>
      <c r="E472" s="24"/>
      <c r="F472" s="22"/>
      <c r="G472" s="23"/>
      <c r="H472" s="24"/>
      <c r="I472" s="23"/>
      <c r="J472" s="22"/>
      <c r="K472" s="23"/>
      <c r="L472" s="23"/>
      <c r="M472" s="23"/>
      <c r="N472" s="25"/>
      <c r="O472" s="22"/>
      <c r="P472" s="23"/>
      <c r="Q472" s="23"/>
      <c r="R472" s="23"/>
      <c r="S472" s="25"/>
      <c r="T472" s="26"/>
    </row>
  </sheetData>
  <sortState ref="A35:T53">
    <sortCondition ref="D35:D53"/>
  </sortState>
  <mergeCells count="16">
    <mergeCell ref="L1:M1"/>
    <mergeCell ref="L2:M2"/>
    <mergeCell ref="I3:J3"/>
    <mergeCell ref="L3:M3"/>
    <mergeCell ref="AW21:AX21"/>
    <mergeCell ref="G22:H22"/>
    <mergeCell ref="AW24:AX24"/>
    <mergeCell ref="G29:H29"/>
    <mergeCell ref="AW4:AY4"/>
    <mergeCell ref="I10:J10"/>
    <mergeCell ref="G13:I13"/>
    <mergeCell ref="J13:L13"/>
    <mergeCell ref="AW20:AY20"/>
    <mergeCell ref="G15:I15"/>
    <mergeCell ref="G17:I17"/>
    <mergeCell ref="J17:L17"/>
  </mergeCells>
  <dataValidations count="5">
    <dataValidation type="list" allowBlank="1" showInputMessage="1" showErrorMessage="1" sqref="W4 R4:U4 Y4:AP4 AR4">
      <formula1>$A$5:$A$37</formula1>
    </dataValidation>
    <dataValidation type="list" allowBlank="1" showInputMessage="1" showErrorMessage="1" sqref="A35:A472">
      <formula1>BUFFS</formula1>
    </dataValidation>
    <dataValidation type="list" allowBlank="1" showInputMessage="1" showErrorMessage="1" sqref="L12 L14 L16">
      <formula1>$A$12:$A$13</formula1>
    </dataValidation>
    <dataValidation type="list" allowBlank="1" showInputMessage="1" showErrorMessage="1" sqref="D1">
      <formula1>$AX$10:$AX$18</formula1>
    </dataValidation>
    <dataValidation type="list" allowBlank="1" showInputMessage="1" showErrorMessage="1" sqref="K12 K14 K16">
      <formula1>$AZ$20:$BD$20</formula1>
    </dataValidation>
  </dataValidations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N472"/>
  <sheetViews>
    <sheetView topLeftCell="A33" workbookViewId="0">
      <selection activeCell="A51" sqref="A51:C51"/>
    </sheetView>
  </sheetViews>
  <sheetFormatPr defaultColWidth="9.109375" defaultRowHeight="18" x14ac:dyDescent="0.35"/>
  <cols>
    <col min="1" max="1" width="25.33203125" style="3" bestFit="1" customWidth="1"/>
    <col min="2" max="2" width="11.44140625" style="181" bestFit="1" customWidth="1"/>
    <col min="3" max="3" width="15" style="181" bestFit="1" customWidth="1"/>
    <col min="4" max="4" width="18.5546875" style="181" customWidth="1"/>
    <col min="5" max="5" width="12.88671875" style="181" bestFit="1" customWidth="1"/>
    <col min="6" max="6" width="20.33203125" style="181" bestFit="1" customWidth="1"/>
    <col min="7" max="7" width="28.109375" style="181" bestFit="1" customWidth="1"/>
    <col min="8" max="8" width="11" style="181" bestFit="1" customWidth="1"/>
    <col min="9" max="9" width="15" style="181" customWidth="1"/>
    <col min="10" max="10" width="20.88671875" style="181" customWidth="1"/>
    <col min="11" max="11" width="15.5546875" style="181" customWidth="1"/>
    <col min="12" max="12" width="17.5546875" style="181" customWidth="1"/>
    <col min="13" max="13" width="13.5546875" style="181" bestFit="1" customWidth="1"/>
    <col min="14" max="14" width="12.88671875" style="181" bestFit="1" customWidth="1"/>
    <col min="15" max="15" width="20.109375" style="181" bestFit="1" customWidth="1"/>
    <col min="16" max="16" width="14.109375" style="181" bestFit="1" customWidth="1"/>
    <col min="17" max="17" width="26.88671875" style="181" customWidth="1"/>
    <col min="18" max="18" width="26.88671875" style="181" bestFit="1" customWidth="1"/>
    <col min="19" max="19" width="18.88671875" style="181" bestFit="1" customWidth="1"/>
    <col min="20" max="20" width="18" style="181" bestFit="1" customWidth="1"/>
    <col min="21" max="21" width="22.109375" style="181" bestFit="1" customWidth="1"/>
    <col min="22" max="22" width="12.5546875" style="181" customWidth="1"/>
    <col min="23" max="23" width="25.6640625" style="181" customWidth="1"/>
    <col min="24" max="24" width="22.109375" style="181" bestFit="1" customWidth="1"/>
    <col min="25" max="25" width="26.88671875" style="181" bestFit="1" customWidth="1"/>
    <col min="26" max="26" width="28.109375" style="181" bestFit="1" customWidth="1"/>
    <col min="27" max="27" width="14.44140625" style="181" bestFit="1" customWidth="1"/>
    <col min="28" max="28" width="14.33203125" style="181" bestFit="1" customWidth="1"/>
    <col min="29" max="29" width="16" style="181" bestFit="1" customWidth="1"/>
    <col min="30" max="30" width="21.44140625" style="181" bestFit="1" customWidth="1"/>
    <col min="31" max="31" width="37.44140625" style="181" customWidth="1"/>
    <col min="32" max="32" width="17.33203125" style="181" bestFit="1" customWidth="1"/>
    <col min="33" max="33" width="14.33203125" style="181" bestFit="1" customWidth="1"/>
    <col min="34" max="34" width="19.109375" style="181" bestFit="1" customWidth="1"/>
    <col min="35" max="35" width="16.33203125" style="181" bestFit="1" customWidth="1"/>
    <col min="36" max="36" width="14.33203125" style="181" bestFit="1" customWidth="1"/>
    <col min="37" max="37" width="13.5546875" style="181" bestFit="1" customWidth="1"/>
    <col min="38" max="38" width="12" style="181" bestFit="1" customWidth="1"/>
    <col min="39" max="40" width="13.5546875" style="181" bestFit="1" customWidth="1"/>
    <col min="41" max="41" width="18.6640625" style="181" customWidth="1"/>
    <col min="42" max="42" width="9.33203125" style="181" bestFit="1" customWidth="1"/>
    <col min="43" max="43" width="14.5546875" style="181" bestFit="1" customWidth="1"/>
    <col min="44" max="44" width="23" style="181" bestFit="1" customWidth="1"/>
    <col min="45" max="51" width="9.109375" style="181"/>
    <col min="52" max="52" width="14.109375" style="181" bestFit="1" customWidth="1"/>
    <col min="53" max="53" width="15.6640625" style="181" bestFit="1" customWidth="1"/>
    <col min="54" max="54" width="15.33203125" style="181" bestFit="1" customWidth="1"/>
    <col min="55" max="55" width="26" style="181" bestFit="1" customWidth="1"/>
    <col min="56" max="56" width="16.109375" style="181" bestFit="1" customWidth="1"/>
    <col min="57" max="16384" width="9.109375" style="181"/>
  </cols>
  <sheetData>
    <row r="1" spans="1:66" ht="23.4" x14ac:dyDescent="0.45">
      <c r="A1" s="3" t="s">
        <v>39</v>
      </c>
      <c r="B1" s="157" t="s">
        <v>216</v>
      </c>
      <c r="C1" s="181" t="s">
        <v>88</v>
      </c>
      <c r="D1" s="86" t="s">
        <v>131</v>
      </c>
      <c r="H1" s="164">
        <f>F1-G1</f>
        <v>0</v>
      </c>
      <c r="L1" s="207"/>
      <c r="M1" s="207"/>
    </row>
    <row r="2" spans="1:66" x14ac:dyDescent="0.35">
      <c r="L2" s="207"/>
      <c r="M2" s="207"/>
      <c r="AW2" s="50"/>
      <c r="AX2" s="51"/>
      <c r="AY2" s="51"/>
      <c r="AZ2" s="51"/>
      <c r="BA2" s="51"/>
      <c r="BB2" s="51"/>
      <c r="BC2" s="51"/>
      <c r="BD2" s="12"/>
      <c r="BE2" s="51"/>
      <c r="BF2" s="181" t="s">
        <v>111</v>
      </c>
      <c r="BG2" s="12"/>
      <c r="BH2" s="51"/>
      <c r="BI2" s="51"/>
      <c r="BJ2" s="51"/>
      <c r="BK2" s="51"/>
      <c r="BL2" s="51"/>
      <c r="BM2" s="51"/>
      <c r="BN2" s="52"/>
    </row>
    <row r="3" spans="1:66" x14ac:dyDescent="0.35">
      <c r="A3" s="3" t="s">
        <v>120</v>
      </c>
      <c r="B3" s="181">
        <f>109500+4000</f>
        <v>113500</v>
      </c>
      <c r="I3" s="207"/>
      <c r="J3" s="207"/>
      <c r="L3" s="207"/>
      <c r="M3" s="207"/>
      <c r="AW3" s="11" t="s">
        <v>81</v>
      </c>
      <c r="AX3" s="12"/>
      <c r="AY3" s="12"/>
      <c r="AZ3" s="12"/>
      <c r="BA3" s="12"/>
      <c r="BB3" s="12"/>
      <c r="BC3" s="12"/>
      <c r="BD3" s="12"/>
      <c r="BE3" s="12"/>
      <c r="BF3" s="181" t="s">
        <v>26</v>
      </c>
      <c r="BG3" s="12">
        <f>$B$28*(-5)</f>
        <v>0</v>
      </c>
      <c r="BH3" s="12"/>
      <c r="BI3" s="12"/>
      <c r="BJ3" s="12"/>
      <c r="BK3" s="12"/>
      <c r="BL3" s="12"/>
      <c r="BM3" s="12"/>
      <c r="BN3" s="13"/>
    </row>
    <row r="4" spans="1:66" x14ac:dyDescent="0.35">
      <c r="A4" s="3" t="s">
        <v>148</v>
      </c>
      <c r="B4" s="181">
        <v>15</v>
      </c>
      <c r="R4" s="95" t="s">
        <v>1</v>
      </c>
      <c r="S4" s="95" t="s">
        <v>2</v>
      </c>
      <c r="T4" s="95" t="s">
        <v>3</v>
      </c>
      <c r="U4" s="95" t="s">
        <v>5</v>
      </c>
      <c r="V4" s="95" t="s">
        <v>89</v>
      </c>
      <c r="W4" s="95" t="s">
        <v>6</v>
      </c>
      <c r="X4" s="95" t="s">
        <v>57</v>
      </c>
      <c r="Y4" s="95" t="s">
        <v>8</v>
      </c>
      <c r="Z4" s="95" t="s">
        <v>9</v>
      </c>
      <c r="AA4" s="95" t="s">
        <v>10</v>
      </c>
      <c r="AB4" s="95" t="s">
        <v>11</v>
      </c>
      <c r="AC4" s="95" t="s">
        <v>12</v>
      </c>
      <c r="AD4" s="95" t="s">
        <v>13</v>
      </c>
      <c r="AE4" s="95" t="s">
        <v>14</v>
      </c>
      <c r="AF4" s="95" t="s">
        <v>15</v>
      </c>
      <c r="AG4" s="95" t="s">
        <v>16</v>
      </c>
      <c r="AH4" s="95" t="s">
        <v>17</v>
      </c>
      <c r="AI4" s="95" t="s">
        <v>18</v>
      </c>
      <c r="AJ4" s="95" t="s">
        <v>19</v>
      </c>
      <c r="AK4" s="95" t="s">
        <v>20</v>
      </c>
      <c r="AL4" s="95" t="s">
        <v>21</v>
      </c>
      <c r="AM4" s="95" t="s">
        <v>22</v>
      </c>
      <c r="AN4" s="95" t="s">
        <v>23</v>
      </c>
      <c r="AO4" s="96" t="s">
        <v>24</v>
      </c>
      <c r="AP4" s="95" t="s">
        <v>25</v>
      </c>
      <c r="AQ4" s="95" t="s">
        <v>7</v>
      </c>
      <c r="AR4" s="95" t="s">
        <v>4</v>
      </c>
      <c r="AS4" s="155"/>
      <c r="AW4" s="197" t="s">
        <v>107</v>
      </c>
      <c r="AX4" s="198"/>
      <c r="AY4" s="198"/>
      <c r="AZ4" s="12">
        <v>0</v>
      </c>
      <c r="BA4" s="12" t="s">
        <v>108</v>
      </c>
      <c r="BB4" s="12"/>
      <c r="BC4" s="12"/>
      <c r="BE4" s="12"/>
      <c r="BF4" s="12" t="s">
        <v>123</v>
      </c>
      <c r="BG4" s="12">
        <f>$B$28*(-1)</f>
        <v>0</v>
      </c>
      <c r="BH4" s="12"/>
      <c r="BI4" s="12"/>
      <c r="BJ4" s="12"/>
      <c r="BK4" s="12"/>
      <c r="BL4" s="12"/>
      <c r="BM4" s="12"/>
      <c r="BN4" s="13"/>
    </row>
    <row r="5" spans="1:66" x14ac:dyDescent="0.35">
      <c r="C5" s="148" t="s">
        <v>117</v>
      </c>
      <c r="D5" s="98" t="s">
        <v>116</v>
      </c>
      <c r="F5" s="123" t="s">
        <v>118</v>
      </c>
      <c r="G5" s="124" t="s">
        <v>102</v>
      </c>
      <c r="H5" s="125" t="s">
        <v>112</v>
      </c>
      <c r="I5" s="122" t="s">
        <v>113</v>
      </c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W5" s="11"/>
      <c r="AX5" s="12"/>
      <c r="AY5" s="12"/>
      <c r="AZ5" s="12">
        <v>1</v>
      </c>
      <c r="BA5" s="12" t="s">
        <v>109</v>
      </c>
      <c r="BB5" s="12"/>
      <c r="BC5" s="12"/>
      <c r="BF5" s="43" t="s">
        <v>30</v>
      </c>
      <c r="BG5" s="12">
        <f>$B$28*(-1)</f>
        <v>0</v>
      </c>
      <c r="BH5" s="12"/>
      <c r="BI5" s="12"/>
      <c r="BJ5" s="12"/>
      <c r="BK5" s="12"/>
      <c r="BL5" s="12"/>
      <c r="BM5" s="12"/>
      <c r="BN5" s="13"/>
    </row>
    <row r="6" spans="1:66" ht="33.6" x14ac:dyDescent="0.65">
      <c r="A6" s="116" t="s">
        <v>26</v>
      </c>
      <c r="B6" s="117">
        <f>SUM(C6:D6,R6:AR6,BG3)</f>
        <v>182</v>
      </c>
      <c r="C6" s="184">
        <f>C14*1*B4</f>
        <v>105</v>
      </c>
      <c r="D6" s="184">
        <v>77</v>
      </c>
      <c r="F6" s="86"/>
      <c r="G6" s="120">
        <v>0</v>
      </c>
      <c r="H6" s="121">
        <v>0</v>
      </c>
      <c r="I6" s="126">
        <v>0</v>
      </c>
      <c r="K6" s="181" t="s">
        <v>309</v>
      </c>
      <c r="L6" s="181" t="s">
        <v>310</v>
      </c>
      <c r="M6" s="181" t="s">
        <v>311</v>
      </c>
      <c r="R6" s="102">
        <v>0</v>
      </c>
      <c r="S6" s="102">
        <v>0</v>
      </c>
      <c r="T6" s="102">
        <v>0</v>
      </c>
      <c r="U6" s="102">
        <v>0</v>
      </c>
      <c r="V6" s="102">
        <v>0</v>
      </c>
      <c r="W6" s="102">
        <v>0</v>
      </c>
      <c r="X6" s="102">
        <v>0</v>
      </c>
      <c r="Y6" s="102">
        <v>0</v>
      </c>
      <c r="Z6" s="102">
        <v>0</v>
      </c>
      <c r="AA6" s="102">
        <v>0</v>
      </c>
      <c r="AB6" s="102">
        <v>0</v>
      </c>
      <c r="AC6" s="102">
        <v>0</v>
      </c>
      <c r="AD6" s="102">
        <v>0</v>
      </c>
      <c r="AE6" s="102">
        <v>0</v>
      </c>
      <c r="AF6" s="102">
        <v>0</v>
      </c>
      <c r="AG6" s="102">
        <v>0</v>
      </c>
      <c r="AH6" s="102">
        <v>0</v>
      </c>
      <c r="AI6" s="102">
        <v>0</v>
      </c>
      <c r="AJ6" s="102">
        <v>0</v>
      </c>
      <c r="AK6" s="102">
        <v>0</v>
      </c>
      <c r="AL6" s="102">
        <v>0</v>
      </c>
      <c r="AM6" s="102">
        <v>0</v>
      </c>
      <c r="AN6" s="102">
        <v>0</v>
      </c>
      <c r="AO6" s="102">
        <v>0</v>
      </c>
      <c r="AP6" s="102">
        <v>0</v>
      </c>
      <c r="AQ6" s="102">
        <v>0</v>
      </c>
      <c r="AR6" s="102">
        <v>0</v>
      </c>
      <c r="AW6" s="11"/>
      <c r="AX6" s="12"/>
      <c r="AY6" s="12"/>
      <c r="AZ6" s="12">
        <v>2</v>
      </c>
      <c r="BA6" s="12"/>
      <c r="BB6" s="12"/>
      <c r="BC6" s="12"/>
      <c r="BF6" s="43" t="s">
        <v>31</v>
      </c>
      <c r="BG6" s="12">
        <f>$B$28*(-1)</f>
        <v>0</v>
      </c>
      <c r="BH6" s="12"/>
      <c r="BI6" s="12"/>
      <c r="BJ6" s="12"/>
      <c r="BK6" s="12"/>
      <c r="BL6" s="12"/>
      <c r="BM6" s="12"/>
      <c r="BN6" s="13"/>
    </row>
    <row r="7" spans="1:66" ht="31.2" x14ac:dyDescent="0.6">
      <c r="A7" s="118" t="s">
        <v>28</v>
      </c>
      <c r="B7" s="119">
        <f>SUM(MIN(C13,G7),D7,R7:AR7,BA10,H30*6)</f>
        <v>45</v>
      </c>
      <c r="D7" s="184">
        <v>18</v>
      </c>
      <c r="F7" s="181" t="s">
        <v>119</v>
      </c>
      <c r="G7" s="184">
        <v>100</v>
      </c>
      <c r="K7" s="181">
        <v>32</v>
      </c>
      <c r="L7" s="181">
        <f>24+4</f>
        <v>28</v>
      </c>
      <c r="R7" s="142">
        <v>0</v>
      </c>
      <c r="S7" s="142">
        <v>0</v>
      </c>
      <c r="T7" s="142">
        <v>4</v>
      </c>
      <c r="U7" s="142">
        <v>0</v>
      </c>
      <c r="V7" s="142">
        <v>0</v>
      </c>
      <c r="W7" s="142">
        <v>5</v>
      </c>
      <c r="X7" s="142">
        <v>0</v>
      </c>
      <c r="Y7" s="142">
        <v>1</v>
      </c>
      <c r="Z7" s="142">
        <v>0</v>
      </c>
      <c r="AA7" s="142">
        <v>0</v>
      </c>
      <c r="AB7" s="142">
        <v>0</v>
      </c>
      <c r="AC7" s="142">
        <v>0</v>
      </c>
      <c r="AD7" s="142">
        <v>0</v>
      </c>
      <c r="AE7" s="142">
        <v>5</v>
      </c>
      <c r="AF7" s="142">
        <v>0</v>
      </c>
      <c r="AG7" s="142">
        <v>0</v>
      </c>
      <c r="AH7" s="142">
        <v>0</v>
      </c>
      <c r="AI7" s="142">
        <v>5</v>
      </c>
      <c r="AJ7" s="142">
        <v>4</v>
      </c>
      <c r="AK7" s="142">
        <v>0</v>
      </c>
      <c r="AL7" s="142">
        <v>0</v>
      </c>
      <c r="AM7" s="142">
        <v>0</v>
      </c>
      <c r="AN7" s="142">
        <v>0</v>
      </c>
      <c r="AO7" s="142">
        <v>0</v>
      </c>
      <c r="AP7" s="142">
        <v>0</v>
      </c>
      <c r="AQ7" s="142">
        <v>1</v>
      </c>
      <c r="AR7" s="142">
        <v>0</v>
      </c>
      <c r="AW7" s="11"/>
      <c r="AX7" s="12"/>
      <c r="AY7" s="12"/>
      <c r="AZ7" s="12"/>
      <c r="BA7" s="12"/>
      <c r="BB7" s="12"/>
      <c r="BC7" s="12"/>
      <c r="BE7" s="12"/>
      <c r="BF7" s="43" t="s">
        <v>124</v>
      </c>
      <c r="BG7" s="12">
        <f>$B$28*(-1)</f>
        <v>0</v>
      </c>
      <c r="BH7" s="12"/>
      <c r="BI7" s="12"/>
      <c r="BJ7" s="12"/>
      <c r="BK7" s="12"/>
      <c r="BL7" s="12"/>
      <c r="BM7" s="12"/>
      <c r="BN7" s="13"/>
    </row>
    <row r="8" spans="1:66" x14ac:dyDescent="0.35">
      <c r="A8" s="3" t="s">
        <v>78</v>
      </c>
      <c r="B8" s="181">
        <f>B7-T7-Y7-Z7-AD7-AE7-AJ7</f>
        <v>31</v>
      </c>
      <c r="H8" s="181">
        <f>12</f>
        <v>12</v>
      </c>
      <c r="O8" s="181" t="s">
        <v>180</v>
      </c>
      <c r="R8" s="97">
        <v>0</v>
      </c>
      <c r="S8" s="97">
        <v>0</v>
      </c>
      <c r="T8" s="97">
        <v>0</v>
      </c>
      <c r="U8" s="97">
        <v>0</v>
      </c>
      <c r="V8" s="97">
        <v>0</v>
      </c>
      <c r="W8" s="97">
        <v>0</v>
      </c>
      <c r="X8" s="97">
        <v>0</v>
      </c>
      <c r="Y8" s="97">
        <v>0</v>
      </c>
      <c r="Z8" s="97">
        <v>0</v>
      </c>
      <c r="AA8" s="97">
        <v>0</v>
      </c>
      <c r="AB8" s="97">
        <v>0</v>
      </c>
      <c r="AC8" s="97">
        <v>0</v>
      </c>
      <c r="AD8" s="97">
        <v>0</v>
      </c>
      <c r="AE8" s="97">
        <v>0</v>
      </c>
      <c r="AF8" s="97">
        <v>0</v>
      </c>
      <c r="AG8" s="97">
        <v>0</v>
      </c>
      <c r="AH8" s="97">
        <v>0</v>
      </c>
      <c r="AI8" s="97">
        <v>0</v>
      </c>
      <c r="AJ8" s="97">
        <v>0</v>
      </c>
      <c r="AK8" s="97">
        <v>0</v>
      </c>
      <c r="AL8" s="97">
        <v>0</v>
      </c>
      <c r="AM8" s="97">
        <v>0</v>
      </c>
      <c r="AN8" s="97">
        <v>0</v>
      </c>
      <c r="AO8" s="97">
        <v>0</v>
      </c>
      <c r="AP8" s="97">
        <v>0</v>
      </c>
      <c r="AQ8" s="97">
        <v>0</v>
      </c>
      <c r="AR8" s="97">
        <v>0</v>
      </c>
      <c r="AW8" s="11"/>
      <c r="AX8" s="12"/>
      <c r="AY8" s="12"/>
      <c r="AZ8" s="12"/>
      <c r="BA8" s="12"/>
      <c r="BB8" s="12"/>
      <c r="BC8" s="12"/>
      <c r="BE8" s="12"/>
      <c r="BF8" s="12"/>
      <c r="BG8" s="12"/>
      <c r="BH8" s="12"/>
      <c r="BI8" s="12"/>
      <c r="BJ8" s="12"/>
      <c r="BK8" s="12"/>
      <c r="BL8" s="12"/>
      <c r="BM8" s="12"/>
      <c r="BN8" s="13"/>
    </row>
    <row r="9" spans="1:66" x14ac:dyDescent="0.35">
      <c r="A9" s="3" t="s">
        <v>79</v>
      </c>
      <c r="B9" s="181">
        <f>B7-C13</f>
        <v>43</v>
      </c>
      <c r="O9" s="181" t="s">
        <v>280</v>
      </c>
      <c r="R9" s="97">
        <v>0</v>
      </c>
      <c r="S9" s="97">
        <v>0</v>
      </c>
      <c r="T9" s="97">
        <v>0</v>
      </c>
      <c r="U9" s="97">
        <v>0</v>
      </c>
      <c r="V9" s="97">
        <v>0</v>
      </c>
      <c r="W9" s="97">
        <v>0</v>
      </c>
      <c r="X9" s="97">
        <v>0</v>
      </c>
      <c r="Y9" s="97">
        <v>0</v>
      </c>
      <c r="Z9" s="97">
        <v>0</v>
      </c>
      <c r="AA9" s="97">
        <v>0</v>
      </c>
      <c r="AB9" s="97">
        <v>0</v>
      </c>
      <c r="AC9" s="97">
        <v>0</v>
      </c>
      <c r="AD9" s="97">
        <v>0</v>
      </c>
      <c r="AE9" s="97">
        <v>0</v>
      </c>
      <c r="AF9" s="97">
        <v>0</v>
      </c>
      <c r="AG9" s="97">
        <v>0</v>
      </c>
      <c r="AH9" s="97">
        <v>0</v>
      </c>
      <c r="AI9" s="97">
        <v>0</v>
      </c>
      <c r="AJ9" s="97">
        <v>0</v>
      </c>
      <c r="AK9" s="97">
        <v>0</v>
      </c>
      <c r="AL9" s="97">
        <v>0</v>
      </c>
      <c r="AM9" s="97">
        <v>0</v>
      </c>
      <c r="AN9" s="97">
        <v>0</v>
      </c>
      <c r="AO9" s="97">
        <v>0</v>
      </c>
      <c r="AP9" s="97">
        <v>0</v>
      </c>
      <c r="AQ9" s="97">
        <v>0</v>
      </c>
      <c r="AR9" s="97">
        <v>0</v>
      </c>
      <c r="AX9" s="182" t="s">
        <v>137</v>
      </c>
      <c r="AY9" s="182" t="s">
        <v>138</v>
      </c>
      <c r="AZ9" s="182" t="s">
        <v>139</v>
      </c>
      <c r="BA9" s="12"/>
      <c r="BB9" s="12"/>
      <c r="BC9" s="12"/>
      <c r="BE9" s="12"/>
      <c r="BF9" s="12"/>
      <c r="BG9" s="12"/>
      <c r="BH9" s="12"/>
      <c r="BI9" s="12"/>
      <c r="BJ9" s="12"/>
      <c r="BK9" s="12"/>
      <c r="BL9" s="12"/>
      <c r="BM9" s="12"/>
      <c r="BN9" s="13"/>
    </row>
    <row r="10" spans="1:66" x14ac:dyDescent="0.35">
      <c r="A10" s="3" t="s">
        <v>40</v>
      </c>
      <c r="B10" s="181">
        <f>SUM(C13,R10:AR10,C10)</f>
        <v>2</v>
      </c>
      <c r="C10" s="86"/>
      <c r="G10" s="91" t="s">
        <v>81</v>
      </c>
      <c r="H10" s="83">
        <v>0</v>
      </c>
      <c r="I10" s="208" t="s">
        <v>107</v>
      </c>
      <c r="J10" s="209"/>
      <c r="K10" s="84">
        <v>0</v>
      </c>
      <c r="O10" s="181" t="s">
        <v>281</v>
      </c>
      <c r="R10" s="143">
        <v>0</v>
      </c>
      <c r="S10" s="143">
        <v>0</v>
      </c>
      <c r="T10" s="143">
        <v>0</v>
      </c>
      <c r="U10" s="143">
        <v>0</v>
      </c>
      <c r="V10" s="143">
        <v>0</v>
      </c>
      <c r="W10" s="143">
        <v>0</v>
      </c>
      <c r="X10" s="143">
        <v>0</v>
      </c>
      <c r="Y10" s="143">
        <v>0</v>
      </c>
      <c r="Z10" s="143">
        <v>0</v>
      </c>
      <c r="AA10" s="143">
        <v>0</v>
      </c>
      <c r="AB10" s="143">
        <v>0</v>
      </c>
      <c r="AC10" s="143">
        <v>0</v>
      </c>
      <c r="AD10" s="143">
        <v>0</v>
      </c>
      <c r="AE10" s="143">
        <v>0</v>
      </c>
      <c r="AF10" s="143">
        <v>0</v>
      </c>
      <c r="AG10" s="143">
        <v>0</v>
      </c>
      <c r="AH10" s="143">
        <v>0</v>
      </c>
      <c r="AI10" s="143">
        <v>0</v>
      </c>
      <c r="AJ10" s="143">
        <v>0</v>
      </c>
      <c r="AK10" s="143">
        <v>0</v>
      </c>
      <c r="AL10" s="143">
        <v>0</v>
      </c>
      <c r="AM10" s="143">
        <v>0</v>
      </c>
      <c r="AN10" s="143">
        <v>0</v>
      </c>
      <c r="AO10" s="143">
        <v>0</v>
      </c>
      <c r="AP10" s="143">
        <v>0</v>
      </c>
      <c r="AQ10" s="143">
        <v>0</v>
      </c>
      <c r="AR10" s="143">
        <v>0</v>
      </c>
      <c r="AX10" s="184" t="s">
        <v>136</v>
      </c>
      <c r="AY10" s="184">
        <v>8</v>
      </c>
      <c r="AZ10" s="184">
        <v>-16</v>
      </c>
      <c r="BA10" s="153" t="str">
        <f>VLOOKUP($D$1,$AX$10:$AZ$18,2,0)</f>
        <v>−2</v>
      </c>
      <c r="BB10" s="153">
        <f>VLOOKUP($D$1,$AX$10:$AZ$18,3,0)</f>
        <v>8</v>
      </c>
      <c r="BH10" s="12"/>
      <c r="BI10" s="12"/>
      <c r="BJ10" s="12"/>
      <c r="BK10" s="12"/>
      <c r="BL10" s="12"/>
      <c r="BM10" s="12"/>
      <c r="BN10" s="13"/>
    </row>
    <row r="11" spans="1:66" x14ac:dyDescent="0.35">
      <c r="B11" s="98" t="s">
        <v>122</v>
      </c>
      <c r="C11" s="98" t="s">
        <v>121</v>
      </c>
      <c r="D11" s="98" t="s">
        <v>116</v>
      </c>
      <c r="G11" s="166" t="s">
        <v>82</v>
      </c>
      <c r="H11" s="45" t="s">
        <v>84</v>
      </c>
      <c r="I11" s="4" t="s">
        <v>83</v>
      </c>
      <c r="J11" s="4" t="s">
        <v>93</v>
      </c>
      <c r="K11" s="44" t="s">
        <v>95</v>
      </c>
      <c r="L11" s="44" t="s">
        <v>94</v>
      </c>
      <c r="M11" s="44" t="s">
        <v>124</v>
      </c>
      <c r="N11" s="44" t="s">
        <v>153</v>
      </c>
      <c r="O11" s="167" t="s">
        <v>282</v>
      </c>
      <c r="R11" s="133">
        <v>0</v>
      </c>
      <c r="S11" s="133">
        <v>0</v>
      </c>
      <c r="T11" s="133">
        <v>0</v>
      </c>
      <c r="U11" s="133">
        <v>0</v>
      </c>
      <c r="V11" s="133">
        <v>0</v>
      </c>
      <c r="W11" s="133">
        <v>0</v>
      </c>
      <c r="X11" s="133">
        <v>0</v>
      </c>
      <c r="Y11" s="133">
        <v>0</v>
      </c>
      <c r="Z11" s="133">
        <v>0</v>
      </c>
      <c r="AA11" s="133">
        <v>0</v>
      </c>
      <c r="AB11" s="133">
        <v>0</v>
      </c>
      <c r="AC11" s="133">
        <v>0</v>
      </c>
      <c r="AD11" s="133">
        <v>0</v>
      </c>
      <c r="AE11" s="133">
        <v>0</v>
      </c>
      <c r="AF11" s="133">
        <v>0</v>
      </c>
      <c r="AG11" s="133">
        <v>0</v>
      </c>
      <c r="AH11" s="133">
        <v>0</v>
      </c>
      <c r="AI11" s="133">
        <v>0</v>
      </c>
      <c r="AJ11" s="133">
        <v>0</v>
      </c>
      <c r="AK11" s="133">
        <v>0</v>
      </c>
      <c r="AL11" s="133">
        <v>0</v>
      </c>
      <c r="AM11" s="133">
        <v>0</v>
      </c>
      <c r="AN11" s="133">
        <v>0</v>
      </c>
      <c r="AO11" s="133">
        <v>0</v>
      </c>
      <c r="AP11" s="133">
        <v>0</v>
      </c>
      <c r="AQ11" s="133">
        <v>0</v>
      </c>
      <c r="AR11" s="133">
        <v>0</v>
      </c>
      <c r="AX11" s="184" t="s">
        <v>125</v>
      </c>
      <c r="AY11" s="184">
        <v>4</v>
      </c>
      <c r="AZ11" s="184">
        <v>-12</v>
      </c>
      <c r="BH11" s="12"/>
      <c r="BI11" s="12"/>
      <c r="BJ11" s="12"/>
      <c r="BK11" s="12"/>
      <c r="BL11" s="12"/>
      <c r="BM11" s="12"/>
      <c r="BN11" s="13"/>
    </row>
    <row r="12" spans="1:66" ht="20.399999999999999" x14ac:dyDescent="0.35">
      <c r="A12" s="105" t="s">
        <v>72</v>
      </c>
      <c r="B12" s="129">
        <f t="shared" ref="B12:B17" si="0">SUM(D12,R12:AR12)</f>
        <v>41</v>
      </c>
      <c r="C12" s="130">
        <f t="shared" ref="C12:C17" si="1">ROUNDDOWN(B12/2,0)-5</f>
        <v>15</v>
      </c>
      <c r="D12" s="131">
        <v>37</v>
      </c>
      <c r="F12" s="3" t="s">
        <v>67</v>
      </c>
      <c r="G12" s="45">
        <f>SUM($B$24,IF(L12="Strength",$C$12,$C$13),M12,$H$10*(-1))</f>
        <v>36</v>
      </c>
      <c r="H12" s="45" t="s">
        <v>278</v>
      </c>
      <c r="I12" s="45">
        <f>SUM(N13,$B$25)</f>
        <v>33</v>
      </c>
      <c r="J12" s="45" t="s">
        <v>109</v>
      </c>
      <c r="K12" s="154" t="s">
        <v>105</v>
      </c>
      <c r="L12" s="85" t="s">
        <v>72</v>
      </c>
      <c r="M12" s="4">
        <f>SUM($H$23*2,$H$24*(-2),$H$25*(2),$J$23*2,$J$24,$J$25,$L$23*2,$H$31*(-2),$L$24)</f>
        <v>2</v>
      </c>
      <c r="N12" s="4">
        <f>SUM(K30,B25,IF(K12=$AZ$20,$AZ$25,IF(K12=$BA$20,$BA$25,IF(K12=$BB$20,$BB$25,IF(K12=$BC$20,$BC$25,IF(K12=$BD$20,$BD$25,0))))),IF(L12=$AZ$20,$AZ$24,IF(K12=$BA$20,$BA$24,IF(K12=$BB$20,$BB$24,IF(K12=$BC$20,$BC$24,IF(K12=$BD$20,$BD$24,0))))))</f>
        <v>29</v>
      </c>
      <c r="O12" s="43" t="s">
        <v>283</v>
      </c>
      <c r="R12" s="134">
        <v>0</v>
      </c>
      <c r="S12" s="134">
        <v>0</v>
      </c>
      <c r="T12" s="134">
        <v>0</v>
      </c>
      <c r="U12" s="134">
        <v>0</v>
      </c>
      <c r="V12" s="134">
        <v>4</v>
      </c>
      <c r="W12" s="134">
        <v>0</v>
      </c>
      <c r="X12" s="134">
        <v>0</v>
      </c>
      <c r="Y12" s="134">
        <v>0</v>
      </c>
      <c r="Z12" s="134">
        <v>0</v>
      </c>
      <c r="AA12" s="134">
        <v>0</v>
      </c>
      <c r="AB12" s="134">
        <v>0</v>
      </c>
      <c r="AC12" s="134">
        <v>0</v>
      </c>
      <c r="AD12" s="134">
        <v>0</v>
      </c>
      <c r="AE12" s="134">
        <v>0</v>
      </c>
      <c r="AF12" s="134">
        <v>0</v>
      </c>
      <c r="AG12" s="134">
        <v>0</v>
      </c>
      <c r="AH12" s="134">
        <v>0</v>
      </c>
      <c r="AI12" s="134">
        <v>0</v>
      </c>
      <c r="AJ12" s="134">
        <v>0</v>
      </c>
      <c r="AK12" s="134">
        <v>0</v>
      </c>
      <c r="AL12" s="134">
        <v>0</v>
      </c>
      <c r="AM12" s="134">
        <v>0</v>
      </c>
      <c r="AN12" s="134">
        <v>0</v>
      </c>
      <c r="AO12" s="134">
        <v>0</v>
      </c>
      <c r="AP12" s="134">
        <v>0</v>
      </c>
      <c r="AQ12" s="134">
        <v>0</v>
      </c>
      <c r="AR12" s="134">
        <v>0</v>
      </c>
      <c r="AX12" s="184" t="s">
        <v>126</v>
      </c>
      <c r="AY12" s="184">
        <v>2</v>
      </c>
      <c r="AZ12" s="184">
        <v>-8</v>
      </c>
      <c r="BH12" s="12"/>
      <c r="BI12" s="12"/>
      <c r="BJ12" s="12"/>
      <c r="BK12" s="12"/>
      <c r="BL12" s="12"/>
      <c r="BM12" s="12"/>
      <c r="BN12" s="13"/>
    </row>
    <row r="13" spans="1:66" ht="20.399999999999999" x14ac:dyDescent="0.35">
      <c r="A13" s="106" t="s">
        <v>76</v>
      </c>
      <c r="B13" s="99">
        <f t="shared" si="0"/>
        <v>14</v>
      </c>
      <c r="C13" s="99">
        <f t="shared" si="1"/>
        <v>2</v>
      </c>
      <c r="D13" s="108">
        <v>14</v>
      </c>
      <c r="G13" s="200" t="s">
        <v>322</v>
      </c>
      <c r="H13" s="201"/>
      <c r="I13" s="202"/>
      <c r="J13" s="203"/>
      <c r="K13" s="204"/>
      <c r="L13" s="205"/>
      <c r="M13" s="4"/>
      <c r="N13" s="189">
        <f>SUM(N12,$L$24,$L$25*($B$4))</f>
        <v>30</v>
      </c>
      <c r="O13" s="43" t="s">
        <v>284</v>
      </c>
      <c r="R13" s="135">
        <v>0</v>
      </c>
      <c r="S13" s="135">
        <v>0</v>
      </c>
      <c r="T13" s="135">
        <v>0</v>
      </c>
      <c r="U13" s="135">
        <v>0</v>
      </c>
      <c r="V13" s="135">
        <v>0</v>
      </c>
      <c r="W13" s="135">
        <v>0</v>
      </c>
      <c r="X13" s="135">
        <v>0</v>
      </c>
      <c r="Y13" s="135"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5">
        <v>0</v>
      </c>
      <c r="AH13" s="135">
        <v>0</v>
      </c>
      <c r="AI13" s="135">
        <v>0</v>
      </c>
      <c r="AJ13" s="135">
        <v>0</v>
      </c>
      <c r="AK13" s="135">
        <v>0</v>
      </c>
      <c r="AL13" s="135">
        <v>0</v>
      </c>
      <c r="AM13" s="135">
        <v>0</v>
      </c>
      <c r="AN13" s="135">
        <v>0</v>
      </c>
      <c r="AO13" s="135">
        <v>0</v>
      </c>
      <c r="AP13" s="135">
        <v>0</v>
      </c>
      <c r="AQ13" s="135">
        <v>0</v>
      </c>
      <c r="AR13" s="135">
        <v>0</v>
      </c>
      <c r="AX13" s="184" t="s">
        <v>127</v>
      </c>
      <c r="AY13" s="184">
        <v>1</v>
      </c>
      <c r="AZ13" s="184">
        <v>-4</v>
      </c>
      <c r="BH13" s="12"/>
      <c r="BI13" s="12"/>
      <c r="BJ13" s="12"/>
      <c r="BK13" s="12"/>
      <c r="BL13" s="12"/>
      <c r="BM13" s="12"/>
      <c r="BN13" s="13"/>
    </row>
    <row r="14" spans="1:66" ht="20.399999999999999" x14ac:dyDescent="0.35">
      <c r="A14" s="127" t="s">
        <v>75</v>
      </c>
      <c r="B14" s="103">
        <f t="shared" si="0"/>
        <v>25</v>
      </c>
      <c r="C14" s="103">
        <f t="shared" si="1"/>
        <v>7</v>
      </c>
      <c r="D14" s="128">
        <v>25</v>
      </c>
      <c r="F14" s="3" t="s">
        <v>68</v>
      </c>
      <c r="G14" s="45">
        <f>SUM($B$23:$B$24,IF(L14="Strength",$C$12,$C$13),M14,$H$10*(-1))</f>
        <v>51</v>
      </c>
      <c r="H14" s="45" t="s">
        <v>279</v>
      </c>
      <c r="I14" s="45">
        <f>SUM(N15,$B$25)</f>
        <v>19</v>
      </c>
      <c r="J14" s="45" t="s">
        <v>109</v>
      </c>
      <c r="K14" s="154" t="s">
        <v>106</v>
      </c>
      <c r="L14" s="85" t="s">
        <v>72</v>
      </c>
      <c r="M14" s="4">
        <f>SUM($H$23*2,$H$24*(-2),$H$25*(2),$J$23*2,$J$24,$J$25,$L$23*2,$H$31*(-2),$L$24)</f>
        <v>2</v>
      </c>
      <c r="N14" s="4">
        <f>SUM(IF(K14=$AZ$20,$AZ$25,IF(K14=$BA$20,$BA$25,IF(K14=$BB$20,$BB$25,IF(K14=$BC$20,$BC$25,IF(K14=$BD$20,$BD$25,0))))),IF(L14=$AZ$20,$AZ$24,IF(K14=$BA$20,$BA$24,IF(K14=$BB$20,$BB$24,IF(K14=$BC$20,$BC$24,IF(K14=$BD$20,$BD$24,0))))))</f>
        <v>15</v>
      </c>
      <c r="O14" s="43"/>
      <c r="R14" s="136">
        <v>0</v>
      </c>
      <c r="S14" s="136">
        <v>0</v>
      </c>
      <c r="T14" s="136">
        <v>0</v>
      </c>
      <c r="U14" s="136">
        <v>0</v>
      </c>
      <c r="V14" s="136">
        <v>0</v>
      </c>
      <c r="W14" s="136">
        <v>0</v>
      </c>
      <c r="X14" s="136">
        <v>0</v>
      </c>
      <c r="Y14" s="136">
        <v>0</v>
      </c>
      <c r="Z14" s="136">
        <v>0</v>
      </c>
      <c r="AA14" s="136">
        <v>0</v>
      </c>
      <c r="AB14" s="136">
        <v>0</v>
      </c>
      <c r="AC14" s="136">
        <v>0</v>
      </c>
      <c r="AD14" s="136">
        <v>0</v>
      </c>
      <c r="AE14" s="136">
        <v>0</v>
      </c>
      <c r="AF14" s="136">
        <v>0</v>
      </c>
      <c r="AG14" s="136">
        <v>0</v>
      </c>
      <c r="AH14" s="136">
        <v>0</v>
      </c>
      <c r="AI14" s="136">
        <v>0</v>
      </c>
      <c r="AJ14" s="136">
        <v>0</v>
      </c>
      <c r="AK14" s="136">
        <v>0</v>
      </c>
      <c r="AL14" s="136">
        <v>0</v>
      </c>
      <c r="AM14" s="136">
        <v>0</v>
      </c>
      <c r="AN14" s="136">
        <v>0</v>
      </c>
      <c r="AO14" s="136">
        <v>0</v>
      </c>
      <c r="AP14" s="136">
        <v>0</v>
      </c>
      <c r="AQ14" s="136">
        <v>0</v>
      </c>
      <c r="AR14" s="136">
        <v>0</v>
      </c>
      <c r="AX14" s="184" t="s">
        <v>128</v>
      </c>
      <c r="AY14" s="184">
        <v>0</v>
      </c>
      <c r="AZ14" s="184">
        <v>0</v>
      </c>
      <c r="BH14" s="12"/>
      <c r="BI14" s="12"/>
      <c r="BJ14" s="12"/>
      <c r="BK14" s="12"/>
      <c r="BL14" s="12"/>
      <c r="BM14" s="12"/>
      <c r="BN14" s="13"/>
    </row>
    <row r="15" spans="1:66" ht="20.399999999999999" x14ac:dyDescent="0.35">
      <c r="A15" s="109" t="s">
        <v>115</v>
      </c>
      <c r="B15" s="100">
        <f t="shared" si="0"/>
        <v>11</v>
      </c>
      <c r="C15" s="100">
        <f t="shared" si="1"/>
        <v>0</v>
      </c>
      <c r="D15" s="110">
        <v>11</v>
      </c>
      <c r="G15" s="200" t="str">
        <f>CONCATENATE("Sword Sword   ","+",G14,"    "," Dmg: ",I14,"  +",H14, "    crit :  ",J14,)</f>
        <v>Sword Sword   +51     Dmg: 19  +1d6    crit :  x2</v>
      </c>
      <c r="H15" s="201"/>
      <c r="I15" s="202"/>
      <c r="J15" s="45"/>
      <c r="K15" s="4"/>
      <c r="L15" s="46"/>
      <c r="M15" s="4"/>
      <c r="N15" s="4">
        <f>SUM(N14,$L$24,$L$25*($B$4))</f>
        <v>16</v>
      </c>
      <c r="O15" s="43"/>
      <c r="R15" s="137">
        <v>0</v>
      </c>
      <c r="S15" s="137">
        <v>0</v>
      </c>
      <c r="T15" s="137">
        <v>0</v>
      </c>
      <c r="U15" s="137">
        <v>0</v>
      </c>
      <c r="V15" s="137">
        <v>0</v>
      </c>
      <c r="W15" s="137">
        <v>0</v>
      </c>
      <c r="X15" s="137">
        <v>0</v>
      </c>
      <c r="Y15" s="137">
        <v>0</v>
      </c>
      <c r="Z15" s="137">
        <v>0</v>
      </c>
      <c r="AA15" s="137">
        <v>0</v>
      </c>
      <c r="AB15" s="137">
        <v>0</v>
      </c>
      <c r="AC15" s="137">
        <v>0</v>
      </c>
      <c r="AD15" s="137">
        <v>0</v>
      </c>
      <c r="AE15" s="137">
        <v>0</v>
      </c>
      <c r="AF15" s="137">
        <v>0</v>
      </c>
      <c r="AG15" s="137">
        <v>0</v>
      </c>
      <c r="AH15" s="137">
        <v>0</v>
      </c>
      <c r="AI15" s="137">
        <v>0</v>
      </c>
      <c r="AJ15" s="137">
        <v>0</v>
      </c>
      <c r="AK15" s="137">
        <v>0</v>
      </c>
      <c r="AL15" s="137">
        <v>0</v>
      </c>
      <c r="AM15" s="137">
        <v>0</v>
      </c>
      <c r="AN15" s="137">
        <v>0</v>
      </c>
      <c r="AO15" s="137">
        <v>0</v>
      </c>
      <c r="AP15" s="137">
        <v>0</v>
      </c>
      <c r="AQ15" s="137">
        <v>0</v>
      </c>
      <c r="AR15" s="137">
        <v>0</v>
      </c>
      <c r="AX15" s="184" t="s">
        <v>129</v>
      </c>
      <c r="AY15" s="184" t="s">
        <v>130</v>
      </c>
      <c r="AZ15" s="184">
        <v>4</v>
      </c>
      <c r="BH15" s="12"/>
      <c r="BI15" s="12"/>
      <c r="BJ15" s="12"/>
      <c r="BK15" s="12"/>
      <c r="BL15" s="12"/>
      <c r="BM15" s="12"/>
      <c r="BN15" s="13"/>
    </row>
    <row r="16" spans="1:66" ht="20.399999999999999" x14ac:dyDescent="0.35">
      <c r="A16" s="111" t="s">
        <v>73</v>
      </c>
      <c r="B16" s="101">
        <f t="shared" si="0"/>
        <v>14</v>
      </c>
      <c r="C16" s="101">
        <f t="shared" si="1"/>
        <v>2</v>
      </c>
      <c r="D16" s="112">
        <v>14</v>
      </c>
      <c r="F16" s="3" t="s">
        <v>288</v>
      </c>
      <c r="G16" s="45">
        <f>SUM($B$23:$B$24,IF(L16="Strength",$C$12,$C$13),M16,$H$10*(-1))</f>
        <v>51</v>
      </c>
      <c r="H16" s="45" t="s">
        <v>278</v>
      </c>
      <c r="I16" s="45">
        <f>SUM(N17,$B$25)</f>
        <v>19</v>
      </c>
      <c r="J16" s="45" t="s">
        <v>109</v>
      </c>
      <c r="K16" s="154" t="s">
        <v>106</v>
      </c>
      <c r="L16" s="85" t="s">
        <v>72</v>
      </c>
      <c r="M16" s="4">
        <f>SUM($H$23*2,$H$24*(-2),$H$25*(2),$J$23*2,$J$24,$J$25,$L$23*2,$H$31*(-2),$L$24)</f>
        <v>2</v>
      </c>
      <c r="N16" s="4">
        <f>SUM(IF(K16=$AZ$20,$AZ$25,IF(K16=$BA$20,$BA$25,IF(K16=$BB$20,$BB$25,IF(K16=$BC$20,$BC$25,IF(K16=$BD$20,$BD$25,0))))),IF(L16=$AZ$20,$AZ$24,IF(K16=$BA$20,$BA$24,IF(K16=$BB$20,$BB$24,IF(K16=$BC$20,$BC$24,IF(K16=$BD$20,$BD$24,0))))))</f>
        <v>15</v>
      </c>
      <c r="O16" s="43"/>
      <c r="R16" s="138">
        <v>0</v>
      </c>
      <c r="S16" s="138">
        <v>0</v>
      </c>
      <c r="T16" s="138">
        <v>0</v>
      </c>
      <c r="U16" s="138">
        <v>0</v>
      </c>
      <c r="V16" s="138">
        <v>0</v>
      </c>
      <c r="W16" s="138">
        <v>0</v>
      </c>
      <c r="X16" s="138">
        <v>0</v>
      </c>
      <c r="Y16" s="138">
        <v>0</v>
      </c>
      <c r="Z16" s="138">
        <v>0</v>
      </c>
      <c r="AA16" s="138">
        <v>0</v>
      </c>
      <c r="AB16" s="138">
        <v>0</v>
      </c>
      <c r="AC16" s="138">
        <v>0</v>
      </c>
      <c r="AD16" s="138">
        <v>0</v>
      </c>
      <c r="AE16" s="138">
        <v>0</v>
      </c>
      <c r="AF16" s="138">
        <v>0</v>
      </c>
      <c r="AG16" s="138">
        <v>0</v>
      </c>
      <c r="AH16" s="138">
        <v>0</v>
      </c>
      <c r="AI16" s="138">
        <v>0</v>
      </c>
      <c r="AJ16" s="138">
        <v>0</v>
      </c>
      <c r="AK16" s="138">
        <v>0</v>
      </c>
      <c r="AL16" s="138">
        <v>0</v>
      </c>
      <c r="AM16" s="138">
        <v>0</v>
      </c>
      <c r="AN16" s="138">
        <v>0</v>
      </c>
      <c r="AO16" s="138">
        <v>0</v>
      </c>
      <c r="AP16" s="138">
        <v>0</v>
      </c>
      <c r="AQ16" s="138">
        <v>0</v>
      </c>
      <c r="AR16" s="138">
        <v>0</v>
      </c>
      <c r="AX16" s="184" t="s">
        <v>131</v>
      </c>
      <c r="AY16" s="184" t="s">
        <v>132</v>
      </c>
      <c r="AZ16" s="184">
        <v>8</v>
      </c>
      <c r="BH16" s="12"/>
      <c r="BI16" s="12"/>
      <c r="BJ16" s="12"/>
      <c r="BK16" s="12"/>
      <c r="BL16" s="12"/>
      <c r="BM16" s="12"/>
      <c r="BN16" s="13"/>
    </row>
    <row r="17" spans="1:66" ht="20.399999999999999" x14ac:dyDescent="0.35">
      <c r="A17" s="113" t="s">
        <v>74</v>
      </c>
      <c r="B17" s="114">
        <f t="shared" si="0"/>
        <v>16</v>
      </c>
      <c r="C17" s="114">
        <f t="shared" si="1"/>
        <v>3</v>
      </c>
      <c r="D17" s="115">
        <v>16</v>
      </c>
      <c r="G17" s="210" t="str">
        <f>CONCATENATE("kukri   ","+",G16,"    "," Dmg: ",I16,"  +",H16, "    crit :  ",J16,)</f>
        <v>kukri   +51     Dmg: 19  +1d4    crit :  x2</v>
      </c>
      <c r="H17" s="211"/>
      <c r="I17" s="212"/>
      <c r="J17" s="203"/>
      <c r="K17" s="204"/>
      <c r="L17" s="205"/>
      <c r="M17" s="4"/>
      <c r="N17" s="4">
        <f>SUM(N16,$L$24,$L$25*($B$4))</f>
        <v>16</v>
      </c>
      <c r="O17" s="43"/>
      <c r="R17" s="139">
        <v>0</v>
      </c>
      <c r="S17" s="139">
        <v>0</v>
      </c>
      <c r="T17" s="139">
        <v>0</v>
      </c>
      <c r="U17" s="139">
        <v>0</v>
      </c>
      <c r="V17" s="139">
        <v>0</v>
      </c>
      <c r="W17" s="139">
        <v>0</v>
      </c>
      <c r="X17" s="139">
        <v>0</v>
      </c>
      <c r="Y17" s="139">
        <v>0</v>
      </c>
      <c r="Z17" s="139">
        <v>0</v>
      </c>
      <c r="AA17" s="139">
        <v>0</v>
      </c>
      <c r="AB17" s="139">
        <v>0</v>
      </c>
      <c r="AC17" s="139">
        <v>0</v>
      </c>
      <c r="AD17" s="139">
        <v>0</v>
      </c>
      <c r="AE17" s="139">
        <v>0</v>
      </c>
      <c r="AF17" s="139">
        <v>0</v>
      </c>
      <c r="AG17" s="139">
        <v>0</v>
      </c>
      <c r="AH17" s="139">
        <v>0</v>
      </c>
      <c r="AI17" s="139">
        <v>0</v>
      </c>
      <c r="AJ17" s="139">
        <v>0</v>
      </c>
      <c r="AK17" s="139">
        <v>0</v>
      </c>
      <c r="AL17" s="139">
        <v>0</v>
      </c>
      <c r="AM17" s="139">
        <v>0</v>
      </c>
      <c r="AN17" s="139">
        <v>0</v>
      </c>
      <c r="AO17" s="139">
        <v>0</v>
      </c>
      <c r="AP17" s="139">
        <v>0</v>
      </c>
      <c r="AQ17" s="139">
        <v>0</v>
      </c>
      <c r="AR17" s="139">
        <v>0</v>
      </c>
      <c r="AX17" s="184" t="s">
        <v>133</v>
      </c>
      <c r="AY17" s="184" t="s">
        <v>134</v>
      </c>
      <c r="AZ17" s="184">
        <v>12</v>
      </c>
      <c r="BH17" s="12"/>
      <c r="BI17" s="12"/>
      <c r="BJ17" s="12"/>
      <c r="BK17" s="12"/>
      <c r="BL17" s="12"/>
      <c r="BM17" s="12"/>
      <c r="BN17" s="13"/>
    </row>
    <row r="18" spans="1:66" x14ac:dyDescent="0.35">
      <c r="B18" s="45" t="s">
        <v>122</v>
      </c>
      <c r="C18" s="45" t="s">
        <v>116</v>
      </c>
      <c r="O18" s="43"/>
      <c r="R18" s="133">
        <v>0</v>
      </c>
      <c r="S18" s="133">
        <v>0</v>
      </c>
      <c r="T18" s="133">
        <v>0</v>
      </c>
      <c r="U18" s="133">
        <v>0</v>
      </c>
      <c r="V18" s="133">
        <v>0</v>
      </c>
      <c r="W18" s="133">
        <v>0</v>
      </c>
      <c r="X18" s="133">
        <v>0</v>
      </c>
      <c r="Y18" s="133">
        <v>0</v>
      </c>
      <c r="Z18" s="133">
        <v>0</v>
      </c>
      <c r="AA18" s="133">
        <v>0</v>
      </c>
      <c r="AB18" s="133">
        <v>0</v>
      </c>
      <c r="AC18" s="133">
        <v>0</v>
      </c>
      <c r="AD18" s="133">
        <v>0</v>
      </c>
      <c r="AE18" s="133">
        <v>0</v>
      </c>
      <c r="AF18" s="133">
        <v>0</v>
      </c>
      <c r="AG18" s="133">
        <v>0</v>
      </c>
      <c r="AH18" s="133">
        <v>0</v>
      </c>
      <c r="AI18" s="133">
        <v>0</v>
      </c>
      <c r="AJ18" s="133">
        <v>0</v>
      </c>
      <c r="AK18" s="133">
        <v>0</v>
      </c>
      <c r="AL18" s="133">
        <v>0</v>
      </c>
      <c r="AM18" s="133">
        <v>0</v>
      </c>
      <c r="AN18" s="133">
        <v>0</v>
      </c>
      <c r="AO18" s="133">
        <v>0</v>
      </c>
      <c r="AP18" s="133">
        <v>0</v>
      </c>
      <c r="AQ18" s="133">
        <v>0</v>
      </c>
      <c r="AR18" s="133">
        <v>0</v>
      </c>
      <c r="AX18" s="184" t="s">
        <v>140</v>
      </c>
      <c r="AY18" s="184" t="s">
        <v>135</v>
      </c>
      <c r="AZ18" s="184">
        <v>16</v>
      </c>
      <c r="BH18" s="12"/>
      <c r="BI18" s="12"/>
      <c r="BJ18" s="12"/>
      <c r="BK18" s="12"/>
      <c r="BL18" s="12"/>
      <c r="BM18" s="12"/>
      <c r="BN18" s="13"/>
    </row>
    <row r="19" spans="1:66" ht="17.399999999999999" x14ac:dyDescent="0.3">
      <c r="A19" s="132" t="s">
        <v>29</v>
      </c>
      <c r="B19" s="149">
        <f>SUM(C14,C19,R19:AR19,BG4)</f>
        <v>28</v>
      </c>
      <c r="C19" s="94">
        <v>11</v>
      </c>
      <c r="F19" s="181">
        <f>32-19</f>
        <v>13</v>
      </c>
      <c r="G19" s="181">
        <v>32</v>
      </c>
      <c r="I19" s="181">
        <f>32-13</f>
        <v>19</v>
      </c>
      <c r="K19" s="181">
        <v>36</v>
      </c>
      <c r="N19" s="181">
        <f>19+3</f>
        <v>22</v>
      </c>
      <c r="O19" s="43"/>
      <c r="R19" s="136">
        <v>0</v>
      </c>
      <c r="S19" s="136">
        <v>0</v>
      </c>
      <c r="T19" s="136">
        <v>0</v>
      </c>
      <c r="U19" s="136">
        <v>0</v>
      </c>
      <c r="V19" s="136">
        <v>0</v>
      </c>
      <c r="W19" s="136">
        <v>0</v>
      </c>
      <c r="X19" s="136">
        <v>0</v>
      </c>
      <c r="Y19" s="136">
        <v>0</v>
      </c>
      <c r="Z19" s="136">
        <v>0</v>
      </c>
      <c r="AA19" s="136">
        <v>0</v>
      </c>
      <c r="AB19" s="136">
        <v>0</v>
      </c>
      <c r="AC19" s="136">
        <v>4</v>
      </c>
      <c r="AD19" s="136">
        <v>0</v>
      </c>
      <c r="AE19" s="136">
        <v>0</v>
      </c>
      <c r="AF19" s="136">
        <v>0</v>
      </c>
      <c r="AG19" s="136">
        <v>0</v>
      </c>
      <c r="AH19" s="136">
        <v>0</v>
      </c>
      <c r="AI19" s="136">
        <v>4</v>
      </c>
      <c r="AJ19" s="136">
        <v>0</v>
      </c>
      <c r="AK19" s="136">
        <v>0</v>
      </c>
      <c r="AL19" s="136">
        <v>0</v>
      </c>
      <c r="AM19" s="136">
        <v>0</v>
      </c>
      <c r="AN19" s="136">
        <v>0</v>
      </c>
      <c r="AO19" s="136">
        <v>0</v>
      </c>
      <c r="AP19" s="136">
        <v>0</v>
      </c>
      <c r="AQ19" s="136">
        <v>0</v>
      </c>
      <c r="AR19" s="136">
        <v>2</v>
      </c>
      <c r="AW19" s="11"/>
      <c r="AX19" s="12"/>
      <c r="AY19" s="12"/>
      <c r="AZ19" s="12"/>
      <c r="BA19" s="12"/>
      <c r="BB19" s="12"/>
      <c r="BC19" s="12"/>
      <c r="BE19" s="12"/>
      <c r="BF19" s="12"/>
      <c r="BG19" s="12"/>
      <c r="BH19" s="12"/>
      <c r="BI19" s="12"/>
      <c r="BJ19" s="12"/>
      <c r="BK19" s="12"/>
      <c r="BL19" s="12"/>
      <c r="BM19" s="12"/>
      <c r="BN19" s="13"/>
    </row>
    <row r="20" spans="1:66" ht="17.399999999999999" x14ac:dyDescent="0.3">
      <c r="A20" s="106" t="s">
        <v>30</v>
      </c>
      <c r="B20" s="104">
        <f>SUM(C13,C20,R20:AR20,BG5)</f>
        <v>13</v>
      </c>
      <c r="C20" s="156">
        <v>2</v>
      </c>
      <c r="H20" s="49"/>
      <c r="O20" s="43"/>
      <c r="R20" s="140">
        <v>0</v>
      </c>
      <c r="S20" s="140">
        <v>0</v>
      </c>
      <c r="T20" s="140">
        <v>0</v>
      </c>
      <c r="U20" s="140">
        <v>0</v>
      </c>
      <c r="V20" s="140">
        <v>0</v>
      </c>
      <c r="W20" s="140">
        <v>0</v>
      </c>
      <c r="X20" s="140">
        <v>0</v>
      </c>
      <c r="Y20" s="140">
        <v>0</v>
      </c>
      <c r="Z20" s="140">
        <v>0</v>
      </c>
      <c r="AA20" s="140">
        <v>0</v>
      </c>
      <c r="AB20" s="140">
        <v>0</v>
      </c>
      <c r="AC20" s="140">
        <v>4</v>
      </c>
      <c r="AD20" s="140">
        <v>0</v>
      </c>
      <c r="AE20" s="140">
        <v>0</v>
      </c>
      <c r="AF20" s="140">
        <v>0</v>
      </c>
      <c r="AG20" s="140">
        <v>0</v>
      </c>
      <c r="AH20" s="140">
        <v>0</v>
      </c>
      <c r="AI20" s="140">
        <v>4</v>
      </c>
      <c r="AJ20" s="140">
        <v>0</v>
      </c>
      <c r="AK20" s="140">
        <v>0</v>
      </c>
      <c r="AL20" s="140">
        <v>0</v>
      </c>
      <c r="AM20" s="140">
        <v>0</v>
      </c>
      <c r="AN20" s="140">
        <v>0</v>
      </c>
      <c r="AO20" s="140">
        <v>0</v>
      </c>
      <c r="AP20" s="140">
        <v>0</v>
      </c>
      <c r="AQ20" s="140">
        <v>1</v>
      </c>
      <c r="AR20" s="140">
        <v>0</v>
      </c>
      <c r="AW20" s="206" t="s">
        <v>155</v>
      </c>
      <c r="AX20" s="206"/>
      <c r="AY20" s="206"/>
      <c r="AZ20" s="123" t="s">
        <v>97</v>
      </c>
      <c r="BA20" s="123" t="s">
        <v>152</v>
      </c>
      <c r="BB20" s="123" t="s">
        <v>106</v>
      </c>
      <c r="BC20" s="165" t="s">
        <v>151</v>
      </c>
      <c r="BD20" s="123" t="s">
        <v>105</v>
      </c>
      <c r="BE20" s="12"/>
      <c r="BF20" s="12"/>
      <c r="BG20" s="12"/>
      <c r="BH20" s="12"/>
      <c r="BI20" s="12"/>
      <c r="BJ20" s="12"/>
      <c r="BK20" s="12"/>
      <c r="BL20" s="12"/>
      <c r="BM20" s="12"/>
      <c r="BN20" s="13"/>
    </row>
    <row r="21" spans="1:66" ht="17.399999999999999" x14ac:dyDescent="0.3">
      <c r="A21" s="107" t="s">
        <v>31</v>
      </c>
      <c r="B21" s="150">
        <f>SUM(C21,C16,R21:AR21,BG6)</f>
        <v>15</v>
      </c>
      <c r="C21" s="183">
        <v>5</v>
      </c>
      <c r="O21" s="43"/>
      <c r="R21" s="141">
        <v>0</v>
      </c>
      <c r="S21" s="141">
        <v>0</v>
      </c>
      <c r="T21" s="141">
        <v>0</v>
      </c>
      <c r="U21" s="141">
        <v>0</v>
      </c>
      <c r="V21" s="141">
        <v>0</v>
      </c>
      <c r="W21" s="141">
        <v>0</v>
      </c>
      <c r="X21" s="141">
        <v>0</v>
      </c>
      <c r="Y21" s="141">
        <v>0</v>
      </c>
      <c r="Z21" s="141">
        <v>0</v>
      </c>
      <c r="AA21" s="141">
        <v>0</v>
      </c>
      <c r="AB21" s="141">
        <v>0</v>
      </c>
      <c r="AC21" s="141">
        <v>4</v>
      </c>
      <c r="AD21" s="141">
        <v>0</v>
      </c>
      <c r="AE21" s="141">
        <v>0</v>
      </c>
      <c r="AF21" s="141">
        <v>0</v>
      </c>
      <c r="AG21" s="141">
        <v>0</v>
      </c>
      <c r="AH21" s="141">
        <v>0</v>
      </c>
      <c r="AI21" s="141">
        <v>4</v>
      </c>
      <c r="AJ21" s="141">
        <v>0</v>
      </c>
      <c r="AK21" s="141">
        <v>0</v>
      </c>
      <c r="AL21" s="141">
        <v>0</v>
      </c>
      <c r="AM21" s="141">
        <v>0</v>
      </c>
      <c r="AN21" s="141">
        <v>0</v>
      </c>
      <c r="AO21" s="141">
        <v>0</v>
      </c>
      <c r="AP21" s="141">
        <v>0</v>
      </c>
      <c r="AQ21" s="141">
        <v>0</v>
      </c>
      <c r="AR21" s="141">
        <v>0</v>
      </c>
      <c r="AW21" s="198" t="s">
        <v>142</v>
      </c>
      <c r="AX21" s="198"/>
      <c r="AY21" s="12">
        <f>SUM($H$10)</f>
        <v>0</v>
      </c>
      <c r="AZ21" s="12">
        <v>0</v>
      </c>
      <c r="BA21" s="12">
        <v>0</v>
      </c>
      <c r="BB21" s="12">
        <f>AY21</f>
        <v>0</v>
      </c>
      <c r="BC21" s="12">
        <f>AY21</f>
        <v>0</v>
      </c>
      <c r="BD21" s="181">
        <f>AY21*2</f>
        <v>0</v>
      </c>
      <c r="BE21" s="12"/>
      <c r="BF21" s="12"/>
      <c r="BG21" s="12"/>
      <c r="BH21" s="12"/>
      <c r="BI21" s="12"/>
      <c r="BJ21" s="12"/>
      <c r="BK21" s="12"/>
      <c r="BL21" s="12"/>
      <c r="BM21" s="12"/>
      <c r="BN21" s="13"/>
    </row>
    <row r="22" spans="1:66" x14ac:dyDescent="0.35">
      <c r="B22" s="185" t="s">
        <v>122</v>
      </c>
      <c r="C22" s="186" t="s">
        <v>116</v>
      </c>
      <c r="G22" s="199" t="s">
        <v>114</v>
      </c>
      <c r="H22" s="199"/>
      <c r="O22" s="43"/>
      <c r="R22" s="133">
        <v>0</v>
      </c>
      <c r="S22" s="133">
        <v>0</v>
      </c>
      <c r="T22" s="133">
        <v>0</v>
      </c>
      <c r="U22" s="133">
        <v>0</v>
      </c>
      <c r="V22" s="133">
        <v>0</v>
      </c>
      <c r="W22" s="133">
        <v>0</v>
      </c>
      <c r="X22" s="133">
        <v>0</v>
      </c>
      <c r="Y22" s="133">
        <v>0</v>
      </c>
      <c r="Z22" s="133">
        <v>0</v>
      </c>
      <c r="AA22" s="133">
        <v>0</v>
      </c>
      <c r="AB22" s="133">
        <v>0</v>
      </c>
      <c r="AC22" s="133">
        <v>0</v>
      </c>
      <c r="AD22" s="133">
        <v>0</v>
      </c>
      <c r="AE22" s="133">
        <v>0</v>
      </c>
      <c r="AF22" s="133">
        <v>0</v>
      </c>
      <c r="AG22" s="133">
        <v>0</v>
      </c>
      <c r="AH22" s="133">
        <v>0</v>
      </c>
      <c r="AI22" s="133">
        <v>0</v>
      </c>
      <c r="AJ22" s="133">
        <v>0</v>
      </c>
      <c r="AK22" s="133">
        <v>0</v>
      </c>
      <c r="AL22" s="133">
        <v>0</v>
      </c>
      <c r="AM22" s="133">
        <v>0</v>
      </c>
      <c r="AN22" s="133">
        <v>0</v>
      </c>
      <c r="AO22" s="133">
        <v>0</v>
      </c>
      <c r="AP22" s="133">
        <v>0</v>
      </c>
      <c r="AQ22" s="133">
        <v>0</v>
      </c>
      <c r="AR22" s="133">
        <v>0</v>
      </c>
      <c r="AW22" s="11"/>
      <c r="AX22" s="12"/>
      <c r="AY22" s="12"/>
      <c r="BE22" s="12"/>
      <c r="BF22" s="12"/>
      <c r="BG22" s="12"/>
      <c r="BH22" s="12"/>
      <c r="BI22" s="12"/>
      <c r="BJ22" s="12"/>
      <c r="BK22" s="12"/>
      <c r="BL22" s="12"/>
      <c r="BM22" s="12"/>
      <c r="BN22" s="13"/>
    </row>
    <row r="23" spans="1:66" ht="14.4" x14ac:dyDescent="0.3">
      <c r="A23" s="151" t="s">
        <v>71</v>
      </c>
      <c r="B23" s="51">
        <f>SUM(C23,B29,R23:AR23)</f>
        <v>15</v>
      </c>
      <c r="C23" s="52">
        <v>13</v>
      </c>
      <c r="G23" s="79" t="s">
        <v>99</v>
      </c>
      <c r="H23" s="82">
        <v>0</v>
      </c>
      <c r="I23" s="50" t="s">
        <v>98</v>
      </c>
      <c r="J23" s="87">
        <v>0</v>
      </c>
      <c r="K23" s="79" t="s">
        <v>110</v>
      </c>
      <c r="L23" s="82">
        <v>0</v>
      </c>
      <c r="O23" s="43"/>
      <c r="R23" s="145">
        <v>0</v>
      </c>
      <c r="S23" s="145">
        <v>0</v>
      </c>
      <c r="T23" s="145">
        <v>0</v>
      </c>
      <c r="U23" s="145">
        <v>0</v>
      </c>
      <c r="V23" s="145">
        <v>0</v>
      </c>
      <c r="W23" s="145">
        <v>0</v>
      </c>
      <c r="X23" s="145">
        <v>0</v>
      </c>
      <c r="Y23" s="145">
        <v>0</v>
      </c>
      <c r="Z23" s="145">
        <v>0</v>
      </c>
      <c r="AA23" s="145">
        <v>0</v>
      </c>
      <c r="AB23" s="145">
        <v>0</v>
      </c>
      <c r="AC23" s="145">
        <v>0</v>
      </c>
      <c r="AD23" s="145">
        <v>0</v>
      </c>
      <c r="AE23" s="145">
        <v>0</v>
      </c>
      <c r="AF23" s="145">
        <v>0</v>
      </c>
      <c r="AG23" s="145">
        <v>0</v>
      </c>
      <c r="AH23" s="145">
        <v>0</v>
      </c>
      <c r="AI23" s="145">
        <v>0</v>
      </c>
      <c r="AJ23" s="145">
        <v>0</v>
      </c>
      <c r="AK23" s="145">
        <v>0</v>
      </c>
      <c r="AL23" s="145">
        <v>0</v>
      </c>
      <c r="AM23" s="145">
        <v>0</v>
      </c>
      <c r="AN23" s="145">
        <v>0</v>
      </c>
      <c r="AO23" s="145">
        <v>0</v>
      </c>
      <c r="AP23" s="145">
        <v>0</v>
      </c>
      <c r="AQ23" s="145">
        <v>0</v>
      </c>
      <c r="AR23" s="145">
        <v>0</v>
      </c>
      <c r="AW23" s="11"/>
      <c r="AX23" s="12"/>
      <c r="AY23" s="12"/>
      <c r="AZ23" s="12"/>
      <c r="BA23" s="12"/>
      <c r="BB23" s="12"/>
      <c r="BC23" s="12"/>
      <c r="BE23" s="12"/>
      <c r="BF23" s="12"/>
      <c r="BG23" s="12"/>
      <c r="BH23" s="12"/>
      <c r="BI23" s="12"/>
      <c r="BJ23" s="12"/>
      <c r="BK23" s="12"/>
      <c r="BL23" s="12"/>
      <c r="BM23" s="12"/>
      <c r="BN23" s="13"/>
    </row>
    <row r="24" spans="1:66" ht="17.399999999999999" x14ac:dyDescent="0.3">
      <c r="A24" s="146" t="s">
        <v>46</v>
      </c>
      <c r="B24" s="12">
        <f>SUM(B23,R24:AR24,BG7,BA10)</f>
        <v>19</v>
      </c>
      <c r="C24" s="13"/>
      <c r="G24" s="79" t="s">
        <v>100</v>
      </c>
      <c r="H24" s="82">
        <v>0</v>
      </c>
      <c r="I24" s="11" t="s">
        <v>103</v>
      </c>
      <c r="J24" s="88">
        <v>0</v>
      </c>
      <c r="K24" s="181" t="s">
        <v>276</v>
      </c>
      <c r="L24" s="181">
        <v>1</v>
      </c>
      <c r="O24" s="43"/>
      <c r="R24" s="143">
        <v>0</v>
      </c>
      <c r="S24" s="143">
        <v>0</v>
      </c>
      <c r="T24" s="143">
        <v>0</v>
      </c>
      <c r="U24" s="143">
        <v>0</v>
      </c>
      <c r="V24" s="143">
        <v>0</v>
      </c>
      <c r="W24" s="143">
        <v>0</v>
      </c>
      <c r="X24" s="143">
        <v>0</v>
      </c>
      <c r="Y24" s="143">
        <v>0</v>
      </c>
      <c r="Z24" s="143">
        <v>0</v>
      </c>
      <c r="AA24" s="143">
        <v>0</v>
      </c>
      <c r="AB24" s="143">
        <v>0</v>
      </c>
      <c r="AC24" s="143">
        <v>3</v>
      </c>
      <c r="AD24" s="143">
        <v>0</v>
      </c>
      <c r="AE24" s="143">
        <v>0</v>
      </c>
      <c r="AF24" s="143">
        <v>0</v>
      </c>
      <c r="AG24" s="143">
        <v>0</v>
      </c>
      <c r="AH24" s="143">
        <v>0</v>
      </c>
      <c r="AI24" s="143">
        <v>0</v>
      </c>
      <c r="AJ24" s="143">
        <v>0</v>
      </c>
      <c r="AK24" s="143">
        <v>0</v>
      </c>
      <c r="AL24" s="143">
        <v>0</v>
      </c>
      <c r="AM24" s="143">
        <v>0</v>
      </c>
      <c r="AN24" s="143">
        <v>0</v>
      </c>
      <c r="AO24" s="143">
        <v>0</v>
      </c>
      <c r="AP24" s="143">
        <v>1</v>
      </c>
      <c r="AQ24" s="143">
        <v>0</v>
      </c>
      <c r="AR24" s="143">
        <v>0</v>
      </c>
      <c r="AW24" s="197" t="s">
        <v>143</v>
      </c>
      <c r="AX24" s="198"/>
      <c r="AY24" s="12">
        <f>$K$10+1</f>
        <v>1</v>
      </c>
      <c r="AZ24" s="12">
        <f>AZ21*$AY$24</f>
        <v>0</v>
      </c>
      <c r="BA24" s="12">
        <f>BA21*$AY$24</f>
        <v>0</v>
      </c>
      <c r="BB24" s="12">
        <f>BB21*$AY$24</f>
        <v>0</v>
      </c>
      <c r="BC24" s="12">
        <f>BC21*$AY$24</f>
        <v>0</v>
      </c>
      <c r="BD24" s="12">
        <f>BD21*$AY$24</f>
        <v>0</v>
      </c>
      <c r="BE24" s="43">
        <f>IF($K$12=$AZ$20,AZ24,IF($K$12=$BA$20,BA24,IF($K$12=$BB$20,BB24,IF($K$12=$BC$20,BC24,IF($K$12=$BD$20,BD24,0)))))</f>
        <v>0</v>
      </c>
      <c r="BF24" s="12"/>
      <c r="BG24" s="12"/>
      <c r="BH24" s="12"/>
      <c r="BI24" s="12"/>
      <c r="BJ24" s="12"/>
      <c r="BK24" s="12"/>
      <c r="BL24" s="12"/>
      <c r="BM24" s="12"/>
      <c r="BN24" s="13"/>
    </row>
    <row r="25" spans="1:66" ht="14.4" x14ac:dyDescent="0.3">
      <c r="A25" s="152" t="s">
        <v>70</v>
      </c>
      <c r="B25" s="12">
        <f>SUM(R25:AR25)</f>
        <v>3</v>
      </c>
      <c r="C25" s="13"/>
      <c r="G25" s="79" t="s">
        <v>101</v>
      </c>
      <c r="H25" s="82">
        <v>0</v>
      </c>
      <c r="I25" s="90" t="s">
        <v>104</v>
      </c>
      <c r="J25" s="89">
        <v>1</v>
      </c>
      <c r="K25" s="181" t="s">
        <v>277</v>
      </c>
      <c r="L25" s="181">
        <v>0</v>
      </c>
      <c r="O25" s="43"/>
      <c r="R25" s="145">
        <v>0</v>
      </c>
      <c r="S25" s="145">
        <v>0</v>
      </c>
      <c r="T25" s="145">
        <v>0</v>
      </c>
      <c r="U25" s="145">
        <v>0</v>
      </c>
      <c r="V25" s="145">
        <v>0</v>
      </c>
      <c r="W25" s="145">
        <v>0</v>
      </c>
      <c r="X25" s="145">
        <v>0</v>
      </c>
      <c r="Y25" s="145">
        <v>0</v>
      </c>
      <c r="Z25" s="145">
        <v>0</v>
      </c>
      <c r="AA25" s="145">
        <v>0</v>
      </c>
      <c r="AB25" s="145">
        <v>0</v>
      </c>
      <c r="AC25" s="145">
        <v>3</v>
      </c>
      <c r="AD25" s="145">
        <v>0</v>
      </c>
      <c r="AE25" s="145">
        <v>0</v>
      </c>
      <c r="AF25" s="145">
        <v>0</v>
      </c>
      <c r="AG25" s="145">
        <v>0</v>
      </c>
      <c r="AH25" s="145">
        <v>0</v>
      </c>
      <c r="AI25" s="145">
        <v>0</v>
      </c>
      <c r="AJ25" s="145">
        <v>0</v>
      </c>
      <c r="AK25" s="145">
        <v>0</v>
      </c>
      <c r="AL25" s="145">
        <v>0</v>
      </c>
      <c r="AM25" s="145">
        <v>0</v>
      </c>
      <c r="AN25" s="145">
        <v>0</v>
      </c>
      <c r="AO25" s="145">
        <v>0</v>
      </c>
      <c r="AP25" s="145">
        <v>0</v>
      </c>
      <c r="AQ25" s="145">
        <v>0</v>
      </c>
      <c r="AR25" s="145">
        <v>0</v>
      </c>
      <c r="AW25" s="11"/>
      <c r="AX25" s="12" t="s">
        <v>154</v>
      </c>
      <c r="AY25" s="12"/>
      <c r="AZ25" s="12">
        <f>$C$12</f>
        <v>15</v>
      </c>
      <c r="BA25" s="12">
        <f>ROUNDDOWN($C$12*0.5,0)</f>
        <v>7</v>
      </c>
      <c r="BB25" s="12">
        <f>$C$12</f>
        <v>15</v>
      </c>
      <c r="BC25" s="12">
        <f>ROUNDDOWN($C$12*0.5,0)</f>
        <v>7</v>
      </c>
      <c r="BD25" s="12">
        <f>ROUNDDOWN($C$12*1.5,0)</f>
        <v>22</v>
      </c>
      <c r="BE25" s="43">
        <f>IF(L12=A12,IF($K$12=$AZ$20,AZ25,IF($K$12=$BA$20,BA25,IF($K$12=$BB$20,BB25,IF($K$12=$BC$20,BC25,IF($K$12=$BD$20,BD25,0))))),0)</f>
        <v>22</v>
      </c>
      <c r="BF25" s="12"/>
      <c r="BG25" s="12"/>
      <c r="BH25" s="12"/>
      <c r="BI25" s="12"/>
      <c r="BJ25" s="12"/>
      <c r="BK25" s="12"/>
      <c r="BL25" s="12"/>
      <c r="BM25" s="12"/>
      <c r="BN25" s="13"/>
    </row>
    <row r="26" spans="1:66" x14ac:dyDescent="0.35">
      <c r="A26" s="147" t="s">
        <v>77</v>
      </c>
      <c r="B26" s="54">
        <f>SUM(B23,C12,BB10,R26:AR26)</f>
        <v>38</v>
      </c>
      <c r="C26" s="55"/>
      <c r="G26" s="43" t="s">
        <v>312</v>
      </c>
      <c r="H26" s="181" t="s">
        <v>317</v>
      </c>
      <c r="O26" s="43"/>
      <c r="R26" s="144">
        <v>0</v>
      </c>
      <c r="S26" s="144">
        <v>0</v>
      </c>
      <c r="T26" s="144">
        <v>0</v>
      </c>
      <c r="U26" s="144">
        <v>0</v>
      </c>
      <c r="V26" s="144">
        <v>0</v>
      </c>
      <c r="W26" s="144">
        <v>0</v>
      </c>
      <c r="X26" s="144">
        <v>0</v>
      </c>
      <c r="Y26" s="144">
        <v>0</v>
      </c>
      <c r="Z26" s="144">
        <v>0</v>
      </c>
      <c r="AA26" s="144">
        <v>0</v>
      </c>
      <c r="AB26" s="144">
        <v>0</v>
      </c>
      <c r="AC26" s="144">
        <v>0</v>
      </c>
      <c r="AD26" s="144">
        <v>0</v>
      </c>
      <c r="AE26" s="144">
        <v>0</v>
      </c>
      <c r="AF26" s="144">
        <v>0</v>
      </c>
      <c r="AG26" s="144">
        <v>0</v>
      </c>
      <c r="AH26" s="144">
        <v>0</v>
      </c>
      <c r="AI26" s="144">
        <v>0</v>
      </c>
      <c r="AJ26" s="144">
        <v>0</v>
      </c>
      <c r="AK26" s="144">
        <v>0</v>
      </c>
      <c r="AL26" s="144">
        <v>0</v>
      </c>
      <c r="AM26" s="144">
        <v>0</v>
      </c>
      <c r="AN26" s="144">
        <v>0</v>
      </c>
      <c r="AO26" s="144">
        <v>0</v>
      </c>
      <c r="AP26" s="144">
        <v>0</v>
      </c>
      <c r="AQ26" s="144">
        <v>0</v>
      </c>
      <c r="AR26" s="144">
        <v>0</v>
      </c>
      <c r="AW26" s="11"/>
      <c r="AX26" s="12"/>
      <c r="AY26" s="12"/>
      <c r="AZ26" s="12"/>
      <c r="BA26" s="12"/>
      <c r="BB26" s="12"/>
      <c r="BC26" s="43"/>
      <c r="BD26" s="43"/>
      <c r="BE26" s="43" t="e">
        <f>if</f>
        <v>#NAME?</v>
      </c>
      <c r="BF26" s="12"/>
      <c r="BG26" s="12"/>
      <c r="BH26" s="12"/>
      <c r="BI26" s="12"/>
      <c r="BJ26" s="12"/>
      <c r="BK26" s="12"/>
      <c r="BL26" s="12"/>
      <c r="BM26" s="12"/>
      <c r="BN26" s="13"/>
    </row>
    <row r="27" spans="1:66" x14ac:dyDescent="0.35">
      <c r="G27" s="43" t="s">
        <v>313</v>
      </c>
      <c r="I27" s="43" t="s">
        <v>316</v>
      </c>
      <c r="J27" s="181" t="s">
        <v>319</v>
      </c>
      <c r="K27" s="181">
        <v>-2</v>
      </c>
      <c r="O27" s="43"/>
      <c r="AW27" s="53"/>
      <c r="AX27" s="54"/>
      <c r="AY27" s="54"/>
      <c r="AZ27" s="54"/>
      <c r="BA27" s="54"/>
      <c r="BB27" s="54"/>
      <c r="BC27" s="54"/>
      <c r="BE27" s="54"/>
      <c r="BF27" s="54"/>
      <c r="BG27" s="54"/>
      <c r="BH27" s="54"/>
      <c r="BI27" s="54"/>
      <c r="BJ27" s="54"/>
      <c r="BK27" s="54"/>
      <c r="BL27" s="54"/>
      <c r="BM27" s="54"/>
      <c r="BN27" s="55"/>
    </row>
    <row r="28" spans="1:66" ht="14.4" x14ac:dyDescent="0.3">
      <c r="A28" s="4" t="s">
        <v>86</v>
      </c>
      <c r="B28" s="77">
        <v>0</v>
      </c>
      <c r="G28" s="43" t="s">
        <v>314</v>
      </c>
      <c r="H28" s="181" t="s">
        <v>315</v>
      </c>
      <c r="I28" s="43" t="s">
        <v>316</v>
      </c>
      <c r="J28" s="43" t="s">
        <v>320</v>
      </c>
    </row>
    <row r="29" spans="1:66" ht="14.4" x14ac:dyDescent="0.3">
      <c r="A29" s="4" t="s">
        <v>87</v>
      </c>
      <c r="B29" s="78">
        <v>2</v>
      </c>
      <c r="G29" s="199" t="s">
        <v>145</v>
      </c>
      <c r="H29" s="199"/>
    </row>
    <row r="30" spans="1:66" ht="14.4" x14ac:dyDescent="0.3">
      <c r="A30" s="4" t="s">
        <v>141</v>
      </c>
      <c r="B30" s="78">
        <v>0</v>
      </c>
      <c r="G30" s="79" t="s">
        <v>146</v>
      </c>
      <c r="H30" s="82">
        <v>0</v>
      </c>
      <c r="J30" s="181" t="s">
        <v>83</v>
      </c>
      <c r="K30" s="181">
        <v>4</v>
      </c>
    </row>
    <row r="31" spans="1:66" s="1" customFormat="1" ht="14.4" x14ac:dyDescent="0.3">
      <c r="G31" s="79" t="s">
        <v>147</v>
      </c>
      <c r="H31" s="82">
        <v>0</v>
      </c>
      <c r="I31" s="181"/>
      <c r="J31" s="181"/>
      <c r="K31" s="181"/>
      <c r="L31" s="181"/>
      <c r="M31" s="181"/>
      <c r="N31" s="181"/>
      <c r="O31" s="181"/>
      <c r="P31" s="181"/>
      <c r="Q31" s="181"/>
      <c r="R31" s="181"/>
      <c r="S31" s="181"/>
      <c r="T31" s="181"/>
      <c r="U31" s="181"/>
      <c r="V31" s="181"/>
      <c r="W31" s="181"/>
      <c r="X31" s="181"/>
      <c r="Y31" s="181"/>
      <c r="Z31" s="181"/>
      <c r="AA31" s="181"/>
      <c r="AB31" s="181"/>
      <c r="AC31" s="181"/>
      <c r="AD31" s="181"/>
      <c r="AE31" s="181"/>
      <c r="AF31" s="181"/>
      <c r="AG31" s="181"/>
    </row>
    <row r="33" spans="1:27" x14ac:dyDescent="0.35">
      <c r="A33" s="3" t="s">
        <v>64</v>
      </c>
      <c r="B33" s="181">
        <f>COUNTA(A35:A81)</f>
        <v>17</v>
      </c>
    </row>
    <row r="34" spans="1:27" x14ac:dyDescent="0.35">
      <c r="A34" s="3" t="s">
        <v>43</v>
      </c>
      <c r="B34" s="19" t="s">
        <v>55</v>
      </c>
      <c r="C34" s="30" t="s">
        <v>69</v>
      </c>
      <c r="D34" s="32" t="s">
        <v>63</v>
      </c>
      <c r="E34" s="21" t="s">
        <v>59</v>
      </c>
      <c r="F34" s="58" t="s">
        <v>44</v>
      </c>
      <c r="G34" s="59" t="s">
        <v>50</v>
      </c>
      <c r="H34" s="60" t="s">
        <v>51</v>
      </c>
      <c r="I34" s="61" t="s">
        <v>58</v>
      </c>
      <c r="J34" s="62" t="s">
        <v>47</v>
      </c>
      <c r="K34" s="59" t="s">
        <v>50</v>
      </c>
      <c r="L34" s="60" t="s">
        <v>51</v>
      </c>
      <c r="M34" s="61" t="s">
        <v>58</v>
      </c>
      <c r="N34" s="63" t="s">
        <v>59</v>
      </c>
      <c r="O34" s="62" t="s">
        <v>47</v>
      </c>
      <c r="P34" s="59" t="s">
        <v>50</v>
      </c>
      <c r="Q34" s="60" t="s">
        <v>51</v>
      </c>
      <c r="R34" s="61" t="s">
        <v>58</v>
      </c>
      <c r="S34" s="63" t="s">
        <v>59</v>
      </c>
      <c r="T34" s="64" t="s">
        <v>66</v>
      </c>
      <c r="W34" s="1"/>
      <c r="X34" s="1"/>
      <c r="Y34" s="1"/>
      <c r="Z34" s="1"/>
      <c r="AA34" s="1"/>
    </row>
    <row r="35" spans="1:27" x14ac:dyDescent="0.35">
      <c r="A35" s="17" t="s">
        <v>90</v>
      </c>
      <c r="B35" s="80">
        <v>0</v>
      </c>
      <c r="C35" s="177" t="s">
        <v>299</v>
      </c>
      <c r="D35" s="31">
        <f>IFERROR(VLOOKUP(A35,BUFFS!$H$5:$AF$195,8,),"")</f>
        <v>0</v>
      </c>
      <c r="E35" s="24">
        <f t="shared" ref="E35:E50" si="2">IFERROR(SUM(H35,ROUNDDOWN(MIN(B35,T$35)*I35,0)),"")</f>
        <v>0</v>
      </c>
      <c r="F35" s="65" t="str">
        <f>IFERROR(VLOOKUP(A35,BUFFS!$H$5:$AF$195,5,),"")</f>
        <v>AC</v>
      </c>
      <c r="G35" s="66" t="str">
        <f>IFERROR(VLOOKUP(A35,BUFFS!$H$5:$AF$195,6,),"")</f>
        <v xml:space="preserve">Armor Bonus </v>
      </c>
      <c r="H35" s="67">
        <f>IFERROR(VLOOKUP(A35,BUFFS!$H$5:$AF$195,7,),"")</f>
        <v>0</v>
      </c>
      <c r="I35" s="66">
        <f>IFERROR(VLOOKUP(A35,BUFFS!$H$5:$AF$195,9,),"")</f>
        <v>1</v>
      </c>
      <c r="J35" s="65">
        <f>IFERROR(VLOOKUP(A35,BUFFS!$H$5:$AF$195,10,),"")</f>
        <v>0</v>
      </c>
      <c r="K35" s="66">
        <f>IFERROR(VLOOKUP(A35,BUFFS!$H$5:$AF$195,11,),"")</f>
        <v>0</v>
      </c>
      <c r="L35" s="66">
        <f>IFERROR(VLOOKUP(A35,BUFFS!$H$5:$AF$195,12,),"")</f>
        <v>0</v>
      </c>
      <c r="M35" s="66">
        <f>IFERROR(VLOOKUP(A35,BUFFS!$H$5:$AF$195,14,),"")</f>
        <v>0</v>
      </c>
      <c r="N35" s="68">
        <f t="shared" ref="N35:N50" si="3">IFERROR(SUM(L35,ROUNDDOWN(MIN(B35,T$35)*M35,0)),"")</f>
        <v>0</v>
      </c>
      <c r="O35" s="65">
        <f>IFERROR(VLOOKUP(A35,BUFFS!$H$5:$AF$195,15,),"")</f>
        <v>0</v>
      </c>
      <c r="P35" s="66">
        <f>IFERROR(VLOOKUP(A35,BUFFS!$H$5:$AF$195,16,),"")</f>
        <v>0</v>
      </c>
      <c r="Q35" s="66">
        <f>IFERROR(VLOOKUP(A35,BUFFS!$H$5:$AF$195,17,),"")</f>
        <v>0</v>
      </c>
      <c r="R35" s="66">
        <f>IFERROR(VLOOKUP(A35,BUFFS!$H$5:$AF$195,19,),"")</f>
        <v>0</v>
      </c>
      <c r="S35" s="69">
        <f t="shared" ref="S35:S50" si="4">IFERROR(SUM(Q35,ROUNDDOWN(MIN(B35,T$35)*R35,0)),"")</f>
        <v>0</v>
      </c>
      <c r="T35" s="70">
        <f>IFERROR(VLOOKUP(A35,BUFFS!$H$5:$AF$195,20,),"")</f>
        <v>100</v>
      </c>
    </row>
    <row r="36" spans="1:27" x14ac:dyDescent="0.35">
      <c r="A36" s="17" t="s">
        <v>91</v>
      </c>
      <c r="B36" s="80">
        <v>2</v>
      </c>
      <c r="C36" s="177" t="s">
        <v>299</v>
      </c>
      <c r="D36" s="31">
        <f>IFERROR(VLOOKUP(A36,BUFFS!$H$5:$AF$195,8,),"")</f>
        <v>0</v>
      </c>
      <c r="E36" s="24">
        <f t="shared" si="2"/>
        <v>2</v>
      </c>
      <c r="F36" s="65" t="str">
        <f>IFERROR(VLOOKUP(A36,BUFFS!$H$5:$AF$195,5,),"")</f>
        <v>AC</v>
      </c>
      <c r="G36" s="66" t="str">
        <f>IFERROR(VLOOKUP(A36,BUFFS!$H$5:$AF$195,6,),"")</f>
        <v xml:space="preserve">Shield Bonus </v>
      </c>
      <c r="H36" s="67">
        <f>IFERROR(VLOOKUP(A36,BUFFS!$H$5:$AF$195,7,),"")</f>
        <v>0</v>
      </c>
      <c r="I36" s="66">
        <f>IFERROR(VLOOKUP(A36,BUFFS!$H$5:$AF$195,9,),"")</f>
        <v>1</v>
      </c>
      <c r="J36" s="65">
        <f>IFERROR(VLOOKUP(A36,BUFFS!$H$5:$AF$195,10,),"")</f>
        <v>0</v>
      </c>
      <c r="K36" s="66">
        <f>IFERROR(VLOOKUP(A36,BUFFS!$H$5:$AF$195,11,),"")</f>
        <v>0</v>
      </c>
      <c r="L36" s="66">
        <f>IFERROR(VLOOKUP(A36,BUFFS!$H$5:$AF$195,12,),"")</f>
        <v>0</v>
      </c>
      <c r="M36" s="66">
        <f>IFERROR(VLOOKUP(A36,BUFFS!$H$5:$AF$195,14,),"")</f>
        <v>0</v>
      </c>
      <c r="N36" s="68">
        <f t="shared" si="3"/>
        <v>0</v>
      </c>
      <c r="O36" s="65">
        <f>IFERROR(VLOOKUP(A36,BUFFS!$H$5:$AF$195,15,),"")</f>
        <v>0</v>
      </c>
      <c r="P36" s="66">
        <f>IFERROR(VLOOKUP(A36,BUFFS!$H$5:$AF$195,16,),"")</f>
        <v>0</v>
      </c>
      <c r="Q36" s="66">
        <f>IFERROR(VLOOKUP(A36,BUFFS!$H$5:$AF$195,17,),"")</f>
        <v>0</v>
      </c>
      <c r="R36" s="66">
        <f>IFERROR(VLOOKUP(A36,BUFFS!$H$5:$AF$195,19,),"")</f>
        <v>0</v>
      </c>
      <c r="S36" s="69">
        <f t="shared" si="4"/>
        <v>0</v>
      </c>
      <c r="T36" s="70">
        <f>IFERROR(VLOOKUP(A36,BUFFS!$H$5:$AF$195,20,),"")</f>
        <v>100</v>
      </c>
    </row>
    <row r="37" spans="1:27" x14ac:dyDescent="0.35">
      <c r="A37" s="17" t="s">
        <v>158</v>
      </c>
      <c r="B37" s="80">
        <v>0</v>
      </c>
      <c r="C37" s="177" t="s">
        <v>299</v>
      </c>
      <c r="D37" s="31">
        <f>IFERROR(VLOOKUP(A37,BUFFS!$H$5:$AF$195,8,),"")</f>
        <v>0</v>
      </c>
      <c r="E37" s="24">
        <f t="shared" si="2"/>
        <v>0</v>
      </c>
      <c r="F37" s="65" t="str">
        <f>IFERROR(VLOOKUP(A37,BUFFS!$H$5:$AF$195,5,),"")</f>
        <v>AC</v>
      </c>
      <c r="G37" s="66" t="str">
        <f>IFERROR(VLOOKUP(A37,BUFFS!$H$5:$AF$195,6,),"")</f>
        <v xml:space="preserve">Enhancement Armor Bonus </v>
      </c>
      <c r="H37" s="67">
        <f>IFERROR(VLOOKUP(A37,BUFFS!$H$5:$AF$195,7,),"")</f>
        <v>0</v>
      </c>
      <c r="I37" s="66">
        <f>IFERROR(VLOOKUP(A37,BUFFS!$H$5:$AF$195,9,),"")</f>
        <v>1</v>
      </c>
      <c r="J37" s="65">
        <f>IFERROR(VLOOKUP(A37,BUFFS!$H$5:$AF$195,10,),"")</f>
        <v>0</v>
      </c>
      <c r="K37" s="66">
        <f>IFERROR(VLOOKUP(A37,BUFFS!$H$5:$AF$195,11,),"")</f>
        <v>0</v>
      </c>
      <c r="L37" s="66">
        <f>IFERROR(VLOOKUP(A37,BUFFS!$H$5:$AF$195,12,),"")</f>
        <v>0</v>
      </c>
      <c r="M37" s="66">
        <f>IFERROR(VLOOKUP(A37,BUFFS!$H$5:$AF$195,14,),"")</f>
        <v>0</v>
      </c>
      <c r="N37" s="68">
        <f t="shared" si="3"/>
        <v>0</v>
      </c>
      <c r="O37" s="65">
        <f>IFERROR(VLOOKUP(A37,BUFFS!$H$5:$AF$195,15,),"")</f>
        <v>0</v>
      </c>
      <c r="P37" s="66">
        <f>IFERROR(VLOOKUP(A37,BUFFS!$H$5:$AF$195,16,),"")</f>
        <v>0</v>
      </c>
      <c r="Q37" s="66">
        <f>IFERROR(VLOOKUP(A37,BUFFS!$H$5:$AF$195,17,),"")</f>
        <v>0</v>
      </c>
      <c r="R37" s="66">
        <f>IFERROR(VLOOKUP(A37,BUFFS!$H$5:$AF$195,19,),"")</f>
        <v>0</v>
      </c>
      <c r="S37" s="69">
        <f t="shared" si="4"/>
        <v>0</v>
      </c>
      <c r="T37" s="70">
        <f>IFERROR(VLOOKUP(A37,BUFFS!$H$5:$AF$195,20,),"")</f>
        <v>100</v>
      </c>
    </row>
    <row r="38" spans="1:27" x14ac:dyDescent="0.35">
      <c r="A38" s="17" t="s">
        <v>92</v>
      </c>
      <c r="B38" s="80">
        <v>0</v>
      </c>
      <c r="C38" s="177" t="s">
        <v>299</v>
      </c>
      <c r="D38" s="31">
        <f>IFERROR(VLOOKUP(A38,BUFFS!$H$5:$AF$195,8,),"")</f>
        <v>0</v>
      </c>
      <c r="E38" s="24">
        <f t="shared" si="2"/>
        <v>0</v>
      </c>
      <c r="F38" s="65" t="str">
        <f>IFERROR(VLOOKUP(A38,BUFFS!$H$5:$AF$195,5,),"")</f>
        <v>FORT</v>
      </c>
      <c r="G38" s="66" t="str">
        <f>IFERROR(VLOOKUP(A38,BUFFS!$H$5:$AF$195,6,),"")</f>
        <v>Enhancement</v>
      </c>
      <c r="H38" s="67">
        <f>IFERROR(VLOOKUP(A38,BUFFS!$H$5:$AF$195,7,),"")</f>
        <v>0</v>
      </c>
      <c r="I38" s="66">
        <f>IFERROR(VLOOKUP(A38,BUFFS!$H$5:$AF$195,9,),"")</f>
        <v>1</v>
      </c>
      <c r="J38" s="65" t="str">
        <f>IFERROR(VLOOKUP(A38,BUFFS!$H$5:$AF$195,10,),"")</f>
        <v>REF</v>
      </c>
      <c r="K38" s="66" t="str">
        <f>IFERROR(VLOOKUP(A38,BUFFS!$H$5:$AF$195,11,),"")</f>
        <v>Enhancement</v>
      </c>
      <c r="L38" s="66">
        <f>IFERROR(VLOOKUP(A38,BUFFS!$H$5:$AF$195,12,),"")</f>
        <v>0</v>
      </c>
      <c r="M38" s="66">
        <f>IFERROR(VLOOKUP(A38,BUFFS!$H$5:$AF$195,14,),"")</f>
        <v>1</v>
      </c>
      <c r="N38" s="68">
        <f t="shared" si="3"/>
        <v>0</v>
      </c>
      <c r="O38" s="65" t="str">
        <f>IFERROR(VLOOKUP(A38,BUFFS!$H$5:$AF$195,15,),"")</f>
        <v>WILL</v>
      </c>
      <c r="P38" s="66" t="str">
        <f>IFERROR(VLOOKUP(A38,BUFFS!$H$5:$AF$195,16,),"")</f>
        <v>Enhancement</v>
      </c>
      <c r="Q38" s="66">
        <f>IFERROR(VLOOKUP(A38,BUFFS!$H$5:$AF$195,17,),"")</f>
        <v>0</v>
      </c>
      <c r="R38" s="66">
        <f>IFERROR(VLOOKUP(A38,BUFFS!$H$5:$AF$195,19,),"")</f>
        <v>1</v>
      </c>
      <c r="S38" s="69">
        <f t="shared" si="4"/>
        <v>0</v>
      </c>
      <c r="T38" s="70">
        <f>IFERROR(VLOOKUP(A38,BUFFS!$H$5:$AF$195,20,),"")</f>
        <v>100</v>
      </c>
    </row>
    <row r="39" spans="1:27" x14ac:dyDescent="0.35">
      <c r="A39" s="17" t="s">
        <v>159</v>
      </c>
      <c r="B39" s="80">
        <v>1</v>
      </c>
      <c r="C39" s="177" t="s">
        <v>299</v>
      </c>
      <c r="D39" s="31">
        <f>IFERROR(VLOOKUP(A39,BUFFS!$H$5:$AF$195,8,),"")</f>
        <v>0</v>
      </c>
      <c r="E39" s="24">
        <f t="shared" si="2"/>
        <v>1</v>
      </c>
      <c r="F39" s="65" t="str">
        <f>IFERROR(VLOOKUP(A39,BUFFS!$H$5:$AF$195,5,),"")</f>
        <v>AC</v>
      </c>
      <c r="G39" s="66" t="str">
        <f>IFERROR(VLOOKUP(A39,BUFFS!$H$5:$AF$195,6,),"")</f>
        <v>Enhancement Shield Bonus</v>
      </c>
      <c r="H39" s="67">
        <f>IFERROR(VLOOKUP(A39,BUFFS!$H$5:$AF$195,7,),"")</f>
        <v>0</v>
      </c>
      <c r="I39" s="66">
        <f>IFERROR(VLOOKUP(A39,BUFFS!$H$5:$AF$195,9,),"")</f>
        <v>1</v>
      </c>
      <c r="J39" s="65">
        <f>IFERROR(VLOOKUP(A39,BUFFS!$H$5:$AF$195,10,),"")</f>
        <v>0</v>
      </c>
      <c r="K39" s="66">
        <f>IFERROR(VLOOKUP(A39,BUFFS!$H$5:$AF$195,11,),"")</f>
        <v>0</v>
      </c>
      <c r="L39" s="66">
        <f>IFERROR(VLOOKUP(A39,BUFFS!$H$5:$AF$195,12,),"")</f>
        <v>0</v>
      </c>
      <c r="M39" s="66">
        <f>IFERROR(VLOOKUP(A39,BUFFS!$H$5:$AF$195,14,),"")</f>
        <v>0</v>
      </c>
      <c r="N39" s="68">
        <f t="shared" si="3"/>
        <v>0</v>
      </c>
      <c r="O39" s="65">
        <f>IFERROR(VLOOKUP(A39,BUFFS!$H$5:$AF$195,15,),"")</f>
        <v>0</v>
      </c>
      <c r="P39" s="66">
        <f>IFERROR(VLOOKUP(A39,BUFFS!$H$5:$AF$195,16,),"")</f>
        <v>0</v>
      </c>
      <c r="Q39" s="66">
        <f>IFERROR(VLOOKUP(A39,BUFFS!$H$5:$AF$195,17,),"")</f>
        <v>0</v>
      </c>
      <c r="R39" s="66">
        <f>IFERROR(VLOOKUP(A39,BUFFS!$H$5:$AF$195,19,),"")</f>
        <v>0</v>
      </c>
      <c r="S39" s="69">
        <f t="shared" si="4"/>
        <v>0</v>
      </c>
      <c r="T39" s="70">
        <f>IFERROR(VLOOKUP(A39,BUFFS!$H$5:$AF$195,20,),"")</f>
        <v>100</v>
      </c>
    </row>
    <row r="40" spans="1:27" x14ac:dyDescent="0.35">
      <c r="A40" s="17" t="s">
        <v>321</v>
      </c>
      <c r="B40" s="80">
        <v>16</v>
      </c>
      <c r="C40" s="177">
        <v>16</v>
      </c>
      <c r="D40" s="31">
        <f>IFERROR(VLOOKUP(A40,BUFFS!$H$5:$AF$195,8,),"")</f>
        <v>0</v>
      </c>
      <c r="E40" s="24">
        <f t="shared" si="2"/>
        <v>3</v>
      </c>
      <c r="F40" s="65" t="str">
        <f>IFERROR(VLOOKUP(A40,BUFFS!$H$5:$AF$195,5,),"")</f>
        <v>attack</v>
      </c>
      <c r="G40" s="66" t="str">
        <f>IFERROR(VLOOKUP(A40,BUFFS!$H$5:$AF$195,6,),"")</f>
        <v xml:space="preserve">Morale Modifier </v>
      </c>
      <c r="H40" s="67">
        <f>IFERROR(VLOOKUP(A40,BUFFS!$H$5:$AF$195,7,),"")</f>
        <v>3</v>
      </c>
      <c r="I40" s="66">
        <f>IFERROR(VLOOKUP(A40,BUFFS!$H$5:$AF$195,9,),"")</f>
        <v>0</v>
      </c>
      <c r="J40" s="65" t="str">
        <f>IFERROR(VLOOKUP(A40,BUFFS!$H$5:$AF$195,10,),"")</f>
        <v>damage</v>
      </c>
      <c r="K40" s="66" t="str">
        <f>IFERROR(VLOOKUP(A40,BUFFS!$H$5:$AF$195,11,),"")</f>
        <v xml:space="preserve">Morale Modifier </v>
      </c>
      <c r="L40" s="66">
        <f>IFERROR(VLOOKUP(A40,BUFFS!$H$5:$AF$195,12,),"")</f>
        <v>3</v>
      </c>
      <c r="M40" s="66">
        <f>IFERROR(VLOOKUP(A40,BUFFS!$H$5:$AF$195,14,),"")</f>
        <v>0</v>
      </c>
      <c r="N40" s="68">
        <f t="shared" si="3"/>
        <v>3</v>
      </c>
      <c r="O40" s="65">
        <f>IFERROR(VLOOKUP(A40,BUFFS!$H$5:$AF$195,15,),"")</f>
        <v>0</v>
      </c>
      <c r="P40" s="66">
        <f>IFERROR(VLOOKUP(A40,BUFFS!$H$5:$AF$195,16,),"")</f>
        <v>0</v>
      </c>
      <c r="Q40" s="66">
        <f>IFERROR(VLOOKUP(A40,BUFFS!$H$5:$AF$195,17,),"")</f>
        <v>0</v>
      </c>
      <c r="R40" s="66">
        <f>IFERROR(VLOOKUP(A40,BUFFS!$H$5:$AF$195,19,),"")</f>
        <v>0</v>
      </c>
      <c r="S40" s="69">
        <f t="shared" si="4"/>
        <v>0</v>
      </c>
      <c r="T40" s="70">
        <f>IFERROR(VLOOKUP(A40,BUFFS!$H$5:$AF$195,20,),"")</f>
        <v>100</v>
      </c>
    </row>
    <row r="41" spans="1:27" x14ac:dyDescent="0.35">
      <c r="A41" s="17" t="s">
        <v>323</v>
      </c>
      <c r="B41" s="80">
        <v>16</v>
      </c>
      <c r="C41" s="177">
        <v>16</v>
      </c>
      <c r="D41" s="31">
        <f>IFERROR(VLOOKUP(A41,BUFFS!$H$5:$AF$195,8,),"")</f>
        <v>0</v>
      </c>
      <c r="E41" s="24">
        <f t="shared" si="2"/>
        <v>2</v>
      </c>
      <c r="F41" s="65" t="str">
        <f>IFERROR(VLOOKUP(A41,BUFFS!$H$5:$AF$195,5,),"")</f>
        <v>FORT</v>
      </c>
      <c r="G41" s="66" t="str">
        <f>IFERROR(VLOOKUP(A41,BUFFS!$H$5:$AF$195,6,),"")</f>
        <v xml:space="preserve">Circumstance Modifier </v>
      </c>
      <c r="H41" s="67">
        <f>IFERROR(VLOOKUP(A41,BUFFS!$H$5:$AF$195,7,),"")</f>
        <v>2</v>
      </c>
      <c r="I41" s="66">
        <f>IFERROR(VLOOKUP(A41,BUFFS!$H$5:$AF$195,9,),"")</f>
        <v>0</v>
      </c>
      <c r="J41" s="65">
        <f>IFERROR(VLOOKUP(A41,BUFFS!$H$5:$AF$195,10,),"")</f>
        <v>0</v>
      </c>
      <c r="K41" s="66">
        <f>IFERROR(VLOOKUP(A41,BUFFS!$H$5:$AF$195,11,),"")</f>
        <v>0</v>
      </c>
      <c r="L41" s="66">
        <f>IFERROR(VLOOKUP(A41,BUFFS!$H$5:$AF$195,12,),"")</f>
        <v>0</v>
      </c>
      <c r="M41" s="66">
        <f>IFERROR(VLOOKUP(A41,BUFFS!$H$5:$AF$195,14,),"")</f>
        <v>0</v>
      </c>
      <c r="N41" s="68">
        <f t="shared" si="3"/>
        <v>0</v>
      </c>
      <c r="O41" s="65">
        <f>IFERROR(VLOOKUP(A41,BUFFS!$H$5:$AF$195,15,),"")</f>
        <v>0</v>
      </c>
      <c r="P41" s="66">
        <f>IFERROR(VLOOKUP(A41,BUFFS!$H$5:$AF$195,16,),"")</f>
        <v>0</v>
      </c>
      <c r="Q41" s="66">
        <f>IFERROR(VLOOKUP(A41,BUFFS!$H$5:$AF$195,17,),"")</f>
        <v>0</v>
      </c>
      <c r="R41" s="66">
        <f>IFERROR(VLOOKUP(A41,BUFFS!$H$5:$AF$195,19,),"")</f>
        <v>0</v>
      </c>
      <c r="S41" s="69">
        <f t="shared" si="4"/>
        <v>0</v>
      </c>
      <c r="T41" s="70">
        <f>IFERROR(VLOOKUP(A41,BUFFS!$H$5:$AF$195,20,),"")</f>
        <v>100</v>
      </c>
    </row>
    <row r="42" spans="1:27" x14ac:dyDescent="0.35">
      <c r="A42" s="17" t="s">
        <v>192</v>
      </c>
      <c r="B42" s="80">
        <v>16</v>
      </c>
      <c r="C42" s="178">
        <v>160</v>
      </c>
      <c r="D42" s="31">
        <f>IFERROR(VLOOKUP(A42,BUFFS!$H$5:$AF$195,8,),"")</f>
        <v>1</v>
      </c>
      <c r="E42" s="24">
        <f t="shared" si="2"/>
        <v>4</v>
      </c>
      <c r="F42" s="65" t="str">
        <f>IFERROR(VLOOKUP(A42,BUFFS!$H$5:$AF$195,5,),"")</f>
        <v>AC</v>
      </c>
      <c r="G42" s="66" t="str">
        <f>IFERROR(VLOOKUP(A42,BUFFS!$H$5:$AF$195,6,),"")</f>
        <v xml:space="preserve">Armor Bonus </v>
      </c>
      <c r="H42" s="67">
        <f>IFERROR(VLOOKUP(A42,BUFFS!$H$5:$AF$195,7,),"")</f>
        <v>4</v>
      </c>
      <c r="I42" s="66">
        <f>IFERROR(VLOOKUP(A42,BUFFS!$H$5:$AF$195,9,),"")</f>
        <v>0</v>
      </c>
      <c r="J42" s="65">
        <f>IFERROR(VLOOKUP(A42,BUFFS!$H$5:$AF$195,10,),"")</f>
        <v>0</v>
      </c>
      <c r="K42" s="66">
        <f>IFERROR(VLOOKUP(A42,BUFFS!$H$5:$AF$195,11,),"")</f>
        <v>0</v>
      </c>
      <c r="L42" s="66">
        <f>IFERROR(VLOOKUP(A42,BUFFS!$H$5:$AF$195,12,),"")</f>
        <v>0</v>
      </c>
      <c r="M42" s="66">
        <f>IFERROR(VLOOKUP(A42,BUFFS!$H$5:$AF$195,14,),"")</f>
        <v>0</v>
      </c>
      <c r="N42" s="68">
        <f t="shared" si="3"/>
        <v>0</v>
      </c>
      <c r="O42" s="65">
        <f>IFERROR(VLOOKUP(A42,BUFFS!$H$5:$AF$195,15,),"")</f>
        <v>0</v>
      </c>
      <c r="P42" s="66">
        <f>IFERROR(VLOOKUP(A42,BUFFS!$H$5:$AF$195,16,),"")</f>
        <v>0</v>
      </c>
      <c r="Q42" s="66">
        <f>IFERROR(VLOOKUP(A42,BUFFS!$H$5:$AF$195,17,),"")</f>
        <v>0</v>
      </c>
      <c r="R42" s="66">
        <f>IFERROR(VLOOKUP(A42,BUFFS!$H$5:$AF$195,19,),"")</f>
        <v>0</v>
      </c>
      <c r="S42" s="69">
        <f t="shared" si="4"/>
        <v>0</v>
      </c>
      <c r="T42" s="70">
        <f>IFERROR(VLOOKUP(A42,BUFFS!$H$5:$AF$195,20,),"")</f>
        <v>100</v>
      </c>
    </row>
    <row r="43" spans="1:27" x14ac:dyDescent="0.35">
      <c r="A43" s="17" t="s">
        <v>195</v>
      </c>
      <c r="B43" s="80">
        <v>16</v>
      </c>
      <c r="C43" s="178">
        <v>160</v>
      </c>
      <c r="D43" s="31">
        <f>IFERROR(VLOOKUP(A43,BUFFS!$H$5:$AF$195,8,),"")</f>
        <v>1</v>
      </c>
      <c r="E43" s="24">
        <f t="shared" si="2"/>
        <v>4</v>
      </c>
      <c r="F43" s="65" t="str">
        <f>IFERROR(VLOOKUP(A43,BUFFS!$H$5:$AF$195,5,),"")</f>
        <v>AC</v>
      </c>
      <c r="G43" s="66" t="str">
        <f>IFERROR(VLOOKUP(A43,BUFFS!$H$5:$AF$195,6,),"")</f>
        <v xml:space="preserve">Shield Bonus </v>
      </c>
      <c r="H43" s="67">
        <f>IFERROR(VLOOKUP(A43,BUFFS!$H$5:$AF$195,7,),"")</f>
        <v>4</v>
      </c>
      <c r="I43" s="66">
        <f>IFERROR(VLOOKUP(A43,BUFFS!$H$5:$AF$195,9,),"")</f>
        <v>0</v>
      </c>
      <c r="J43" s="65">
        <f>IFERROR(VLOOKUP(A43,BUFFS!$H$5:$AF$195,10,),"")</f>
        <v>0</v>
      </c>
      <c r="K43" s="66">
        <f>IFERROR(VLOOKUP(A43,BUFFS!$H$5:$AF$195,11,),"")</f>
        <v>0</v>
      </c>
      <c r="L43" s="66">
        <f>IFERROR(VLOOKUP(A43,BUFFS!$H$5:$AF$195,12,),"")</f>
        <v>0</v>
      </c>
      <c r="M43" s="66">
        <f>IFERROR(VLOOKUP(A43,BUFFS!$H$5:$AF$195,14,),"")</f>
        <v>0</v>
      </c>
      <c r="N43" s="68">
        <f t="shared" si="3"/>
        <v>0</v>
      </c>
      <c r="O43" s="65">
        <f>IFERROR(VLOOKUP(A43,BUFFS!$H$5:$AF$195,15,),"")</f>
        <v>0</v>
      </c>
      <c r="P43" s="66">
        <f>IFERROR(VLOOKUP(A43,BUFFS!$H$5:$AF$195,16,),"")</f>
        <v>0</v>
      </c>
      <c r="Q43" s="66">
        <f>IFERROR(VLOOKUP(A43,BUFFS!$H$5:$AF$195,17,),"")</f>
        <v>0</v>
      </c>
      <c r="R43" s="66">
        <f>IFERROR(VLOOKUP(A43,BUFFS!$H$5:$AF$195,19,),"")</f>
        <v>0</v>
      </c>
      <c r="S43" s="69">
        <f t="shared" si="4"/>
        <v>0</v>
      </c>
      <c r="T43" s="70">
        <f>IFERROR(VLOOKUP(A43,BUFFS!$H$5:$AF$195,20,),"")</f>
        <v>100</v>
      </c>
    </row>
    <row r="44" spans="1:27" x14ac:dyDescent="0.35">
      <c r="A44" s="17" t="s">
        <v>226</v>
      </c>
      <c r="B44" s="80">
        <v>16</v>
      </c>
      <c r="C44" s="177" t="s">
        <v>301</v>
      </c>
      <c r="D44" s="31">
        <f>IFERROR(VLOOKUP(A44,BUFFS!$H$5:$AF$195,8,),"")</f>
        <v>2</v>
      </c>
      <c r="E44" s="24">
        <f t="shared" si="2"/>
        <v>4</v>
      </c>
      <c r="F44" s="65" t="str">
        <f>IFERROR(VLOOKUP(A44,BUFFS!$H$5:$AF$195,5,),"")</f>
        <v>FORT</v>
      </c>
      <c r="G44" s="66" t="str">
        <f>IFERROR(VLOOKUP(A44,BUFFS!$H$5:$AF$195,6,),"")</f>
        <v>Sacred Modifier</v>
      </c>
      <c r="H44" s="67">
        <f>IFERROR(VLOOKUP(A44,BUFFS!$H$5:$AF$195,7,),"")</f>
        <v>4</v>
      </c>
      <c r="I44" s="66">
        <f>IFERROR(VLOOKUP(A44,BUFFS!$H$5:$AF$195,9,),"")</f>
        <v>0</v>
      </c>
      <c r="J44" s="65" t="str">
        <f>IFERROR(VLOOKUP(A44,BUFFS!$H$5:$AF$195,10,),"")</f>
        <v>REF</v>
      </c>
      <c r="K44" s="66" t="str">
        <f>IFERROR(VLOOKUP(A44,BUFFS!$H$5:$AF$195,11,),"")</f>
        <v>Sacred Modifier</v>
      </c>
      <c r="L44" s="66">
        <f>IFERROR(VLOOKUP(A44,BUFFS!$H$5:$AF$195,12,),"")</f>
        <v>4</v>
      </c>
      <c r="M44" s="66">
        <f>IFERROR(VLOOKUP(A44,BUFFS!$H$5:$AF$195,14,),"")</f>
        <v>0</v>
      </c>
      <c r="N44" s="68">
        <f t="shared" si="3"/>
        <v>4</v>
      </c>
      <c r="O44" s="65" t="str">
        <f>IFERROR(VLOOKUP(A44,BUFFS!$H$5:$AF$195,15,),"")</f>
        <v>WILL</v>
      </c>
      <c r="P44" s="66" t="str">
        <f>IFERROR(VLOOKUP(A44,BUFFS!$H$5:$AF$195,16,),"")</f>
        <v>Sacred Modifier</v>
      </c>
      <c r="Q44" s="66">
        <f>IFERROR(VLOOKUP(A44,BUFFS!$H$5:$AF$195,17,),"")</f>
        <v>4</v>
      </c>
      <c r="R44" s="66">
        <f>IFERROR(VLOOKUP(A44,BUFFS!$H$5:$AF$195,19,),"")</f>
        <v>0</v>
      </c>
      <c r="S44" s="69">
        <f t="shared" si="4"/>
        <v>4</v>
      </c>
      <c r="T44" s="70">
        <f>IFERROR(VLOOKUP(A44,BUFFS!$H$5:$AF$195,20,),"")</f>
        <v>100</v>
      </c>
    </row>
    <row r="45" spans="1:27" x14ac:dyDescent="0.35">
      <c r="A45" s="17" t="s">
        <v>201</v>
      </c>
      <c r="B45" s="80">
        <v>16</v>
      </c>
      <c r="C45" s="178">
        <v>160</v>
      </c>
      <c r="D45" s="31">
        <f>IFERROR(VLOOKUP(A45,BUFFS!$H$5:$AF$195,8,),"")</f>
        <v>2</v>
      </c>
      <c r="E45" s="24">
        <f t="shared" si="2"/>
        <v>4</v>
      </c>
      <c r="F45" s="65" t="str">
        <f>IFERROR(VLOOKUP(A45,BUFFS!$H$5:$AF$195,5,),"")</f>
        <v>Strength</v>
      </c>
      <c r="G45" s="66" t="str">
        <f>IFERROR(VLOOKUP(A45,BUFFS!$H$5:$AF$195,6,),"")</f>
        <v>Enhancement</v>
      </c>
      <c r="H45" s="67">
        <f>IFERROR(VLOOKUP(A45,BUFFS!$H$5:$AF$195,7,),"")</f>
        <v>4</v>
      </c>
      <c r="I45" s="66">
        <f>IFERROR(VLOOKUP(A45,BUFFS!$H$5:$AF$195,9,),"")</f>
        <v>0</v>
      </c>
      <c r="J45" s="65">
        <f>IFERROR(VLOOKUP(A45,BUFFS!$H$5:$AF$195,10,),"")</f>
        <v>0</v>
      </c>
      <c r="K45" s="66">
        <f>IFERROR(VLOOKUP(A45,BUFFS!$H$5:$AF$195,11,),"")</f>
        <v>0</v>
      </c>
      <c r="L45" s="66">
        <f>IFERROR(VLOOKUP(A45,BUFFS!$H$5:$AF$195,12,),"")</f>
        <v>0</v>
      </c>
      <c r="M45" s="66">
        <f>IFERROR(VLOOKUP(A45,BUFFS!$H$5:$AF$195,14,),"")</f>
        <v>0</v>
      </c>
      <c r="N45" s="68">
        <f t="shared" si="3"/>
        <v>0</v>
      </c>
      <c r="O45" s="65">
        <f>IFERROR(VLOOKUP(A45,BUFFS!$H$5:$AF$195,15,),"")</f>
        <v>0</v>
      </c>
      <c r="P45" s="66">
        <f>IFERROR(VLOOKUP(A45,BUFFS!$H$5:$AF$195,16,),"")</f>
        <v>0</v>
      </c>
      <c r="Q45" s="66">
        <f>IFERROR(VLOOKUP(A45,BUFFS!$H$5:$AF$195,17,),"")</f>
        <v>0</v>
      </c>
      <c r="R45" s="66">
        <f>IFERROR(VLOOKUP(A45,BUFFS!$H$5:$AF$195,19,),"")</f>
        <v>0</v>
      </c>
      <c r="S45" s="69">
        <f t="shared" si="4"/>
        <v>0</v>
      </c>
      <c r="T45" s="70">
        <f>IFERROR(VLOOKUP(A45,BUFFS!$H$5:$AF$195,20,),"")</f>
        <v>100</v>
      </c>
    </row>
    <row r="46" spans="1:27" x14ac:dyDescent="0.35">
      <c r="A46" s="17" t="s">
        <v>211</v>
      </c>
      <c r="B46" s="80">
        <v>16</v>
      </c>
      <c r="C46" s="178">
        <v>9</v>
      </c>
      <c r="D46" s="31">
        <f>IFERROR(VLOOKUP(A46,BUFFS!$H$5:$AF$195,8,),"")</f>
        <v>3</v>
      </c>
      <c r="E46" s="24">
        <f t="shared" si="2"/>
        <v>1</v>
      </c>
      <c r="F46" s="65" t="str">
        <f>IFERROR(VLOOKUP(A46,BUFFS!$H$5:$AF$195,5,),"")</f>
        <v>attack</v>
      </c>
      <c r="G46" s="66" t="str">
        <f>IFERROR(VLOOKUP(A46,BUFFS!$H$5:$AF$195,6,),"")</f>
        <v>Untyped</v>
      </c>
      <c r="H46" s="67">
        <f>IFERROR(VLOOKUP(A46,BUFFS!$H$5:$AF$195,7,),"")</f>
        <v>1</v>
      </c>
      <c r="I46" s="66">
        <f>IFERROR(VLOOKUP(A46,BUFFS!$H$5:$AF$195,9,),"")</f>
        <v>0</v>
      </c>
      <c r="J46" s="65" t="str">
        <f>IFERROR(VLOOKUP(A46,BUFFS!$H$5:$AF$195,10,),"")</f>
        <v>AC</v>
      </c>
      <c r="K46" s="66" t="str">
        <f>IFERROR(VLOOKUP(A46,BUFFS!$H$5:$AF$195,11,),"")</f>
        <v xml:space="preserve">Dodge Bonus </v>
      </c>
      <c r="L46" s="66">
        <f>IFERROR(VLOOKUP(A46,BUFFS!$H$5:$AF$195,12,),"")</f>
        <v>1</v>
      </c>
      <c r="M46" s="66">
        <f>IFERROR(VLOOKUP(A46,BUFFS!$H$5:$AF$195,14,),"")</f>
        <v>0</v>
      </c>
      <c r="N46" s="68">
        <f t="shared" si="3"/>
        <v>1</v>
      </c>
      <c r="O46" s="65" t="str">
        <f>IFERROR(VLOOKUP(A46,BUFFS!$H$5:$AF$195,15,),"")</f>
        <v>REF</v>
      </c>
      <c r="P46" s="66" t="str">
        <f>IFERROR(VLOOKUP(A46,BUFFS!$H$5:$AF$195,16,),"")</f>
        <v xml:space="preserve">Dodge Bonus </v>
      </c>
      <c r="Q46" s="66">
        <f>IFERROR(VLOOKUP(A46,BUFFS!$H$5:$AF$195,17,),"")</f>
        <v>1</v>
      </c>
      <c r="R46" s="66">
        <f>IFERROR(VLOOKUP(A46,BUFFS!$H$5:$AF$195,19,),"")</f>
        <v>0</v>
      </c>
      <c r="S46" s="69">
        <f t="shared" si="4"/>
        <v>1</v>
      </c>
      <c r="T46" s="70">
        <f>IFERROR(VLOOKUP(A46,BUFFS!$H$5:$AF$195,20,),"")</f>
        <v>100</v>
      </c>
    </row>
    <row r="47" spans="1:27" x14ac:dyDescent="0.35">
      <c r="A47" s="17" t="s">
        <v>308</v>
      </c>
      <c r="B47" s="80">
        <v>16</v>
      </c>
      <c r="C47" s="180">
        <v>1593</v>
      </c>
      <c r="D47" s="31">
        <f>IFERROR(VLOOKUP(A47,BUFFS!$H$5:$AF$195,8,),"")</f>
        <v>3</v>
      </c>
      <c r="E47" s="24">
        <f t="shared" si="2"/>
        <v>5</v>
      </c>
      <c r="F47" s="65" t="str">
        <f>IFERROR(VLOOKUP(A47,BUFFS!$H$5:$AF$195,5,),"")</f>
        <v>AC</v>
      </c>
      <c r="G47" s="66" t="str">
        <f>IFERROR(VLOOKUP(A47,BUFFS!$H$5:$AF$195,6,),"")</f>
        <v>Enhancement to Natural Armor Bonus</v>
      </c>
      <c r="H47" s="67">
        <f>IFERROR(VLOOKUP(A47,BUFFS!$H$5:$AF$195,7,),"")</f>
        <v>0</v>
      </c>
      <c r="I47" s="66">
        <f>IFERROR(VLOOKUP(A47,BUFFS!$H$5:$AF$195,9,),"")</f>
        <v>0.33329999999999999</v>
      </c>
      <c r="J47" s="65">
        <f>IFERROR(VLOOKUP(A47,BUFFS!$H$5:$AF$195,10,),"")</f>
        <v>0</v>
      </c>
      <c r="K47" s="66">
        <f>IFERROR(VLOOKUP(A47,BUFFS!$H$5:$AF$195,11,),"")</f>
        <v>0</v>
      </c>
      <c r="L47" s="66">
        <f>IFERROR(VLOOKUP(A47,BUFFS!$H$5:$AF$195,12,),"")</f>
        <v>0</v>
      </c>
      <c r="M47" s="66">
        <f>IFERROR(VLOOKUP(A47,BUFFS!$H$5:$AF$195,14,),"")</f>
        <v>0</v>
      </c>
      <c r="N47" s="68">
        <f t="shared" si="3"/>
        <v>0</v>
      </c>
      <c r="O47" s="65">
        <f>IFERROR(VLOOKUP(A47,BUFFS!$H$5:$AF$195,15,),"")</f>
        <v>0</v>
      </c>
      <c r="P47" s="66">
        <f>IFERROR(VLOOKUP(A47,BUFFS!$H$5:$AF$195,16,),"")</f>
        <v>0</v>
      </c>
      <c r="Q47" s="66">
        <f>IFERROR(VLOOKUP(A47,BUFFS!$H$5:$AF$195,17,),"")</f>
        <v>0</v>
      </c>
      <c r="R47" s="66">
        <f>IFERROR(VLOOKUP(A47,BUFFS!$H$5:$AF$195,19,),"")</f>
        <v>0</v>
      </c>
      <c r="S47" s="69">
        <f t="shared" si="4"/>
        <v>0</v>
      </c>
      <c r="T47" s="70">
        <f>IFERROR(VLOOKUP(A47,BUFFS!$H$5:$AF$195,20,),"")</f>
        <v>12</v>
      </c>
    </row>
    <row r="48" spans="1:27" x14ac:dyDescent="0.35">
      <c r="A48" s="17" t="s">
        <v>290</v>
      </c>
      <c r="B48" s="80">
        <v>16</v>
      </c>
      <c r="C48" s="179" t="s">
        <v>300</v>
      </c>
      <c r="D48" s="31">
        <f>IFERROR(VLOOKUP(A48,BUFFS!$H$5:$AF$195,8,),"")</f>
        <v>3</v>
      </c>
      <c r="E48" s="24">
        <f t="shared" si="2"/>
        <v>4</v>
      </c>
      <c r="F48" s="65" t="str">
        <f>IFERROR(VLOOKUP(A48,BUFFS!$H$5:$AF$195,5,),"")</f>
        <v>FORT</v>
      </c>
      <c r="G48" s="66" t="str">
        <f>IFERROR(VLOOKUP(A48,BUFFS!$H$5:$AF$195,6,),"")</f>
        <v xml:space="preserve">Morale Modifier </v>
      </c>
      <c r="H48" s="67">
        <f>IFERROR(VLOOKUP(A48,BUFFS!$H$5:$AF$195,7,),"")</f>
        <v>2</v>
      </c>
      <c r="I48" s="66">
        <f>IFERROR(VLOOKUP(A48,BUFFS!$H$5:$AF$195,9,),"")</f>
        <v>0.16666666666666666</v>
      </c>
      <c r="J48" s="65" t="str">
        <f>IFERROR(VLOOKUP(A48,BUFFS!$H$5:$AF$195,10,),"")</f>
        <v>REF</v>
      </c>
      <c r="K48" s="66" t="str">
        <f>IFERROR(VLOOKUP(A48,BUFFS!$H$5:$AF$195,11,),"")</f>
        <v xml:space="preserve">Morale Modifier </v>
      </c>
      <c r="L48" s="66">
        <f>IFERROR(VLOOKUP(A48,BUFFS!$H$5:$AF$195,12,),"")</f>
        <v>2</v>
      </c>
      <c r="M48" s="66">
        <f>IFERROR(VLOOKUP(A48,BUFFS!$H$5:$AF$195,14,),"")</f>
        <v>0.16666666666666666</v>
      </c>
      <c r="N48" s="68">
        <f t="shared" si="3"/>
        <v>4</v>
      </c>
      <c r="O48" s="65" t="str">
        <f>IFERROR(VLOOKUP(A48,BUFFS!$H$5:$AF$195,15,),"")</f>
        <v>WILL</v>
      </c>
      <c r="P48" s="66" t="str">
        <f>IFERROR(VLOOKUP(A48,BUFFS!$H$5:$AF$195,16,),"")</f>
        <v xml:space="preserve">Morale Modifier </v>
      </c>
      <c r="Q48" s="66">
        <f>IFERROR(VLOOKUP(A48,BUFFS!$H$5:$AF$195,17,),"")</f>
        <v>2</v>
      </c>
      <c r="R48" s="66">
        <f>IFERROR(VLOOKUP(A48,BUFFS!$H$5:$AF$195,19,),"")</f>
        <v>0.16666666666666666</v>
      </c>
      <c r="S48" s="69">
        <f t="shared" si="4"/>
        <v>4</v>
      </c>
      <c r="T48" s="70">
        <f>IFERROR(VLOOKUP(A48,BUFFS!$H$5:$AF$195,20,),"")</f>
        <v>100</v>
      </c>
    </row>
    <row r="49" spans="1:20" x14ac:dyDescent="0.35">
      <c r="A49" s="17" t="s">
        <v>234</v>
      </c>
      <c r="B49" s="80">
        <v>20</v>
      </c>
      <c r="C49" s="178">
        <v>1593</v>
      </c>
      <c r="D49" s="31">
        <f>IFERROR(VLOOKUP(A49,BUFFS!$H$5:$AF$195,8,),"")</f>
        <v>4</v>
      </c>
      <c r="E49" s="24">
        <f t="shared" si="2"/>
        <v>5</v>
      </c>
      <c r="F49" s="65" t="str">
        <f>IFERROR(VLOOKUP(A49,BUFFS!$H$5:$AF$195,5,),"")</f>
        <v>AC</v>
      </c>
      <c r="G49" s="66" t="str">
        <f>IFERROR(VLOOKUP(A49,BUFFS!$H$5:$AF$195,6,),"")</f>
        <v xml:space="preserve">Deflection Bonus </v>
      </c>
      <c r="H49" s="67">
        <f>IFERROR(VLOOKUP(A49,BUFFS!$H$5:$AF$195,7,),"")</f>
        <v>2</v>
      </c>
      <c r="I49" s="66">
        <f>IFERROR(VLOOKUP(A49,BUFFS!$H$5:$AF$195,9,),"")</f>
        <v>0.16666666666666666</v>
      </c>
      <c r="J49" s="65">
        <f>IFERROR(VLOOKUP(A49,BUFFS!$H$5:$AF$195,10,),"")</f>
        <v>0</v>
      </c>
      <c r="K49" s="66">
        <f>IFERROR(VLOOKUP(A49,BUFFS!$H$5:$AF$195,11,),"")</f>
        <v>0</v>
      </c>
      <c r="L49" s="66">
        <f>IFERROR(VLOOKUP(A49,BUFFS!$H$5:$AF$195,12,),"")</f>
        <v>0</v>
      </c>
      <c r="M49" s="66">
        <f>IFERROR(VLOOKUP(A49,BUFFS!$H$5:$AF$195,14,),"")</f>
        <v>0</v>
      </c>
      <c r="N49" s="68">
        <f t="shared" si="3"/>
        <v>0</v>
      </c>
      <c r="O49" s="65">
        <f>IFERROR(VLOOKUP(A49,BUFFS!$H$5:$AF$195,15,),"")</f>
        <v>0</v>
      </c>
      <c r="P49" s="66">
        <f>IFERROR(VLOOKUP(A49,BUFFS!$H$5:$AF$195,16,),"")</f>
        <v>0</v>
      </c>
      <c r="Q49" s="66">
        <f>IFERROR(VLOOKUP(A49,BUFFS!$H$5:$AF$195,17,),"")</f>
        <v>0</v>
      </c>
      <c r="R49" s="66">
        <f>IFERROR(VLOOKUP(A49,BUFFS!$H$5:$AF$195,19,),"")</f>
        <v>0</v>
      </c>
      <c r="S49" s="69">
        <f t="shared" si="4"/>
        <v>0</v>
      </c>
      <c r="T49" s="70">
        <f>IFERROR(VLOOKUP(A49,BUFFS!$H$5:$AF$195,20,),"")</f>
        <v>20</v>
      </c>
    </row>
    <row r="50" spans="1:20" x14ac:dyDescent="0.35">
      <c r="A50" s="17" t="s">
        <v>285</v>
      </c>
      <c r="B50" s="80">
        <v>16</v>
      </c>
      <c r="C50" s="178">
        <v>153</v>
      </c>
      <c r="D50" s="31">
        <f>IFERROR(VLOOKUP(A50,BUFFS!$H$5:$AF$195,8,),"")</f>
        <v>15</v>
      </c>
      <c r="E50" s="24">
        <f t="shared" si="2"/>
        <v>5</v>
      </c>
      <c r="F50" s="65" t="str">
        <f>IFERROR(VLOOKUP(A50,BUFFS!$H$5:$AF$195,5,),"")</f>
        <v>AC</v>
      </c>
      <c r="G50" s="66" t="str">
        <f>IFERROR(VLOOKUP(A50,BUFFS!$H$5:$AF$195,6,),"")</f>
        <v>Sacred Modifier</v>
      </c>
      <c r="H50" s="67">
        <f>IFERROR(VLOOKUP(A50,BUFFS!$H$5:$AF$195,7,),"")</f>
        <v>5</v>
      </c>
      <c r="I50" s="66">
        <f>IFERROR(VLOOKUP(A50,BUFFS!$H$5:$AF$195,9,),"")</f>
        <v>0</v>
      </c>
      <c r="J50" s="65">
        <f>IFERROR(VLOOKUP(A50,BUFFS!$H$5:$AF$195,10,),"")</f>
        <v>0</v>
      </c>
      <c r="K50" s="66">
        <f>IFERROR(VLOOKUP(A50,BUFFS!$H$5:$AF$195,11,),"")</f>
        <v>0</v>
      </c>
      <c r="L50" s="66">
        <f>IFERROR(VLOOKUP(A50,BUFFS!$H$5:$AF$195,12,),"")</f>
        <v>0</v>
      </c>
      <c r="M50" s="66">
        <f>IFERROR(VLOOKUP(A50,BUFFS!$H$5:$AF$195,14,),"")</f>
        <v>0</v>
      </c>
      <c r="N50" s="68">
        <f t="shared" si="3"/>
        <v>0</v>
      </c>
      <c r="O50" s="65">
        <f>IFERROR(VLOOKUP(A50,BUFFS!$H$5:$AF$195,15,),"")</f>
        <v>0</v>
      </c>
      <c r="P50" s="66">
        <f>IFERROR(VLOOKUP(A50,BUFFS!$H$5:$AF$195,16,),"")</f>
        <v>0</v>
      </c>
      <c r="Q50" s="66">
        <f>IFERROR(VLOOKUP(A50,BUFFS!$H$5:$AF$195,17,),"")</f>
        <v>0</v>
      </c>
      <c r="R50" s="66">
        <f>IFERROR(VLOOKUP(A50,BUFFS!$H$5:$AF$195,19,),"")</f>
        <v>0</v>
      </c>
      <c r="S50" s="69">
        <f t="shared" si="4"/>
        <v>0</v>
      </c>
      <c r="T50" s="70">
        <f>IFERROR(VLOOKUP(A50,BUFFS!$H$5:$AF$195,20,),"")</f>
        <v>100</v>
      </c>
    </row>
    <row r="51" spans="1:20" x14ac:dyDescent="0.35">
      <c r="A51" s="17" t="s">
        <v>383</v>
      </c>
      <c r="B51" s="80">
        <v>12</v>
      </c>
      <c r="C51" s="180">
        <v>90000</v>
      </c>
      <c r="D51" s="31">
        <f>IFERROR(VLOOKUP(A51,BUFFS!$H$5:$AF$195,8,),"")</f>
        <v>2</v>
      </c>
      <c r="E51" s="24">
        <f t="shared" ref="E51:E98" si="5">IFERROR(SUM(H51,ROUNDDOWN(MIN(B51,T$35)*I51,0)),"")</f>
        <v>5</v>
      </c>
      <c r="F51" s="65" t="str">
        <f>IFERROR(VLOOKUP(A51,BUFFS!$H$5:$AF$195,5,),"")</f>
        <v>AC</v>
      </c>
      <c r="G51" s="66" t="str">
        <f>IFERROR(VLOOKUP(A51,BUFFS!$H$5:$AF$195,6,),"")</f>
        <v>Enhancement to Natural Armor Bonus</v>
      </c>
      <c r="H51" s="67">
        <f>IFERROR(VLOOKUP(A51,BUFFS!$H$5:$AF$195,7,),"")</f>
        <v>2</v>
      </c>
      <c r="I51" s="66">
        <f>IFERROR(VLOOKUP(A51,BUFFS!$H$5:$AF$195,9,),"")</f>
        <v>0.33329999999999999</v>
      </c>
      <c r="J51" s="65">
        <f>IFERROR(VLOOKUP(A51,BUFFS!$H$5:$AF$195,10,),"")</f>
        <v>0</v>
      </c>
      <c r="K51" s="66">
        <f>IFERROR(VLOOKUP(A51,BUFFS!$H$5:$AF$195,11,),"")</f>
        <v>0</v>
      </c>
      <c r="L51" s="66">
        <f>IFERROR(VLOOKUP(A51,BUFFS!$H$5:$AF$195,12,),"")</f>
        <v>0</v>
      </c>
      <c r="M51" s="66">
        <f>IFERROR(VLOOKUP(A51,BUFFS!$H$5:$AF$195,14,),"")</f>
        <v>0</v>
      </c>
      <c r="N51" s="68">
        <f t="shared" ref="N51:N98" si="6">IFERROR(SUM(L51,ROUNDDOWN(MIN(B51,T$35)*M51,0)),"")</f>
        <v>0</v>
      </c>
      <c r="O51" s="65">
        <f>IFERROR(VLOOKUP(A51,BUFFS!$H$5:$AF$195,15,),"")</f>
        <v>0</v>
      </c>
      <c r="P51" s="66">
        <f>IFERROR(VLOOKUP(A51,BUFFS!$H$5:$AF$195,16,),"")</f>
        <v>0</v>
      </c>
      <c r="Q51" s="66">
        <f>IFERROR(VLOOKUP(A51,BUFFS!$H$5:$AF$195,17,),"")</f>
        <v>0</v>
      </c>
      <c r="R51" s="66">
        <f>IFERROR(VLOOKUP(A51,BUFFS!$H$5:$AF$195,19,),"")</f>
        <v>0</v>
      </c>
      <c r="S51" s="69">
        <f t="shared" ref="S51:S98" si="7">IFERROR(SUM(Q51,ROUNDDOWN(MIN(B51,T$35)*R51,0)),"")</f>
        <v>0</v>
      </c>
      <c r="T51" s="70">
        <f>IFERROR(VLOOKUP(A51,BUFFS!$H$5:$AF$195,20,),"")</f>
        <v>100</v>
      </c>
    </row>
    <row r="52" spans="1:20" x14ac:dyDescent="0.35">
      <c r="A52" s="17"/>
      <c r="B52" s="80"/>
      <c r="C52" s="177"/>
      <c r="D52" s="31" t="str">
        <f>IFERROR(VLOOKUP(A52,BUFFS!$H$5:$AF$195,8,),"")</f>
        <v/>
      </c>
      <c r="E52" s="24" t="str">
        <f t="shared" si="5"/>
        <v/>
      </c>
      <c r="F52" s="65" t="str">
        <f>IFERROR(VLOOKUP(A52,BUFFS!$H$5:$AF$195,5,),"")</f>
        <v/>
      </c>
      <c r="G52" s="66" t="str">
        <f>IFERROR(VLOOKUP(A52,BUFFS!$H$5:$AF$195,6,),"")</f>
        <v/>
      </c>
      <c r="H52" s="67" t="str">
        <f>IFERROR(VLOOKUP(A52,BUFFS!$H$5:$AF$195,7,),"")</f>
        <v/>
      </c>
      <c r="I52" s="66" t="str">
        <f>IFERROR(VLOOKUP(A52,BUFFS!$H$5:$AF$195,9,),"")</f>
        <v/>
      </c>
      <c r="J52" s="65" t="str">
        <f>IFERROR(VLOOKUP(A52,BUFFS!$H$5:$AF$195,10,),"")</f>
        <v/>
      </c>
      <c r="K52" s="66" t="str">
        <f>IFERROR(VLOOKUP(A52,BUFFS!$H$5:$AF$195,11,),"")</f>
        <v/>
      </c>
      <c r="L52" s="66" t="str">
        <f>IFERROR(VLOOKUP(A52,BUFFS!$H$5:$AF$195,12,),"")</f>
        <v/>
      </c>
      <c r="M52" s="66" t="str">
        <f>IFERROR(VLOOKUP(A52,BUFFS!$H$5:$AF$195,14,),"")</f>
        <v/>
      </c>
      <c r="N52" s="68" t="str">
        <f t="shared" si="6"/>
        <v/>
      </c>
      <c r="O52" s="65" t="str">
        <f>IFERROR(VLOOKUP(A52,BUFFS!$H$5:$AF$195,15,),"")</f>
        <v/>
      </c>
      <c r="P52" s="66" t="str">
        <f>IFERROR(VLOOKUP(A52,BUFFS!$H$5:$AF$195,16,),"")</f>
        <v/>
      </c>
      <c r="Q52" s="66" t="str">
        <f>IFERROR(VLOOKUP(A52,BUFFS!$H$5:$AF$195,17,),"")</f>
        <v/>
      </c>
      <c r="R52" s="66" t="str">
        <f>IFERROR(VLOOKUP(A52,BUFFS!$H$5:$AF$195,19,),"")</f>
        <v/>
      </c>
      <c r="S52" s="69" t="str">
        <f t="shared" si="7"/>
        <v/>
      </c>
      <c r="T52" s="70" t="str">
        <f>IFERROR(VLOOKUP(A52,BUFFS!$H$5:$AF$195,20,),"")</f>
        <v/>
      </c>
    </row>
    <row r="53" spans="1:20" x14ac:dyDescent="0.35">
      <c r="A53" s="17"/>
      <c r="B53" s="80"/>
      <c r="C53" s="177"/>
      <c r="D53" s="31" t="str">
        <f>IFERROR(VLOOKUP(A53,BUFFS!$H$5:$AF$195,8,),"")</f>
        <v/>
      </c>
      <c r="E53" s="24" t="str">
        <f t="shared" si="5"/>
        <v/>
      </c>
      <c r="F53" s="65" t="str">
        <f>IFERROR(VLOOKUP(A53,BUFFS!$H$5:$AF$195,5,),"")</f>
        <v/>
      </c>
      <c r="G53" s="66" t="str">
        <f>IFERROR(VLOOKUP(A53,BUFFS!$H$5:$AF$195,6,),"")</f>
        <v/>
      </c>
      <c r="H53" s="67" t="str">
        <f>IFERROR(VLOOKUP(A53,BUFFS!$H$5:$AF$195,7,),"")</f>
        <v/>
      </c>
      <c r="I53" s="66" t="str">
        <f>IFERROR(VLOOKUP(A53,BUFFS!$H$5:$AF$195,9,),"")</f>
        <v/>
      </c>
      <c r="J53" s="65" t="str">
        <f>IFERROR(VLOOKUP(A53,BUFFS!$H$5:$AF$195,10,),"")</f>
        <v/>
      </c>
      <c r="K53" s="66" t="str">
        <f>IFERROR(VLOOKUP(A53,BUFFS!$H$5:$AF$195,11,),"")</f>
        <v/>
      </c>
      <c r="L53" s="66" t="str">
        <f>IFERROR(VLOOKUP(A53,BUFFS!$H$5:$AF$195,12,),"")</f>
        <v/>
      </c>
      <c r="M53" s="66" t="str">
        <f>IFERROR(VLOOKUP(A53,BUFFS!$H$5:$AF$195,14,),"")</f>
        <v/>
      </c>
      <c r="N53" s="68" t="str">
        <f t="shared" si="6"/>
        <v/>
      </c>
      <c r="O53" s="65" t="str">
        <f>IFERROR(VLOOKUP(A53,BUFFS!$H$5:$AF$195,15,),"")</f>
        <v/>
      </c>
      <c r="P53" s="66" t="str">
        <f>IFERROR(VLOOKUP(A53,BUFFS!$H$5:$AF$195,16,),"")</f>
        <v/>
      </c>
      <c r="Q53" s="66" t="str">
        <f>IFERROR(VLOOKUP(A53,BUFFS!$H$5:$AF$195,17,),"")</f>
        <v/>
      </c>
      <c r="R53" s="66" t="str">
        <f>IFERROR(VLOOKUP(A53,BUFFS!$H$5:$AF$195,19,),"")</f>
        <v/>
      </c>
      <c r="S53" s="69" t="str">
        <f t="shared" si="7"/>
        <v/>
      </c>
      <c r="T53" s="70" t="str">
        <f>IFERROR(VLOOKUP(A53,BUFFS!$H$5:$AF$195,20,),"")</f>
        <v/>
      </c>
    </row>
    <row r="54" spans="1:20" x14ac:dyDescent="0.35">
      <c r="A54" s="17"/>
      <c r="B54" s="80"/>
      <c r="C54" s="81"/>
      <c r="D54" s="31" t="str">
        <f>IFERROR(VLOOKUP(A54,BUFFS!$H$5:$AF$195,8,),"")</f>
        <v/>
      </c>
      <c r="E54" s="24" t="str">
        <f t="shared" si="5"/>
        <v/>
      </c>
      <c r="F54" s="65" t="str">
        <f>IFERROR(VLOOKUP(A54,BUFFS!$H$5:$AF$195,5,),"")</f>
        <v/>
      </c>
      <c r="G54" s="66" t="str">
        <f>IFERROR(VLOOKUP(A54,BUFFS!$H$5:$AF$195,6,),"")</f>
        <v/>
      </c>
      <c r="H54" s="67" t="str">
        <f>IFERROR(VLOOKUP(A54,BUFFS!$H$5:$AF$195,7,),"")</f>
        <v/>
      </c>
      <c r="I54" s="66" t="str">
        <f>IFERROR(VLOOKUP(A54,BUFFS!$H$5:$AF$195,9,),"")</f>
        <v/>
      </c>
      <c r="J54" s="65" t="str">
        <f>IFERROR(VLOOKUP(A54,BUFFS!$H$5:$AF$195,10,),"")</f>
        <v/>
      </c>
      <c r="K54" s="66" t="str">
        <f>IFERROR(VLOOKUP(A54,BUFFS!$H$5:$AF$195,11,),"")</f>
        <v/>
      </c>
      <c r="L54" s="66" t="str">
        <f>IFERROR(VLOOKUP(A54,BUFFS!$H$5:$AF$195,12,),"")</f>
        <v/>
      </c>
      <c r="M54" s="66" t="str">
        <f>IFERROR(VLOOKUP(A54,BUFFS!$H$5:$AF$195,14,),"")</f>
        <v/>
      </c>
      <c r="N54" s="68" t="str">
        <f t="shared" si="6"/>
        <v/>
      </c>
      <c r="O54" s="65" t="str">
        <f>IFERROR(VLOOKUP(A54,BUFFS!$H$5:$AF$195,15,),"")</f>
        <v/>
      </c>
      <c r="P54" s="66" t="str">
        <f>IFERROR(VLOOKUP(A54,BUFFS!$H$5:$AF$195,16,),"")</f>
        <v/>
      </c>
      <c r="Q54" s="66" t="str">
        <f>IFERROR(VLOOKUP(A54,BUFFS!$H$5:$AF$195,17,),"")</f>
        <v/>
      </c>
      <c r="R54" s="66" t="str">
        <f>IFERROR(VLOOKUP(A54,BUFFS!$H$5:$AF$195,19,),"")</f>
        <v/>
      </c>
      <c r="S54" s="69" t="str">
        <f t="shared" si="7"/>
        <v/>
      </c>
      <c r="T54" s="70" t="str">
        <f>IFERROR(VLOOKUP(A54,BUFFS!$H$5:$AF$195,20,),"")</f>
        <v/>
      </c>
    </row>
    <row r="55" spans="1:20" x14ac:dyDescent="0.35">
      <c r="A55" s="17"/>
      <c r="B55" s="80"/>
      <c r="C55" s="81"/>
      <c r="D55" s="31" t="str">
        <f>IFERROR(VLOOKUP(A55,BUFFS!$H$5:$AF$195,8,),"")</f>
        <v/>
      </c>
      <c r="E55" s="24" t="str">
        <f t="shared" si="5"/>
        <v/>
      </c>
      <c r="F55" s="65" t="str">
        <f>IFERROR(VLOOKUP(A55,BUFFS!$H$5:$AF$195,5,),"")</f>
        <v/>
      </c>
      <c r="G55" s="66" t="str">
        <f>IFERROR(VLOOKUP(A55,BUFFS!$H$5:$AF$195,6,),"")</f>
        <v/>
      </c>
      <c r="H55" s="67" t="str">
        <f>IFERROR(VLOOKUP(A55,BUFFS!$H$5:$AF$195,7,),"")</f>
        <v/>
      </c>
      <c r="I55" s="66" t="str">
        <f>IFERROR(VLOOKUP(A55,BUFFS!$H$5:$AF$195,9,),"")</f>
        <v/>
      </c>
      <c r="J55" s="65" t="str">
        <f>IFERROR(VLOOKUP(A55,BUFFS!$H$5:$AF$195,10,),"")</f>
        <v/>
      </c>
      <c r="K55" s="66" t="str">
        <f>IFERROR(VLOOKUP(A55,BUFFS!$H$5:$AF$195,11,),"")</f>
        <v/>
      </c>
      <c r="L55" s="66" t="str">
        <f>IFERROR(VLOOKUP(A55,BUFFS!$H$5:$AF$195,12,),"")</f>
        <v/>
      </c>
      <c r="M55" s="66" t="str">
        <f>IFERROR(VLOOKUP(A55,BUFFS!$H$5:$AF$195,14,),"")</f>
        <v/>
      </c>
      <c r="N55" s="68" t="str">
        <f t="shared" si="6"/>
        <v/>
      </c>
      <c r="O55" s="65" t="str">
        <f>IFERROR(VLOOKUP(A55,BUFFS!$H$5:$AF$195,15,),"")</f>
        <v/>
      </c>
      <c r="P55" s="66" t="str">
        <f>IFERROR(VLOOKUP(A55,BUFFS!$H$5:$AF$195,16,),"")</f>
        <v/>
      </c>
      <c r="Q55" s="66" t="str">
        <f>IFERROR(VLOOKUP(A55,BUFFS!$H$5:$AF$195,17,),"")</f>
        <v/>
      </c>
      <c r="R55" s="66" t="str">
        <f>IFERROR(VLOOKUP(A55,BUFFS!$H$5:$AF$195,19,),"")</f>
        <v/>
      </c>
      <c r="S55" s="69" t="str">
        <f t="shared" si="7"/>
        <v/>
      </c>
      <c r="T55" s="70" t="str">
        <f>IFERROR(VLOOKUP(A55,BUFFS!$H$5:$AF$195,20,),"")</f>
        <v/>
      </c>
    </row>
    <row r="56" spans="1:20" x14ac:dyDescent="0.35">
      <c r="A56" s="17"/>
      <c r="B56" s="80"/>
      <c r="C56" s="81"/>
      <c r="D56" s="31" t="str">
        <f>IFERROR(VLOOKUP(A56,BUFFS!$H$5:$AF$195,8,),"")</f>
        <v/>
      </c>
      <c r="E56" s="24" t="str">
        <f t="shared" si="5"/>
        <v/>
      </c>
      <c r="F56" s="65" t="str">
        <f>IFERROR(VLOOKUP(A56,BUFFS!$H$5:$AF$195,5,),"")</f>
        <v/>
      </c>
      <c r="G56" s="66" t="str">
        <f>IFERROR(VLOOKUP(A56,BUFFS!$H$5:$AF$195,6,),"")</f>
        <v/>
      </c>
      <c r="H56" s="67" t="str">
        <f>IFERROR(VLOOKUP(A56,BUFFS!$H$5:$AF$195,7,),"")</f>
        <v/>
      </c>
      <c r="I56" s="66" t="str">
        <f>IFERROR(VLOOKUP(A56,BUFFS!$H$5:$AF$195,9,),"")</f>
        <v/>
      </c>
      <c r="J56" s="65" t="str">
        <f>IFERROR(VLOOKUP(A56,BUFFS!$H$5:$AF$195,10,),"")</f>
        <v/>
      </c>
      <c r="K56" s="66" t="str">
        <f>IFERROR(VLOOKUP(A56,BUFFS!$H$5:$AF$195,11,),"")</f>
        <v/>
      </c>
      <c r="L56" s="66" t="str">
        <f>IFERROR(VLOOKUP(A56,BUFFS!$H$5:$AF$195,12,),"")</f>
        <v/>
      </c>
      <c r="M56" s="66" t="str">
        <f>IFERROR(VLOOKUP(A56,BUFFS!$H$5:$AF$195,14,),"")</f>
        <v/>
      </c>
      <c r="N56" s="68" t="str">
        <f t="shared" si="6"/>
        <v/>
      </c>
      <c r="O56" s="65" t="str">
        <f>IFERROR(VLOOKUP(A56,BUFFS!$H$5:$AF$195,15,),"")</f>
        <v/>
      </c>
      <c r="P56" s="66" t="str">
        <f>IFERROR(VLOOKUP(A56,BUFFS!$H$5:$AF$195,16,),"")</f>
        <v/>
      </c>
      <c r="Q56" s="66" t="str">
        <f>IFERROR(VLOOKUP(A56,BUFFS!$H$5:$AF$195,17,),"")</f>
        <v/>
      </c>
      <c r="R56" s="66" t="str">
        <f>IFERROR(VLOOKUP(A56,BUFFS!$H$5:$AF$195,19,),"")</f>
        <v/>
      </c>
      <c r="S56" s="69" t="str">
        <f t="shared" si="7"/>
        <v/>
      </c>
      <c r="T56" s="70" t="str">
        <f>IFERROR(VLOOKUP(A56,BUFFS!$H$5:$AF$195,20,),"")</f>
        <v/>
      </c>
    </row>
    <row r="57" spans="1:20" x14ac:dyDescent="0.35">
      <c r="A57" s="17"/>
      <c r="B57" s="80"/>
      <c r="C57" s="81"/>
      <c r="D57" s="31" t="str">
        <f>IFERROR(VLOOKUP(A57,BUFFS!$H$5:$AF$195,8,),"")</f>
        <v/>
      </c>
      <c r="E57" s="24" t="str">
        <f t="shared" si="5"/>
        <v/>
      </c>
      <c r="F57" s="65" t="str">
        <f>IFERROR(VLOOKUP(A57,BUFFS!$H$5:$AF$195,5,),"")</f>
        <v/>
      </c>
      <c r="G57" s="66" t="str">
        <f>IFERROR(VLOOKUP(A57,BUFFS!$H$5:$AF$195,6,),"")</f>
        <v/>
      </c>
      <c r="H57" s="67" t="str">
        <f>IFERROR(VLOOKUP(A57,BUFFS!$H$5:$AF$195,7,),"")</f>
        <v/>
      </c>
      <c r="I57" s="66" t="str">
        <f>IFERROR(VLOOKUP(A57,BUFFS!$H$5:$AF$195,9,),"")</f>
        <v/>
      </c>
      <c r="J57" s="65" t="str">
        <f>IFERROR(VLOOKUP(A57,BUFFS!$H$5:$AF$195,10,),"")</f>
        <v/>
      </c>
      <c r="K57" s="66" t="str">
        <f>IFERROR(VLOOKUP(A57,BUFFS!$H$5:$AF$195,11,),"")</f>
        <v/>
      </c>
      <c r="L57" s="66" t="str">
        <f>IFERROR(VLOOKUP(A57,BUFFS!$H$5:$AF$195,12,),"")</f>
        <v/>
      </c>
      <c r="M57" s="66" t="str">
        <f>IFERROR(VLOOKUP(A57,BUFFS!$H$5:$AF$195,14,),"")</f>
        <v/>
      </c>
      <c r="N57" s="68" t="str">
        <f t="shared" si="6"/>
        <v/>
      </c>
      <c r="O57" s="65" t="str">
        <f>IFERROR(VLOOKUP(A57,BUFFS!$H$5:$AF$195,15,),"")</f>
        <v/>
      </c>
      <c r="P57" s="66" t="str">
        <f>IFERROR(VLOOKUP(A57,BUFFS!$H$5:$AF$195,16,),"")</f>
        <v/>
      </c>
      <c r="Q57" s="66" t="str">
        <f>IFERROR(VLOOKUP(A57,BUFFS!$H$5:$AF$195,17,),"")</f>
        <v/>
      </c>
      <c r="R57" s="66" t="str">
        <f>IFERROR(VLOOKUP(A57,BUFFS!$H$5:$AF$195,19,),"")</f>
        <v/>
      </c>
      <c r="S57" s="69" t="str">
        <f t="shared" si="7"/>
        <v/>
      </c>
      <c r="T57" s="70" t="str">
        <f>IFERROR(VLOOKUP(A57,BUFFS!$H$5:$AF$195,20,),"")</f>
        <v/>
      </c>
    </row>
    <row r="58" spans="1:20" x14ac:dyDescent="0.35">
      <c r="A58" s="17"/>
      <c r="B58" s="80"/>
      <c r="C58" s="81"/>
      <c r="D58" s="31" t="str">
        <f>IFERROR(VLOOKUP(A58,BUFFS!$H$5:$AF$195,8,),"")</f>
        <v/>
      </c>
      <c r="E58" s="24" t="str">
        <f t="shared" si="5"/>
        <v/>
      </c>
      <c r="F58" s="65" t="str">
        <f>IFERROR(VLOOKUP(A58,BUFFS!$H$5:$AF$195,5,),"")</f>
        <v/>
      </c>
      <c r="G58" s="66" t="str">
        <f>IFERROR(VLOOKUP(A58,BUFFS!$H$5:$AF$195,6,),"")</f>
        <v/>
      </c>
      <c r="H58" s="67" t="str">
        <f>IFERROR(VLOOKUP(A58,BUFFS!$H$5:$AF$195,7,),"")</f>
        <v/>
      </c>
      <c r="I58" s="66" t="str">
        <f>IFERROR(VLOOKUP(A58,BUFFS!$H$5:$AF$195,9,),"")</f>
        <v/>
      </c>
      <c r="J58" s="65" t="str">
        <f>IFERROR(VLOOKUP(A58,BUFFS!$H$5:$AF$195,10,),"")</f>
        <v/>
      </c>
      <c r="K58" s="66" t="str">
        <f>IFERROR(VLOOKUP(A58,BUFFS!$H$5:$AF$195,11,),"")</f>
        <v/>
      </c>
      <c r="L58" s="66" t="str">
        <f>IFERROR(VLOOKUP(A58,BUFFS!$H$5:$AF$195,12,),"")</f>
        <v/>
      </c>
      <c r="M58" s="66" t="str">
        <f>IFERROR(VLOOKUP(A58,BUFFS!$H$5:$AF$195,14,),"")</f>
        <v/>
      </c>
      <c r="N58" s="68" t="str">
        <f t="shared" si="6"/>
        <v/>
      </c>
      <c r="O58" s="65" t="str">
        <f>IFERROR(VLOOKUP(A58,BUFFS!$H$5:$AF$195,15,),"")</f>
        <v/>
      </c>
      <c r="P58" s="66" t="str">
        <f>IFERROR(VLOOKUP(A58,BUFFS!$H$5:$AF$195,16,),"")</f>
        <v/>
      </c>
      <c r="Q58" s="66" t="str">
        <f>IFERROR(VLOOKUP(A58,BUFFS!$H$5:$AF$195,17,),"")</f>
        <v/>
      </c>
      <c r="R58" s="66" t="str">
        <f>IFERROR(VLOOKUP(A58,BUFFS!$H$5:$AF$195,19,),"")</f>
        <v/>
      </c>
      <c r="S58" s="69" t="str">
        <f t="shared" si="7"/>
        <v/>
      </c>
      <c r="T58" s="70" t="str">
        <f>IFERROR(VLOOKUP(A58,BUFFS!$H$5:$AF$195,20,),"")</f>
        <v/>
      </c>
    </row>
    <row r="59" spans="1:20" x14ac:dyDescent="0.35">
      <c r="A59" s="17"/>
      <c r="B59" s="80"/>
      <c r="C59" s="81"/>
      <c r="D59" s="31" t="str">
        <f>IFERROR(VLOOKUP(A59,BUFFS!$H$5:$AF$195,8,),"")</f>
        <v/>
      </c>
      <c r="E59" s="24" t="str">
        <f t="shared" si="5"/>
        <v/>
      </c>
      <c r="F59" s="65" t="str">
        <f>IFERROR(VLOOKUP(A59,BUFFS!$H$5:$AF$195,5,),"")</f>
        <v/>
      </c>
      <c r="G59" s="66" t="str">
        <f>IFERROR(VLOOKUP(A59,BUFFS!$H$5:$AF$195,6,),"")</f>
        <v/>
      </c>
      <c r="H59" s="67" t="str">
        <f>IFERROR(VLOOKUP(A59,BUFFS!$H$5:$AF$195,7,),"")</f>
        <v/>
      </c>
      <c r="I59" s="66" t="str">
        <f>IFERROR(VLOOKUP(A59,BUFFS!$H$5:$AF$195,9,),"")</f>
        <v/>
      </c>
      <c r="J59" s="65" t="str">
        <f>IFERROR(VLOOKUP(A59,BUFFS!$H$5:$AF$195,10,),"")</f>
        <v/>
      </c>
      <c r="K59" s="66" t="str">
        <f>IFERROR(VLOOKUP(A59,BUFFS!$H$5:$AF$195,11,),"")</f>
        <v/>
      </c>
      <c r="L59" s="66" t="str">
        <f>IFERROR(VLOOKUP(A59,BUFFS!$H$5:$AF$195,12,),"")</f>
        <v/>
      </c>
      <c r="M59" s="66" t="str">
        <f>IFERROR(VLOOKUP(A59,BUFFS!$H$5:$AF$195,14,),"")</f>
        <v/>
      </c>
      <c r="N59" s="68" t="str">
        <f t="shared" si="6"/>
        <v/>
      </c>
      <c r="O59" s="65" t="str">
        <f>IFERROR(VLOOKUP(A59,BUFFS!$H$5:$AF$195,15,),"")</f>
        <v/>
      </c>
      <c r="P59" s="66" t="str">
        <f>IFERROR(VLOOKUP(A59,BUFFS!$H$5:$AF$195,16,),"")</f>
        <v/>
      </c>
      <c r="Q59" s="66" t="str">
        <f>IFERROR(VLOOKUP(A59,BUFFS!$H$5:$AF$195,17,),"")</f>
        <v/>
      </c>
      <c r="R59" s="66" t="str">
        <f>IFERROR(VLOOKUP(A59,BUFFS!$H$5:$AF$195,19,),"")</f>
        <v/>
      </c>
      <c r="S59" s="69" t="str">
        <f t="shared" si="7"/>
        <v/>
      </c>
      <c r="T59" s="70" t="str">
        <f>IFERROR(VLOOKUP(A59,BUFFS!$H$5:$AF$195,20,),"")</f>
        <v/>
      </c>
    </row>
    <row r="60" spans="1:20" x14ac:dyDescent="0.35">
      <c r="A60" s="17"/>
      <c r="B60" s="80"/>
      <c r="C60" s="81"/>
      <c r="D60" s="31" t="str">
        <f>IFERROR(VLOOKUP(A60,BUFFS!$H$5:$AF$195,8,),"")</f>
        <v/>
      </c>
      <c r="E60" s="24" t="str">
        <f t="shared" si="5"/>
        <v/>
      </c>
      <c r="F60" s="65" t="str">
        <f>IFERROR(VLOOKUP(A60,BUFFS!$H$5:$AF$195,5,),"")</f>
        <v/>
      </c>
      <c r="G60" s="66" t="str">
        <f>IFERROR(VLOOKUP(A60,BUFFS!$H$5:$AF$195,6,),"")</f>
        <v/>
      </c>
      <c r="H60" s="67" t="str">
        <f>IFERROR(VLOOKUP(A60,BUFFS!$H$5:$AF$195,7,),"")</f>
        <v/>
      </c>
      <c r="I60" s="66" t="str">
        <f>IFERROR(VLOOKUP(A60,BUFFS!$H$5:$AF$195,9,),"")</f>
        <v/>
      </c>
      <c r="J60" s="65" t="str">
        <f>IFERROR(VLOOKUP(A60,BUFFS!$H$5:$AF$195,10,),"")</f>
        <v/>
      </c>
      <c r="K60" s="66" t="str">
        <f>IFERROR(VLOOKUP(A60,BUFFS!$H$5:$AF$195,11,),"")</f>
        <v/>
      </c>
      <c r="L60" s="66" t="str">
        <f>IFERROR(VLOOKUP(A60,BUFFS!$H$5:$AF$195,12,),"")</f>
        <v/>
      </c>
      <c r="M60" s="66" t="str">
        <f>IFERROR(VLOOKUP(A60,BUFFS!$H$5:$AF$195,14,),"")</f>
        <v/>
      </c>
      <c r="N60" s="68" t="str">
        <f t="shared" si="6"/>
        <v/>
      </c>
      <c r="O60" s="65" t="str">
        <f>IFERROR(VLOOKUP(A60,BUFFS!$H$5:$AF$195,15,),"")</f>
        <v/>
      </c>
      <c r="P60" s="66" t="str">
        <f>IFERROR(VLOOKUP(A60,BUFFS!$H$5:$AF$195,16,),"")</f>
        <v/>
      </c>
      <c r="Q60" s="66" t="str">
        <f>IFERROR(VLOOKUP(A60,BUFFS!$H$5:$AF$195,17,),"")</f>
        <v/>
      </c>
      <c r="R60" s="66" t="str">
        <f>IFERROR(VLOOKUP(A60,BUFFS!$H$5:$AF$195,19,),"")</f>
        <v/>
      </c>
      <c r="S60" s="69" t="str">
        <f t="shared" si="7"/>
        <v/>
      </c>
      <c r="T60" s="70" t="str">
        <f>IFERROR(VLOOKUP(A60,BUFFS!$H$5:$AF$195,20,),"")</f>
        <v/>
      </c>
    </row>
    <row r="61" spans="1:20" x14ac:dyDescent="0.35">
      <c r="A61" s="17"/>
      <c r="B61" s="80"/>
      <c r="C61" s="81"/>
      <c r="D61" s="31" t="str">
        <f>IFERROR(VLOOKUP(A61,BUFFS!$H$5:$AF$195,8,),"")</f>
        <v/>
      </c>
      <c r="E61" s="24" t="str">
        <f t="shared" si="5"/>
        <v/>
      </c>
      <c r="F61" s="65" t="str">
        <f>IFERROR(VLOOKUP(A61,BUFFS!$H$5:$AF$195,5,),"")</f>
        <v/>
      </c>
      <c r="G61" s="66" t="str">
        <f>IFERROR(VLOOKUP(A61,BUFFS!$H$5:$AF$195,6,),"")</f>
        <v/>
      </c>
      <c r="H61" s="67" t="str">
        <f>IFERROR(VLOOKUP(A61,BUFFS!$H$5:$AF$195,7,),"")</f>
        <v/>
      </c>
      <c r="I61" s="66" t="str">
        <f>IFERROR(VLOOKUP(A61,BUFFS!$H$5:$AF$195,9,),"")</f>
        <v/>
      </c>
      <c r="J61" s="65" t="str">
        <f>IFERROR(VLOOKUP(A61,BUFFS!$H$5:$AF$195,10,),"")</f>
        <v/>
      </c>
      <c r="K61" s="66" t="str">
        <f>IFERROR(VLOOKUP(A61,BUFFS!$H$5:$AF$195,11,),"")</f>
        <v/>
      </c>
      <c r="L61" s="66" t="str">
        <f>IFERROR(VLOOKUP(A61,BUFFS!$H$5:$AF$195,12,),"")</f>
        <v/>
      </c>
      <c r="M61" s="66" t="str">
        <f>IFERROR(VLOOKUP(A61,BUFFS!$H$5:$AF$195,14,),"")</f>
        <v/>
      </c>
      <c r="N61" s="68" t="str">
        <f t="shared" si="6"/>
        <v/>
      </c>
      <c r="O61" s="65" t="str">
        <f>IFERROR(VLOOKUP(A61,BUFFS!$H$5:$AF$195,15,),"")</f>
        <v/>
      </c>
      <c r="P61" s="66" t="str">
        <f>IFERROR(VLOOKUP(A61,BUFFS!$H$5:$AF$195,16,),"")</f>
        <v/>
      </c>
      <c r="Q61" s="66" t="str">
        <f>IFERROR(VLOOKUP(A61,BUFFS!$H$5:$AF$195,17,),"")</f>
        <v/>
      </c>
      <c r="R61" s="66" t="str">
        <f>IFERROR(VLOOKUP(A61,BUFFS!$H$5:$AF$195,19,),"")</f>
        <v/>
      </c>
      <c r="S61" s="69" t="str">
        <f t="shared" si="7"/>
        <v/>
      </c>
      <c r="T61" s="70" t="str">
        <f>IFERROR(VLOOKUP(A61,BUFFS!$H$5:$AF$195,20,),"")</f>
        <v/>
      </c>
    </row>
    <row r="62" spans="1:20" x14ac:dyDescent="0.35">
      <c r="A62" s="17"/>
      <c r="B62" s="80"/>
      <c r="C62" s="81"/>
      <c r="D62" s="31" t="str">
        <f>IFERROR(VLOOKUP(A62,BUFFS!$H$5:$AF$195,8,),"")</f>
        <v/>
      </c>
      <c r="E62" s="24" t="str">
        <f t="shared" si="5"/>
        <v/>
      </c>
      <c r="F62" s="65" t="str">
        <f>IFERROR(VLOOKUP(A62,BUFFS!$H$5:$AF$195,5,),"")</f>
        <v/>
      </c>
      <c r="G62" s="66" t="str">
        <f>IFERROR(VLOOKUP(A62,BUFFS!$H$5:$AF$195,6,),"")</f>
        <v/>
      </c>
      <c r="H62" s="67" t="str">
        <f>IFERROR(VLOOKUP(A62,BUFFS!$H$5:$AF$195,7,),"")</f>
        <v/>
      </c>
      <c r="I62" s="66" t="str">
        <f>IFERROR(VLOOKUP(A62,BUFFS!$H$5:$AF$195,9,),"")</f>
        <v/>
      </c>
      <c r="J62" s="65" t="str">
        <f>IFERROR(VLOOKUP(A62,BUFFS!$H$5:$AF$195,10,),"")</f>
        <v/>
      </c>
      <c r="K62" s="66" t="str">
        <f>IFERROR(VLOOKUP(A62,BUFFS!$H$5:$AF$195,11,),"")</f>
        <v/>
      </c>
      <c r="L62" s="66" t="str">
        <f>IFERROR(VLOOKUP(A62,BUFFS!$H$5:$AF$195,12,),"")</f>
        <v/>
      </c>
      <c r="M62" s="66" t="str">
        <f>IFERROR(VLOOKUP(A62,BUFFS!$H$5:$AF$195,14,),"")</f>
        <v/>
      </c>
      <c r="N62" s="68" t="str">
        <f t="shared" si="6"/>
        <v/>
      </c>
      <c r="O62" s="65" t="str">
        <f>IFERROR(VLOOKUP(A62,BUFFS!$H$5:$AF$195,15,),"")</f>
        <v/>
      </c>
      <c r="P62" s="66" t="str">
        <f>IFERROR(VLOOKUP(A62,BUFFS!$H$5:$AF$195,16,),"")</f>
        <v/>
      </c>
      <c r="Q62" s="66" t="str">
        <f>IFERROR(VLOOKUP(A62,BUFFS!$H$5:$AF$195,17,),"")</f>
        <v/>
      </c>
      <c r="R62" s="66" t="str">
        <f>IFERROR(VLOOKUP(A62,BUFFS!$H$5:$AF$195,19,),"")</f>
        <v/>
      </c>
      <c r="S62" s="69" t="str">
        <f t="shared" si="7"/>
        <v/>
      </c>
      <c r="T62" s="70" t="str">
        <f>IFERROR(VLOOKUP(A62,BUFFS!$H$5:$AF$195,20,),"")</f>
        <v/>
      </c>
    </row>
    <row r="63" spans="1:20" x14ac:dyDescent="0.35">
      <c r="A63" s="17"/>
      <c r="B63" s="80"/>
      <c r="C63" s="81"/>
      <c r="D63" s="31" t="str">
        <f>IFERROR(VLOOKUP(A63,BUFFS!$H$5:$AF$195,8,),"")</f>
        <v/>
      </c>
      <c r="E63" s="24" t="str">
        <f t="shared" si="5"/>
        <v/>
      </c>
      <c r="F63" s="65" t="str">
        <f>IFERROR(VLOOKUP(A63,BUFFS!$H$5:$AF$195,5,),"")</f>
        <v/>
      </c>
      <c r="G63" s="66" t="str">
        <f>IFERROR(VLOOKUP(A63,BUFFS!$H$5:$AF$195,6,),"")</f>
        <v/>
      </c>
      <c r="H63" s="67" t="str">
        <f>IFERROR(VLOOKUP(A63,BUFFS!$H$5:$AF$195,7,),"")</f>
        <v/>
      </c>
      <c r="I63" s="66" t="str">
        <f>IFERROR(VLOOKUP(A63,BUFFS!$H$5:$AF$195,9,),"")</f>
        <v/>
      </c>
      <c r="J63" s="65" t="str">
        <f>IFERROR(VLOOKUP(A63,BUFFS!$H$5:$AF$195,10,),"")</f>
        <v/>
      </c>
      <c r="K63" s="66" t="str">
        <f>IFERROR(VLOOKUP(A63,BUFFS!$H$5:$AF$195,11,),"")</f>
        <v/>
      </c>
      <c r="L63" s="66" t="str">
        <f>IFERROR(VLOOKUP(A63,BUFFS!$H$5:$AF$195,12,),"")</f>
        <v/>
      </c>
      <c r="M63" s="66" t="str">
        <f>IFERROR(VLOOKUP(A63,BUFFS!$H$5:$AF$195,14,),"")</f>
        <v/>
      </c>
      <c r="N63" s="68" t="str">
        <f t="shared" si="6"/>
        <v/>
      </c>
      <c r="O63" s="65" t="str">
        <f>IFERROR(VLOOKUP(A63,BUFFS!$H$5:$AF$195,15,),"")</f>
        <v/>
      </c>
      <c r="P63" s="66" t="str">
        <f>IFERROR(VLOOKUP(A63,BUFFS!$H$5:$AF$195,16,),"")</f>
        <v/>
      </c>
      <c r="Q63" s="66" t="str">
        <f>IFERROR(VLOOKUP(A63,BUFFS!$H$5:$AF$195,17,),"")</f>
        <v/>
      </c>
      <c r="R63" s="66" t="str">
        <f>IFERROR(VLOOKUP(A63,BUFFS!$H$5:$AF$195,19,),"")</f>
        <v/>
      </c>
      <c r="S63" s="69" t="str">
        <f t="shared" si="7"/>
        <v/>
      </c>
      <c r="T63" s="70" t="str">
        <f>IFERROR(VLOOKUP(A63,BUFFS!$H$5:$AF$195,20,),"")</f>
        <v/>
      </c>
    </row>
    <row r="64" spans="1:20" x14ac:dyDescent="0.35">
      <c r="A64" s="17"/>
      <c r="B64" s="80"/>
      <c r="C64" s="81"/>
      <c r="D64" s="31" t="str">
        <f>IFERROR(VLOOKUP(A64,BUFFS!$H$5:$AF$195,8,),"")</f>
        <v/>
      </c>
      <c r="E64" s="24" t="str">
        <f t="shared" si="5"/>
        <v/>
      </c>
      <c r="F64" s="65" t="str">
        <f>IFERROR(VLOOKUP(A64,BUFFS!$H$5:$AF$195,5,),"")</f>
        <v/>
      </c>
      <c r="G64" s="66" t="str">
        <f>IFERROR(VLOOKUP(A64,BUFFS!$H$5:$AF$195,6,),"")</f>
        <v/>
      </c>
      <c r="H64" s="67" t="str">
        <f>IFERROR(VLOOKUP(A64,BUFFS!$H$5:$AF$195,7,),"")</f>
        <v/>
      </c>
      <c r="I64" s="66" t="str">
        <f>IFERROR(VLOOKUP(A64,BUFFS!$H$5:$AF$195,9,),"")</f>
        <v/>
      </c>
      <c r="J64" s="65" t="str">
        <f>IFERROR(VLOOKUP(A64,BUFFS!$H$5:$AF$195,10,),"")</f>
        <v/>
      </c>
      <c r="K64" s="66" t="str">
        <f>IFERROR(VLOOKUP(A64,BUFFS!$H$5:$AF$195,11,),"")</f>
        <v/>
      </c>
      <c r="L64" s="66" t="str">
        <f>IFERROR(VLOOKUP(A64,BUFFS!$H$5:$AF$195,12,),"")</f>
        <v/>
      </c>
      <c r="M64" s="66" t="str">
        <f>IFERROR(VLOOKUP(A64,BUFFS!$H$5:$AF$195,14,),"")</f>
        <v/>
      </c>
      <c r="N64" s="68" t="str">
        <f t="shared" si="6"/>
        <v/>
      </c>
      <c r="O64" s="65" t="str">
        <f>IFERROR(VLOOKUP(A64,BUFFS!$H$5:$AF$195,15,),"")</f>
        <v/>
      </c>
      <c r="P64" s="66" t="str">
        <f>IFERROR(VLOOKUP(A64,BUFFS!$H$5:$AF$195,16,),"")</f>
        <v/>
      </c>
      <c r="Q64" s="66" t="str">
        <f>IFERROR(VLOOKUP(A64,BUFFS!$H$5:$AF$195,17,),"")</f>
        <v/>
      </c>
      <c r="R64" s="66" t="str">
        <f>IFERROR(VLOOKUP(A64,BUFFS!$H$5:$AF$195,19,),"")</f>
        <v/>
      </c>
      <c r="S64" s="69" t="str">
        <f t="shared" si="7"/>
        <v/>
      </c>
      <c r="T64" s="70" t="str">
        <f>IFERROR(VLOOKUP(A64,BUFFS!$H$5:$AF$195,20,),"")</f>
        <v/>
      </c>
    </row>
    <row r="65" spans="1:20" x14ac:dyDescent="0.35">
      <c r="A65" s="17"/>
      <c r="B65" s="80"/>
      <c r="C65" s="81"/>
      <c r="D65" s="31" t="str">
        <f>IFERROR(VLOOKUP(A65,BUFFS!$H$5:$AF$195,8,),"")</f>
        <v/>
      </c>
      <c r="E65" s="24" t="str">
        <f t="shared" si="5"/>
        <v/>
      </c>
      <c r="F65" s="65" t="str">
        <f>IFERROR(VLOOKUP(A65,BUFFS!$H$5:$AF$195,5,),"")</f>
        <v/>
      </c>
      <c r="G65" s="66" t="str">
        <f>IFERROR(VLOOKUP(A65,BUFFS!$H$5:$AF$195,6,),"")</f>
        <v/>
      </c>
      <c r="H65" s="67" t="str">
        <f>IFERROR(VLOOKUP(A65,BUFFS!$H$5:$AF$195,7,),"")</f>
        <v/>
      </c>
      <c r="I65" s="66" t="str">
        <f>IFERROR(VLOOKUP(A65,BUFFS!$H$5:$AF$195,9,),"")</f>
        <v/>
      </c>
      <c r="J65" s="65" t="str">
        <f>IFERROR(VLOOKUP(A65,BUFFS!$H$5:$AF$195,10,),"")</f>
        <v/>
      </c>
      <c r="K65" s="66" t="str">
        <f>IFERROR(VLOOKUP(A65,BUFFS!$H$5:$AF$195,11,),"")</f>
        <v/>
      </c>
      <c r="L65" s="66" t="str">
        <f>IFERROR(VLOOKUP(A65,BUFFS!$H$5:$AF$195,12,),"")</f>
        <v/>
      </c>
      <c r="M65" s="66" t="str">
        <f>IFERROR(VLOOKUP(A65,BUFFS!$H$5:$AF$195,14,),"")</f>
        <v/>
      </c>
      <c r="N65" s="68" t="str">
        <f t="shared" si="6"/>
        <v/>
      </c>
      <c r="O65" s="65" t="str">
        <f>IFERROR(VLOOKUP(A65,BUFFS!$H$5:$AF$195,15,),"")</f>
        <v/>
      </c>
      <c r="P65" s="66" t="str">
        <f>IFERROR(VLOOKUP(A65,BUFFS!$H$5:$AF$195,16,),"")</f>
        <v/>
      </c>
      <c r="Q65" s="66" t="str">
        <f>IFERROR(VLOOKUP(A65,BUFFS!$H$5:$AF$195,17,),"")</f>
        <v/>
      </c>
      <c r="R65" s="66" t="str">
        <f>IFERROR(VLOOKUP(A65,BUFFS!$H$5:$AF$195,19,),"")</f>
        <v/>
      </c>
      <c r="S65" s="69" t="str">
        <f t="shared" si="7"/>
        <v/>
      </c>
      <c r="T65" s="70" t="str">
        <f>IFERROR(VLOOKUP(A65,BUFFS!$H$5:$AF$195,20,),"")</f>
        <v/>
      </c>
    </row>
    <row r="66" spans="1:20" x14ac:dyDescent="0.35">
      <c r="A66" s="17"/>
      <c r="B66" s="80"/>
      <c r="C66" s="81"/>
      <c r="D66" s="31" t="str">
        <f>IFERROR(VLOOKUP(A66,BUFFS!$H$5:$AF$195,8,),"")</f>
        <v/>
      </c>
      <c r="E66" s="24" t="str">
        <f t="shared" si="5"/>
        <v/>
      </c>
      <c r="F66" s="65" t="str">
        <f>IFERROR(VLOOKUP(A66,BUFFS!$H$5:$AF$195,5,),"")</f>
        <v/>
      </c>
      <c r="G66" s="66" t="str">
        <f>IFERROR(VLOOKUP(A66,BUFFS!$H$5:$AF$195,6,),"")</f>
        <v/>
      </c>
      <c r="H66" s="67" t="str">
        <f>IFERROR(VLOOKUP(A66,BUFFS!$H$5:$AF$195,7,),"")</f>
        <v/>
      </c>
      <c r="I66" s="66" t="str">
        <f>IFERROR(VLOOKUP(A66,BUFFS!$H$5:$AF$195,9,),"")</f>
        <v/>
      </c>
      <c r="J66" s="65" t="str">
        <f>IFERROR(VLOOKUP(A66,BUFFS!$H$5:$AF$195,10,),"")</f>
        <v/>
      </c>
      <c r="K66" s="66" t="str">
        <f>IFERROR(VLOOKUP(A66,BUFFS!$H$5:$AF$195,11,),"")</f>
        <v/>
      </c>
      <c r="L66" s="66" t="str">
        <f>IFERROR(VLOOKUP(A66,BUFFS!$H$5:$AF$195,12,),"")</f>
        <v/>
      </c>
      <c r="M66" s="66" t="str">
        <f>IFERROR(VLOOKUP(A66,BUFFS!$H$5:$AF$195,14,),"")</f>
        <v/>
      </c>
      <c r="N66" s="68" t="str">
        <f t="shared" si="6"/>
        <v/>
      </c>
      <c r="O66" s="65" t="str">
        <f>IFERROR(VLOOKUP(A66,BUFFS!$H$5:$AF$195,15,),"")</f>
        <v/>
      </c>
      <c r="P66" s="66" t="str">
        <f>IFERROR(VLOOKUP(A66,BUFFS!$H$5:$AF$195,16,),"")</f>
        <v/>
      </c>
      <c r="Q66" s="66" t="str">
        <f>IFERROR(VLOOKUP(A66,BUFFS!$H$5:$AF$195,17,),"")</f>
        <v/>
      </c>
      <c r="R66" s="66" t="str">
        <f>IFERROR(VLOOKUP(A66,BUFFS!$H$5:$AF$195,19,),"")</f>
        <v/>
      </c>
      <c r="S66" s="69" t="str">
        <f t="shared" si="7"/>
        <v/>
      </c>
      <c r="T66" s="70" t="str">
        <f>IFERROR(VLOOKUP(A66,BUFFS!$H$5:$AF$195,20,),"")</f>
        <v/>
      </c>
    </row>
    <row r="67" spans="1:20" x14ac:dyDescent="0.35">
      <c r="A67" s="17"/>
      <c r="B67" s="80"/>
      <c r="C67" s="81"/>
      <c r="D67" s="31" t="str">
        <f>IFERROR(VLOOKUP(A67,BUFFS!$H$5:$AF$195,8,),"")</f>
        <v/>
      </c>
      <c r="E67" s="24" t="str">
        <f t="shared" si="5"/>
        <v/>
      </c>
      <c r="F67" s="65" t="str">
        <f>IFERROR(VLOOKUP(A67,BUFFS!$H$5:$AF$195,5,),"")</f>
        <v/>
      </c>
      <c r="G67" s="66" t="str">
        <f>IFERROR(VLOOKUP(A67,BUFFS!$H$5:$AF$195,6,),"")</f>
        <v/>
      </c>
      <c r="H67" s="67" t="str">
        <f>IFERROR(VLOOKUP(A67,BUFFS!$H$5:$AF$195,7,),"")</f>
        <v/>
      </c>
      <c r="I67" s="66" t="str">
        <f>IFERROR(VLOOKUP(A67,BUFFS!$H$5:$AF$195,9,),"")</f>
        <v/>
      </c>
      <c r="J67" s="65" t="str">
        <f>IFERROR(VLOOKUP(A67,BUFFS!$H$5:$AF$195,10,),"")</f>
        <v/>
      </c>
      <c r="K67" s="66" t="str">
        <f>IFERROR(VLOOKUP(A67,BUFFS!$H$5:$AF$195,11,),"")</f>
        <v/>
      </c>
      <c r="L67" s="66" t="str">
        <f>IFERROR(VLOOKUP(A67,BUFFS!$H$5:$AF$195,12,),"")</f>
        <v/>
      </c>
      <c r="M67" s="66" t="str">
        <f>IFERROR(VLOOKUP(A67,BUFFS!$H$5:$AF$195,14,),"")</f>
        <v/>
      </c>
      <c r="N67" s="68" t="str">
        <f t="shared" si="6"/>
        <v/>
      </c>
      <c r="O67" s="65" t="str">
        <f>IFERROR(VLOOKUP(A67,BUFFS!$H$5:$AF$195,15,),"")</f>
        <v/>
      </c>
      <c r="P67" s="66" t="str">
        <f>IFERROR(VLOOKUP(A67,BUFFS!$H$5:$AF$195,16,),"")</f>
        <v/>
      </c>
      <c r="Q67" s="66" t="str">
        <f>IFERROR(VLOOKUP(A67,BUFFS!$H$5:$AF$195,17,),"")</f>
        <v/>
      </c>
      <c r="R67" s="66" t="str">
        <f>IFERROR(VLOOKUP(A67,BUFFS!$H$5:$AF$195,19,),"")</f>
        <v/>
      </c>
      <c r="S67" s="69" t="str">
        <f t="shared" si="7"/>
        <v/>
      </c>
      <c r="T67" s="70" t="str">
        <f>IFERROR(VLOOKUP(A67,BUFFS!$H$5:$AF$195,20,),"")</f>
        <v/>
      </c>
    </row>
    <row r="68" spans="1:20" x14ac:dyDescent="0.35">
      <c r="A68" s="17"/>
      <c r="B68" s="80"/>
      <c r="C68" s="81"/>
      <c r="D68" s="31" t="str">
        <f>IFERROR(VLOOKUP(A68,BUFFS!$H$5:$AF$195,8,),"")</f>
        <v/>
      </c>
      <c r="E68" s="24" t="str">
        <f t="shared" si="5"/>
        <v/>
      </c>
      <c r="F68" s="65" t="str">
        <f>IFERROR(VLOOKUP(A68,BUFFS!$H$5:$AF$195,5,),"")</f>
        <v/>
      </c>
      <c r="G68" s="66" t="str">
        <f>IFERROR(VLOOKUP(A68,BUFFS!$H$5:$AF$195,6,),"")</f>
        <v/>
      </c>
      <c r="H68" s="67" t="str">
        <f>IFERROR(VLOOKUP(A68,BUFFS!$H$5:$AF$195,7,),"")</f>
        <v/>
      </c>
      <c r="I68" s="66" t="str">
        <f>IFERROR(VLOOKUP(A68,BUFFS!$H$5:$AF$195,9,),"")</f>
        <v/>
      </c>
      <c r="J68" s="65" t="str">
        <f>IFERROR(VLOOKUP(A68,BUFFS!$H$5:$AF$195,10,),"")</f>
        <v/>
      </c>
      <c r="K68" s="66" t="str">
        <f>IFERROR(VLOOKUP(A68,BUFFS!$H$5:$AF$195,11,),"")</f>
        <v/>
      </c>
      <c r="L68" s="66" t="str">
        <f>IFERROR(VLOOKUP(A68,BUFFS!$H$5:$AF$195,12,),"")</f>
        <v/>
      </c>
      <c r="M68" s="66" t="str">
        <f>IFERROR(VLOOKUP(A68,BUFFS!$H$5:$AF$195,14,),"")</f>
        <v/>
      </c>
      <c r="N68" s="68" t="str">
        <f t="shared" si="6"/>
        <v/>
      </c>
      <c r="O68" s="65" t="str">
        <f>IFERROR(VLOOKUP(A68,BUFFS!$H$5:$AF$195,15,),"")</f>
        <v/>
      </c>
      <c r="P68" s="66" t="str">
        <f>IFERROR(VLOOKUP(A68,BUFFS!$H$5:$AF$195,16,),"")</f>
        <v/>
      </c>
      <c r="Q68" s="66" t="str">
        <f>IFERROR(VLOOKUP(A68,BUFFS!$H$5:$AF$195,17,),"")</f>
        <v/>
      </c>
      <c r="R68" s="66" t="str">
        <f>IFERROR(VLOOKUP(A68,BUFFS!$H$5:$AF$195,19,),"")</f>
        <v/>
      </c>
      <c r="S68" s="69" t="str">
        <f t="shared" si="7"/>
        <v/>
      </c>
      <c r="T68" s="70" t="str">
        <f>IFERROR(VLOOKUP(A68,BUFFS!$H$5:$AF$195,20,),"")</f>
        <v/>
      </c>
    </row>
    <row r="69" spans="1:20" x14ac:dyDescent="0.35">
      <c r="A69" s="17"/>
      <c r="B69" s="80"/>
      <c r="C69" s="81"/>
      <c r="D69" s="31" t="str">
        <f>IFERROR(VLOOKUP(A69,BUFFS!$H$5:$AF$195,8,),"")</f>
        <v/>
      </c>
      <c r="E69" s="24" t="str">
        <f t="shared" si="5"/>
        <v/>
      </c>
      <c r="F69" s="65" t="str">
        <f>IFERROR(VLOOKUP(A69,BUFFS!$H$5:$AF$195,5,),"")</f>
        <v/>
      </c>
      <c r="G69" s="66" t="str">
        <f>IFERROR(VLOOKUP(A69,BUFFS!$H$5:$AF$195,6,),"")</f>
        <v/>
      </c>
      <c r="H69" s="67" t="str">
        <f>IFERROR(VLOOKUP(A69,BUFFS!$H$5:$AF$195,7,),"")</f>
        <v/>
      </c>
      <c r="I69" s="66" t="str">
        <f>IFERROR(VLOOKUP(A69,BUFFS!$H$5:$AF$195,9,),"")</f>
        <v/>
      </c>
      <c r="J69" s="65" t="str">
        <f>IFERROR(VLOOKUP(A69,BUFFS!$H$5:$AF$195,10,),"")</f>
        <v/>
      </c>
      <c r="K69" s="66" t="str">
        <f>IFERROR(VLOOKUP(A69,BUFFS!$H$5:$AF$195,11,),"")</f>
        <v/>
      </c>
      <c r="L69" s="66" t="str">
        <f>IFERROR(VLOOKUP(A69,BUFFS!$H$5:$AF$195,12,),"")</f>
        <v/>
      </c>
      <c r="M69" s="66" t="str">
        <f>IFERROR(VLOOKUP(A69,BUFFS!$H$5:$AF$195,14,),"")</f>
        <v/>
      </c>
      <c r="N69" s="68" t="str">
        <f t="shared" si="6"/>
        <v/>
      </c>
      <c r="O69" s="65" t="str">
        <f>IFERROR(VLOOKUP(A69,BUFFS!$H$5:$AF$195,15,),"")</f>
        <v/>
      </c>
      <c r="P69" s="66" t="str">
        <f>IFERROR(VLOOKUP(A69,BUFFS!$H$5:$AF$195,16,),"")</f>
        <v/>
      </c>
      <c r="Q69" s="66" t="str">
        <f>IFERROR(VLOOKUP(A69,BUFFS!$H$5:$AF$195,17,),"")</f>
        <v/>
      </c>
      <c r="R69" s="66" t="str">
        <f>IFERROR(VLOOKUP(A69,BUFFS!$H$5:$AF$195,19,),"")</f>
        <v/>
      </c>
      <c r="S69" s="69" t="str">
        <f t="shared" si="7"/>
        <v/>
      </c>
      <c r="T69" s="70" t="str">
        <f>IFERROR(VLOOKUP(A69,BUFFS!$H$5:$AF$195,20,),"")</f>
        <v/>
      </c>
    </row>
    <row r="70" spans="1:20" x14ac:dyDescent="0.35">
      <c r="A70" s="17"/>
      <c r="B70" s="80"/>
      <c r="C70" s="81"/>
      <c r="D70" s="31" t="str">
        <f>IFERROR(VLOOKUP(A70,BUFFS!$H$5:$AF$195,8,),"")</f>
        <v/>
      </c>
      <c r="E70" s="24" t="str">
        <f t="shared" si="5"/>
        <v/>
      </c>
      <c r="F70" s="65" t="str">
        <f>IFERROR(VLOOKUP(A70,BUFFS!$H$5:$AF$195,5,),"")</f>
        <v/>
      </c>
      <c r="G70" s="66" t="str">
        <f>IFERROR(VLOOKUP(A70,BUFFS!$H$5:$AF$195,6,),"")</f>
        <v/>
      </c>
      <c r="H70" s="67" t="str">
        <f>IFERROR(VLOOKUP(A70,BUFFS!$H$5:$AF$195,7,),"")</f>
        <v/>
      </c>
      <c r="I70" s="66" t="str">
        <f>IFERROR(VLOOKUP(A70,BUFFS!$H$5:$AF$195,9,),"")</f>
        <v/>
      </c>
      <c r="J70" s="65" t="str">
        <f>IFERROR(VLOOKUP(A70,BUFFS!$H$5:$AF$195,10,),"")</f>
        <v/>
      </c>
      <c r="K70" s="66" t="str">
        <f>IFERROR(VLOOKUP(A70,BUFFS!$H$5:$AF$195,11,),"")</f>
        <v/>
      </c>
      <c r="L70" s="66" t="str">
        <f>IFERROR(VLOOKUP(A70,BUFFS!$H$5:$AF$195,12,),"")</f>
        <v/>
      </c>
      <c r="M70" s="66" t="str">
        <f>IFERROR(VLOOKUP(A70,BUFFS!$H$5:$AF$195,14,),"")</f>
        <v/>
      </c>
      <c r="N70" s="68" t="str">
        <f t="shared" si="6"/>
        <v/>
      </c>
      <c r="O70" s="65" t="str">
        <f>IFERROR(VLOOKUP(A70,BUFFS!$H$5:$AF$195,15,),"")</f>
        <v/>
      </c>
      <c r="P70" s="66" t="str">
        <f>IFERROR(VLOOKUP(A70,BUFFS!$H$5:$AF$195,16,),"")</f>
        <v/>
      </c>
      <c r="Q70" s="66" t="str">
        <f>IFERROR(VLOOKUP(A70,BUFFS!$H$5:$AF$195,17,),"")</f>
        <v/>
      </c>
      <c r="R70" s="66" t="str">
        <f>IFERROR(VLOOKUP(A70,BUFFS!$H$5:$AF$195,19,),"")</f>
        <v/>
      </c>
      <c r="S70" s="69" t="str">
        <f t="shared" si="7"/>
        <v/>
      </c>
      <c r="T70" s="70" t="str">
        <f>IFERROR(VLOOKUP(A70,BUFFS!$H$5:$AF$195,20,),"")</f>
        <v/>
      </c>
    </row>
    <row r="71" spans="1:20" x14ac:dyDescent="0.35">
      <c r="A71" s="17"/>
      <c r="B71" s="80"/>
      <c r="C71" s="81"/>
      <c r="D71" s="31" t="str">
        <f>IFERROR(VLOOKUP(A71,BUFFS!$H$5:$AF$195,8,),"")</f>
        <v/>
      </c>
      <c r="E71" s="24" t="str">
        <f t="shared" si="5"/>
        <v/>
      </c>
      <c r="F71" s="65" t="str">
        <f>IFERROR(VLOOKUP(A71,BUFFS!$H$5:$AF$195,5,),"")</f>
        <v/>
      </c>
      <c r="G71" s="66" t="str">
        <f>IFERROR(VLOOKUP(A71,BUFFS!$H$5:$AF$195,6,),"")</f>
        <v/>
      </c>
      <c r="H71" s="67" t="str">
        <f>IFERROR(VLOOKUP(A71,BUFFS!$H$5:$AF$195,7,),"")</f>
        <v/>
      </c>
      <c r="I71" s="66" t="str">
        <f>IFERROR(VLOOKUP(A71,BUFFS!$H$5:$AF$195,9,),"")</f>
        <v/>
      </c>
      <c r="J71" s="65" t="str">
        <f>IFERROR(VLOOKUP(A71,BUFFS!$H$5:$AF$195,10,),"")</f>
        <v/>
      </c>
      <c r="K71" s="66" t="str">
        <f>IFERROR(VLOOKUP(A71,BUFFS!$H$5:$AF$195,11,),"")</f>
        <v/>
      </c>
      <c r="L71" s="66" t="str">
        <f>IFERROR(VLOOKUP(A71,BUFFS!$H$5:$AF$195,12,),"")</f>
        <v/>
      </c>
      <c r="M71" s="66" t="str">
        <f>IFERROR(VLOOKUP(A71,BUFFS!$H$5:$AF$195,14,),"")</f>
        <v/>
      </c>
      <c r="N71" s="68" t="str">
        <f t="shared" si="6"/>
        <v/>
      </c>
      <c r="O71" s="65" t="str">
        <f>IFERROR(VLOOKUP(A71,BUFFS!$H$5:$AF$195,15,),"")</f>
        <v/>
      </c>
      <c r="P71" s="66" t="str">
        <f>IFERROR(VLOOKUP(A71,BUFFS!$H$5:$AF$195,16,),"")</f>
        <v/>
      </c>
      <c r="Q71" s="66" t="str">
        <f>IFERROR(VLOOKUP(A71,BUFFS!$H$5:$AF$195,17,),"")</f>
        <v/>
      </c>
      <c r="R71" s="66" t="str">
        <f>IFERROR(VLOOKUP(A71,BUFFS!$H$5:$AF$195,19,),"")</f>
        <v/>
      </c>
      <c r="S71" s="69" t="str">
        <f t="shared" si="7"/>
        <v/>
      </c>
      <c r="T71" s="70" t="str">
        <f>IFERROR(VLOOKUP(A71,BUFFS!$H$5:$AF$195,20,),"")</f>
        <v/>
      </c>
    </row>
    <row r="72" spans="1:20" x14ac:dyDescent="0.35">
      <c r="A72" s="17"/>
      <c r="B72" s="80"/>
      <c r="C72" s="81"/>
      <c r="D72" s="31" t="str">
        <f>IFERROR(VLOOKUP(A72,BUFFS!$H$5:$AF$195,8,),"")</f>
        <v/>
      </c>
      <c r="E72" s="24" t="str">
        <f t="shared" si="5"/>
        <v/>
      </c>
      <c r="F72" s="65" t="str">
        <f>IFERROR(VLOOKUP(A72,BUFFS!$H$5:$AF$195,5,),"")</f>
        <v/>
      </c>
      <c r="G72" s="66" t="str">
        <f>IFERROR(VLOOKUP(A72,BUFFS!$H$5:$AF$195,6,),"")</f>
        <v/>
      </c>
      <c r="H72" s="67" t="str">
        <f>IFERROR(VLOOKUP(A72,BUFFS!$H$5:$AF$195,7,),"")</f>
        <v/>
      </c>
      <c r="I72" s="66" t="str">
        <f>IFERROR(VLOOKUP(A72,BUFFS!$H$5:$AF$195,9,),"")</f>
        <v/>
      </c>
      <c r="J72" s="65" t="str">
        <f>IFERROR(VLOOKUP(A72,BUFFS!$H$5:$AF$195,10,),"")</f>
        <v/>
      </c>
      <c r="K72" s="66" t="str">
        <f>IFERROR(VLOOKUP(A72,BUFFS!$H$5:$AF$195,11,),"")</f>
        <v/>
      </c>
      <c r="L72" s="66" t="str">
        <f>IFERROR(VLOOKUP(A72,BUFFS!$H$5:$AF$195,12,),"")</f>
        <v/>
      </c>
      <c r="M72" s="66" t="str">
        <f>IFERROR(VLOOKUP(A72,BUFFS!$H$5:$AF$195,14,),"")</f>
        <v/>
      </c>
      <c r="N72" s="68" t="str">
        <f t="shared" si="6"/>
        <v/>
      </c>
      <c r="O72" s="65" t="str">
        <f>IFERROR(VLOOKUP(A72,BUFFS!$H$5:$AF$195,15,),"")</f>
        <v/>
      </c>
      <c r="P72" s="66" t="str">
        <f>IFERROR(VLOOKUP(A72,BUFFS!$H$5:$AF$195,16,),"")</f>
        <v/>
      </c>
      <c r="Q72" s="66" t="str">
        <f>IFERROR(VLOOKUP(A72,BUFFS!$H$5:$AF$195,17,),"")</f>
        <v/>
      </c>
      <c r="R72" s="66" t="str">
        <f>IFERROR(VLOOKUP(A72,BUFFS!$H$5:$AF$195,19,),"")</f>
        <v/>
      </c>
      <c r="S72" s="69" t="str">
        <f t="shared" si="7"/>
        <v/>
      </c>
      <c r="T72" s="70" t="str">
        <f>IFERROR(VLOOKUP(A72,BUFFS!$H$5:$AF$195,20,),"")</f>
        <v/>
      </c>
    </row>
    <row r="73" spans="1:20" x14ac:dyDescent="0.35">
      <c r="A73" s="17"/>
      <c r="B73" s="80"/>
      <c r="C73" s="81"/>
      <c r="D73" s="31" t="str">
        <f>IFERROR(VLOOKUP(A73,BUFFS!$H$5:$AF$195,8,),"")</f>
        <v/>
      </c>
      <c r="E73" s="24" t="str">
        <f t="shared" si="5"/>
        <v/>
      </c>
      <c r="F73" s="65" t="str">
        <f>IFERROR(VLOOKUP(A73,BUFFS!$H$5:$AF$195,5,),"")</f>
        <v/>
      </c>
      <c r="G73" s="66" t="str">
        <f>IFERROR(VLOOKUP(A73,BUFFS!$H$5:$AF$195,6,),"")</f>
        <v/>
      </c>
      <c r="H73" s="67" t="str">
        <f>IFERROR(VLOOKUP(A73,BUFFS!$H$5:$AF$195,7,),"")</f>
        <v/>
      </c>
      <c r="I73" s="66" t="str">
        <f>IFERROR(VLOOKUP(A73,BUFFS!$H$5:$AF$195,9,),"")</f>
        <v/>
      </c>
      <c r="J73" s="65" t="str">
        <f>IFERROR(VLOOKUP(A73,BUFFS!$H$5:$AF$195,10,),"")</f>
        <v/>
      </c>
      <c r="K73" s="66" t="str">
        <f>IFERROR(VLOOKUP(A73,BUFFS!$H$5:$AF$195,11,),"")</f>
        <v/>
      </c>
      <c r="L73" s="66" t="str">
        <f>IFERROR(VLOOKUP(A73,BUFFS!$H$5:$AF$195,12,),"")</f>
        <v/>
      </c>
      <c r="M73" s="66" t="str">
        <f>IFERROR(VLOOKUP(A73,BUFFS!$H$5:$AF$195,14,),"")</f>
        <v/>
      </c>
      <c r="N73" s="68" t="str">
        <f t="shared" si="6"/>
        <v/>
      </c>
      <c r="O73" s="65" t="str">
        <f>IFERROR(VLOOKUP(A73,BUFFS!$H$5:$AF$195,15,),"")</f>
        <v/>
      </c>
      <c r="P73" s="66" t="str">
        <f>IFERROR(VLOOKUP(A73,BUFFS!$H$5:$AF$195,16,),"")</f>
        <v/>
      </c>
      <c r="Q73" s="66" t="str">
        <f>IFERROR(VLOOKUP(A73,BUFFS!$H$5:$AF$195,17,),"")</f>
        <v/>
      </c>
      <c r="R73" s="66" t="str">
        <f>IFERROR(VLOOKUP(A73,BUFFS!$H$5:$AF$195,19,),"")</f>
        <v/>
      </c>
      <c r="S73" s="69" t="str">
        <f t="shared" si="7"/>
        <v/>
      </c>
      <c r="T73" s="70" t="str">
        <f>IFERROR(VLOOKUP(A73,BUFFS!$H$5:$AF$195,20,),"")</f>
        <v/>
      </c>
    </row>
    <row r="74" spans="1:20" x14ac:dyDescent="0.35">
      <c r="A74" s="17"/>
      <c r="B74" s="80"/>
      <c r="C74" s="81"/>
      <c r="D74" s="31" t="str">
        <f>IFERROR(VLOOKUP(A74,BUFFS!$H$5:$AF$195,8,),"")</f>
        <v/>
      </c>
      <c r="E74" s="24" t="str">
        <f t="shared" si="5"/>
        <v/>
      </c>
      <c r="F74" s="65" t="str">
        <f>IFERROR(VLOOKUP(A74,BUFFS!$H$5:$AF$195,5,),"")</f>
        <v/>
      </c>
      <c r="G74" s="66" t="str">
        <f>IFERROR(VLOOKUP(A74,BUFFS!$H$5:$AF$195,6,),"")</f>
        <v/>
      </c>
      <c r="H74" s="67" t="str">
        <f>IFERROR(VLOOKUP(A74,BUFFS!$H$5:$AF$195,7,),"")</f>
        <v/>
      </c>
      <c r="I74" s="66" t="str">
        <f>IFERROR(VLOOKUP(A74,BUFFS!$H$5:$AF$195,9,),"")</f>
        <v/>
      </c>
      <c r="J74" s="65" t="str">
        <f>IFERROR(VLOOKUP(A74,BUFFS!$H$5:$AF$195,10,),"")</f>
        <v/>
      </c>
      <c r="K74" s="66" t="str">
        <f>IFERROR(VLOOKUP(A74,BUFFS!$H$5:$AF$195,11,),"")</f>
        <v/>
      </c>
      <c r="L74" s="66" t="str">
        <f>IFERROR(VLOOKUP(A74,BUFFS!$H$5:$AF$195,12,),"")</f>
        <v/>
      </c>
      <c r="M74" s="66" t="str">
        <f>IFERROR(VLOOKUP(A74,BUFFS!$H$5:$AF$195,14,),"")</f>
        <v/>
      </c>
      <c r="N74" s="68" t="str">
        <f t="shared" si="6"/>
        <v/>
      </c>
      <c r="O74" s="65" t="str">
        <f>IFERROR(VLOOKUP(A74,BUFFS!$H$5:$AF$195,15,),"")</f>
        <v/>
      </c>
      <c r="P74" s="66" t="str">
        <f>IFERROR(VLOOKUP(A74,BUFFS!$H$5:$AF$195,16,),"")</f>
        <v/>
      </c>
      <c r="Q74" s="66" t="str">
        <f>IFERROR(VLOOKUP(A74,BUFFS!$H$5:$AF$195,17,),"")</f>
        <v/>
      </c>
      <c r="R74" s="66" t="str">
        <f>IFERROR(VLOOKUP(A74,BUFFS!$H$5:$AF$195,19,),"")</f>
        <v/>
      </c>
      <c r="S74" s="69" t="str">
        <f t="shared" si="7"/>
        <v/>
      </c>
      <c r="T74" s="70" t="str">
        <f>IFERROR(VLOOKUP(A74,BUFFS!$H$5:$AF$195,20,),"")</f>
        <v/>
      </c>
    </row>
    <row r="75" spans="1:20" x14ac:dyDescent="0.35">
      <c r="A75" s="17"/>
      <c r="B75" s="80"/>
      <c r="C75" s="81"/>
      <c r="D75" s="31" t="str">
        <f>IFERROR(VLOOKUP(A75,BUFFS!$H$5:$AF$195,8,),"")</f>
        <v/>
      </c>
      <c r="E75" s="24" t="str">
        <f t="shared" si="5"/>
        <v/>
      </c>
      <c r="F75" s="65" t="str">
        <f>IFERROR(VLOOKUP(A75,BUFFS!$H$5:$AF$195,5,),"")</f>
        <v/>
      </c>
      <c r="G75" s="66" t="str">
        <f>IFERROR(VLOOKUP(A75,BUFFS!$H$5:$AF$195,6,),"")</f>
        <v/>
      </c>
      <c r="H75" s="67" t="str">
        <f>IFERROR(VLOOKUP(A75,BUFFS!$H$5:$AF$195,7,),"")</f>
        <v/>
      </c>
      <c r="I75" s="66" t="str">
        <f>IFERROR(VLOOKUP(A75,BUFFS!$H$5:$AF$195,9,),"")</f>
        <v/>
      </c>
      <c r="J75" s="65" t="str">
        <f>IFERROR(VLOOKUP(A75,BUFFS!$H$5:$AF$195,10,),"")</f>
        <v/>
      </c>
      <c r="K75" s="66" t="str">
        <f>IFERROR(VLOOKUP(A75,BUFFS!$H$5:$AF$195,11,),"")</f>
        <v/>
      </c>
      <c r="L75" s="66" t="str">
        <f>IFERROR(VLOOKUP(A75,BUFFS!$H$5:$AF$195,12,),"")</f>
        <v/>
      </c>
      <c r="M75" s="66" t="str">
        <f>IFERROR(VLOOKUP(A75,BUFFS!$H$5:$AF$195,14,),"")</f>
        <v/>
      </c>
      <c r="N75" s="68" t="str">
        <f t="shared" si="6"/>
        <v/>
      </c>
      <c r="O75" s="65" t="str">
        <f>IFERROR(VLOOKUP(A75,BUFFS!$H$5:$AF$195,15,),"")</f>
        <v/>
      </c>
      <c r="P75" s="66" t="str">
        <f>IFERROR(VLOOKUP(A75,BUFFS!$H$5:$AF$195,16,),"")</f>
        <v/>
      </c>
      <c r="Q75" s="66" t="str">
        <f>IFERROR(VLOOKUP(A75,BUFFS!$H$5:$AF$195,17,),"")</f>
        <v/>
      </c>
      <c r="R75" s="66" t="str">
        <f>IFERROR(VLOOKUP(A75,BUFFS!$H$5:$AF$195,19,),"")</f>
        <v/>
      </c>
      <c r="S75" s="69" t="str">
        <f t="shared" si="7"/>
        <v/>
      </c>
      <c r="T75" s="70" t="str">
        <f>IFERROR(VLOOKUP(A75,BUFFS!$H$5:$AF$195,20,),"")</f>
        <v/>
      </c>
    </row>
    <row r="76" spans="1:20" x14ac:dyDescent="0.35">
      <c r="A76" s="17"/>
      <c r="B76" s="80"/>
      <c r="C76" s="81"/>
      <c r="D76" s="31" t="str">
        <f>IFERROR(VLOOKUP(A76,BUFFS!$H$5:$AF$195,8,),"")</f>
        <v/>
      </c>
      <c r="E76" s="24" t="str">
        <f t="shared" si="5"/>
        <v/>
      </c>
      <c r="F76" s="65" t="str">
        <f>IFERROR(VLOOKUP(A76,BUFFS!$H$5:$AF$195,5,),"")</f>
        <v/>
      </c>
      <c r="G76" s="66" t="str">
        <f>IFERROR(VLOOKUP(A76,BUFFS!$H$5:$AF$195,6,),"")</f>
        <v/>
      </c>
      <c r="H76" s="67" t="str">
        <f>IFERROR(VLOOKUP(A76,BUFFS!$H$5:$AF$195,7,),"")</f>
        <v/>
      </c>
      <c r="I76" s="66" t="str">
        <f>IFERROR(VLOOKUP(A76,BUFFS!$H$5:$AF$195,9,),"")</f>
        <v/>
      </c>
      <c r="J76" s="65" t="str">
        <f>IFERROR(VLOOKUP(A76,BUFFS!$H$5:$AF$195,10,),"")</f>
        <v/>
      </c>
      <c r="K76" s="66" t="str">
        <f>IFERROR(VLOOKUP(A76,BUFFS!$H$5:$AF$195,11,),"")</f>
        <v/>
      </c>
      <c r="L76" s="66" t="str">
        <f>IFERROR(VLOOKUP(A76,BUFFS!$H$5:$AF$195,12,),"")</f>
        <v/>
      </c>
      <c r="M76" s="66" t="str">
        <f>IFERROR(VLOOKUP(A76,BUFFS!$H$5:$AF$195,14,),"")</f>
        <v/>
      </c>
      <c r="N76" s="68" t="str">
        <f t="shared" si="6"/>
        <v/>
      </c>
      <c r="O76" s="65" t="str">
        <f>IFERROR(VLOOKUP(A76,BUFFS!$H$5:$AF$195,15,),"")</f>
        <v/>
      </c>
      <c r="P76" s="66" t="str">
        <f>IFERROR(VLOOKUP(A76,BUFFS!$H$5:$AF$195,16,),"")</f>
        <v/>
      </c>
      <c r="Q76" s="66" t="str">
        <f>IFERROR(VLOOKUP(A76,BUFFS!$H$5:$AF$195,17,),"")</f>
        <v/>
      </c>
      <c r="R76" s="66" t="str">
        <f>IFERROR(VLOOKUP(A76,BUFFS!$H$5:$AF$195,19,),"")</f>
        <v/>
      </c>
      <c r="S76" s="69" t="str">
        <f t="shared" si="7"/>
        <v/>
      </c>
      <c r="T76" s="70" t="str">
        <f>IFERROR(VLOOKUP(A76,BUFFS!$H$5:$AF$195,20,),"")</f>
        <v/>
      </c>
    </row>
    <row r="77" spans="1:20" x14ac:dyDescent="0.35">
      <c r="A77" s="17"/>
      <c r="B77" s="80"/>
      <c r="C77" s="81"/>
      <c r="D77" s="31" t="str">
        <f>IFERROR(VLOOKUP(A77,BUFFS!$H$5:$AF$195,8,),"")</f>
        <v/>
      </c>
      <c r="E77" s="24" t="str">
        <f t="shared" si="5"/>
        <v/>
      </c>
      <c r="F77" s="65" t="str">
        <f>IFERROR(VLOOKUP(A77,BUFFS!$H$5:$AF$195,5,),"")</f>
        <v/>
      </c>
      <c r="G77" s="66" t="str">
        <f>IFERROR(VLOOKUP(A77,BUFFS!$H$5:$AF$195,6,),"")</f>
        <v/>
      </c>
      <c r="H77" s="67" t="str">
        <f>IFERROR(VLOOKUP(A77,BUFFS!$H$5:$AF$195,7,),"")</f>
        <v/>
      </c>
      <c r="I77" s="66" t="str">
        <f>IFERROR(VLOOKUP(A77,BUFFS!$H$5:$AF$195,9,),"")</f>
        <v/>
      </c>
      <c r="J77" s="65" t="str">
        <f>IFERROR(VLOOKUP(A77,BUFFS!$H$5:$AF$195,10,),"")</f>
        <v/>
      </c>
      <c r="K77" s="66" t="str">
        <f>IFERROR(VLOOKUP(A77,BUFFS!$H$5:$AF$195,11,),"")</f>
        <v/>
      </c>
      <c r="L77" s="66" t="str">
        <f>IFERROR(VLOOKUP(A77,BUFFS!$H$5:$AF$195,12,),"")</f>
        <v/>
      </c>
      <c r="M77" s="66" t="str">
        <f>IFERROR(VLOOKUP(A77,BUFFS!$H$5:$AF$195,14,),"")</f>
        <v/>
      </c>
      <c r="N77" s="68" t="str">
        <f t="shared" si="6"/>
        <v/>
      </c>
      <c r="O77" s="65" t="str">
        <f>IFERROR(VLOOKUP(A77,BUFFS!$H$5:$AF$195,15,),"")</f>
        <v/>
      </c>
      <c r="P77" s="66" t="str">
        <f>IFERROR(VLOOKUP(A77,BUFFS!$H$5:$AF$195,16,),"")</f>
        <v/>
      </c>
      <c r="Q77" s="66" t="str">
        <f>IFERROR(VLOOKUP(A77,BUFFS!$H$5:$AF$195,17,),"")</f>
        <v/>
      </c>
      <c r="R77" s="66" t="str">
        <f>IFERROR(VLOOKUP(A77,BUFFS!$H$5:$AF$195,19,),"")</f>
        <v/>
      </c>
      <c r="S77" s="69" t="str">
        <f t="shared" si="7"/>
        <v/>
      </c>
      <c r="T77" s="70" t="str">
        <f>IFERROR(VLOOKUP(A77,BUFFS!$H$5:$AF$195,20,),"")</f>
        <v/>
      </c>
    </row>
    <row r="78" spans="1:20" x14ac:dyDescent="0.35">
      <c r="A78" s="17"/>
      <c r="B78" s="80"/>
      <c r="C78" s="81"/>
      <c r="D78" s="31" t="str">
        <f>IFERROR(VLOOKUP(A78,BUFFS!$H$5:$AF$195,8,),"")</f>
        <v/>
      </c>
      <c r="E78" s="24" t="str">
        <f t="shared" si="5"/>
        <v/>
      </c>
      <c r="F78" s="65" t="str">
        <f>IFERROR(VLOOKUP(A78,BUFFS!$H$5:$AF$195,5,),"")</f>
        <v/>
      </c>
      <c r="G78" s="66" t="str">
        <f>IFERROR(VLOOKUP(A78,BUFFS!$H$5:$AF$195,6,),"")</f>
        <v/>
      </c>
      <c r="H78" s="67" t="str">
        <f>IFERROR(VLOOKUP(A78,BUFFS!$H$5:$AF$195,7,),"")</f>
        <v/>
      </c>
      <c r="I78" s="66" t="str">
        <f>IFERROR(VLOOKUP(A78,BUFFS!$H$5:$AF$195,9,),"")</f>
        <v/>
      </c>
      <c r="J78" s="65" t="str">
        <f>IFERROR(VLOOKUP(A78,BUFFS!$H$5:$AF$195,10,),"")</f>
        <v/>
      </c>
      <c r="K78" s="66" t="str">
        <f>IFERROR(VLOOKUP(A78,BUFFS!$H$5:$AF$195,11,),"")</f>
        <v/>
      </c>
      <c r="L78" s="66" t="str">
        <f>IFERROR(VLOOKUP(A78,BUFFS!$H$5:$AF$195,12,),"")</f>
        <v/>
      </c>
      <c r="M78" s="66" t="str">
        <f>IFERROR(VLOOKUP(A78,BUFFS!$H$5:$AF$195,14,),"")</f>
        <v/>
      </c>
      <c r="N78" s="68" t="str">
        <f t="shared" si="6"/>
        <v/>
      </c>
      <c r="O78" s="65" t="str">
        <f>IFERROR(VLOOKUP(A78,BUFFS!$H$5:$AF$195,15,),"")</f>
        <v/>
      </c>
      <c r="P78" s="66" t="str">
        <f>IFERROR(VLOOKUP(A78,BUFFS!$H$5:$AF$195,16,),"")</f>
        <v/>
      </c>
      <c r="Q78" s="66" t="str">
        <f>IFERROR(VLOOKUP(A78,BUFFS!$H$5:$AF$195,17,),"")</f>
        <v/>
      </c>
      <c r="R78" s="66" t="str">
        <f>IFERROR(VLOOKUP(A78,BUFFS!$H$5:$AF$195,19,),"")</f>
        <v/>
      </c>
      <c r="S78" s="69" t="str">
        <f t="shared" si="7"/>
        <v/>
      </c>
      <c r="T78" s="70" t="str">
        <f>IFERROR(VLOOKUP(A78,BUFFS!$H$5:$AF$195,20,),"")</f>
        <v/>
      </c>
    </row>
    <row r="79" spans="1:20" x14ac:dyDescent="0.35">
      <c r="A79" s="17"/>
      <c r="B79" s="80"/>
      <c r="C79" s="81"/>
      <c r="D79" s="31" t="str">
        <f>IFERROR(VLOOKUP(A79,BUFFS!$H$5:$AF$195,8,),"")</f>
        <v/>
      </c>
      <c r="E79" s="24" t="str">
        <f t="shared" si="5"/>
        <v/>
      </c>
      <c r="F79" s="65" t="str">
        <f>IFERROR(VLOOKUP(A79,BUFFS!$H$5:$AF$195,5,),"")</f>
        <v/>
      </c>
      <c r="G79" s="66" t="str">
        <f>IFERROR(VLOOKUP(A79,BUFFS!$H$5:$AF$195,6,),"")</f>
        <v/>
      </c>
      <c r="H79" s="67" t="str">
        <f>IFERROR(VLOOKUP(A79,BUFFS!$H$5:$AF$195,7,),"")</f>
        <v/>
      </c>
      <c r="I79" s="66" t="str">
        <f>IFERROR(VLOOKUP(A79,BUFFS!$H$5:$AF$195,9,),"")</f>
        <v/>
      </c>
      <c r="J79" s="65" t="str">
        <f>IFERROR(VLOOKUP(A79,BUFFS!$H$5:$AF$195,10,),"")</f>
        <v/>
      </c>
      <c r="K79" s="66" t="str">
        <f>IFERROR(VLOOKUP(A79,BUFFS!$H$5:$AF$195,11,),"")</f>
        <v/>
      </c>
      <c r="L79" s="66" t="str">
        <f>IFERROR(VLOOKUP(A79,BUFFS!$H$5:$AF$195,12,),"")</f>
        <v/>
      </c>
      <c r="M79" s="66" t="str">
        <f>IFERROR(VLOOKUP(A79,BUFFS!$H$5:$AF$195,14,),"")</f>
        <v/>
      </c>
      <c r="N79" s="68" t="str">
        <f t="shared" si="6"/>
        <v/>
      </c>
      <c r="O79" s="65" t="str">
        <f>IFERROR(VLOOKUP(A79,BUFFS!$H$5:$AF$195,15,),"")</f>
        <v/>
      </c>
      <c r="P79" s="66" t="str">
        <f>IFERROR(VLOOKUP(A79,BUFFS!$H$5:$AF$195,16,),"")</f>
        <v/>
      </c>
      <c r="Q79" s="66" t="str">
        <f>IFERROR(VLOOKUP(A79,BUFFS!$H$5:$AF$195,17,),"")</f>
        <v/>
      </c>
      <c r="R79" s="66" t="str">
        <f>IFERROR(VLOOKUP(A79,BUFFS!$H$5:$AF$195,19,),"")</f>
        <v/>
      </c>
      <c r="S79" s="69" t="str">
        <f t="shared" si="7"/>
        <v/>
      </c>
      <c r="T79" s="70" t="str">
        <f>IFERROR(VLOOKUP(A79,BUFFS!$H$5:$AF$195,20,),"")</f>
        <v/>
      </c>
    </row>
    <row r="80" spans="1:20" x14ac:dyDescent="0.35">
      <c r="A80" s="17"/>
      <c r="B80" s="80"/>
      <c r="C80" s="81"/>
      <c r="D80" s="31" t="str">
        <f>IFERROR(VLOOKUP(A80,BUFFS!$H$5:$AF$195,8,),"")</f>
        <v/>
      </c>
      <c r="E80" s="24" t="str">
        <f t="shared" si="5"/>
        <v/>
      </c>
      <c r="F80" s="65" t="str">
        <f>IFERROR(VLOOKUP(A80,BUFFS!$H$5:$AF$195,5,),"")</f>
        <v/>
      </c>
      <c r="G80" s="66" t="str">
        <f>IFERROR(VLOOKUP(A80,BUFFS!$H$5:$AF$195,6,),"")</f>
        <v/>
      </c>
      <c r="H80" s="67" t="str">
        <f>IFERROR(VLOOKUP(A80,BUFFS!$H$5:$AF$195,7,),"")</f>
        <v/>
      </c>
      <c r="I80" s="66" t="str">
        <f>IFERROR(VLOOKUP(A80,BUFFS!$H$5:$AF$195,9,),"")</f>
        <v/>
      </c>
      <c r="J80" s="65" t="str">
        <f>IFERROR(VLOOKUP(A80,BUFFS!$H$5:$AF$195,10,),"")</f>
        <v/>
      </c>
      <c r="K80" s="66" t="str">
        <f>IFERROR(VLOOKUP(A80,BUFFS!$H$5:$AF$195,11,),"")</f>
        <v/>
      </c>
      <c r="L80" s="66" t="str">
        <f>IFERROR(VLOOKUP(A80,BUFFS!$H$5:$AF$195,12,),"")</f>
        <v/>
      </c>
      <c r="M80" s="66" t="str">
        <f>IFERROR(VLOOKUP(A80,BUFFS!$H$5:$AF$195,14,),"")</f>
        <v/>
      </c>
      <c r="N80" s="68" t="str">
        <f t="shared" si="6"/>
        <v/>
      </c>
      <c r="O80" s="65" t="str">
        <f>IFERROR(VLOOKUP(A80,BUFFS!$H$5:$AF$195,15,),"")</f>
        <v/>
      </c>
      <c r="P80" s="66" t="str">
        <f>IFERROR(VLOOKUP(A80,BUFFS!$H$5:$AF$195,16,),"")</f>
        <v/>
      </c>
      <c r="Q80" s="66" t="str">
        <f>IFERROR(VLOOKUP(A80,BUFFS!$H$5:$AF$195,17,),"")</f>
        <v/>
      </c>
      <c r="R80" s="66" t="str">
        <f>IFERROR(VLOOKUP(A80,BUFFS!$H$5:$AF$195,19,),"")</f>
        <v/>
      </c>
      <c r="S80" s="69" t="str">
        <f t="shared" si="7"/>
        <v/>
      </c>
      <c r="T80" s="70" t="str">
        <f>IFERROR(VLOOKUP(A80,BUFFS!$H$5:$AF$195,20,),"")</f>
        <v/>
      </c>
    </row>
    <row r="81" spans="1:20" x14ac:dyDescent="0.35">
      <c r="A81" s="17"/>
      <c r="B81" s="80"/>
      <c r="C81" s="81"/>
      <c r="D81" s="31" t="str">
        <f>IFERROR(VLOOKUP(A81,BUFFS!$H$5:$AF$195,8,),"")</f>
        <v/>
      </c>
      <c r="E81" s="24" t="str">
        <f t="shared" si="5"/>
        <v/>
      </c>
      <c r="F81" s="65" t="str">
        <f>IFERROR(VLOOKUP(A81,BUFFS!$H$5:$AF$195,5,),"")</f>
        <v/>
      </c>
      <c r="G81" s="66" t="str">
        <f>IFERROR(VLOOKUP(A81,BUFFS!$H$5:$AF$195,6,),"")</f>
        <v/>
      </c>
      <c r="H81" s="67" t="str">
        <f>IFERROR(VLOOKUP(A81,BUFFS!$H$5:$AF$195,7,),"")</f>
        <v/>
      </c>
      <c r="I81" s="66" t="str">
        <f>IFERROR(VLOOKUP(A81,BUFFS!$H$5:$AF$195,9,),"")</f>
        <v/>
      </c>
      <c r="J81" s="65" t="str">
        <f>IFERROR(VLOOKUP(A81,BUFFS!$H$5:$AF$195,10,),"")</f>
        <v/>
      </c>
      <c r="K81" s="66" t="str">
        <f>IFERROR(VLOOKUP(A81,BUFFS!$H$5:$AF$195,11,),"")</f>
        <v/>
      </c>
      <c r="L81" s="66" t="str">
        <f>IFERROR(VLOOKUP(A81,BUFFS!$H$5:$AF$195,12,),"")</f>
        <v/>
      </c>
      <c r="M81" s="66" t="str">
        <f>IFERROR(VLOOKUP(A81,BUFFS!$H$5:$AF$195,14,),"")</f>
        <v/>
      </c>
      <c r="N81" s="68" t="str">
        <f t="shared" si="6"/>
        <v/>
      </c>
      <c r="O81" s="65" t="str">
        <f>IFERROR(VLOOKUP(A81,BUFFS!$H$5:$AF$195,15,),"")</f>
        <v/>
      </c>
      <c r="P81" s="66" t="str">
        <f>IFERROR(VLOOKUP(A81,BUFFS!$H$5:$AF$195,16,),"")</f>
        <v/>
      </c>
      <c r="Q81" s="66" t="str">
        <f>IFERROR(VLOOKUP(A81,BUFFS!$H$5:$AF$195,17,),"")</f>
        <v/>
      </c>
      <c r="R81" s="66" t="str">
        <f>IFERROR(VLOOKUP(A81,BUFFS!$H$5:$AF$195,19,),"")</f>
        <v/>
      </c>
      <c r="S81" s="69" t="str">
        <f t="shared" si="7"/>
        <v/>
      </c>
      <c r="T81" s="70" t="str">
        <f>IFERROR(VLOOKUP(A81,BUFFS!$H$5:$AF$195,20,),"")</f>
        <v/>
      </c>
    </row>
    <row r="82" spans="1:20" x14ac:dyDescent="0.35">
      <c r="A82" s="17"/>
      <c r="B82" s="18"/>
      <c r="C82" s="13"/>
      <c r="D82" s="31" t="str">
        <f>IFERROR(VLOOKUP(A82,BUFFS!$H$5:$AF$195,8,),"")</f>
        <v/>
      </c>
      <c r="E82" s="24" t="str">
        <f t="shared" si="5"/>
        <v/>
      </c>
      <c r="F82" s="65" t="str">
        <f>IFERROR(VLOOKUP(A82,BUFFS!$H$5:$AF$195,5,),"")</f>
        <v/>
      </c>
      <c r="G82" s="66" t="str">
        <f>IFERROR(VLOOKUP(A82,BUFFS!$H$5:$AF$195,6,),"")</f>
        <v/>
      </c>
      <c r="H82" s="67" t="str">
        <f>IFERROR(VLOOKUP(A82,BUFFS!$H$5:$AF$195,7,),"")</f>
        <v/>
      </c>
      <c r="I82" s="66" t="str">
        <f>IFERROR(VLOOKUP(A82,BUFFS!$H$5:$AF$195,9,),"")</f>
        <v/>
      </c>
      <c r="J82" s="65" t="str">
        <f>IFERROR(VLOOKUP(A82,BUFFS!$H$5:$AF$195,10,),"")</f>
        <v/>
      </c>
      <c r="K82" s="66" t="str">
        <f>IFERROR(VLOOKUP(A82,BUFFS!$H$5:$AF$195,11,),"")</f>
        <v/>
      </c>
      <c r="L82" s="66" t="str">
        <f>IFERROR(VLOOKUP(A82,BUFFS!$H$5:$AF$195,12,),"")</f>
        <v/>
      </c>
      <c r="M82" s="66" t="str">
        <f>IFERROR(VLOOKUP(A82,BUFFS!$H$5:$AF$195,14,),"")</f>
        <v/>
      </c>
      <c r="N82" s="68" t="str">
        <f t="shared" si="6"/>
        <v/>
      </c>
      <c r="O82" s="65" t="str">
        <f>IFERROR(VLOOKUP(A82,BUFFS!$H$5:$AF$195,15,),"")</f>
        <v/>
      </c>
      <c r="P82" s="66" t="str">
        <f>IFERROR(VLOOKUP(A82,BUFFS!$H$5:$AF$195,16,),"")</f>
        <v/>
      </c>
      <c r="Q82" s="66" t="str">
        <f>IFERROR(VLOOKUP(A82,BUFFS!$H$5:$AF$195,17,),"")</f>
        <v/>
      </c>
      <c r="R82" s="66" t="str">
        <f>IFERROR(VLOOKUP(A82,BUFFS!$H$5:$AF$195,19,),"")</f>
        <v/>
      </c>
      <c r="S82" s="69" t="str">
        <f t="shared" si="7"/>
        <v/>
      </c>
      <c r="T82" s="70" t="str">
        <f>IFERROR(VLOOKUP(A82,BUFFS!$H$5:$AF$195,20,),"")</f>
        <v/>
      </c>
    </row>
    <row r="83" spans="1:20" x14ac:dyDescent="0.35">
      <c r="A83" s="17"/>
      <c r="B83" s="18"/>
      <c r="C83" s="13"/>
      <c r="D83" s="31" t="str">
        <f>IFERROR(VLOOKUP(A83,BUFFS!$H$5:$AF$195,8,),"")</f>
        <v/>
      </c>
      <c r="E83" s="24" t="str">
        <f t="shared" si="5"/>
        <v/>
      </c>
      <c r="F83" s="65" t="str">
        <f>IFERROR(VLOOKUP(A83,BUFFS!$H$5:$AF$195,5,),"")</f>
        <v/>
      </c>
      <c r="G83" s="66" t="str">
        <f>IFERROR(VLOOKUP(A83,BUFFS!$H$5:$AF$195,6,),"")</f>
        <v/>
      </c>
      <c r="H83" s="67" t="str">
        <f>IFERROR(VLOOKUP(A83,BUFFS!$H$5:$AF$195,7,),"")</f>
        <v/>
      </c>
      <c r="I83" s="66" t="str">
        <f>IFERROR(VLOOKUP(A83,BUFFS!$H$5:$AF$195,9,),"")</f>
        <v/>
      </c>
      <c r="J83" s="65" t="str">
        <f>IFERROR(VLOOKUP(A83,BUFFS!$H$5:$AF$195,10,),"")</f>
        <v/>
      </c>
      <c r="K83" s="66" t="str">
        <f>IFERROR(VLOOKUP(A83,BUFFS!$H$5:$AF$195,11,),"")</f>
        <v/>
      </c>
      <c r="L83" s="66" t="str">
        <f>IFERROR(VLOOKUP(A83,BUFFS!$H$5:$AF$195,12,),"")</f>
        <v/>
      </c>
      <c r="M83" s="66" t="str">
        <f>IFERROR(VLOOKUP(A83,BUFFS!$H$5:$AF$195,14,),"")</f>
        <v/>
      </c>
      <c r="N83" s="68" t="str">
        <f t="shared" si="6"/>
        <v/>
      </c>
      <c r="O83" s="65" t="str">
        <f>IFERROR(VLOOKUP(A83,BUFFS!$H$5:$AF$195,15,),"")</f>
        <v/>
      </c>
      <c r="P83" s="66" t="str">
        <f>IFERROR(VLOOKUP(A83,BUFFS!$H$5:$AF$195,16,),"")</f>
        <v/>
      </c>
      <c r="Q83" s="66" t="str">
        <f>IFERROR(VLOOKUP(A83,BUFFS!$H$5:$AF$195,17,),"")</f>
        <v/>
      </c>
      <c r="R83" s="66" t="str">
        <f>IFERROR(VLOOKUP(A83,BUFFS!$H$5:$AF$195,19,),"")</f>
        <v/>
      </c>
      <c r="S83" s="69" t="str">
        <f t="shared" si="7"/>
        <v/>
      </c>
      <c r="T83" s="70" t="str">
        <f>IFERROR(VLOOKUP(A83,BUFFS!$H$5:$AF$195,20,),"")</f>
        <v/>
      </c>
    </row>
    <row r="84" spans="1:20" x14ac:dyDescent="0.35">
      <c r="A84" s="17"/>
      <c r="B84" s="18"/>
      <c r="C84" s="13"/>
      <c r="D84" s="31" t="str">
        <f>IFERROR(VLOOKUP(A84,BUFFS!$H$5:$AF$195,8,),"")</f>
        <v/>
      </c>
      <c r="E84" s="24" t="str">
        <f t="shared" si="5"/>
        <v/>
      </c>
      <c r="F84" s="65" t="str">
        <f>IFERROR(VLOOKUP(A84,BUFFS!$H$5:$AF$195,5,),"")</f>
        <v/>
      </c>
      <c r="G84" s="66" t="str">
        <f>IFERROR(VLOOKUP(A84,BUFFS!$H$5:$AF$195,6,),"")</f>
        <v/>
      </c>
      <c r="H84" s="67" t="str">
        <f>IFERROR(VLOOKUP(A84,BUFFS!$H$5:$AF$195,7,),"")</f>
        <v/>
      </c>
      <c r="I84" s="66" t="str">
        <f>IFERROR(VLOOKUP(A84,BUFFS!$H$5:$AF$195,9,),"")</f>
        <v/>
      </c>
      <c r="J84" s="65" t="str">
        <f>IFERROR(VLOOKUP(A84,BUFFS!$H$5:$AF$195,10,),"")</f>
        <v/>
      </c>
      <c r="K84" s="66" t="str">
        <f>IFERROR(VLOOKUP(A84,BUFFS!$H$5:$AF$195,11,),"")</f>
        <v/>
      </c>
      <c r="L84" s="66" t="str">
        <f>IFERROR(VLOOKUP(A84,BUFFS!$H$5:$AF$195,12,),"")</f>
        <v/>
      </c>
      <c r="M84" s="66" t="str">
        <f>IFERROR(VLOOKUP(A84,BUFFS!$H$5:$AF$195,14,),"")</f>
        <v/>
      </c>
      <c r="N84" s="68" t="str">
        <f t="shared" si="6"/>
        <v/>
      </c>
      <c r="O84" s="65" t="str">
        <f>IFERROR(VLOOKUP(A84,BUFFS!$H$5:$AF$195,15,),"")</f>
        <v/>
      </c>
      <c r="P84" s="66" t="str">
        <f>IFERROR(VLOOKUP(A84,BUFFS!$H$5:$AF$195,16,),"")</f>
        <v/>
      </c>
      <c r="Q84" s="66" t="str">
        <f>IFERROR(VLOOKUP(A84,BUFFS!$H$5:$AF$195,17,),"")</f>
        <v/>
      </c>
      <c r="R84" s="66" t="str">
        <f>IFERROR(VLOOKUP(A84,BUFFS!$H$5:$AF$195,19,),"")</f>
        <v/>
      </c>
      <c r="S84" s="69" t="str">
        <f t="shared" si="7"/>
        <v/>
      </c>
      <c r="T84" s="70" t="str">
        <f>IFERROR(VLOOKUP(A84,BUFFS!$H$5:$AF$195,20,),"")</f>
        <v/>
      </c>
    </row>
    <row r="85" spans="1:20" x14ac:dyDescent="0.35">
      <c r="A85" s="17"/>
      <c r="B85" s="18"/>
      <c r="C85" s="13"/>
      <c r="D85" s="31" t="str">
        <f>IFERROR(VLOOKUP(A85,BUFFS!$H$5:$AF$195,8,),"")</f>
        <v/>
      </c>
      <c r="E85" s="24" t="str">
        <f t="shared" si="5"/>
        <v/>
      </c>
      <c r="F85" s="65" t="str">
        <f>IFERROR(VLOOKUP(A85,BUFFS!$H$5:$AF$195,5,),"")</f>
        <v/>
      </c>
      <c r="G85" s="66" t="str">
        <f>IFERROR(VLOOKUP(A85,BUFFS!$H$5:$AF$195,6,),"")</f>
        <v/>
      </c>
      <c r="H85" s="67" t="str">
        <f>IFERROR(VLOOKUP(A85,BUFFS!$H$5:$AF$195,7,),"")</f>
        <v/>
      </c>
      <c r="I85" s="66" t="str">
        <f>IFERROR(VLOOKUP(A85,BUFFS!$H$5:$AF$195,9,),"")</f>
        <v/>
      </c>
      <c r="J85" s="65" t="str">
        <f>IFERROR(VLOOKUP(A85,BUFFS!$H$5:$AF$195,10,),"")</f>
        <v/>
      </c>
      <c r="K85" s="66" t="str">
        <f>IFERROR(VLOOKUP(A85,BUFFS!$H$5:$AF$195,11,),"")</f>
        <v/>
      </c>
      <c r="L85" s="66" t="str">
        <f>IFERROR(VLOOKUP(A85,BUFFS!$H$5:$AF$195,12,),"")</f>
        <v/>
      </c>
      <c r="M85" s="66" t="str">
        <f>IFERROR(VLOOKUP(A85,BUFFS!$H$5:$AF$195,14,),"")</f>
        <v/>
      </c>
      <c r="N85" s="68" t="str">
        <f t="shared" si="6"/>
        <v/>
      </c>
      <c r="O85" s="65" t="str">
        <f>IFERROR(VLOOKUP(A85,BUFFS!$H$5:$AF$195,15,),"")</f>
        <v/>
      </c>
      <c r="P85" s="66" t="str">
        <f>IFERROR(VLOOKUP(A85,BUFFS!$H$5:$AF$195,16,),"")</f>
        <v/>
      </c>
      <c r="Q85" s="66" t="str">
        <f>IFERROR(VLOOKUP(A85,BUFFS!$H$5:$AF$195,17,),"")</f>
        <v/>
      </c>
      <c r="R85" s="66" t="str">
        <f>IFERROR(VLOOKUP(A85,BUFFS!$H$5:$AF$195,19,),"")</f>
        <v/>
      </c>
      <c r="S85" s="69" t="str">
        <f t="shared" si="7"/>
        <v/>
      </c>
      <c r="T85" s="70" t="str">
        <f>IFERROR(VLOOKUP(A85,BUFFS!$H$5:$AF$195,20,),"")</f>
        <v/>
      </c>
    </row>
    <row r="86" spans="1:20" x14ac:dyDescent="0.35">
      <c r="A86" s="17"/>
      <c r="B86" s="18"/>
      <c r="C86" s="13"/>
      <c r="D86" s="31" t="str">
        <f>IFERROR(VLOOKUP(A86,BUFFS!$H$5:$AF$195,8,),"")</f>
        <v/>
      </c>
      <c r="E86" s="24" t="str">
        <f t="shared" si="5"/>
        <v/>
      </c>
      <c r="F86" s="65" t="str">
        <f>IFERROR(VLOOKUP(A86,BUFFS!$H$5:$AF$195,5,),"")</f>
        <v/>
      </c>
      <c r="G86" s="66" t="str">
        <f>IFERROR(VLOOKUP(A86,BUFFS!$H$5:$AF$195,6,),"")</f>
        <v/>
      </c>
      <c r="H86" s="67" t="str">
        <f>IFERROR(VLOOKUP(A86,BUFFS!$H$5:$AF$195,7,),"")</f>
        <v/>
      </c>
      <c r="I86" s="66" t="str">
        <f>IFERROR(VLOOKUP(A86,BUFFS!$H$5:$AF$195,9,),"")</f>
        <v/>
      </c>
      <c r="J86" s="65" t="str">
        <f>IFERROR(VLOOKUP(A86,BUFFS!$H$5:$AF$195,10,),"")</f>
        <v/>
      </c>
      <c r="K86" s="66" t="str">
        <f>IFERROR(VLOOKUP(A86,BUFFS!$H$5:$AF$195,11,),"")</f>
        <v/>
      </c>
      <c r="L86" s="66" t="str">
        <f>IFERROR(VLOOKUP(A86,BUFFS!$H$5:$AF$195,12,),"")</f>
        <v/>
      </c>
      <c r="M86" s="66" t="str">
        <f>IFERROR(VLOOKUP(A86,BUFFS!$H$5:$AF$195,14,),"")</f>
        <v/>
      </c>
      <c r="N86" s="68" t="str">
        <f t="shared" si="6"/>
        <v/>
      </c>
      <c r="O86" s="65" t="str">
        <f>IFERROR(VLOOKUP(A86,BUFFS!$H$5:$AF$195,15,),"")</f>
        <v/>
      </c>
      <c r="P86" s="66" t="str">
        <f>IFERROR(VLOOKUP(A86,BUFFS!$H$5:$AF$195,16,),"")</f>
        <v/>
      </c>
      <c r="Q86" s="66" t="str">
        <f>IFERROR(VLOOKUP(A86,BUFFS!$H$5:$AF$195,17,),"")</f>
        <v/>
      </c>
      <c r="R86" s="66" t="str">
        <f>IFERROR(VLOOKUP(A86,BUFFS!$H$5:$AF$195,19,),"")</f>
        <v/>
      </c>
      <c r="S86" s="69" t="str">
        <f t="shared" si="7"/>
        <v/>
      </c>
      <c r="T86" s="70" t="str">
        <f>IFERROR(VLOOKUP(A86,BUFFS!$H$5:$AF$195,20,),"")</f>
        <v/>
      </c>
    </row>
    <row r="87" spans="1:20" x14ac:dyDescent="0.35">
      <c r="A87" s="17"/>
      <c r="B87" s="18"/>
      <c r="C87" s="13"/>
      <c r="D87" s="31" t="str">
        <f>IFERROR(VLOOKUP(A87,BUFFS!$H$5:$AF$195,8,),"")</f>
        <v/>
      </c>
      <c r="E87" s="24" t="str">
        <f t="shared" si="5"/>
        <v/>
      </c>
      <c r="F87" s="65" t="str">
        <f>IFERROR(VLOOKUP(A87,BUFFS!$H$5:$AF$195,5,),"")</f>
        <v/>
      </c>
      <c r="G87" s="66" t="str">
        <f>IFERROR(VLOOKUP(A87,BUFFS!$H$5:$AF$195,6,),"")</f>
        <v/>
      </c>
      <c r="H87" s="67" t="str">
        <f>IFERROR(VLOOKUP(A87,BUFFS!$H$5:$AF$195,7,),"")</f>
        <v/>
      </c>
      <c r="I87" s="66" t="str">
        <f>IFERROR(VLOOKUP(A87,BUFFS!$H$5:$AF$195,9,),"")</f>
        <v/>
      </c>
      <c r="J87" s="65" t="str">
        <f>IFERROR(VLOOKUP(A87,BUFFS!$H$5:$AF$195,10,),"")</f>
        <v/>
      </c>
      <c r="K87" s="66" t="str">
        <f>IFERROR(VLOOKUP(A87,BUFFS!$H$5:$AF$195,11,),"")</f>
        <v/>
      </c>
      <c r="L87" s="66" t="str">
        <f>IFERROR(VLOOKUP(A87,BUFFS!$H$5:$AF$195,12,),"")</f>
        <v/>
      </c>
      <c r="M87" s="66" t="str">
        <f>IFERROR(VLOOKUP(A87,BUFFS!$H$5:$AF$195,14,),"")</f>
        <v/>
      </c>
      <c r="N87" s="68" t="str">
        <f t="shared" si="6"/>
        <v/>
      </c>
      <c r="O87" s="65" t="str">
        <f>IFERROR(VLOOKUP(A87,BUFFS!$H$5:$AF$195,15,),"")</f>
        <v/>
      </c>
      <c r="P87" s="66" t="str">
        <f>IFERROR(VLOOKUP(A87,BUFFS!$H$5:$AF$195,16,),"")</f>
        <v/>
      </c>
      <c r="Q87" s="66" t="str">
        <f>IFERROR(VLOOKUP(A87,BUFFS!$H$5:$AF$195,17,),"")</f>
        <v/>
      </c>
      <c r="R87" s="66" t="str">
        <f>IFERROR(VLOOKUP(A87,BUFFS!$H$5:$AF$195,19,),"")</f>
        <v/>
      </c>
      <c r="S87" s="69" t="str">
        <f t="shared" si="7"/>
        <v/>
      </c>
      <c r="T87" s="70" t="str">
        <f>IFERROR(VLOOKUP(A87,BUFFS!$H$5:$AF$195,20,),"")</f>
        <v/>
      </c>
    </row>
    <row r="88" spans="1:20" x14ac:dyDescent="0.35">
      <c r="A88" s="17"/>
      <c r="B88" s="18"/>
      <c r="C88" s="13"/>
      <c r="D88" s="31" t="str">
        <f>IFERROR(VLOOKUP(A88,BUFFS!$H$5:$AF$195,8,),"")</f>
        <v/>
      </c>
      <c r="E88" s="24" t="str">
        <f t="shared" si="5"/>
        <v/>
      </c>
      <c r="F88" s="65" t="str">
        <f>IFERROR(VLOOKUP(A88,BUFFS!$H$5:$AF$195,5,),"")</f>
        <v/>
      </c>
      <c r="G88" s="66" t="str">
        <f>IFERROR(VLOOKUP(A88,BUFFS!$H$5:$AF$195,6,),"")</f>
        <v/>
      </c>
      <c r="H88" s="67" t="str">
        <f>IFERROR(VLOOKUP(A88,BUFFS!$H$5:$AF$195,7,),"")</f>
        <v/>
      </c>
      <c r="I88" s="66" t="str">
        <f>IFERROR(VLOOKUP(A88,BUFFS!$H$5:$AF$195,9,),"")</f>
        <v/>
      </c>
      <c r="J88" s="65" t="str">
        <f>IFERROR(VLOOKUP(A88,BUFFS!$H$5:$AF$195,10,),"")</f>
        <v/>
      </c>
      <c r="K88" s="66" t="str">
        <f>IFERROR(VLOOKUP(A88,BUFFS!$H$5:$AF$195,11,),"")</f>
        <v/>
      </c>
      <c r="L88" s="66" t="str">
        <f>IFERROR(VLOOKUP(A88,BUFFS!$H$5:$AF$195,12,),"")</f>
        <v/>
      </c>
      <c r="M88" s="66" t="str">
        <f>IFERROR(VLOOKUP(A88,BUFFS!$H$5:$AF$195,14,),"")</f>
        <v/>
      </c>
      <c r="N88" s="68" t="str">
        <f t="shared" si="6"/>
        <v/>
      </c>
      <c r="O88" s="65" t="str">
        <f>IFERROR(VLOOKUP(A88,BUFFS!$H$5:$AF$195,15,),"")</f>
        <v/>
      </c>
      <c r="P88" s="66" t="str">
        <f>IFERROR(VLOOKUP(A88,BUFFS!$H$5:$AF$195,16,),"")</f>
        <v/>
      </c>
      <c r="Q88" s="66" t="str">
        <f>IFERROR(VLOOKUP(A88,BUFFS!$H$5:$AF$195,17,),"")</f>
        <v/>
      </c>
      <c r="R88" s="66" t="str">
        <f>IFERROR(VLOOKUP(A88,BUFFS!$H$5:$AF$195,19,),"")</f>
        <v/>
      </c>
      <c r="S88" s="69" t="str">
        <f t="shared" si="7"/>
        <v/>
      </c>
      <c r="T88" s="70" t="str">
        <f>IFERROR(VLOOKUP(A88,BUFFS!$H$5:$AF$195,20,),"")</f>
        <v/>
      </c>
    </row>
    <row r="89" spans="1:20" x14ac:dyDescent="0.35">
      <c r="A89" s="17"/>
      <c r="B89" s="18"/>
      <c r="C89" s="13"/>
      <c r="D89" s="31" t="str">
        <f>IFERROR(VLOOKUP(A89,BUFFS!$H$5:$AF$195,8,),"")</f>
        <v/>
      </c>
      <c r="E89" s="24" t="str">
        <f t="shared" si="5"/>
        <v/>
      </c>
      <c r="F89" s="65" t="str">
        <f>IFERROR(VLOOKUP(A89,BUFFS!$H$5:$AF$195,5,),"")</f>
        <v/>
      </c>
      <c r="G89" s="66" t="str">
        <f>IFERROR(VLOOKUP(A89,BUFFS!$H$5:$AF$195,6,),"")</f>
        <v/>
      </c>
      <c r="H89" s="67" t="str">
        <f>IFERROR(VLOOKUP(A89,BUFFS!$H$5:$AF$195,7,),"")</f>
        <v/>
      </c>
      <c r="I89" s="66" t="str">
        <f>IFERROR(VLOOKUP(A89,BUFFS!$H$5:$AF$195,9,),"")</f>
        <v/>
      </c>
      <c r="J89" s="65" t="str">
        <f>IFERROR(VLOOKUP(A89,BUFFS!$H$5:$AF$195,10,),"")</f>
        <v/>
      </c>
      <c r="K89" s="66" t="str">
        <f>IFERROR(VLOOKUP(A89,BUFFS!$H$5:$AF$195,11,),"")</f>
        <v/>
      </c>
      <c r="L89" s="66" t="str">
        <f>IFERROR(VLOOKUP(A89,BUFFS!$H$5:$AF$195,12,),"")</f>
        <v/>
      </c>
      <c r="M89" s="66" t="str">
        <f>IFERROR(VLOOKUP(A89,BUFFS!$H$5:$AF$195,14,),"")</f>
        <v/>
      </c>
      <c r="N89" s="68" t="str">
        <f t="shared" si="6"/>
        <v/>
      </c>
      <c r="O89" s="65" t="str">
        <f>IFERROR(VLOOKUP(A89,BUFFS!$H$5:$AF$195,15,),"")</f>
        <v/>
      </c>
      <c r="P89" s="66" t="str">
        <f>IFERROR(VLOOKUP(A89,BUFFS!$H$5:$AF$195,16,),"")</f>
        <v/>
      </c>
      <c r="Q89" s="66" t="str">
        <f>IFERROR(VLOOKUP(A89,BUFFS!$H$5:$AF$195,17,),"")</f>
        <v/>
      </c>
      <c r="R89" s="66" t="str">
        <f>IFERROR(VLOOKUP(A89,BUFFS!$H$5:$AF$195,19,),"")</f>
        <v/>
      </c>
      <c r="S89" s="69" t="str">
        <f t="shared" si="7"/>
        <v/>
      </c>
      <c r="T89" s="70" t="str">
        <f>IFERROR(VLOOKUP(A89,BUFFS!$H$5:$AF$195,20,),"")</f>
        <v/>
      </c>
    </row>
    <row r="90" spans="1:20" x14ac:dyDescent="0.35">
      <c r="A90" s="17"/>
      <c r="B90" s="18"/>
      <c r="C90" s="13"/>
      <c r="D90" s="31" t="str">
        <f>IFERROR(VLOOKUP(A90,BUFFS!$H$5:$AF$195,8,),"")</f>
        <v/>
      </c>
      <c r="E90" s="24" t="str">
        <f t="shared" si="5"/>
        <v/>
      </c>
      <c r="F90" s="65" t="str">
        <f>IFERROR(VLOOKUP(A90,BUFFS!$H$5:$AF$195,5,),"")</f>
        <v/>
      </c>
      <c r="G90" s="66" t="str">
        <f>IFERROR(VLOOKUP(A90,BUFFS!$H$5:$AF$195,6,),"")</f>
        <v/>
      </c>
      <c r="H90" s="67" t="str">
        <f>IFERROR(VLOOKUP(A90,BUFFS!$H$5:$AF$195,7,),"")</f>
        <v/>
      </c>
      <c r="I90" s="66" t="str">
        <f>IFERROR(VLOOKUP(A90,BUFFS!$H$5:$AF$195,9,),"")</f>
        <v/>
      </c>
      <c r="J90" s="65" t="str">
        <f>IFERROR(VLOOKUP(A90,BUFFS!$H$5:$AF$195,10,),"")</f>
        <v/>
      </c>
      <c r="K90" s="66" t="str">
        <f>IFERROR(VLOOKUP(A90,BUFFS!$H$5:$AF$195,11,),"")</f>
        <v/>
      </c>
      <c r="L90" s="66" t="str">
        <f>IFERROR(VLOOKUP(A90,BUFFS!$H$5:$AF$195,12,),"")</f>
        <v/>
      </c>
      <c r="M90" s="66" t="str">
        <f>IFERROR(VLOOKUP(A90,BUFFS!$H$5:$AF$195,14,),"")</f>
        <v/>
      </c>
      <c r="N90" s="68" t="str">
        <f t="shared" si="6"/>
        <v/>
      </c>
      <c r="O90" s="65" t="str">
        <f>IFERROR(VLOOKUP(A90,BUFFS!$H$5:$AF$195,15,),"")</f>
        <v/>
      </c>
      <c r="P90" s="66" t="str">
        <f>IFERROR(VLOOKUP(A90,BUFFS!$H$5:$AF$195,16,),"")</f>
        <v/>
      </c>
      <c r="Q90" s="66" t="str">
        <f>IFERROR(VLOOKUP(A90,BUFFS!$H$5:$AF$195,17,),"")</f>
        <v/>
      </c>
      <c r="R90" s="66" t="str">
        <f>IFERROR(VLOOKUP(A90,BUFFS!$H$5:$AF$195,19,),"")</f>
        <v/>
      </c>
      <c r="S90" s="69" t="str">
        <f t="shared" si="7"/>
        <v/>
      </c>
      <c r="T90" s="70" t="str">
        <f>IFERROR(VLOOKUP(A90,BUFFS!$H$5:$AF$195,20,),"")</f>
        <v/>
      </c>
    </row>
    <row r="91" spans="1:20" x14ac:dyDescent="0.35">
      <c r="A91" s="17"/>
      <c r="B91" s="18"/>
      <c r="C91" s="13"/>
      <c r="D91" s="31" t="str">
        <f>IFERROR(VLOOKUP(A91,BUFFS!$H$5:$AF$195,8,),"")</f>
        <v/>
      </c>
      <c r="E91" s="24" t="str">
        <f t="shared" si="5"/>
        <v/>
      </c>
      <c r="F91" s="65" t="str">
        <f>IFERROR(VLOOKUP(A91,BUFFS!$H$5:$AF$195,5,),"")</f>
        <v/>
      </c>
      <c r="G91" s="66" t="str">
        <f>IFERROR(VLOOKUP(A91,BUFFS!$H$5:$AF$195,6,),"")</f>
        <v/>
      </c>
      <c r="H91" s="67" t="str">
        <f>IFERROR(VLOOKUP(A91,BUFFS!$H$5:$AF$195,7,),"")</f>
        <v/>
      </c>
      <c r="I91" s="66" t="str">
        <f>IFERROR(VLOOKUP(A91,BUFFS!$H$5:$AF$195,9,),"")</f>
        <v/>
      </c>
      <c r="J91" s="65" t="str">
        <f>IFERROR(VLOOKUP(A91,BUFFS!$H$5:$AF$195,10,),"")</f>
        <v/>
      </c>
      <c r="K91" s="66" t="str">
        <f>IFERROR(VLOOKUP(A91,BUFFS!$H$5:$AF$195,11,),"")</f>
        <v/>
      </c>
      <c r="L91" s="66" t="str">
        <f>IFERROR(VLOOKUP(A91,BUFFS!$H$5:$AF$195,12,),"")</f>
        <v/>
      </c>
      <c r="M91" s="66" t="str">
        <f>IFERROR(VLOOKUP(A91,BUFFS!$H$5:$AF$195,14,),"")</f>
        <v/>
      </c>
      <c r="N91" s="68" t="str">
        <f t="shared" si="6"/>
        <v/>
      </c>
      <c r="O91" s="65" t="str">
        <f>IFERROR(VLOOKUP(A91,BUFFS!$H$5:$AF$195,15,),"")</f>
        <v/>
      </c>
      <c r="P91" s="66" t="str">
        <f>IFERROR(VLOOKUP(A91,BUFFS!$H$5:$AF$195,16,),"")</f>
        <v/>
      </c>
      <c r="Q91" s="66" t="str">
        <f>IFERROR(VLOOKUP(A91,BUFFS!$H$5:$AF$195,17,),"")</f>
        <v/>
      </c>
      <c r="R91" s="66" t="str">
        <f>IFERROR(VLOOKUP(A91,BUFFS!$H$5:$AF$195,19,),"")</f>
        <v/>
      </c>
      <c r="S91" s="69" t="str">
        <f t="shared" si="7"/>
        <v/>
      </c>
      <c r="T91" s="70" t="str">
        <f>IFERROR(VLOOKUP(A91,BUFFS!$H$5:$AF$195,20,),"")</f>
        <v/>
      </c>
    </row>
    <row r="92" spans="1:20" x14ac:dyDescent="0.35">
      <c r="A92" s="17"/>
      <c r="B92" s="18"/>
      <c r="C92" s="13"/>
      <c r="D92" s="31" t="str">
        <f>IFERROR(VLOOKUP(A92,BUFFS!$H$5:$AF$195,8,),"")</f>
        <v/>
      </c>
      <c r="E92" s="24" t="str">
        <f t="shared" si="5"/>
        <v/>
      </c>
      <c r="F92" s="65" t="str">
        <f>IFERROR(VLOOKUP(A92,BUFFS!$H$5:$AF$195,5,),"")</f>
        <v/>
      </c>
      <c r="G92" s="66" t="str">
        <f>IFERROR(VLOOKUP(A92,BUFFS!$H$5:$AF$195,6,),"")</f>
        <v/>
      </c>
      <c r="H92" s="67" t="str">
        <f>IFERROR(VLOOKUP(A92,BUFFS!$H$5:$AF$195,7,),"")</f>
        <v/>
      </c>
      <c r="I92" s="66" t="str">
        <f>IFERROR(VLOOKUP(A92,BUFFS!$H$5:$AF$195,9,),"")</f>
        <v/>
      </c>
      <c r="J92" s="65" t="str">
        <f>IFERROR(VLOOKUP(A92,BUFFS!$H$5:$AF$195,10,),"")</f>
        <v/>
      </c>
      <c r="K92" s="66" t="str">
        <f>IFERROR(VLOOKUP(A92,BUFFS!$H$5:$AF$195,11,),"")</f>
        <v/>
      </c>
      <c r="L92" s="66" t="str">
        <f>IFERROR(VLOOKUP(A92,BUFFS!$H$5:$AF$195,12,),"")</f>
        <v/>
      </c>
      <c r="M92" s="66" t="str">
        <f>IFERROR(VLOOKUP(A92,BUFFS!$H$5:$AF$195,14,),"")</f>
        <v/>
      </c>
      <c r="N92" s="68" t="str">
        <f t="shared" si="6"/>
        <v/>
      </c>
      <c r="O92" s="65" t="str">
        <f>IFERROR(VLOOKUP(A92,BUFFS!$H$5:$AF$195,15,),"")</f>
        <v/>
      </c>
      <c r="P92" s="66" t="str">
        <f>IFERROR(VLOOKUP(A92,BUFFS!$H$5:$AF$195,16,),"")</f>
        <v/>
      </c>
      <c r="Q92" s="66" t="str">
        <f>IFERROR(VLOOKUP(A92,BUFFS!$H$5:$AF$195,17,),"")</f>
        <v/>
      </c>
      <c r="R92" s="66" t="str">
        <f>IFERROR(VLOOKUP(A92,BUFFS!$H$5:$AF$195,19,),"")</f>
        <v/>
      </c>
      <c r="S92" s="69" t="str">
        <f t="shared" si="7"/>
        <v/>
      </c>
      <c r="T92" s="70" t="str">
        <f>IFERROR(VLOOKUP(A92,BUFFS!$H$5:$AF$195,20,),"")</f>
        <v/>
      </c>
    </row>
    <row r="93" spans="1:20" x14ac:dyDescent="0.35">
      <c r="A93" s="17"/>
      <c r="B93" s="18"/>
      <c r="C93" s="13"/>
      <c r="D93" s="31" t="str">
        <f>IFERROR(VLOOKUP(A93,BUFFS!$H$5:$AF$195,8,),"")</f>
        <v/>
      </c>
      <c r="E93" s="24" t="str">
        <f t="shared" si="5"/>
        <v/>
      </c>
      <c r="F93" s="65" t="str">
        <f>IFERROR(VLOOKUP(A93,BUFFS!$H$5:$AF$195,5,),"")</f>
        <v/>
      </c>
      <c r="G93" s="66" t="str">
        <f>IFERROR(VLOOKUP(A93,BUFFS!$H$5:$AF$195,6,),"")</f>
        <v/>
      </c>
      <c r="H93" s="67" t="str">
        <f>IFERROR(VLOOKUP(A93,BUFFS!$H$5:$AF$195,7,),"")</f>
        <v/>
      </c>
      <c r="I93" s="66" t="str">
        <f>IFERROR(VLOOKUP(A93,BUFFS!$H$5:$AF$195,9,),"")</f>
        <v/>
      </c>
      <c r="J93" s="65" t="str">
        <f>IFERROR(VLOOKUP(A93,BUFFS!$H$5:$AF$195,10,),"")</f>
        <v/>
      </c>
      <c r="K93" s="66" t="str">
        <f>IFERROR(VLOOKUP(A93,BUFFS!$H$5:$AF$195,11,),"")</f>
        <v/>
      </c>
      <c r="L93" s="66" t="str">
        <f>IFERROR(VLOOKUP(A93,BUFFS!$H$5:$AF$195,12,),"")</f>
        <v/>
      </c>
      <c r="M93" s="66" t="str">
        <f>IFERROR(VLOOKUP(A93,BUFFS!$H$5:$AF$195,14,),"")</f>
        <v/>
      </c>
      <c r="N93" s="68" t="str">
        <f t="shared" si="6"/>
        <v/>
      </c>
      <c r="O93" s="65" t="str">
        <f>IFERROR(VLOOKUP(A93,BUFFS!$H$5:$AF$195,15,),"")</f>
        <v/>
      </c>
      <c r="P93" s="66" t="str">
        <f>IFERROR(VLOOKUP(A93,BUFFS!$H$5:$AF$195,16,),"")</f>
        <v/>
      </c>
      <c r="Q93" s="66" t="str">
        <f>IFERROR(VLOOKUP(A93,BUFFS!$H$5:$AF$195,17,),"")</f>
        <v/>
      </c>
      <c r="R93" s="66" t="str">
        <f>IFERROR(VLOOKUP(A93,BUFFS!$H$5:$AF$195,19,),"")</f>
        <v/>
      </c>
      <c r="S93" s="69" t="str">
        <f t="shared" si="7"/>
        <v/>
      </c>
      <c r="T93" s="70" t="str">
        <f>IFERROR(VLOOKUP(A93,BUFFS!$H$5:$AF$195,20,),"")</f>
        <v/>
      </c>
    </row>
    <row r="94" spans="1:20" x14ac:dyDescent="0.35">
      <c r="A94" s="17"/>
      <c r="B94" s="18"/>
      <c r="C94" s="13"/>
      <c r="D94" s="31" t="str">
        <f>IFERROR(VLOOKUP(A94,BUFFS!$H$5:$AF$195,8,),"")</f>
        <v/>
      </c>
      <c r="E94" s="24" t="str">
        <f t="shared" si="5"/>
        <v/>
      </c>
      <c r="F94" s="65" t="str">
        <f>IFERROR(VLOOKUP(A94,BUFFS!$H$5:$AF$195,5,),"")</f>
        <v/>
      </c>
      <c r="G94" s="66" t="str">
        <f>IFERROR(VLOOKUP(A94,BUFFS!$H$5:$AF$195,6,),"")</f>
        <v/>
      </c>
      <c r="H94" s="67" t="str">
        <f>IFERROR(VLOOKUP(A94,BUFFS!$H$5:$AF$195,7,),"")</f>
        <v/>
      </c>
      <c r="I94" s="66" t="str">
        <f>IFERROR(VLOOKUP(A94,BUFFS!$H$5:$AF$195,9,),"")</f>
        <v/>
      </c>
      <c r="J94" s="65" t="str">
        <f>IFERROR(VLOOKUP(A94,BUFFS!$H$5:$AF$195,10,),"")</f>
        <v/>
      </c>
      <c r="K94" s="66" t="str">
        <f>IFERROR(VLOOKUP(A94,BUFFS!$H$5:$AF$195,11,),"")</f>
        <v/>
      </c>
      <c r="L94" s="66" t="str">
        <f>IFERROR(VLOOKUP(A94,BUFFS!$H$5:$AF$195,12,),"")</f>
        <v/>
      </c>
      <c r="M94" s="66" t="str">
        <f>IFERROR(VLOOKUP(A94,BUFFS!$H$5:$AF$195,14,),"")</f>
        <v/>
      </c>
      <c r="N94" s="68" t="str">
        <f t="shared" si="6"/>
        <v/>
      </c>
      <c r="O94" s="65" t="str">
        <f>IFERROR(VLOOKUP(A94,BUFFS!$H$5:$AF$195,15,),"")</f>
        <v/>
      </c>
      <c r="P94" s="66" t="str">
        <f>IFERROR(VLOOKUP(A94,BUFFS!$H$5:$AF$195,16,),"")</f>
        <v/>
      </c>
      <c r="Q94" s="66" t="str">
        <f>IFERROR(VLOOKUP(A94,BUFFS!$H$5:$AF$195,17,),"")</f>
        <v/>
      </c>
      <c r="R94" s="66" t="str">
        <f>IFERROR(VLOOKUP(A94,BUFFS!$H$5:$AF$195,19,),"")</f>
        <v/>
      </c>
      <c r="S94" s="69" t="str">
        <f t="shared" si="7"/>
        <v/>
      </c>
      <c r="T94" s="70" t="str">
        <f>IFERROR(VLOOKUP(A94,BUFFS!$H$5:$AF$195,20,),"")</f>
        <v/>
      </c>
    </row>
    <row r="95" spans="1:20" x14ac:dyDescent="0.35">
      <c r="A95" s="17"/>
      <c r="B95" s="18"/>
      <c r="C95" s="13"/>
      <c r="D95" s="31" t="str">
        <f>IFERROR(VLOOKUP(A95,BUFFS!$H$5:$AF$195,8,),"")</f>
        <v/>
      </c>
      <c r="E95" s="24" t="str">
        <f t="shared" si="5"/>
        <v/>
      </c>
      <c r="F95" s="65" t="str">
        <f>IFERROR(VLOOKUP(A95,BUFFS!$H$5:$AF$195,5,),"")</f>
        <v/>
      </c>
      <c r="G95" s="66" t="str">
        <f>IFERROR(VLOOKUP(A95,BUFFS!$H$5:$AF$195,6,),"")</f>
        <v/>
      </c>
      <c r="H95" s="67" t="str">
        <f>IFERROR(VLOOKUP(A95,BUFFS!$H$5:$AF$195,7,),"")</f>
        <v/>
      </c>
      <c r="I95" s="66" t="str">
        <f>IFERROR(VLOOKUP(A95,BUFFS!$H$5:$AF$195,9,),"")</f>
        <v/>
      </c>
      <c r="J95" s="65" t="str">
        <f>IFERROR(VLOOKUP(A95,BUFFS!$H$5:$AF$195,10,),"")</f>
        <v/>
      </c>
      <c r="K95" s="66" t="str">
        <f>IFERROR(VLOOKUP(A95,BUFFS!$H$5:$AF$195,11,),"")</f>
        <v/>
      </c>
      <c r="L95" s="66" t="str">
        <f>IFERROR(VLOOKUP(A95,BUFFS!$H$5:$AF$195,12,),"")</f>
        <v/>
      </c>
      <c r="M95" s="66" t="str">
        <f>IFERROR(VLOOKUP(A95,BUFFS!$H$5:$AF$195,14,),"")</f>
        <v/>
      </c>
      <c r="N95" s="68" t="str">
        <f t="shared" si="6"/>
        <v/>
      </c>
      <c r="O95" s="65" t="str">
        <f>IFERROR(VLOOKUP(A95,BUFFS!$H$5:$AF$195,15,),"")</f>
        <v/>
      </c>
      <c r="P95" s="66" t="str">
        <f>IFERROR(VLOOKUP(A95,BUFFS!$H$5:$AF$195,16,),"")</f>
        <v/>
      </c>
      <c r="Q95" s="66" t="str">
        <f>IFERROR(VLOOKUP(A95,BUFFS!$H$5:$AF$195,17,),"")</f>
        <v/>
      </c>
      <c r="R95" s="66" t="str">
        <f>IFERROR(VLOOKUP(A95,BUFFS!$H$5:$AF$195,19,),"")</f>
        <v/>
      </c>
      <c r="S95" s="69" t="str">
        <f t="shared" si="7"/>
        <v/>
      </c>
      <c r="T95" s="70" t="str">
        <f>IFERROR(VLOOKUP(A95,BUFFS!$H$5:$AF$195,20,),"")</f>
        <v/>
      </c>
    </row>
    <row r="96" spans="1:20" x14ac:dyDescent="0.35">
      <c r="A96" s="17"/>
      <c r="B96" s="18"/>
      <c r="C96" s="13"/>
      <c r="D96" s="31" t="str">
        <f>IFERROR(VLOOKUP(A96,BUFFS!$H$5:$AF$195,8,),"")</f>
        <v/>
      </c>
      <c r="E96" s="24" t="str">
        <f t="shared" si="5"/>
        <v/>
      </c>
      <c r="F96" s="65" t="str">
        <f>IFERROR(VLOOKUP(A96,BUFFS!$H$5:$AF$195,5,),"")</f>
        <v/>
      </c>
      <c r="G96" s="66" t="str">
        <f>IFERROR(VLOOKUP(A96,BUFFS!$H$5:$AF$195,6,),"")</f>
        <v/>
      </c>
      <c r="H96" s="67" t="str">
        <f>IFERROR(VLOOKUP(A96,BUFFS!$H$5:$AF$195,7,),"")</f>
        <v/>
      </c>
      <c r="I96" s="66" t="str">
        <f>IFERROR(VLOOKUP(A96,BUFFS!$H$5:$AF$195,9,),"")</f>
        <v/>
      </c>
      <c r="J96" s="65" t="str">
        <f>IFERROR(VLOOKUP(A96,BUFFS!$H$5:$AF$195,10,),"")</f>
        <v/>
      </c>
      <c r="K96" s="66" t="str">
        <f>IFERROR(VLOOKUP(A96,BUFFS!$H$5:$AF$195,11,),"")</f>
        <v/>
      </c>
      <c r="L96" s="66" t="str">
        <f>IFERROR(VLOOKUP(A96,BUFFS!$H$5:$AF$195,12,),"")</f>
        <v/>
      </c>
      <c r="M96" s="66" t="str">
        <f>IFERROR(VLOOKUP(A96,BUFFS!$H$5:$AF$195,14,),"")</f>
        <v/>
      </c>
      <c r="N96" s="68" t="str">
        <f t="shared" si="6"/>
        <v/>
      </c>
      <c r="O96" s="65" t="str">
        <f>IFERROR(VLOOKUP(A96,BUFFS!$H$5:$AF$195,15,),"")</f>
        <v/>
      </c>
      <c r="P96" s="66" t="str">
        <f>IFERROR(VLOOKUP(A96,BUFFS!$H$5:$AF$195,16,),"")</f>
        <v/>
      </c>
      <c r="Q96" s="66" t="str">
        <f>IFERROR(VLOOKUP(A96,BUFFS!$H$5:$AF$195,17,),"")</f>
        <v/>
      </c>
      <c r="R96" s="66" t="str">
        <f>IFERROR(VLOOKUP(A96,BUFFS!$H$5:$AF$195,19,),"")</f>
        <v/>
      </c>
      <c r="S96" s="69" t="str">
        <f t="shared" si="7"/>
        <v/>
      </c>
      <c r="T96" s="70" t="str">
        <f>IFERROR(VLOOKUP(A96,BUFFS!$H$5:$AF$195,20,),"")</f>
        <v/>
      </c>
    </row>
    <row r="97" spans="1:20" x14ac:dyDescent="0.35">
      <c r="A97" s="17"/>
      <c r="B97" s="18"/>
      <c r="C97" s="13"/>
      <c r="D97" s="31" t="str">
        <f>IFERROR(VLOOKUP(A97,BUFFS!$H$5:$AF$195,8,),"")</f>
        <v/>
      </c>
      <c r="E97" s="24" t="str">
        <f t="shared" si="5"/>
        <v/>
      </c>
      <c r="F97" s="65" t="str">
        <f>IFERROR(VLOOKUP(A97,BUFFS!$H$5:$AF$195,5,),"")</f>
        <v/>
      </c>
      <c r="G97" s="66" t="str">
        <f>IFERROR(VLOOKUP(A97,BUFFS!$H$5:$AF$195,6,),"")</f>
        <v/>
      </c>
      <c r="H97" s="67" t="str">
        <f>IFERROR(VLOOKUP(A97,BUFFS!$H$5:$AF$195,7,),"")</f>
        <v/>
      </c>
      <c r="I97" s="66" t="str">
        <f>IFERROR(VLOOKUP(A97,BUFFS!$H$5:$AF$195,9,),"")</f>
        <v/>
      </c>
      <c r="J97" s="65" t="str">
        <f>IFERROR(VLOOKUP(A97,BUFFS!$H$5:$AF$195,10,),"")</f>
        <v/>
      </c>
      <c r="K97" s="66" t="str">
        <f>IFERROR(VLOOKUP(A97,BUFFS!$H$5:$AF$195,11,),"")</f>
        <v/>
      </c>
      <c r="L97" s="66" t="str">
        <f>IFERROR(VLOOKUP(A97,BUFFS!$H$5:$AF$195,12,),"")</f>
        <v/>
      </c>
      <c r="M97" s="66" t="str">
        <f>IFERROR(VLOOKUP(A97,BUFFS!$H$5:$AF$195,14,),"")</f>
        <v/>
      </c>
      <c r="N97" s="68" t="str">
        <f t="shared" si="6"/>
        <v/>
      </c>
      <c r="O97" s="65" t="str">
        <f>IFERROR(VLOOKUP(A97,BUFFS!$H$5:$AF$195,15,),"")</f>
        <v/>
      </c>
      <c r="P97" s="66" t="str">
        <f>IFERROR(VLOOKUP(A97,BUFFS!$H$5:$AF$195,16,),"")</f>
        <v/>
      </c>
      <c r="Q97" s="66" t="str">
        <f>IFERROR(VLOOKUP(A97,BUFFS!$H$5:$AF$195,17,),"")</f>
        <v/>
      </c>
      <c r="R97" s="66" t="str">
        <f>IFERROR(VLOOKUP(A97,BUFFS!$H$5:$AF$195,19,),"")</f>
        <v/>
      </c>
      <c r="S97" s="69" t="str">
        <f t="shared" si="7"/>
        <v/>
      </c>
      <c r="T97" s="70" t="str">
        <f>IFERROR(VLOOKUP(A97,BUFFS!$H$5:$AF$195,20,),"")</f>
        <v/>
      </c>
    </row>
    <row r="98" spans="1:20" x14ac:dyDescent="0.35">
      <c r="A98" s="17"/>
      <c r="B98" s="18"/>
      <c r="C98" s="13"/>
      <c r="D98" s="31" t="str">
        <f>IFERROR(VLOOKUP(A98,BUFFS!$H$5:$AF$195,8,),"")</f>
        <v/>
      </c>
      <c r="E98" s="24" t="str">
        <f t="shared" si="5"/>
        <v/>
      </c>
      <c r="F98" s="65" t="str">
        <f>IFERROR(VLOOKUP(A98,BUFFS!$H$5:$AF$195,5,),"")</f>
        <v/>
      </c>
      <c r="G98" s="66" t="str">
        <f>IFERROR(VLOOKUP(A98,BUFFS!$H$5:$AF$195,6,),"")</f>
        <v/>
      </c>
      <c r="H98" s="67" t="str">
        <f>IFERROR(VLOOKUP(A98,BUFFS!$H$5:$AF$195,7,),"")</f>
        <v/>
      </c>
      <c r="I98" s="66" t="str">
        <f>IFERROR(VLOOKUP(A98,BUFFS!$H$5:$AF$195,9,),"")</f>
        <v/>
      </c>
      <c r="J98" s="65" t="str">
        <f>IFERROR(VLOOKUP(A98,BUFFS!$H$5:$AF$195,10,),"")</f>
        <v/>
      </c>
      <c r="K98" s="66" t="str">
        <f>IFERROR(VLOOKUP(A98,BUFFS!$H$5:$AF$195,11,),"")</f>
        <v/>
      </c>
      <c r="L98" s="66" t="str">
        <f>IFERROR(VLOOKUP(A98,BUFFS!$H$5:$AF$195,12,),"")</f>
        <v/>
      </c>
      <c r="M98" s="66" t="str">
        <f>IFERROR(VLOOKUP(A98,BUFFS!$H$5:$AF$195,14,),"")</f>
        <v/>
      </c>
      <c r="N98" s="68" t="str">
        <f t="shared" si="6"/>
        <v/>
      </c>
      <c r="O98" s="65" t="str">
        <f>IFERROR(VLOOKUP(A98,BUFFS!$H$5:$AF$195,15,),"")</f>
        <v/>
      </c>
      <c r="P98" s="66" t="str">
        <f>IFERROR(VLOOKUP(A98,BUFFS!$H$5:$AF$195,16,),"")</f>
        <v/>
      </c>
      <c r="Q98" s="66" t="str">
        <f>IFERROR(VLOOKUP(A98,BUFFS!$H$5:$AF$195,17,),"")</f>
        <v/>
      </c>
      <c r="R98" s="66" t="str">
        <f>IFERROR(VLOOKUP(A98,BUFFS!$H$5:$AF$195,19,),"")</f>
        <v/>
      </c>
      <c r="S98" s="69" t="str">
        <f t="shared" si="7"/>
        <v/>
      </c>
      <c r="T98" s="70" t="str">
        <f>IFERROR(VLOOKUP(A98,BUFFS!$H$5:$AF$195,20,),"")</f>
        <v/>
      </c>
    </row>
    <row r="99" spans="1:20" x14ac:dyDescent="0.35">
      <c r="A99" s="17"/>
      <c r="B99" s="18"/>
      <c r="C99" s="13"/>
      <c r="D99" s="31" t="str">
        <f>IFERROR(VLOOKUP(A99,BUFFS!$H$5:$AF$195,8,),"")</f>
        <v/>
      </c>
      <c r="E99" s="24" t="str">
        <f t="shared" ref="E99:E162" si="8">IFERROR(SUM(H99,ROUNDDOWN(MIN(B99,T$35)*I99,0)),"")</f>
        <v/>
      </c>
      <c r="F99" s="65" t="str">
        <f>IFERROR(VLOOKUP(A99,BUFFS!$H$5:$AF$195,5,),"")</f>
        <v/>
      </c>
      <c r="G99" s="66" t="str">
        <f>IFERROR(VLOOKUP(A99,BUFFS!$H$5:$AF$195,6,),"")</f>
        <v/>
      </c>
      <c r="H99" s="67" t="str">
        <f>IFERROR(VLOOKUP(A99,BUFFS!$H$5:$AF$195,7,),"")</f>
        <v/>
      </c>
      <c r="I99" s="66" t="str">
        <f>IFERROR(VLOOKUP(A99,BUFFS!$H$5:$AF$195,9,),"")</f>
        <v/>
      </c>
      <c r="J99" s="65" t="str">
        <f>IFERROR(VLOOKUP(A99,BUFFS!$H$5:$AF$195,10,),"")</f>
        <v/>
      </c>
      <c r="K99" s="66" t="str">
        <f>IFERROR(VLOOKUP(A99,BUFFS!$H$5:$AF$195,11,),"")</f>
        <v/>
      </c>
      <c r="L99" s="66" t="str">
        <f>IFERROR(VLOOKUP(A99,BUFFS!$H$5:$AF$195,12,),"")</f>
        <v/>
      </c>
      <c r="M99" s="66" t="str">
        <f>IFERROR(VLOOKUP(A99,BUFFS!$H$5:$AF$195,14,),"")</f>
        <v/>
      </c>
      <c r="N99" s="68" t="str">
        <f t="shared" ref="N99:N162" si="9">IFERROR(SUM(L99,ROUNDDOWN(MIN(B99,T$35)*M99,0)),"")</f>
        <v/>
      </c>
      <c r="O99" s="65" t="str">
        <f>IFERROR(VLOOKUP(A99,BUFFS!$H$5:$AF$195,15,),"")</f>
        <v/>
      </c>
      <c r="P99" s="66" t="str">
        <f>IFERROR(VLOOKUP(A99,BUFFS!$H$5:$AF$195,16,),"")</f>
        <v/>
      </c>
      <c r="Q99" s="66" t="str">
        <f>IFERROR(VLOOKUP(A99,BUFFS!$H$5:$AF$195,17,),"")</f>
        <v/>
      </c>
      <c r="R99" s="66" t="str">
        <f>IFERROR(VLOOKUP(A99,BUFFS!$H$5:$AF$195,19,),"")</f>
        <v/>
      </c>
      <c r="S99" s="69" t="str">
        <f t="shared" ref="S99:S162" si="10">IFERROR(SUM(Q99,ROUNDDOWN(MIN(B99,T$35)*R99,0)),"")</f>
        <v/>
      </c>
      <c r="T99" s="70" t="str">
        <f>IFERROR(VLOOKUP(A99,BUFFS!$H$5:$AF$195,20,),"")</f>
        <v/>
      </c>
    </row>
    <row r="100" spans="1:20" x14ac:dyDescent="0.35">
      <c r="A100" s="17"/>
      <c r="B100" s="18"/>
      <c r="C100" s="13"/>
      <c r="D100" s="31" t="str">
        <f>IFERROR(VLOOKUP(A100,BUFFS!$H$5:$AF$195,8,),"")</f>
        <v/>
      </c>
      <c r="E100" s="24" t="str">
        <f t="shared" si="8"/>
        <v/>
      </c>
      <c r="F100" s="65" t="str">
        <f>IFERROR(VLOOKUP(A100,BUFFS!$H$5:$AF$195,5,),"")</f>
        <v/>
      </c>
      <c r="G100" s="66" t="str">
        <f>IFERROR(VLOOKUP(A100,BUFFS!$H$5:$AF$195,6,),"")</f>
        <v/>
      </c>
      <c r="H100" s="67" t="str">
        <f>IFERROR(VLOOKUP(A100,BUFFS!$H$5:$AF$195,7,),"")</f>
        <v/>
      </c>
      <c r="I100" s="66" t="str">
        <f>IFERROR(VLOOKUP(A100,BUFFS!$H$5:$AF$195,9,),"")</f>
        <v/>
      </c>
      <c r="J100" s="65" t="str">
        <f>IFERROR(VLOOKUP(A100,BUFFS!$H$5:$AF$195,10,),"")</f>
        <v/>
      </c>
      <c r="K100" s="66" t="str">
        <f>IFERROR(VLOOKUP(A100,BUFFS!$H$5:$AF$195,11,),"")</f>
        <v/>
      </c>
      <c r="L100" s="66" t="str">
        <f>IFERROR(VLOOKUP(A100,BUFFS!$H$5:$AF$195,12,),"")</f>
        <v/>
      </c>
      <c r="M100" s="66" t="str">
        <f>IFERROR(VLOOKUP(A100,BUFFS!$H$5:$AF$195,14,),"")</f>
        <v/>
      </c>
      <c r="N100" s="68" t="str">
        <f t="shared" si="9"/>
        <v/>
      </c>
      <c r="O100" s="65" t="str">
        <f>IFERROR(VLOOKUP(A100,BUFFS!$H$5:$AF$195,15,),"")</f>
        <v/>
      </c>
      <c r="P100" s="66" t="str">
        <f>IFERROR(VLOOKUP(A100,BUFFS!$H$5:$AF$195,16,),"")</f>
        <v/>
      </c>
      <c r="Q100" s="66" t="str">
        <f>IFERROR(VLOOKUP(A100,BUFFS!$H$5:$AF$195,17,),"")</f>
        <v/>
      </c>
      <c r="R100" s="66" t="str">
        <f>IFERROR(VLOOKUP(A100,BUFFS!$H$5:$AF$195,19,),"")</f>
        <v/>
      </c>
      <c r="S100" s="69" t="str">
        <f t="shared" si="10"/>
        <v/>
      </c>
      <c r="T100" s="70" t="str">
        <f>IFERROR(VLOOKUP(A100,BUFFS!$H$5:$AF$195,20,),"")</f>
        <v/>
      </c>
    </row>
    <row r="101" spans="1:20" x14ac:dyDescent="0.35">
      <c r="A101" s="17"/>
      <c r="B101" s="18"/>
      <c r="C101" s="13"/>
      <c r="D101" s="31" t="str">
        <f>IFERROR(VLOOKUP(A101,BUFFS!$H$5:$AF$195,8,),"")</f>
        <v/>
      </c>
      <c r="E101" s="24" t="str">
        <f t="shared" si="8"/>
        <v/>
      </c>
      <c r="F101" s="65" t="str">
        <f>IFERROR(VLOOKUP(A101,BUFFS!$H$5:$AF$195,5,),"")</f>
        <v/>
      </c>
      <c r="G101" s="66" t="str">
        <f>IFERROR(VLOOKUP(A101,BUFFS!$H$5:$AF$195,6,),"")</f>
        <v/>
      </c>
      <c r="H101" s="67" t="str">
        <f>IFERROR(VLOOKUP(A101,BUFFS!$H$5:$AF$195,7,),"")</f>
        <v/>
      </c>
      <c r="I101" s="66" t="str">
        <f>IFERROR(VLOOKUP(A101,BUFFS!$H$5:$AF$195,9,),"")</f>
        <v/>
      </c>
      <c r="J101" s="65" t="str">
        <f>IFERROR(VLOOKUP(A101,BUFFS!$H$5:$AF$195,10,),"")</f>
        <v/>
      </c>
      <c r="K101" s="66" t="str">
        <f>IFERROR(VLOOKUP(A101,BUFFS!$H$5:$AF$195,11,),"")</f>
        <v/>
      </c>
      <c r="L101" s="66" t="str">
        <f>IFERROR(VLOOKUP(A101,BUFFS!$H$5:$AF$195,12,),"")</f>
        <v/>
      </c>
      <c r="M101" s="66" t="str">
        <f>IFERROR(VLOOKUP(A101,BUFFS!$H$5:$AF$195,14,),"")</f>
        <v/>
      </c>
      <c r="N101" s="68" t="str">
        <f t="shared" si="9"/>
        <v/>
      </c>
      <c r="O101" s="65" t="str">
        <f>IFERROR(VLOOKUP(A101,BUFFS!$H$5:$AF$195,15,),"")</f>
        <v/>
      </c>
      <c r="P101" s="66" t="str">
        <f>IFERROR(VLOOKUP(A101,BUFFS!$H$5:$AF$195,16,),"")</f>
        <v/>
      </c>
      <c r="Q101" s="66" t="str">
        <f>IFERROR(VLOOKUP(A101,BUFFS!$H$5:$AF$195,17,),"")</f>
        <v/>
      </c>
      <c r="R101" s="66" t="str">
        <f>IFERROR(VLOOKUP(A101,BUFFS!$H$5:$AF$195,19,),"")</f>
        <v/>
      </c>
      <c r="S101" s="69" t="str">
        <f t="shared" si="10"/>
        <v/>
      </c>
      <c r="T101" s="70" t="str">
        <f>IFERROR(VLOOKUP(A101,BUFFS!$H$5:$AF$195,20,),"")</f>
        <v/>
      </c>
    </row>
    <row r="102" spans="1:20" x14ac:dyDescent="0.35">
      <c r="A102" s="17"/>
      <c r="B102" s="18"/>
      <c r="C102" s="13"/>
      <c r="D102" s="31" t="str">
        <f>IFERROR(VLOOKUP(A102,BUFFS!$H$5:$AF$195,8,),"")</f>
        <v/>
      </c>
      <c r="E102" s="24" t="str">
        <f t="shared" si="8"/>
        <v/>
      </c>
      <c r="F102" s="65" t="str">
        <f>IFERROR(VLOOKUP(A102,BUFFS!$H$5:$AF$195,5,),"")</f>
        <v/>
      </c>
      <c r="G102" s="66" t="str">
        <f>IFERROR(VLOOKUP(A102,BUFFS!$H$5:$AF$195,6,),"")</f>
        <v/>
      </c>
      <c r="H102" s="67" t="str">
        <f>IFERROR(VLOOKUP(A102,BUFFS!$H$5:$AF$195,7,),"")</f>
        <v/>
      </c>
      <c r="I102" s="66" t="str">
        <f>IFERROR(VLOOKUP(A102,BUFFS!$H$5:$AF$195,9,),"")</f>
        <v/>
      </c>
      <c r="J102" s="65" t="str">
        <f>IFERROR(VLOOKUP(A102,BUFFS!$H$5:$AF$195,10,),"")</f>
        <v/>
      </c>
      <c r="K102" s="66" t="str">
        <f>IFERROR(VLOOKUP(A102,BUFFS!$H$5:$AF$195,11,),"")</f>
        <v/>
      </c>
      <c r="L102" s="66" t="str">
        <f>IFERROR(VLOOKUP(A102,BUFFS!$H$5:$AF$195,12,),"")</f>
        <v/>
      </c>
      <c r="M102" s="66" t="str">
        <f>IFERROR(VLOOKUP(A102,BUFFS!$H$5:$AF$195,14,),"")</f>
        <v/>
      </c>
      <c r="N102" s="68" t="str">
        <f t="shared" si="9"/>
        <v/>
      </c>
      <c r="O102" s="65" t="str">
        <f>IFERROR(VLOOKUP(A102,BUFFS!$H$5:$AF$195,15,),"")</f>
        <v/>
      </c>
      <c r="P102" s="66" t="str">
        <f>IFERROR(VLOOKUP(A102,BUFFS!$H$5:$AF$195,16,),"")</f>
        <v/>
      </c>
      <c r="Q102" s="66" t="str">
        <f>IFERROR(VLOOKUP(A102,BUFFS!$H$5:$AF$195,17,),"")</f>
        <v/>
      </c>
      <c r="R102" s="66" t="str">
        <f>IFERROR(VLOOKUP(A102,BUFFS!$H$5:$AF$195,19,),"")</f>
        <v/>
      </c>
      <c r="S102" s="69" t="str">
        <f t="shared" si="10"/>
        <v/>
      </c>
      <c r="T102" s="70" t="str">
        <f>IFERROR(VLOOKUP(A102,BUFFS!$H$5:$AF$195,20,),"")</f>
        <v/>
      </c>
    </row>
    <row r="103" spans="1:20" x14ac:dyDescent="0.35">
      <c r="A103" s="17"/>
      <c r="B103" s="18"/>
      <c r="C103" s="13"/>
      <c r="D103" s="31" t="str">
        <f>IFERROR(VLOOKUP(A103,BUFFS!$H$5:$AF$195,8,),"")</f>
        <v/>
      </c>
      <c r="E103" s="24" t="str">
        <f t="shared" si="8"/>
        <v/>
      </c>
      <c r="F103" s="65" t="str">
        <f>IFERROR(VLOOKUP(A103,BUFFS!$H$5:$AF$195,5,),"")</f>
        <v/>
      </c>
      <c r="G103" s="66" t="str">
        <f>IFERROR(VLOOKUP(A103,BUFFS!$H$5:$AF$195,6,),"")</f>
        <v/>
      </c>
      <c r="H103" s="67" t="str">
        <f>IFERROR(VLOOKUP(A103,BUFFS!$H$5:$AF$195,7,),"")</f>
        <v/>
      </c>
      <c r="I103" s="66" t="str">
        <f>IFERROR(VLOOKUP(A103,BUFFS!$H$5:$AF$195,9,),"")</f>
        <v/>
      </c>
      <c r="J103" s="65" t="str">
        <f>IFERROR(VLOOKUP(A103,BUFFS!$H$5:$AF$195,10,),"")</f>
        <v/>
      </c>
      <c r="K103" s="66" t="str">
        <f>IFERROR(VLOOKUP(A103,BUFFS!$H$5:$AF$195,11,),"")</f>
        <v/>
      </c>
      <c r="L103" s="66" t="str">
        <f>IFERROR(VLOOKUP(A103,BUFFS!$H$5:$AF$195,12,),"")</f>
        <v/>
      </c>
      <c r="M103" s="66" t="str">
        <f>IFERROR(VLOOKUP(A103,BUFFS!$H$5:$AF$195,14,),"")</f>
        <v/>
      </c>
      <c r="N103" s="68" t="str">
        <f t="shared" si="9"/>
        <v/>
      </c>
      <c r="O103" s="65" t="str">
        <f>IFERROR(VLOOKUP(A103,BUFFS!$H$5:$AF$195,15,),"")</f>
        <v/>
      </c>
      <c r="P103" s="66" t="str">
        <f>IFERROR(VLOOKUP(A103,BUFFS!$H$5:$AF$195,16,),"")</f>
        <v/>
      </c>
      <c r="Q103" s="66" t="str">
        <f>IFERROR(VLOOKUP(A103,BUFFS!$H$5:$AF$195,17,),"")</f>
        <v/>
      </c>
      <c r="R103" s="66" t="str">
        <f>IFERROR(VLOOKUP(A103,BUFFS!$H$5:$AF$195,19,),"")</f>
        <v/>
      </c>
      <c r="S103" s="69" t="str">
        <f t="shared" si="10"/>
        <v/>
      </c>
      <c r="T103" s="70" t="str">
        <f>IFERROR(VLOOKUP(A103,BUFFS!$H$5:$AF$195,20,),"")</f>
        <v/>
      </c>
    </row>
    <row r="104" spans="1:20" x14ac:dyDescent="0.35">
      <c r="A104" s="17"/>
      <c r="B104" s="18"/>
      <c r="C104" s="13"/>
      <c r="D104" s="31" t="str">
        <f>IFERROR(VLOOKUP(A104,BUFFS!$H$5:$AF$195,8,),"")</f>
        <v/>
      </c>
      <c r="E104" s="24" t="str">
        <f t="shared" si="8"/>
        <v/>
      </c>
      <c r="F104" s="65" t="str">
        <f>IFERROR(VLOOKUP(A104,BUFFS!$H$5:$AF$195,5,),"")</f>
        <v/>
      </c>
      <c r="G104" s="66" t="str">
        <f>IFERROR(VLOOKUP(A104,BUFFS!$H$5:$AF$195,6,),"")</f>
        <v/>
      </c>
      <c r="H104" s="67" t="str">
        <f>IFERROR(VLOOKUP(A104,BUFFS!$H$5:$AF$195,7,),"")</f>
        <v/>
      </c>
      <c r="I104" s="66" t="str">
        <f>IFERROR(VLOOKUP(A104,BUFFS!$H$5:$AF$195,9,),"")</f>
        <v/>
      </c>
      <c r="J104" s="65" t="str">
        <f>IFERROR(VLOOKUP(A104,BUFFS!$H$5:$AF$195,10,),"")</f>
        <v/>
      </c>
      <c r="K104" s="66" t="str">
        <f>IFERROR(VLOOKUP(A104,BUFFS!$H$5:$AF$195,11,),"")</f>
        <v/>
      </c>
      <c r="L104" s="66" t="str">
        <f>IFERROR(VLOOKUP(A104,BUFFS!$H$5:$AF$195,12,),"")</f>
        <v/>
      </c>
      <c r="M104" s="66" t="str">
        <f>IFERROR(VLOOKUP(A104,BUFFS!$H$5:$AF$195,14,),"")</f>
        <v/>
      </c>
      <c r="N104" s="68" t="str">
        <f t="shared" si="9"/>
        <v/>
      </c>
      <c r="O104" s="65" t="str">
        <f>IFERROR(VLOOKUP(A104,BUFFS!$H$5:$AF$195,15,),"")</f>
        <v/>
      </c>
      <c r="P104" s="66" t="str">
        <f>IFERROR(VLOOKUP(A104,BUFFS!$H$5:$AF$195,16,),"")</f>
        <v/>
      </c>
      <c r="Q104" s="66" t="str">
        <f>IFERROR(VLOOKUP(A104,BUFFS!$H$5:$AF$195,17,),"")</f>
        <v/>
      </c>
      <c r="R104" s="66" t="str">
        <f>IFERROR(VLOOKUP(A104,BUFFS!$H$5:$AF$195,19,),"")</f>
        <v/>
      </c>
      <c r="S104" s="69" t="str">
        <f t="shared" si="10"/>
        <v/>
      </c>
      <c r="T104" s="70" t="str">
        <f>IFERROR(VLOOKUP(A104,BUFFS!$H$5:$AF$195,20,),"")</f>
        <v/>
      </c>
    </row>
    <row r="105" spans="1:20" x14ac:dyDescent="0.35">
      <c r="A105" s="17"/>
      <c r="B105" s="18"/>
      <c r="C105" s="13"/>
      <c r="D105" s="31" t="str">
        <f>IFERROR(VLOOKUP(A105,BUFFS!$H$5:$AF$195,8,),"")</f>
        <v/>
      </c>
      <c r="E105" s="24" t="str">
        <f t="shared" si="8"/>
        <v/>
      </c>
      <c r="F105" s="65" t="str">
        <f>IFERROR(VLOOKUP(A105,BUFFS!$H$5:$AF$195,5,),"")</f>
        <v/>
      </c>
      <c r="G105" s="66" t="str">
        <f>IFERROR(VLOOKUP(A105,BUFFS!$H$5:$AF$195,6,),"")</f>
        <v/>
      </c>
      <c r="H105" s="67" t="str">
        <f>IFERROR(VLOOKUP(A105,BUFFS!$H$5:$AF$195,7,),"")</f>
        <v/>
      </c>
      <c r="I105" s="66" t="str">
        <f>IFERROR(VLOOKUP(A105,BUFFS!$H$5:$AF$195,9,),"")</f>
        <v/>
      </c>
      <c r="J105" s="65" t="str">
        <f>IFERROR(VLOOKUP(A105,BUFFS!$H$5:$AF$195,10,),"")</f>
        <v/>
      </c>
      <c r="K105" s="66" t="str">
        <f>IFERROR(VLOOKUP(A105,BUFFS!$H$5:$AF$195,11,),"")</f>
        <v/>
      </c>
      <c r="L105" s="66" t="str">
        <f>IFERROR(VLOOKUP(A105,BUFFS!$H$5:$AF$195,12,),"")</f>
        <v/>
      </c>
      <c r="M105" s="66" t="str">
        <f>IFERROR(VLOOKUP(A105,BUFFS!$H$5:$AF$195,14,),"")</f>
        <v/>
      </c>
      <c r="N105" s="68" t="str">
        <f t="shared" si="9"/>
        <v/>
      </c>
      <c r="O105" s="65" t="str">
        <f>IFERROR(VLOOKUP(A105,BUFFS!$H$5:$AF$195,15,),"")</f>
        <v/>
      </c>
      <c r="P105" s="66" t="str">
        <f>IFERROR(VLOOKUP(A105,BUFFS!$H$5:$AF$195,16,),"")</f>
        <v/>
      </c>
      <c r="Q105" s="66" t="str">
        <f>IFERROR(VLOOKUP(A105,BUFFS!$H$5:$AF$195,17,),"")</f>
        <v/>
      </c>
      <c r="R105" s="66" t="str">
        <f>IFERROR(VLOOKUP(A105,BUFFS!$H$5:$AF$195,19,),"")</f>
        <v/>
      </c>
      <c r="S105" s="69" t="str">
        <f t="shared" si="10"/>
        <v/>
      </c>
      <c r="T105" s="70" t="str">
        <f>IFERROR(VLOOKUP(A105,BUFFS!$H$5:$AF$195,20,),"")</f>
        <v/>
      </c>
    </row>
    <row r="106" spans="1:20" x14ac:dyDescent="0.35">
      <c r="A106" s="17"/>
      <c r="B106" s="18"/>
      <c r="C106" s="13"/>
      <c r="D106" s="31" t="str">
        <f>IFERROR(VLOOKUP(A106,BUFFS!$H$5:$AF$195,8,),"")</f>
        <v/>
      </c>
      <c r="E106" s="24" t="str">
        <f t="shared" si="8"/>
        <v/>
      </c>
      <c r="F106" s="65" t="str">
        <f>IFERROR(VLOOKUP(A106,BUFFS!$H$5:$AF$195,5,),"")</f>
        <v/>
      </c>
      <c r="G106" s="66" t="str">
        <f>IFERROR(VLOOKUP(A106,BUFFS!$H$5:$AF$195,6,),"")</f>
        <v/>
      </c>
      <c r="H106" s="67" t="str">
        <f>IFERROR(VLOOKUP(A106,BUFFS!$H$5:$AF$195,7,),"")</f>
        <v/>
      </c>
      <c r="I106" s="66" t="str">
        <f>IFERROR(VLOOKUP(A106,BUFFS!$H$5:$AF$195,9,),"")</f>
        <v/>
      </c>
      <c r="J106" s="65" t="str">
        <f>IFERROR(VLOOKUP(A106,BUFFS!$H$5:$AF$195,10,),"")</f>
        <v/>
      </c>
      <c r="K106" s="66" t="str">
        <f>IFERROR(VLOOKUP(A106,BUFFS!$H$5:$AF$195,11,),"")</f>
        <v/>
      </c>
      <c r="L106" s="66" t="str">
        <f>IFERROR(VLOOKUP(A106,BUFFS!$H$5:$AF$195,12,),"")</f>
        <v/>
      </c>
      <c r="M106" s="66" t="str">
        <f>IFERROR(VLOOKUP(A106,BUFFS!$H$5:$AF$195,14,),"")</f>
        <v/>
      </c>
      <c r="N106" s="68" t="str">
        <f t="shared" si="9"/>
        <v/>
      </c>
      <c r="O106" s="65" t="str">
        <f>IFERROR(VLOOKUP(A106,BUFFS!$H$5:$AF$195,15,),"")</f>
        <v/>
      </c>
      <c r="P106" s="66" t="str">
        <f>IFERROR(VLOOKUP(A106,BUFFS!$H$5:$AF$195,16,),"")</f>
        <v/>
      </c>
      <c r="Q106" s="66" t="str">
        <f>IFERROR(VLOOKUP(A106,BUFFS!$H$5:$AF$195,17,),"")</f>
        <v/>
      </c>
      <c r="R106" s="66" t="str">
        <f>IFERROR(VLOOKUP(A106,BUFFS!$H$5:$AF$195,19,),"")</f>
        <v/>
      </c>
      <c r="S106" s="69" t="str">
        <f t="shared" si="10"/>
        <v/>
      </c>
      <c r="T106" s="70" t="str">
        <f>IFERROR(VLOOKUP(A106,BUFFS!$H$5:$AF$195,20,),"")</f>
        <v/>
      </c>
    </row>
    <row r="107" spans="1:20" x14ac:dyDescent="0.35">
      <c r="A107" s="17"/>
      <c r="B107" s="18"/>
      <c r="C107" s="13"/>
      <c r="D107" s="31" t="str">
        <f>IFERROR(VLOOKUP(A107,BUFFS!$H$5:$AF$195,8,),"")</f>
        <v/>
      </c>
      <c r="E107" s="24" t="str">
        <f t="shared" si="8"/>
        <v/>
      </c>
      <c r="F107" s="65" t="str">
        <f>IFERROR(VLOOKUP(A107,BUFFS!$H$5:$AF$195,5,),"")</f>
        <v/>
      </c>
      <c r="G107" s="66" t="str">
        <f>IFERROR(VLOOKUP(A107,BUFFS!$H$5:$AF$195,6,),"")</f>
        <v/>
      </c>
      <c r="H107" s="67" t="str">
        <f>IFERROR(VLOOKUP(A107,BUFFS!$H$5:$AF$195,7,),"")</f>
        <v/>
      </c>
      <c r="I107" s="66" t="str">
        <f>IFERROR(VLOOKUP(A107,BUFFS!$H$5:$AF$195,9,),"")</f>
        <v/>
      </c>
      <c r="J107" s="65" t="str">
        <f>IFERROR(VLOOKUP(A107,BUFFS!$H$5:$AF$195,10,),"")</f>
        <v/>
      </c>
      <c r="K107" s="66" t="str">
        <f>IFERROR(VLOOKUP(A107,BUFFS!$H$5:$AF$195,11,),"")</f>
        <v/>
      </c>
      <c r="L107" s="66" t="str">
        <f>IFERROR(VLOOKUP(A107,BUFFS!$H$5:$AF$195,12,),"")</f>
        <v/>
      </c>
      <c r="M107" s="66" t="str">
        <f>IFERROR(VLOOKUP(A107,BUFFS!$H$5:$AF$195,14,),"")</f>
        <v/>
      </c>
      <c r="N107" s="68" t="str">
        <f t="shared" si="9"/>
        <v/>
      </c>
      <c r="O107" s="65" t="str">
        <f>IFERROR(VLOOKUP(A107,BUFFS!$H$5:$AF$195,15,),"")</f>
        <v/>
      </c>
      <c r="P107" s="66" t="str">
        <f>IFERROR(VLOOKUP(A107,BUFFS!$H$5:$AF$195,16,),"")</f>
        <v/>
      </c>
      <c r="Q107" s="66" t="str">
        <f>IFERROR(VLOOKUP(A107,BUFFS!$H$5:$AF$195,17,),"")</f>
        <v/>
      </c>
      <c r="R107" s="66" t="str">
        <f>IFERROR(VLOOKUP(A107,BUFFS!$H$5:$AF$195,19,),"")</f>
        <v/>
      </c>
      <c r="S107" s="69" t="str">
        <f t="shared" si="10"/>
        <v/>
      </c>
      <c r="T107" s="70" t="str">
        <f>IFERROR(VLOOKUP(A107,BUFFS!$H$5:$AF$195,20,),"")</f>
        <v/>
      </c>
    </row>
    <row r="108" spans="1:20" x14ac:dyDescent="0.35">
      <c r="A108" s="17"/>
      <c r="B108" s="18"/>
      <c r="C108" s="13"/>
      <c r="D108" s="31" t="str">
        <f>IFERROR(VLOOKUP(A108,BUFFS!$H$5:$AF$195,8,),"")</f>
        <v/>
      </c>
      <c r="E108" s="24" t="str">
        <f t="shared" si="8"/>
        <v/>
      </c>
      <c r="F108" s="65" t="str">
        <f>IFERROR(VLOOKUP(A108,BUFFS!$H$5:$AF$195,5,),"")</f>
        <v/>
      </c>
      <c r="G108" s="66" t="str">
        <f>IFERROR(VLOOKUP(A108,BUFFS!$H$5:$AF$195,6,),"")</f>
        <v/>
      </c>
      <c r="H108" s="67" t="str">
        <f>IFERROR(VLOOKUP(A108,BUFFS!$H$5:$AF$195,7,),"")</f>
        <v/>
      </c>
      <c r="I108" s="66" t="str">
        <f>IFERROR(VLOOKUP(A108,BUFFS!$H$5:$AF$195,9,),"")</f>
        <v/>
      </c>
      <c r="J108" s="65" t="str">
        <f>IFERROR(VLOOKUP(A108,BUFFS!$H$5:$AF$195,10,),"")</f>
        <v/>
      </c>
      <c r="K108" s="66" t="str">
        <f>IFERROR(VLOOKUP(A108,BUFFS!$H$5:$AF$195,11,),"")</f>
        <v/>
      </c>
      <c r="L108" s="66" t="str">
        <f>IFERROR(VLOOKUP(A108,BUFFS!$H$5:$AF$195,12,),"")</f>
        <v/>
      </c>
      <c r="M108" s="66" t="str">
        <f>IFERROR(VLOOKUP(A108,BUFFS!$H$5:$AF$195,14,),"")</f>
        <v/>
      </c>
      <c r="N108" s="68" t="str">
        <f t="shared" si="9"/>
        <v/>
      </c>
      <c r="O108" s="65" t="str">
        <f>IFERROR(VLOOKUP(A108,BUFFS!$H$5:$AF$195,15,),"")</f>
        <v/>
      </c>
      <c r="P108" s="66" t="str">
        <f>IFERROR(VLOOKUP(A108,BUFFS!$H$5:$AF$195,16,),"")</f>
        <v/>
      </c>
      <c r="Q108" s="66" t="str">
        <f>IFERROR(VLOOKUP(A108,BUFFS!$H$5:$AF$195,17,),"")</f>
        <v/>
      </c>
      <c r="R108" s="66" t="str">
        <f>IFERROR(VLOOKUP(A108,BUFFS!$H$5:$AF$195,19,),"")</f>
        <v/>
      </c>
      <c r="S108" s="69" t="str">
        <f t="shared" si="10"/>
        <v/>
      </c>
      <c r="T108" s="70" t="str">
        <f>IFERROR(VLOOKUP(A108,BUFFS!$H$5:$AF$195,20,),"")</f>
        <v/>
      </c>
    </row>
    <row r="109" spans="1:20" x14ac:dyDescent="0.35">
      <c r="A109" s="17"/>
      <c r="B109" s="18"/>
      <c r="C109" s="13"/>
      <c r="D109" s="31" t="str">
        <f>IFERROR(VLOOKUP(A109,BUFFS!$H$5:$AF$195,8,),"")</f>
        <v/>
      </c>
      <c r="E109" s="24" t="str">
        <f t="shared" si="8"/>
        <v/>
      </c>
      <c r="F109" s="65" t="str">
        <f>IFERROR(VLOOKUP(A109,BUFFS!$H$5:$AF$195,5,),"")</f>
        <v/>
      </c>
      <c r="G109" s="66" t="str">
        <f>IFERROR(VLOOKUP(A109,BUFFS!$H$5:$AF$195,6,),"")</f>
        <v/>
      </c>
      <c r="H109" s="67" t="str">
        <f>IFERROR(VLOOKUP(A109,BUFFS!$H$5:$AF$195,7,),"")</f>
        <v/>
      </c>
      <c r="I109" s="66" t="str">
        <f>IFERROR(VLOOKUP(A109,BUFFS!$H$5:$AF$195,9,),"")</f>
        <v/>
      </c>
      <c r="J109" s="65" t="str">
        <f>IFERROR(VLOOKUP(A109,BUFFS!$H$5:$AF$195,10,),"")</f>
        <v/>
      </c>
      <c r="K109" s="66" t="str">
        <f>IFERROR(VLOOKUP(A109,BUFFS!$H$5:$AF$195,11,),"")</f>
        <v/>
      </c>
      <c r="L109" s="66" t="str">
        <f>IFERROR(VLOOKUP(A109,BUFFS!$H$5:$AF$195,12,),"")</f>
        <v/>
      </c>
      <c r="M109" s="66" t="str">
        <f>IFERROR(VLOOKUP(A109,BUFFS!$H$5:$AF$195,14,),"")</f>
        <v/>
      </c>
      <c r="N109" s="68" t="str">
        <f t="shared" si="9"/>
        <v/>
      </c>
      <c r="O109" s="65" t="str">
        <f>IFERROR(VLOOKUP(A109,BUFFS!$H$5:$AF$195,15,),"")</f>
        <v/>
      </c>
      <c r="P109" s="66" t="str">
        <f>IFERROR(VLOOKUP(A109,BUFFS!$H$5:$AF$195,16,),"")</f>
        <v/>
      </c>
      <c r="Q109" s="66" t="str">
        <f>IFERROR(VLOOKUP(A109,BUFFS!$H$5:$AF$195,17,),"")</f>
        <v/>
      </c>
      <c r="R109" s="66" t="str">
        <f>IFERROR(VLOOKUP(A109,BUFFS!$H$5:$AF$195,19,),"")</f>
        <v/>
      </c>
      <c r="S109" s="69" t="str">
        <f t="shared" si="10"/>
        <v/>
      </c>
      <c r="T109" s="70" t="str">
        <f>IFERROR(VLOOKUP(A109,BUFFS!$H$5:$AF$195,20,),"")</f>
        <v/>
      </c>
    </row>
    <row r="110" spans="1:20" x14ac:dyDescent="0.35">
      <c r="A110" s="17"/>
      <c r="B110" s="18"/>
      <c r="C110" s="13"/>
      <c r="D110" s="31" t="str">
        <f>IFERROR(VLOOKUP(A110,BUFFS!$H$5:$AF$195,8,),"")</f>
        <v/>
      </c>
      <c r="E110" s="24" t="str">
        <f t="shared" si="8"/>
        <v/>
      </c>
      <c r="F110" s="65" t="str">
        <f>IFERROR(VLOOKUP(A110,BUFFS!$H$5:$AF$195,5,),"")</f>
        <v/>
      </c>
      <c r="G110" s="66" t="str">
        <f>IFERROR(VLOOKUP(A110,BUFFS!$H$5:$AF$195,6,),"")</f>
        <v/>
      </c>
      <c r="H110" s="67" t="str">
        <f>IFERROR(VLOOKUP(A110,BUFFS!$H$5:$AF$195,7,),"")</f>
        <v/>
      </c>
      <c r="I110" s="66" t="str">
        <f>IFERROR(VLOOKUP(A110,BUFFS!$H$5:$AF$195,9,),"")</f>
        <v/>
      </c>
      <c r="J110" s="65" t="str">
        <f>IFERROR(VLOOKUP(A110,BUFFS!$H$5:$AF$195,10,),"")</f>
        <v/>
      </c>
      <c r="K110" s="66" t="str">
        <f>IFERROR(VLOOKUP(A110,BUFFS!$H$5:$AF$195,11,),"")</f>
        <v/>
      </c>
      <c r="L110" s="66" t="str">
        <f>IFERROR(VLOOKUP(A110,BUFFS!$H$5:$AF$195,12,),"")</f>
        <v/>
      </c>
      <c r="M110" s="66" t="str">
        <f>IFERROR(VLOOKUP(A110,BUFFS!$H$5:$AF$195,14,),"")</f>
        <v/>
      </c>
      <c r="N110" s="68" t="str">
        <f t="shared" si="9"/>
        <v/>
      </c>
      <c r="O110" s="65" t="str">
        <f>IFERROR(VLOOKUP(A110,BUFFS!$H$5:$AF$195,15,),"")</f>
        <v/>
      </c>
      <c r="P110" s="66" t="str">
        <f>IFERROR(VLOOKUP(A110,BUFFS!$H$5:$AF$195,16,),"")</f>
        <v/>
      </c>
      <c r="Q110" s="66" t="str">
        <f>IFERROR(VLOOKUP(A110,BUFFS!$H$5:$AF$195,17,),"")</f>
        <v/>
      </c>
      <c r="R110" s="66" t="str">
        <f>IFERROR(VLOOKUP(A110,BUFFS!$H$5:$AF$195,19,),"")</f>
        <v/>
      </c>
      <c r="S110" s="69" t="str">
        <f t="shared" si="10"/>
        <v/>
      </c>
      <c r="T110" s="70" t="str">
        <f>IFERROR(VLOOKUP(A110,BUFFS!$H$5:$AF$195,20,),"")</f>
        <v/>
      </c>
    </row>
    <row r="111" spans="1:20" x14ac:dyDescent="0.35">
      <c r="A111" s="17"/>
      <c r="B111" s="18"/>
      <c r="C111" s="13"/>
      <c r="D111" s="31" t="str">
        <f>IFERROR(VLOOKUP(A111,BUFFS!$H$5:$AF$195,8,),"")</f>
        <v/>
      </c>
      <c r="E111" s="24" t="str">
        <f t="shared" si="8"/>
        <v/>
      </c>
      <c r="F111" s="65" t="str">
        <f>IFERROR(VLOOKUP(A111,BUFFS!$H$5:$AF$195,5,),"")</f>
        <v/>
      </c>
      <c r="G111" s="66" t="str">
        <f>IFERROR(VLOOKUP(A111,BUFFS!$H$5:$AF$195,6,),"")</f>
        <v/>
      </c>
      <c r="H111" s="67" t="str">
        <f>IFERROR(VLOOKUP(A111,BUFFS!$H$5:$AF$195,7,),"")</f>
        <v/>
      </c>
      <c r="I111" s="66" t="str">
        <f>IFERROR(VLOOKUP(A111,BUFFS!$H$5:$AF$195,9,),"")</f>
        <v/>
      </c>
      <c r="J111" s="65" t="str">
        <f>IFERROR(VLOOKUP(A111,BUFFS!$H$5:$AF$195,10,),"")</f>
        <v/>
      </c>
      <c r="K111" s="66" t="str">
        <f>IFERROR(VLOOKUP(A111,BUFFS!$H$5:$AF$195,11,),"")</f>
        <v/>
      </c>
      <c r="L111" s="66" t="str">
        <f>IFERROR(VLOOKUP(A111,BUFFS!$H$5:$AF$195,12,),"")</f>
        <v/>
      </c>
      <c r="M111" s="66" t="str">
        <f>IFERROR(VLOOKUP(A111,BUFFS!$H$5:$AF$195,14,),"")</f>
        <v/>
      </c>
      <c r="N111" s="68" t="str">
        <f t="shared" si="9"/>
        <v/>
      </c>
      <c r="O111" s="65" t="str">
        <f>IFERROR(VLOOKUP(A111,BUFFS!$H$5:$AF$195,15,),"")</f>
        <v/>
      </c>
      <c r="P111" s="66" t="str">
        <f>IFERROR(VLOOKUP(A111,BUFFS!$H$5:$AF$195,16,),"")</f>
        <v/>
      </c>
      <c r="Q111" s="66" t="str">
        <f>IFERROR(VLOOKUP(A111,BUFFS!$H$5:$AF$195,17,),"")</f>
        <v/>
      </c>
      <c r="R111" s="66" t="str">
        <f>IFERROR(VLOOKUP(A111,BUFFS!$H$5:$AF$195,19,),"")</f>
        <v/>
      </c>
      <c r="S111" s="69" t="str">
        <f t="shared" si="10"/>
        <v/>
      </c>
      <c r="T111" s="70" t="str">
        <f>IFERROR(VLOOKUP(A111,BUFFS!$H$5:$AF$195,20,),"")</f>
        <v/>
      </c>
    </row>
    <row r="112" spans="1:20" x14ac:dyDescent="0.35">
      <c r="A112" s="17"/>
      <c r="B112" s="18"/>
      <c r="C112" s="13"/>
      <c r="D112" s="31" t="str">
        <f>IFERROR(VLOOKUP(A112,BUFFS!$H$5:$AF$195,8,),"")</f>
        <v/>
      </c>
      <c r="E112" s="24" t="str">
        <f t="shared" si="8"/>
        <v/>
      </c>
      <c r="F112" s="65" t="str">
        <f>IFERROR(VLOOKUP(A112,BUFFS!$H$5:$AF$195,5,),"")</f>
        <v/>
      </c>
      <c r="G112" s="66" t="str">
        <f>IFERROR(VLOOKUP(A112,BUFFS!$H$5:$AF$195,6,),"")</f>
        <v/>
      </c>
      <c r="H112" s="67" t="str">
        <f>IFERROR(VLOOKUP(A112,BUFFS!$H$5:$AF$195,7,),"")</f>
        <v/>
      </c>
      <c r="I112" s="66" t="str">
        <f>IFERROR(VLOOKUP(A112,BUFFS!$H$5:$AF$195,9,),"")</f>
        <v/>
      </c>
      <c r="J112" s="65" t="str">
        <f>IFERROR(VLOOKUP(A112,BUFFS!$H$5:$AF$195,10,),"")</f>
        <v/>
      </c>
      <c r="K112" s="66" t="str">
        <f>IFERROR(VLOOKUP(A112,BUFFS!$H$5:$AF$195,11,),"")</f>
        <v/>
      </c>
      <c r="L112" s="66" t="str">
        <f>IFERROR(VLOOKUP(A112,BUFFS!$H$5:$AF$195,12,),"")</f>
        <v/>
      </c>
      <c r="M112" s="66" t="str">
        <f>IFERROR(VLOOKUP(A112,BUFFS!$H$5:$AF$195,14,),"")</f>
        <v/>
      </c>
      <c r="N112" s="68" t="str">
        <f t="shared" si="9"/>
        <v/>
      </c>
      <c r="O112" s="65" t="str">
        <f>IFERROR(VLOOKUP(A112,BUFFS!$H$5:$AF$195,15,),"")</f>
        <v/>
      </c>
      <c r="P112" s="66" t="str">
        <f>IFERROR(VLOOKUP(A112,BUFFS!$H$5:$AF$195,16,),"")</f>
        <v/>
      </c>
      <c r="Q112" s="66" t="str">
        <f>IFERROR(VLOOKUP(A112,BUFFS!$H$5:$AF$195,17,),"")</f>
        <v/>
      </c>
      <c r="R112" s="66" t="str">
        <f>IFERROR(VLOOKUP(A112,BUFFS!$H$5:$AF$195,19,),"")</f>
        <v/>
      </c>
      <c r="S112" s="69" t="str">
        <f t="shared" si="10"/>
        <v/>
      </c>
      <c r="T112" s="70" t="str">
        <f>IFERROR(VLOOKUP(A112,BUFFS!$H$5:$AF$195,20,),"")</f>
        <v/>
      </c>
    </row>
    <row r="113" spans="1:20" x14ac:dyDescent="0.35">
      <c r="A113" s="17"/>
      <c r="B113" s="18"/>
      <c r="C113" s="13"/>
      <c r="D113" s="31" t="str">
        <f>IFERROR(VLOOKUP(A113,BUFFS!$H$5:$AF$195,8,),"")</f>
        <v/>
      </c>
      <c r="E113" s="24" t="str">
        <f t="shared" si="8"/>
        <v/>
      </c>
      <c r="F113" s="65" t="str">
        <f>IFERROR(VLOOKUP(A113,BUFFS!$H$5:$AF$195,5,),"")</f>
        <v/>
      </c>
      <c r="G113" s="66" t="str">
        <f>IFERROR(VLOOKUP(A113,BUFFS!$H$5:$AF$195,6,),"")</f>
        <v/>
      </c>
      <c r="H113" s="67" t="str">
        <f>IFERROR(VLOOKUP(A113,BUFFS!$H$5:$AF$195,7,),"")</f>
        <v/>
      </c>
      <c r="I113" s="66" t="str">
        <f>IFERROR(VLOOKUP(A113,BUFFS!$H$5:$AF$195,9,),"")</f>
        <v/>
      </c>
      <c r="J113" s="65" t="str">
        <f>IFERROR(VLOOKUP(A113,BUFFS!$H$5:$AF$195,10,),"")</f>
        <v/>
      </c>
      <c r="K113" s="66" t="str">
        <f>IFERROR(VLOOKUP(A113,BUFFS!$H$5:$AF$195,11,),"")</f>
        <v/>
      </c>
      <c r="L113" s="66" t="str">
        <f>IFERROR(VLOOKUP(A113,BUFFS!$H$5:$AF$195,12,),"")</f>
        <v/>
      </c>
      <c r="M113" s="66" t="str">
        <f>IFERROR(VLOOKUP(A113,BUFFS!$H$5:$AF$195,14,),"")</f>
        <v/>
      </c>
      <c r="N113" s="68" t="str">
        <f t="shared" si="9"/>
        <v/>
      </c>
      <c r="O113" s="65" t="str">
        <f>IFERROR(VLOOKUP(A113,BUFFS!$H$5:$AF$195,15,),"")</f>
        <v/>
      </c>
      <c r="P113" s="66" t="str">
        <f>IFERROR(VLOOKUP(A113,BUFFS!$H$5:$AF$195,16,),"")</f>
        <v/>
      </c>
      <c r="Q113" s="66" t="str">
        <f>IFERROR(VLOOKUP(A113,BUFFS!$H$5:$AF$195,17,),"")</f>
        <v/>
      </c>
      <c r="R113" s="66" t="str">
        <f>IFERROR(VLOOKUP(A113,BUFFS!$H$5:$AF$195,19,),"")</f>
        <v/>
      </c>
      <c r="S113" s="69" t="str">
        <f t="shared" si="10"/>
        <v/>
      </c>
      <c r="T113" s="70" t="str">
        <f>IFERROR(VLOOKUP(A113,BUFFS!$H$5:$AF$195,20,),"")</f>
        <v/>
      </c>
    </row>
    <row r="114" spans="1:20" x14ac:dyDescent="0.35">
      <c r="A114" s="17"/>
      <c r="B114" s="18"/>
      <c r="C114" s="13"/>
      <c r="D114" s="31" t="str">
        <f>IFERROR(VLOOKUP(A114,BUFFS!$H$5:$AF$195,8,),"")</f>
        <v/>
      </c>
      <c r="E114" s="24" t="str">
        <f t="shared" si="8"/>
        <v/>
      </c>
      <c r="F114" s="65" t="str">
        <f>IFERROR(VLOOKUP(A114,BUFFS!$H$5:$AF$195,5,),"")</f>
        <v/>
      </c>
      <c r="G114" s="66" t="str">
        <f>IFERROR(VLOOKUP(A114,BUFFS!$H$5:$AF$195,6,),"")</f>
        <v/>
      </c>
      <c r="H114" s="67" t="str">
        <f>IFERROR(VLOOKUP(A114,BUFFS!$H$5:$AF$195,7,),"")</f>
        <v/>
      </c>
      <c r="I114" s="66" t="str">
        <f>IFERROR(VLOOKUP(A114,BUFFS!$H$5:$AF$195,9,),"")</f>
        <v/>
      </c>
      <c r="J114" s="65" t="str">
        <f>IFERROR(VLOOKUP(A114,BUFFS!$H$5:$AF$195,10,),"")</f>
        <v/>
      </c>
      <c r="K114" s="66" t="str">
        <f>IFERROR(VLOOKUP(A114,BUFFS!$H$5:$AF$195,11,),"")</f>
        <v/>
      </c>
      <c r="L114" s="66" t="str">
        <f>IFERROR(VLOOKUP(A114,BUFFS!$H$5:$AF$195,12,),"")</f>
        <v/>
      </c>
      <c r="M114" s="66" t="str">
        <f>IFERROR(VLOOKUP(A114,BUFFS!$H$5:$AF$195,14,),"")</f>
        <v/>
      </c>
      <c r="N114" s="68" t="str">
        <f t="shared" si="9"/>
        <v/>
      </c>
      <c r="O114" s="65" t="str">
        <f>IFERROR(VLOOKUP(A114,BUFFS!$H$5:$AF$195,15,),"")</f>
        <v/>
      </c>
      <c r="P114" s="66" t="str">
        <f>IFERROR(VLOOKUP(A114,BUFFS!$H$5:$AF$195,16,),"")</f>
        <v/>
      </c>
      <c r="Q114" s="66" t="str">
        <f>IFERROR(VLOOKUP(A114,BUFFS!$H$5:$AF$195,17,),"")</f>
        <v/>
      </c>
      <c r="R114" s="66" t="str">
        <f>IFERROR(VLOOKUP(A114,BUFFS!$H$5:$AF$195,19,),"")</f>
        <v/>
      </c>
      <c r="S114" s="69" t="str">
        <f t="shared" si="10"/>
        <v/>
      </c>
      <c r="T114" s="70" t="str">
        <f>IFERROR(VLOOKUP(A114,BUFFS!$H$5:$AF$195,20,),"")</f>
        <v/>
      </c>
    </row>
    <row r="115" spans="1:20" x14ac:dyDescent="0.35">
      <c r="A115" s="17"/>
      <c r="B115" s="18"/>
      <c r="C115" s="13"/>
      <c r="D115" s="31" t="str">
        <f>IFERROR(VLOOKUP(A115,BUFFS!$H$5:$AF$195,8,),"")</f>
        <v/>
      </c>
      <c r="E115" s="24" t="str">
        <f t="shared" si="8"/>
        <v/>
      </c>
      <c r="F115" s="65" t="str">
        <f>IFERROR(VLOOKUP(A115,BUFFS!$H$5:$AF$195,5,),"")</f>
        <v/>
      </c>
      <c r="G115" s="66" t="str">
        <f>IFERROR(VLOOKUP(A115,BUFFS!$H$5:$AF$195,6,),"")</f>
        <v/>
      </c>
      <c r="H115" s="67" t="str">
        <f>IFERROR(VLOOKUP(A115,BUFFS!$H$5:$AF$195,7,),"")</f>
        <v/>
      </c>
      <c r="I115" s="66" t="str">
        <f>IFERROR(VLOOKUP(A115,BUFFS!$H$5:$AF$195,9,),"")</f>
        <v/>
      </c>
      <c r="J115" s="65" t="str">
        <f>IFERROR(VLOOKUP(A115,BUFFS!$H$5:$AF$195,10,),"")</f>
        <v/>
      </c>
      <c r="K115" s="66" t="str">
        <f>IFERROR(VLOOKUP(A115,BUFFS!$H$5:$AF$195,11,),"")</f>
        <v/>
      </c>
      <c r="L115" s="66" t="str">
        <f>IFERROR(VLOOKUP(A115,BUFFS!$H$5:$AF$195,12,),"")</f>
        <v/>
      </c>
      <c r="M115" s="66" t="str">
        <f>IFERROR(VLOOKUP(A115,BUFFS!$H$5:$AF$195,14,),"")</f>
        <v/>
      </c>
      <c r="N115" s="68" t="str">
        <f t="shared" si="9"/>
        <v/>
      </c>
      <c r="O115" s="65" t="str">
        <f>IFERROR(VLOOKUP(A115,BUFFS!$H$5:$AF$195,15,),"")</f>
        <v/>
      </c>
      <c r="P115" s="66" t="str">
        <f>IFERROR(VLOOKUP(A115,BUFFS!$H$5:$AF$195,16,),"")</f>
        <v/>
      </c>
      <c r="Q115" s="66" t="str">
        <f>IFERROR(VLOOKUP(A115,BUFFS!$H$5:$AF$195,17,),"")</f>
        <v/>
      </c>
      <c r="R115" s="66" t="str">
        <f>IFERROR(VLOOKUP(A115,BUFFS!$H$5:$AF$195,19,),"")</f>
        <v/>
      </c>
      <c r="S115" s="69" t="str">
        <f t="shared" si="10"/>
        <v/>
      </c>
      <c r="T115" s="70" t="str">
        <f>IFERROR(VLOOKUP(A115,BUFFS!$H$5:$AF$195,20,),"")</f>
        <v/>
      </c>
    </row>
    <row r="116" spans="1:20" x14ac:dyDescent="0.35">
      <c r="A116" s="17"/>
      <c r="B116" s="18"/>
      <c r="C116" s="13"/>
      <c r="D116" s="31" t="str">
        <f>IFERROR(VLOOKUP(A116,BUFFS!$H$5:$AF$195,8,),"")</f>
        <v/>
      </c>
      <c r="E116" s="24" t="str">
        <f t="shared" si="8"/>
        <v/>
      </c>
      <c r="F116" s="65" t="str">
        <f>IFERROR(VLOOKUP(A116,BUFFS!$H$5:$AF$195,5,),"")</f>
        <v/>
      </c>
      <c r="G116" s="66" t="str">
        <f>IFERROR(VLOOKUP(A116,BUFFS!$H$5:$AF$195,6,),"")</f>
        <v/>
      </c>
      <c r="H116" s="67" t="str">
        <f>IFERROR(VLOOKUP(A116,BUFFS!$H$5:$AF$195,7,),"")</f>
        <v/>
      </c>
      <c r="I116" s="66" t="str">
        <f>IFERROR(VLOOKUP(A116,BUFFS!$H$5:$AF$195,9,),"")</f>
        <v/>
      </c>
      <c r="J116" s="65" t="str">
        <f>IFERROR(VLOOKUP(A116,BUFFS!$H$5:$AF$195,10,),"")</f>
        <v/>
      </c>
      <c r="K116" s="66" t="str">
        <f>IFERROR(VLOOKUP(A116,BUFFS!$H$5:$AF$195,11,),"")</f>
        <v/>
      </c>
      <c r="L116" s="66" t="str">
        <f>IFERROR(VLOOKUP(A116,BUFFS!$H$5:$AF$195,12,),"")</f>
        <v/>
      </c>
      <c r="M116" s="66" t="str">
        <f>IFERROR(VLOOKUP(A116,BUFFS!$H$5:$AF$195,14,),"")</f>
        <v/>
      </c>
      <c r="N116" s="68" t="str">
        <f t="shared" si="9"/>
        <v/>
      </c>
      <c r="O116" s="65" t="str">
        <f>IFERROR(VLOOKUP(A116,BUFFS!$H$5:$AF$195,15,),"")</f>
        <v/>
      </c>
      <c r="P116" s="66" t="str">
        <f>IFERROR(VLOOKUP(A116,BUFFS!$H$5:$AF$195,16,),"")</f>
        <v/>
      </c>
      <c r="Q116" s="66" t="str">
        <f>IFERROR(VLOOKUP(A116,BUFFS!$H$5:$AF$195,17,),"")</f>
        <v/>
      </c>
      <c r="R116" s="66" t="str">
        <f>IFERROR(VLOOKUP(A116,BUFFS!$H$5:$AF$195,19,),"")</f>
        <v/>
      </c>
      <c r="S116" s="69" t="str">
        <f t="shared" si="10"/>
        <v/>
      </c>
      <c r="T116" s="70" t="str">
        <f>IFERROR(VLOOKUP(A116,BUFFS!$H$5:$AF$195,20,),"")</f>
        <v/>
      </c>
    </row>
    <row r="117" spans="1:20" x14ac:dyDescent="0.35">
      <c r="A117" s="17"/>
      <c r="B117" s="18"/>
      <c r="C117" s="13"/>
      <c r="D117" s="31" t="str">
        <f>IFERROR(VLOOKUP(A117,BUFFS!$H$5:$AF$195,8,),"")</f>
        <v/>
      </c>
      <c r="E117" s="24" t="str">
        <f t="shared" si="8"/>
        <v/>
      </c>
      <c r="F117" s="65" t="str">
        <f>IFERROR(VLOOKUP(A117,BUFFS!$H$5:$AF$195,5,),"")</f>
        <v/>
      </c>
      <c r="G117" s="66" t="str">
        <f>IFERROR(VLOOKUP(A117,BUFFS!$H$5:$AF$195,6,),"")</f>
        <v/>
      </c>
      <c r="H117" s="67" t="str">
        <f>IFERROR(VLOOKUP(A117,BUFFS!$H$5:$AF$195,7,),"")</f>
        <v/>
      </c>
      <c r="I117" s="66" t="str">
        <f>IFERROR(VLOOKUP(A117,BUFFS!$H$5:$AF$195,9,),"")</f>
        <v/>
      </c>
      <c r="J117" s="65" t="str">
        <f>IFERROR(VLOOKUP(A117,BUFFS!$H$5:$AF$195,10,),"")</f>
        <v/>
      </c>
      <c r="K117" s="66" t="str">
        <f>IFERROR(VLOOKUP(A117,BUFFS!$H$5:$AF$195,11,),"")</f>
        <v/>
      </c>
      <c r="L117" s="66" t="str">
        <f>IFERROR(VLOOKUP(A117,BUFFS!$H$5:$AF$195,12,),"")</f>
        <v/>
      </c>
      <c r="M117" s="66" t="str">
        <f>IFERROR(VLOOKUP(A117,BUFFS!$H$5:$AF$195,14,),"")</f>
        <v/>
      </c>
      <c r="N117" s="68" t="str">
        <f t="shared" si="9"/>
        <v/>
      </c>
      <c r="O117" s="65" t="str">
        <f>IFERROR(VLOOKUP(A117,BUFFS!$H$5:$AF$195,15,),"")</f>
        <v/>
      </c>
      <c r="P117" s="66" t="str">
        <f>IFERROR(VLOOKUP(A117,BUFFS!$H$5:$AF$195,16,),"")</f>
        <v/>
      </c>
      <c r="Q117" s="66" t="str">
        <f>IFERROR(VLOOKUP(A117,BUFFS!$H$5:$AF$195,17,),"")</f>
        <v/>
      </c>
      <c r="R117" s="66" t="str">
        <f>IFERROR(VLOOKUP(A117,BUFFS!$H$5:$AF$195,19,),"")</f>
        <v/>
      </c>
      <c r="S117" s="69" t="str">
        <f t="shared" si="10"/>
        <v/>
      </c>
      <c r="T117" s="70" t="str">
        <f>IFERROR(VLOOKUP(A117,BUFFS!$H$5:$AF$195,20,),"")</f>
        <v/>
      </c>
    </row>
    <row r="118" spans="1:20" x14ac:dyDescent="0.35">
      <c r="A118" s="17"/>
      <c r="B118" s="18"/>
      <c r="C118" s="13"/>
      <c r="D118" s="31" t="str">
        <f>IFERROR(VLOOKUP(A118,BUFFS!$H$5:$AF$195,8,),"")</f>
        <v/>
      </c>
      <c r="E118" s="24" t="str">
        <f t="shared" si="8"/>
        <v/>
      </c>
      <c r="F118" s="65" t="str">
        <f>IFERROR(VLOOKUP(A118,BUFFS!$H$5:$AF$195,5,),"")</f>
        <v/>
      </c>
      <c r="G118" s="66" t="str">
        <f>IFERROR(VLOOKUP(A118,BUFFS!$H$5:$AF$195,6,),"")</f>
        <v/>
      </c>
      <c r="H118" s="67" t="str">
        <f>IFERROR(VLOOKUP(A118,BUFFS!$H$5:$AF$195,7,),"")</f>
        <v/>
      </c>
      <c r="I118" s="66" t="str">
        <f>IFERROR(VLOOKUP(A118,BUFFS!$H$5:$AF$195,9,),"")</f>
        <v/>
      </c>
      <c r="J118" s="65" t="str">
        <f>IFERROR(VLOOKUP(A118,BUFFS!$H$5:$AF$195,10,),"")</f>
        <v/>
      </c>
      <c r="K118" s="66" t="str">
        <f>IFERROR(VLOOKUP(A118,BUFFS!$H$5:$AF$195,11,),"")</f>
        <v/>
      </c>
      <c r="L118" s="66" t="str">
        <f>IFERROR(VLOOKUP(A118,BUFFS!$H$5:$AF$195,12,),"")</f>
        <v/>
      </c>
      <c r="M118" s="66" t="str">
        <f>IFERROR(VLOOKUP(A118,BUFFS!$H$5:$AF$195,14,),"")</f>
        <v/>
      </c>
      <c r="N118" s="68" t="str">
        <f t="shared" si="9"/>
        <v/>
      </c>
      <c r="O118" s="65" t="str">
        <f>IFERROR(VLOOKUP(A118,BUFFS!$H$5:$AF$195,15,),"")</f>
        <v/>
      </c>
      <c r="P118" s="66" t="str">
        <f>IFERROR(VLOOKUP(A118,BUFFS!$H$5:$AF$195,16,),"")</f>
        <v/>
      </c>
      <c r="Q118" s="66" t="str">
        <f>IFERROR(VLOOKUP(A118,BUFFS!$H$5:$AF$195,17,),"")</f>
        <v/>
      </c>
      <c r="R118" s="66" t="str">
        <f>IFERROR(VLOOKUP(A118,BUFFS!$H$5:$AF$195,19,),"")</f>
        <v/>
      </c>
      <c r="S118" s="69" t="str">
        <f t="shared" si="10"/>
        <v/>
      </c>
      <c r="T118" s="70" t="str">
        <f>IFERROR(VLOOKUP(A118,BUFFS!$H$5:$AF$195,20,),"")</f>
        <v/>
      </c>
    </row>
    <row r="119" spans="1:20" x14ac:dyDescent="0.35">
      <c r="A119" s="17"/>
      <c r="B119" s="18"/>
      <c r="C119" s="13"/>
      <c r="D119" s="31" t="str">
        <f>IFERROR(VLOOKUP(A119,BUFFS!$H$5:$AF$195,8,),"")</f>
        <v/>
      </c>
      <c r="E119" s="24" t="str">
        <f t="shared" si="8"/>
        <v/>
      </c>
      <c r="F119" s="65" t="str">
        <f>IFERROR(VLOOKUP(A119,BUFFS!$H$5:$AF$195,5,),"")</f>
        <v/>
      </c>
      <c r="G119" s="66" t="str">
        <f>IFERROR(VLOOKUP(A119,BUFFS!$H$5:$AF$195,6,),"")</f>
        <v/>
      </c>
      <c r="H119" s="67" t="str">
        <f>IFERROR(VLOOKUP(A119,BUFFS!$H$5:$AF$195,7,),"")</f>
        <v/>
      </c>
      <c r="I119" s="66" t="str">
        <f>IFERROR(VLOOKUP(A119,BUFFS!$H$5:$AF$195,9,),"")</f>
        <v/>
      </c>
      <c r="J119" s="65" t="str">
        <f>IFERROR(VLOOKUP(A119,BUFFS!$H$5:$AF$195,10,),"")</f>
        <v/>
      </c>
      <c r="K119" s="66" t="str">
        <f>IFERROR(VLOOKUP(A119,BUFFS!$H$5:$AF$195,11,),"")</f>
        <v/>
      </c>
      <c r="L119" s="66" t="str">
        <f>IFERROR(VLOOKUP(A119,BUFFS!$H$5:$AF$195,12,),"")</f>
        <v/>
      </c>
      <c r="M119" s="66" t="str">
        <f>IFERROR(VLOOKUP(A119,BUFFS!$H$5:$AF$195,14,),"")</f>
        <v/>
      </c>
      <c r="N119" s="68" t="str">
        <f t="shared" si="9"/>
        <v/>
      </c>
      <c r="O119" s="65" t="str">
        <f>IFERROR(VLOOKUP(A119,BUFFS!$H$5:$AF$195,15,),"")</f>
        <v/>
      </c>
      <c r="P119" s="66" t="str">
        <f>IFERROR(VLOOKUP(A119,BUFFS!$H$5:$AF$195,16,),"")</f>
        <v/>
      </c>
      <c r="Q119" s="66" t="str">
        <f>IFERROR(VLOOKUP(A119,BUFFS!$H$5:$AF$195,17,),"")</f>
        <v/>
      </c>
      <c r="R119" s="66" t="str">
        <f>IFERROR(VLOOKUP(A119,BUFFS!$H$5:$AF$195,19,),"")</f>
        <v/>
      </c>
      <c r="S119" s="69" t="str">
        <f t="shared" si="10"/>
        <v/>
      </c>
      <c r="T119" s="70" t="str">
        <f>IFERROR(VLOOKUP(A119,BUFFS!$H$5:$AF$195,20,),"")</f>
        <v/>
      </c>
    </row>
    <row r="120" spans="1:20" x14ac:dyDescent="0.35">
      <c r="A120" s="17"/>
      <c r="B120" s="18"/>
      <c r="C120" s="13"/>
      <c r="D120" s="31" t="str">
        <f>IFERROR(VLOOKUP(A120,BUFFS!$H$5:$AF$195,8,),"")</f>
        <v/>
      </c>
      <c r="E120" s="24" t="str">
        <f t="shared" si="8"/>
        <v/>
      </c>
      <c r="F120" s="65" t="str">
        <f>IFERROR(VLOOKUP(A120,BUFFS!$H$5:$AF$195,5,),"")</f>
        <v/>
      </c>
      <c r="G120" s="66" t="str">
        <f>IFERROR(VLOOKUP(A120,BUFFS!$H$5:$AF$195,6,),"")</f>
        <v/>
      </c>
      <c r="H120" s="67" t="str">
        <f>IFERROR(VLOOKUP(A120,BUFFS!$H$5:$AF$195,7,),"")</f>
        <v/>
      </c>
      <c r="I120" s="66" t="str">
        <f>IFERROR(VLOOKUP(A120,BUFFS!$H$5:$AF$195,9,),"")</f>
        <v/>
      </c>
      <c r="J120" s="65" t="str">
        <f>IFERROR(VLOOKUP(A120,BUFFS!$H$5:$AF$195,10,),"")</f>
        <v/>
      </c>
      <c r="K120" s="66" t="str">
        <f>IFERROR(VLOOKUP(A120,BUFFS!$H$5:$AF$195,11,),"")</f>
        <v/>
      </c>
      <c r="L120" s="66" t="str">
        <f>IFERROR(VLOOKUP(A120,BUFFS!$H$5:$AF$195,12,),"")</f>
        <v/>
      </c>
      <c r="M120" s="66" t="str">
        <f>IFERROR(VLOOKUP(A120,BUFFS!$H$5:$AF$195,14,),"")</f>
        <v/>
      </c>
      <c r="N120" s="68" t="str">
        <f t="shared" si="9"/>
        <v/>
      </c>
      <c r="O120" s="65" t="str">
        <f>IFERROR(VLOOKUP(A120,BUFFS!$H$5:$AF$195,15,),"")</f>
        <v/>
      </c>
      <c r="P120" s="66" t="str">
        <f>IFERROR(VLOOKUP(A120,BUFFS!$H$5:$AF$195,16,),"")</f>
        <v/>
      </c>
      <c r="Q120" s="66" t="str">
        <f>IFERROR(VLOOKUP(A120,BUFFS!$H$5:$AF$195,17,),"")</f>
        <v/>
      </c>
      <c r="R120" s="66" t="str">
        <f>IFERROR(VLOOKUP(A120,BUFFS!$H$5:$AF$195,19,),"")</f>
        <v/>
      </c>
      <c r="S120" s="69" t="str">
        <f t="shared" si="10"/>
        <v/>
      </c>
      <c r="T120" s="70" t="str">
        <f>IFERROR(VLOOKUP(A120,BUFFS!$H$5:$AF$195,20,),"")</f>
        <v/>
      </c>
    </row>
    <row r="121" spans="1:20" x14ac:dyDescent="0.35">
      <c r="A121" s="17"/>
      <c r="B121" s="18"/>
      <c r="C121" s="13"/>
      <c r="D121" s="31" t="str">
        <f>IFERROR(VLOOKUP(A121,BUFFS!$H$5:$AF$195,8,),"")</f>
        <v/>
      </c>
      <c r="E121" s="24" t="str">
        <f t="shared" si="8"/>
        <v/>
      </c>
      <c r="F121" s="65" t="str">
        <f>IFERROR(VLOOKUP(A121,BUFFS!$H$5:$AF$195,5,),"")</f>
        <v/>
      </c>
      <c r="G121" s="66" t="str">
        <f>IFERROR(VLOOKUP(A121,BUFFS!$H$5:$AF$195,6,),"")</f>
        <v/>
      </c>
      <c r="H121" s="67" t="str">
        <f>IFERROR(VLOOKUP(A121,BUFFS!$H$5:$AF$195,7,),"")</f>
        <v/>
      </c>
      <c r="I121" s="66" t="str">
        <f>IFERROR(VLOOKUP(A121,BUFFS!$H$5:$AF$195,9,),"")</f>
        <v/>
      </c>
      <c r="J121" s="65" t="str">
        <f>IFERROR(VLOOKUP(A121,BUFFS!$H$5:$AF$195,10,),"")</f>
        <v/>
      </c>
      <c r="K121" s="66" t="str">
        <f>IFERROR(VLOOKUP(A121,BUFFS!$H$5:$AF$195,11,),"")</f>
        <v/>
      </c>
      <c r="L121" s="66" t="str">
        <f>IFERROR(VLOOKUP(A121,BUFFS!$H$5:$AF$195,12,),"")</f>
        <v/>
      </c>
      <c r="M121" s="66" t="str">
        <f>IFERROR(VLOOKUP(A121,BUFFS!$H$5:$AF$195,14,),"")</f>
        <v/>
      </c>
      <c r="N121" s="68" t="str">
        <f t="shared" si="9"/>
        <v/>
      </c>
      <c r="O121" s="65" t="str">
        <f>IFERROR(VLOOKUP(A121,BUFFS!$H$5:$AF$195,15,),"")</f>
        <v/>
      </c>
      <c r="P121" s="66" t="str">
        <f>IFERROR(VLOOKUP(A121,BUFFS!$H$5:$AF$195,16,),"")</f>
        <v/>
      </c>
      <c r="Q121" s="66" t="str">
        <f>IFERROR(VLOOKUP(A121,BUFFS!$H$5:$AF$195,17,),"")</f>
        <v/>
      </c>
      <c r="R121" s="66" t="str">
        <f>IFERROR(VLOOKUP(A121,BUFFS!$H$5:$AF$195,19,),"")</f>
        <v/>
      </c>
      <c r="S121" s="69" t="str">
        <f t="shared" si="10"/>
        <v/>
      </c>
      <c r="T121" s="70" t="str">
        <f>IFERROR(VLOOKUP(A121,BUFFS!$H$5:$AF$195,20,),"")</f>
        <v/>
      </c>
    </row>
    <row r="122" spans="1:20" x14ac:dyDescent="0.35">
      <c r="A122" s="17"/>
      <c r="B122" s="18"/>
      <c r="C122" s="13"/>
      <c r="D122" s="31" t="str">
        <f>IFERROR(VLOOKUP(A122,BUFFS!$H$5:$AF$195,8,),"")</f>
        <v/>
      </c>
      <c r="E122" s="24" t="str">
        <f t="shared" si="8"/>
        <v/>
      </c>
      <c r="F122" s="65" t="str">
        <f>IFERROR(VLOOKUP(A122,BUFFS!$H$5:$AF$195,5,),"")</f>
        <v/>
      </c>
      <c r="G122" s="66" t="str">
        <f>IFERROR(VLOOKUP(A122,BUFFS!$H$5:$AF$195,6,),"")</f>
        <v/>
      </c>
      <c r="H122" s="67" t="str">
        <f>IFERROR(VLOOKUP(A122,BUFFS!$H$5:$AF$195,7,),"")</f>
        <v/>
      </c>
      <c r="I122" s="66" t="str">
        <f>IFERROR(VLOOKUP(A122,BUFFS!$H$5:$AF$195,9,),"")</f>
        <v/>
      </c>
      <c r="J122" s="65" t="str">
        <f>IFERROR(VLOOKUP(A122,BUFFS!$H$5:$AF$195,10,),"")</f>
        <v/>
      </c>
      <c r="K122" s="66" t="str">
        <f>IFERROR(VLOOKUP(A122,BUFFS!$H$5:$AF$195,11,),"")</f>
        <v/>
      </c>
      <c r="L122" s="66" t="str">
        <f>IFERROR(VLOOKUP(A122,BUFFS!$H$5:$AF$195,12,),"")</f>
        <v/>
      </c>
      <c r="M122" s="66" t="str">
        <f>IFERROR(VLOOKUP(A122,BUFFS!$H$5:$AF$195,14,),"")</f>
        <v/>
      </c>
      <c r="N122" s="68" t="str">
        <f t="shared" si="9"/>
        <v/>
      </c>
      <c r="O122" s="65" t="str">
        <f>IFERROR(VLOOKUP(A122,BUFFS!$H$5:$AF$195,15,),"")</f>
        <v/>
      </c>
      <c r="P122" s="66" t="str">
        <f>IFERROR(VLOOKUP(A122,BUFFS!$H$5:$AF$195,16,),"")</f>
        <v/>
      </c>
      <c r="Q122" s="66" t="str">
        <f>IFERROR(VLOOKUP(A122,BUFFS!$H$5:$AF$195,17,),"")</f>
        <v/>
      </c>
      <c r="R122" s="66" t="str">
        <f>IFERROR(VLOOKUP(A122,BUFFS!$H$5:$AF$195,19,),"")</f>
        <v/>
      </c>
      <c r="S122" s="69" t="str">
        <f t="shared" si="10"/>
        <v/>
      </c>
      <c r="T122" s="70" t="str">
        <f>IFERROR(VLOOKUP(A122,BUFFS!$H$5:$AF$195,20,),"")</f>
        <v/>
      </c>
    </row>
    <row r="123" spans="1:20" x14ac:dyDescent="0.35">
      <c r="A123" s="17"/>
      <c r="B123" s="18"/>
      <c r="C123" s="13"/>
      <c r="D123" s="31" t="str">
        <f>IFERROR(VLOOKUP(A123,BUFFS!$H$5:$AF$195,8,),"")</f>
        <v/>
      </c>
      <c r="E123" s="24" t="str">
        <f t="shared" si="8"/>
        <v/>
      </c>
      <c r="F123" s="65" t="str">
        <f>IFERROR(VLOOKUP(A123,BUFFS!$H$5:$AF$195,5,),"")</f>
        <v/>
      </c>
      <c r="G123" s="66" t="str">
        <f>IFERROR(VLOOKUP(A123,BUFFS!$H$5:$AF$195,6,),"")</f>
        <v/>
      </c>
      <c r="H123" s="67" t="str">
        <f>IFERROR(VLOOKUP(A123,BUFFS!$H$5:$AF$195,7,),"")</f>
        <v/>
      </c>
      <c r="I123" s="66" t="str">
        <f>IFERROR(VLOOKUP(A123,BUFFS!$H$5:$AF$195,9,),"")</f>
        <v/>
      </c>
      <c r="J123" s="65" t="str">
        <f>IFERROR(VLOOKUP(A123,BUFFS!$H$5:$AF$195,10,),"")</f>
        <v/>
      </c>
      <c r="K123" s="66" t="str">
        <f>IFERROR(VLOOKUP(A123,BUFFS!$H$5:$AF$195,11,),"")</f>
        <v/>
      </c>
      <c r="L123" s="66" t="str">
        <f>IFERROR(VLOOKUP(A123,BUFFS!$H$5:$AF$195,12,),"")</f>
        <v/>
      </c>
      <c r="M123" s="66" t="str">
        <f>IFERROR(VLOOKUP(A123,BUFFS!$H$5:$AF$195,14,),"")</f>
        <v/>
      </c>
      <c r="N123" s="68" t="str">
        <f t="shared" si="9"/>
        <v/>
      </c>
      <c r="O123" s="65" t="str">
        <f>IFERROR(VLOOKUP(A123,BUFFS!$H$5:$AF$195,15,),"")</f>
        <v/>
      </c>
      <c r="P123" s="66" t="str">
        <f>IFERROR(VLOOKUP(A123,BUFFS!$H$5:$AF$195,16,),"")</f>
        <v/>
      </c>
      <c r="Q123" s="66" t="str">
        <f>IFERROR(VLOOKUP(A123,BUFFS!$H$5:$AF$195,17,),"")</f>
        <v/>
      </c>
      <c r="R123" s="66" t="str">
        <f>IFERROR(VLOOKUP(A123,BUFFS!$H$5:$AF$195,19,),"")</f>
        <v/>
      </c>
      <c r="S123" s="69" t="str">
        <f t="shared" si="10"/>
        <v/>
      </c>
      <c r="T123" s="70" t="str">
        <f>IFERROR(VLOOKUP(A123,BUFFS!$H$5:$AF$195,20,),"")</f>
        <v/>
      </c>
    </row>
    <row r="124" spans="1:20" x14ac:dyDescent="0.35">
      <c r="A124" s="17"/>
      <c r="B124" s="18"/>
      <c r="C124" s="13"/>
      <c r="D124" s="31" t="str">
        <f>IFERROR(VLOOKUP(A124,BUFFS!$H$5:$AF$195,8,),"")</f>
        <v/>
      </c>
      <c r="E124" s="24" t="str">
        <f t="shared" si="8"/>
        <v/>
      </c>
      <c r="F124" s="65" t="str">
        <f>IFERROR(VLOOKUP(A124,BUFFS!$H$5:$AF$195,5,),"")</f>
        <v/>
      </c>
      <c r="G124" s="66" t="str">
        <f>IFERROR(VLOOKUP(A124,BUFFS!$H$5:$AF$195,6,),"")</f>
        <v/>
      </c>
      <c r="H124" s="67" t="str">
        <f>IFERROR(VLOOKUP(A124,BUFFS!$H$5:$AF$195,7,),"")</f>
        <v/>
      </c>
      <c r="I124" s="66" t="str">
        <f>IFERROR(VLOOKUP(A124,BUFFS!$H$5:$AF$195,9,),"")</f>
        <v/>
      </c>
      <c r="J124" s="65" t="str">
        <f>IFERROR(VLOOKUP(A124,BUFFS!$H$5:$AF$195,10,),"")</f>
        <v/>
      </c>
      <c r="K124" s="66" t="str">
        <f>IFERROR(VLOOKUP(A124,BUFFS!$H$5:$AF$195,11,),"")</f>
        <v/>
      </c>
      <c r="L124" s="66" t="str">
        <f>IFERROR(VLOOKUP(A124,BUFFS!$H$5:$AF$195,12,),"")</f>
        <v/>
      </c>
      <c r="M124" s="66" t="str">
        <f>IFERROR(VLOOKUP(A124,BUFFS!$H$5:$AF$195,14,),"")</f>
        <v/>
      </c>
      <c r="N124" s="68" t="str">
        <f t="shared" si="9"/>
        <v/>
      </c>
      <c r="O124" s="65" t="str">
        <f>IFERROR(VLOOKUP(A124,BUFFS!$H$5:$AF$195,15,),"")</f>
        <v/>
      </c>
      <c r="P124" s="66" t="str">
        <f>IFERROR(VLOOKUP(A124,BUFFS!$H$5:$AF$195,16,),"")</f>
        <v/>
      </c>
      <c r="Q124" s="66" t="str">
        <f>IFERROR(VLOOKUP(A124,BUFFS!$H$5:$AF$195,17,),"")</f>
        <v/>
      </c>
      <c r="R124" s="66" t="str">
        <f>IFERROR(VLOOKUP(A124,BUFFS!$H$5:$AF$195,19,),"")</f>
        <v/>
      </c>
      <c r="S124" s="69" t="str">
        <f t="shared" si="10"/>
        <v/>
      </c>
      <c r="T124" s="70" t="str">
        <f>IFERROR(VLOOKUP(A124,BUFFS!$H$5:$AF$195,20,),"")</f>
        <v/>
      </c>
    </row>
    <row r="125" spans="1:20" x14ac:dyDescent="0.35">
      <c r="A125" s="17"/>
      <c r="B125" s="18"/>
      <c r="C125" s="13"/>
      <c r="D125" s="31" t="str">
        <f>IFERROR(VLOOKUP(A125,BUFFS!$H$5:$AF$195,8,),"")</f>
        <v/>
      </c>
      <c r="E125" s="24" t="str">
        <f t="shared" si="8"/>
        <v/>
      </c>
      <c r="F125" s="65" t="str">
        <f>IFERROR(VLOOKUP(A125,BUFFS!$H$5:$AF$195,5,),"")</f>
        <v/>
      </c>
      <c r="G125" s="66" t="str">
        <f>IFERROR(VLOOKUP(A125,BUFFS!$H$5:$AF$195,6,),"")</f>
        <v/>
      </c>
      <c r="H125" s="67" t="str">
        <f>IFERROR(VLOOKUP(A125,BUFFS!$H$5:$AF$195,7,),"")</f>
        <v/>
      </c>
      <c r="I125" s="66" t="str">
        <f>IFERROR(VLOOKUP(A125,BUFFS!$H$5:$AF$195,9,),"")</f>
        <v/>
      </c>
      <c r="J125" s="65" t="str">
        <f>IFERROR(VLOOKUP(A125,BUFFS!$H$5:$AF$195,10,),"")</f>
        <v/>
      </c>
      <c r="K125" s="66" t="str">
        <f>IFERROR(VLOOKUP(A125,BUFFS!$H$5:$AF$195,11,),"")</f>
        <v/>
      </c>
      <c r="L125" s="66" t="str">
        <f>IFERROR(VLOOKUP(A125,BUFFS!$H$5:$AF$195,12,),"")</f>
        <v/>
      </c>
      <c r="M125" s="66" t="str">
        <f>IFERROR(VLOOKUP(A125,BUFFS!$H$5:$AF$195,14,),"")</f>
        <v/>
      </c>
      <c r="N125" s="68" t="str">
        <f t="shared" si="9"/>
        <v/>
      </c>
      <c r="O125" s="65" t="str">
        <f>IFERROR(VLOOKUP(A125,BUFFS!$H$5:$AF$195,15,),"")</f>
        <v/>
      </c>
      <c r="P125" s="66" t="str">
        <f>IFERROR(VLOOKUP(A125,BUFFS!$H$5:$AF$195,16,),"")</f>
        <v/>
      </c>
      <c r="Q125" s="66" t="str">
        <f>IFERROR(VLOOKUP(A125,BUFFS!$H$5:$AF$195,17,),"")</f>
        <v/>
      </c>
      <c r="R125" s="66" t="str">
        <f>IFERROR(VLOOKUP(A125,BUFFS!$H$5:$AF$195,19,),"")</f>
        <v/>
      </c>
      <c r="S125" s="69" t="str">
        <f t="shared" si="10"/>
        <v/>
      </c>
      <c r="T125" s="70" t="str">
        <f>IFERROR(VLOOKUP(A125,BUFFS!$H$5:$AF$195,20,),"")</f>
        <v/>
      </c>
    </row>
    <row r="126" spans="1:20" x14ac:dyDescent="0.35">
      <c r="A126" s="17"/>
      <c r="B126" s="18"/>
      <c r="C126" s="13"/>
      <c r="D126" s="31" t="str">
        <f>IFERROR(VLOOKUP(A126,BUFFS!$H$5:$AF$195,8,),"")</f>
        <v/>
      </c>
      <c r="E126" s="24" t="str">
        <f t="shared" si="8"/>
        <v/>
      </c>
      <c r="F126" s="65" t="str">
        <f>IFERROR(VLOOKUP(A126,BUFFS!$H$5:$AF$195,5,),"")</f>
        <v/>
      </c>
      <c r="G126" s="66" t="str">
        <f>IFERROR(VLOOKUP(A126,BUFFS!$H$5:$AF$195,6,),"")</f>
        <v/>
      </c>
      <c r="H126" s="67" t="str">
        <f>IFERROR(VLOOKUP(A126,BUFFS!$H$5:$AF$195,7,),"")</f>
        <v/>
      </c>
      <c r="I126" s="66" t="str">
        <f>IFERROR(VLOOKUP(A126,BUFFS!$H$5:$AF$195,9,),"")</f>
        <v/>
      </c>
      <c r="J126" s="65" t="str">
        <f>IFERROR(VLOOKUP(A126,BUFFS!$H$5:$AF$195,10,),"")</f>
        <v/>
      </c>
      <c r="K126" s="66" t="str">
        <f>IFERROR(VLOOKUP(A126,BUFFS!$H$5:$AF$195,11,),"")</f>
        <v/>
      </c>
      <c r="L126" s="66" t="str">
        <f>IFERROR(VLOOKUP(A126,BUFFS!$H$5:$AF$195,12,),"")</f>
        <v/>
      </c>
      <c r="M126" s="66" t="str">
        <f>IFERROR(VLOOKUP(A126,BUFFS!$H$5:$AF$195,14,),"")</f>
        <v/>
      </c>
      <c r="N126" s="68" t="str">
        <f t="shared" si="9"/>
        <v/>
      </c>
      <c r="O126" s="65" t="str">
        <f>IFERROR(VLOOKUP(A126,BUFFS!$H$5:$AF$195,15,),"")</f>
        <v/>
      </c>
      <c r="P126" s="66" t="str">
        <f>IFERROR(VLOOKUP(A126,BUFFS!$H$5:$AF$195,16,),"")</f>
        <v/>
      </c>
      <c r="Q126" s="66" t="str">
        <f>IFERROR(VLOOKUP(A126,BUFFS!$H$5:$AF$195,17,),"")</f>
        <v/>
      </c>
      <c r="R126" s="66" t="str">
        <f>IFERROR(VLOOKUP(A126,BUFFS!$H$5:$AF$195,19,),"")</f>
        <v/>
      </c>
      <c r="S126" s="69" t="str">
        <f t="shared" si="10"/>
        <v/>
      </c>
      <c r="T126" s="70" t="str">
        <f>IFERROR(VLOOKUP(A126,BUFFS!$H$5:$AF$195,20,),"")</f>
        <v/>
      </c>
    </row>
    <row r="127" spans="1:20" x14ac:dyDescent="0.35">
      <c r="A127" s="17"/>
      <c r="B127" s="18"/>
      <c r="C127" s="13"/>
      <c r="D127" s="31" t="str">
        <f>IFERROR(VLOOKUP(A127,BUFFS!$H$5:$AF$195,8,),"")</f>
        <v/>
      </c>
      <c r="E127" s="24" t="str">
        <f t="shared" si="8"/>
        <v/>
      </c>
      <c r="F127" s="65" t="str">
        <f>IFERROR(VLOOKUP(A127,BUFFS!$H$5:$AF$195,5,),"")</f>
        <v/>
      </c>
      <c r="G127" s="66" t="str">
        <f>IFERROR(VLOOKUP(A127,BUFFS!$H$5:$AF$195,6,),"")</f>
        <v/>
      </c>
      <c r="H127" s="67" t="str">
        <f>IFERROR(VLOOKUP(A127,BUFFS!$H$5:$AF$195,7,),"")</f>
        <v/>
      </c>
      <c r="I127" s="66" t="str">
        <f>IFERROR(VLOOKUP(A127,BUFFS!$H$5:$AF$195,9,),"")</f>
        <v/>
      </c>
      <c r="J127" s="65" t="str">
        <f>IFERROR(VLOOKUP(A127,BUFFS!$H$5:$AF$195,10,),"")</f>
        <v/>
      </c>
      <c r="K127" s="66" t="str">
        <f>IFERROR(VLOOKUP(A127,BUFFS!$H$5:$AF$195,11,),"")</f>
        <v/>
      </c>
      <c r="L127" s="66" t="str">
        <f>IFERROR(VLOOKUP(A127,BUFFS!$H$5:$AF$195,12,),"")</f>
        <v/>
      </c>
      <c r="M127" s="66" t="str">
        <f>IFERROR(VLOOKUP(A127,BUFFS!$H$5:$AF$195,14,),"")</f>
        <v/>
      </c>
      <c r="N127" s="68" t="str">
        <f t="shared" si="9"/>
        <v/>
      </c>
      <c r="O127" s="65" t="str">
        <f>IFERROR(VLOOKUP(A127,BUFFS!$H$5:$AF$195,15,),"")</f>
        <v/>
      </c>
      <c r="P127" s="66" t="str">
        <f>IFERROR(VLOOKUP(A127,BUFFS!$H$5:$AF$195,16,),"")</f>
        <v/>
      </c>
      <c r="Q127" s="66" t="str">
        <f>IFERROR(VLOOKUP(A127,BUFFS!$H$5:$AF$195,17,),"")</f>
        <v/>
      </c>
      <c r="R127" s="66" t="str">
        <f>IFERROR(VLOOKUP(A127,BUFFS!$H$5:$AF$195,19,),"")</f>
        <v/>
      </c>
      <c r="S127" s="69" t="str">
        <f t="shared" si="10"/>
        <v/>
      </c>
      <c r="T127" s="70" t="str">
        <f>IFERROR(VLOOKUP(A127,BUFFS!$H$5:$AF$195,20,),"")</f>
        <v/>
      </c>
    </row>
    <row r="128" spans="1:20" x14ac:dyDescent="0.35">
      <c r="A128" s="17"/>
      <c r="B128" s="18"/>
      <c r="C128" s="13"/>
      <c r="D128" s="31" t="str">
        <f>IFERROR(VLOOKUP(A128,BUFFS!$H$5:$AF$195,8,),"")</f>
        <v/>
      </c>
      <c r="E128" s="24" t="str">
        <f t="shared" si="8"/>
        <v/>
      </c>
      <c r="F128" s="65" t="str">
        <f>IFERROR(VLOOKUP(A128,BUFFS!$H$5:$AF$195,5,),"")</f>
        <v/>
      </c>
      <c r="G128" s="66" t="str">
        <f>IFERROR(VLOOKUP(A128,BUFFS!$H$5:$AF$195,6,),"")</f>
        <v/>
      </c>
      <c r="H128" s="67" t="str">
        <f>IFERROR(VLOOKUP(A128,BUFFS!$H$5:$AF$195,7,),"")</f>
        <v/>
      </c>
      <c r="I128" s="66" t="str">
        <f>IFERROR(VLOOKUP(A128,BUFFS!$H$5:$AF$195,9,),"")</f>
        <v/>
      </c>
      <c r="J128" s="65" t="str">
        <f>IFERROR(VLOOKUP(A128,BUFFS!$H$5:$AF$195,10,),"")</f>
        <v/>
      </c>
      <c r="K128" s="66" t="str">
        <f>IFERROR(VLOOKUP(A128,BUFFS!$H$5:$AF$195,11,),"")</f>
        <v/>
      </c>
      <c r="L128" s="66" t="str">
        <f>IFERROR(VLOOKUP(A128,BUFFS!$H$5:$AF$195,12,),"")</f>
        <v/>
      </c>
      <c r="M128" s="66" t="str">
        <f>IFERROR(VLOOKUP(A128,BUFFS!$H$5:$AF$195,14,),"")</f>
        <v/>
      </c>
      <c r="N128" s="68" t="str">
        <f t="shared" si="9"/>
        <v/>
      </c>
      <c r="O128" s="65" t="str">
        <f>IFERROR(VLOOKUP(A128,BUFFS!$H$5:$AF$195,15,),"")</f>
        <v/>
      </c>
      <c r="P128" s="66" t="str">
        <f>IFERROR(VLOOKUP(A128,BUFFS!$H$5:$AF$195,16,),"")</f>
        <v/>
      </c>
      <c r="Q128" s="66" t="str">
        <f>IFERROR(VLOOKUP(A128,BUFFS!$H$5:$AF$195,17,),"")</f>
        <v/>
      </c>
      <c r="R128" s="66" t="str">
        <f>IFERROR(VLOOKUP(A128,BUFFS!$H$5:$AF$195,19,),"")</f>
        <v/>
      </c>
      <c r="S128" s="69" t="str">
        <f t="shared" si="10"/>
        <v/>
      </c>
      <c r="T128" s="70" t="str">
        <f>IFERROR(VLOOKUP(A128,BUFFS!$H$5:$AF$195,20,),"")</f>
        <v/>
      </c>
    </row>
    <row r="129" spans="1:20" x14ac:dyDescent="0.35">
      <c r="A129" s="17"/>
      <c r="B129" s="18"/>
      <c r="C129" s="13"/>
      <c r="D129" s="31" t="str">
        <f>IFERROR(VLOOKUP(A129,BUFFS!$H$5:$AF$195,8,),"")</f>
        <v/>
      </c>
      <c r="E129" s="24" t="str">
        <f t="shared" si="8"/>
        <v/>
      </c>
      <c r="F129" s="65" t="str">
        <f>IFERROR(VLOOKUP(A129,BUFFS!$H$5:$AF$195,5,),"")</f>
        <v/>
      </c>
      <c r="G129" s="66" t="str">
        <f>IFERROR(VLOOKUP(A129,BUFFS!$H$5:$AF$195,6,),"")</f>
        <v/>
      </c>
      <c r="H129" s="67" t="str">
        <f>IFERROR(VLOOKUP(A129,BUFFS!$H$5:$AF$195,7,),"")</f>
        <v/>
      </c>
      <c r="I129" s="66" t="str">
        <f>IFERROR(VLOOKUP(A129,BUFFS!$H$5:$AF$195,9,),"")</f>
        <v/>
      </c>
      <c r="J129" s="65" t="str">
        <f>IFERROR(VLOOKUP(A129,BUFFS!$H$5:$AF$195,10,),"")</f>
        <v/>
      </c>
      <c r="K129" s="66" t="str">
        <f>IFERROR(VLOOKUP(A129,BUFFS!$H$5:$AF$195,11,),"")</f>
        <v/>
      </c>
      <c r="L129" s="66" t="str">
        <f>IFERROR(VLOOKUP(A129,BUFFS!$H$5:$AF$195,12,),"")</f>
        <v/>
      </c>
      <c r="M129" s="66" t="str">
        <f>IFERROR(VLOOKUP(A129,BUFFS!$H$5:$AF$195,14,),"")</f>
        <v/>
      </c>
      <c r="N129" s="68" t="str">
        <f t="shared" si="9"/>
        <v/>
      </c>
      <c r="O129" s="65" t="str">
        <f>IFERROR(VLOOKUP(A129,BUFFS!$H$5:$AF$195,15,),"")</f>
        <v/>
      </c>
      <c r="P129" s="66" t="str">
        <f>IFERROR(VLOOKUP(A129,BUFFS!$H$5:$AF$195,16,),"")</f>
        <v/>
      </c>
      <c r="Q129" s="66" t="str">
        <f>IFERROR(VLOOKUP(A129,BUFFS!$H$5:$AF$195,17,),"")</f>
        <v/>
      </c>
      <c r="R129" s="66" t="str">
        <f>IFERROR(VLOOKUP(A129,BUFFS!$H$5:$AF$195,19,),"")</f>
        <v/>
      </c>
      <c r="S129" s="69" t="str">
        <f t="shared" si="10"/>
        <v/>
      </c>
      <c r="T129" s="70" t="str">
        <f>IFERROR(VLOOKUP(A129,BUFFS!$H$5:$AF$195,20,),"")</f>
        <v/>
      </c>
    </row>
    <row r="130" spans="1:20" x14ac:dyDescent="0.35">
      <c r="A130" s="17"/>
      <c r="B130" s="18"/>
      <c r="C130" s="13"/>
      <c r="D130" s="31" t="str">
        <f>IFERROR(VLOOKUP(A130,BUFFS!$H$5:$AF$195,8,),"")</f>
        <v/>
      </c>
      <c r="E130" s="24" t="str">
        <f t="shared" si="8"/>
        <v/>
      </c>
      <c r="F130" s="65" t="str">
        <f>IFERROR(VLOOKUP(A130,BUFFS!$H$5:$AF$195,5,),"")</f>
        <v/>
      </c>
      <c r="G130" s="66" t="str">
        <f>IFERROR(VLOOKUP(A130,BUFFS!$H$5:$AF$195,6,),"")</f>
        <v/>
      </c>
      <c r="H130" s="67" t="str">
        <f>IFERROR(VLOOKUP(A130,BUFFS!$H$5:$AF$195,7,),"")</f>
        <v/>
      </c>
      <c r="I130" s="66" t="str">
        <f>IFERROR(VLOOKUP(A130,BUFFS!$H$5:$AF$195,9,),"")</f>
        <v/>
      </c>
      <c r="J130" s="65" t="str">
        <f>IFERROR(VLOOKUP(A130,BUFFS!$H$5:$AF$195,10,),"")</f>
        <v/>
      </c>
      <c r="K130" s="66" t="str">
        <f>IFERROR(VLOOKUP(A130,BUFFS!$H$5:$AF$195,11,),"")</f>
        <v/>
      </c>
      <c r="L130" s="66" t="str">
        <f>IFERROR(VLOOKUP(A130,BUFFS!$H$5:$AF$195,12,),"")</f>
        <v/>
      </c>
      <c r="M130" s="66" t="str">
        <f>IFERROR(VLOOKUP(A130,BUFFS!$H$5:$AF$195,14,),"")</f>
        <v/>
      </c>
      <c r="N130" s="68" t="str">
        <f t="shared" si="9"/>
        <v/>
      </c>
      <c r="O130" s="65" t="str">
        <f>IFERROR(VLOOKUP(A130,BUFFS!$H$5:$AF$195,15,),"")</f>
        <v/>
      </c>
      <c r="P130" s="66" t="str">
        <f>IFERROR(VLOOKUP(A130,BUFFS!$H$5:$AF$195,16,),"")</f>
        <v/>
      </c>
      <c r="Q130" s="66" t="str">
        <f>IFERROR(VLOOKUP(A130,BUFFS!$H$5:$AF$195,17,),"")</f>
        <v/>
      </c>
      <c r="R130" s="66" t="str">
        <f>IFERROR(VLOOKUP(A130,BUFFS!$H$5:$AF$195,19,),"")</f>
        <v/>
      </c>
      <c r="S130" s="69" t="str">
        <f t="shared" si="10"/>
        <v/>
      </c>
      <c r="T130" s="70" t="str">
        <f>IFERROR(VLOOKUP(A130,BUFFS!$H$5:$AF$195,20,),"")</f>
        <v/>
      </c>
    </row>
    <row r="131" spans="1:20" x14ac:dyDescent="0.35">
      <c r="A131" s="17"/>
      <c r="B131" s="18"/>
      <c r="C131" s="13"/>
      <c r="D131" s="31" t="str">
        <f>IFERROR(VLOOKUP(A131,BUFFS!$H$5:$AF$195,8,),"")</f>
        <v/>
      </c>
      <c r="E131" s="24" t="str">
        <f t="shared" si="8"/>
        <v/>
      </c>
      <c r="F131" s="65" t="str">
        <f>IFERROR(VLOOKUP(A131,BUFFS!$H$5:$AF$195,5,),"")</f>
        <v/>
      </c>
      <c r="G131" s="66" t="str">
        <f>IFERROR(VLOOKUP(A131,BUFFS!$H$5:$AF$195,6,),"")</f>
        <v/>
      </c>
      <c r="H131" s="67" t="str">
        <f>IFERROR(VLOOKUP(A131,BUFFS!$H$5:$AF$195,7,),"")</f>
        <v/>
      </c>
      <c r="I131" s="66" t="str">
        <f>IFERROR(VLOOKUP(A131,BUFFS!$H$5:$AF$195,9,),"")</f>
        <v/>
      </c>
      <c r="J131" s="65" t="str">
        <f>IFERROR(VLOOKUP(A131,BUFFS!$H$5:$AF$195,10,),"")</f>
        <v/>
      </c>
      <c r="K131" s="66" t="str">
        <f>IFERROR(VLOOKUP(A131,BUFFS!$H$5:$AF$195,11,),"")</f>
        <v/>
      </c>
      <c r="L131" s="66" t="str">
        <f>IFERROR(VLOOKUP(A131,BUFFS!$H$5:$AF$195,12,),"")</f>
        <v/>
      </c>
      <c r="M131" s="66" t="str">
        <f>IFERROR(VLOOKUP(A131,BUFFS!$H$5:$AF$195,14,),"")</f>
        <v/>
      </c>
      <c r="N131" s="68" t="str">
        <f t="shared" si="9"/>
        <v/>
      </c>
      <c r="O131" s="65" t="str">
        <f>IFERROR(VLOOKUP(A131,BUFFS!$H$5:$AF$195,15,),"")</f>
        <v/>
      </c>
      <c r="P131" s="66" t="str">
        <f>IFERROR(VLOOKUP(A131,BUFFS!$H$5:$AF$195,16,),"")</f>
        <v/>
      </c>
      <c r="Q131" s="66" t="str">
        <f>IFERROR(VLOOKUP(A131,BUFFS!$H$5:$AF$195,17,),"")</f>
        <v/>
      </c>
      <c r="R131" s="66" t="str">
        <f>IFERROR(VLOOKUP(A131,BUFFS!$H$5:$AF$195,19,),"")</f>
        <v/>
      </c>
      <c r="S131" s="69" t="str">
        <f t="shared" si="10"/>
        <v/>
      </c>
      <c r="T131" s="70" t="str">
        <f>IFERROR(VLOOKUP(A131,BUFFS!$H$5:$AF$195,20,),"")</f>
        <v/>
      </c>
    </row>
    <row r="132" spans="1:20" x14ac:dyDescent="0.35">
      <c r="A132" s="17"/>
      <c r="B132" s="18"/>
      <c r="C132" s="13"/>
      <c r="D132" s="31" t="str">
        <f>IFERROR(VLOOKUP(A132,BUFFS!$H$5:$AF$195,8,),"")</f>
        <v/>
      </c>
      <c r="E132" s="24" t="str">
        <f t="shared" si="8"/>
        <v/>
      </c>
      <c r="F132" s="65" t="str">
        <f>IFERROR(VLOOKUP(A132,BUFFS!$H$5:$AF$195,5,),"")</f>
        <v/>
      </c>
      <c r="G132" s="66" t="str">
        <f>IFERROR(VLOOKUP(A132,BUFFS!$H$5:$AF$195,6,),"")</f>
        <v/>
      </c>
      <c r="H132" s="67" t="str">
        <f>IFERROR(VLOOKUP(A132,BUFFS!$H$5:$AF$195,7,),"")</f>
        <v/>
      </c>
      <c r="I132" s="66" t="str">
        <f>IFERROR(VLOOKUP(A132,BUFFS!$H$5:$AF$195,9,),"")</f>
        <v/>
      </c>
      <c r="J132" s="65" t="str">
        <f>IFERROR(VLOOKUP(A132,BUFFS!$H$5:$AF$195,10,),"")</f>
        <v/>
      </c>
      <c r="K132" s="66" t="str">
        <f>IFERROR(VLOOKUP(A132,BUFFS!$H$5:$AF$195,11,),"")</f>
        <v/>
      </c>
      <c r="L132" s="66" t="str">
        <f>IFERROR(VLOOKUP(A132,BUFFS!$H$5:$AF$195,12,),"")</f>
        <v/>
      </c>
      <c r="M132" s="66" t="str">
        <f>IFERROR(VLOOKUP(A132,BUFFS!$H$5:$AF$195,14,),"")</f>
        <v/>
      </c>
      <c r="N132" s="68" t="str">
        <f t="shared" si="9"/>
        <v/>
      </c>
      <c r="O132" s="65" t="str">
        <f>IFERROR(VLOOKUP(A132,BUFFS!$H$5:$AF$195,15,),"")</f>
        <v/>
      </c>
      <c r="P132" s="66" t="str">
        <f>IFERROR(VLOOKUP(A132,BUFFS!$H$5:$AF$195,16,),"")</f>
        <v/>
      </c>
      <c r="Q132" s="66" t="str">
        <f>IFERROR(VLOOKUP(A132,BUFFS!$H$5:$AF$195,17,),"")</f>
        <v/>
      </c>
      <c r="R132" s="66" t="str">
        <f>IFERROR(VLOOKUP(A132,BUFFS!$H$5:$AF$195,19,),"")</f>
        <v/>
      </c>
      <c r="S132" s="69" t="str">
        <f t="shared" si="10"/>
        <v/>
      </c>
      <c r="T132" s="70" t="str">
        <f>IFERROR(VLOOKUP(A132,BUFFS!$H$5:$AF$195,20,),"")</f>
        <v/>
      </c>
    </row>
    <row r="133" spans="1:20" x14ac:dyDescent="0.35">
      <c r="A133" s="17"/>
      <c r="B133" s="18"/>
      <c r="C133" s="13"/>
      <c r="D133" s="31" t="str">
        <f>IFERROR(VLOOKUP(A133,BUFFS!$H$5:$AF$195,8,),"")</f>
        <v/>
      </c>
      <c r="E133" s="24" t="str">
        <f t="shared" si="8"/>
        <v/>
      </c>
      <c r="F133" s="65" t="str">
        <f>IFERROR(VLOOKUP(A133,BUFFS!$H$5:$AF$195,5,),"")</f>
        <v/>
      </c>
      <c r="G133" s="66" t="str">
        <f>IFERROR(VLOOKUP(A133,BUFFS!$H$5:$AF$195,6,),"")</f>
        <v/>
      </c>
      <c r="H133" s="67" t="str">
        <f>IFERROR(VLOOKUP(A133,BUFFS!$H$5:$AF$195,7,),"")</f>
        <v/>
      </c>
      <c r="I133" s="66" t="str">
        <f>IFERROR(VLOOKUP(A133,BUFFS!$H$5:$AF$195,9,),"")</f>
        <v/>
      </c>
      <c r="J133" s="65" t="str">
        <f>IFERROR(VLOOKUP(A133,BUFFS!$H$5:$AF$195,10,),"")</f>
        <v/>
      </c>
      <c r="K133" s="66" t="str">
        <f>IFERROR(VLOOKUP(A133,BUFFS!$H$5:$AF$195,11,),"")</f>
        <v/>
      </c>
      <c r="L133" s="66" t="str">
        <f>IFERROR(VLOOKUP(A133,BUFFS!$H$5:$AF$195,12,),"")</f>
        <v/>
      </c>
      <c r="M133" s="66" t="str">
        <f>IFERROR(VLOOKUP(A133,BUFFS!$H$5:$AF$195,14,),"")</f>
        <v/>
      </c>
      <c r="N133" s="68" t="str">
        <f t="shared" si="9"/>
        <v/>
      </c>
      <c r="O133" s="65" t="str">
        <f>IFERROR(VLOOKUP(A133,BUFFS!$H$5:$AF$195,15,),"")</f>
        <v/>
      </c>
      <c r="P133" s="66" t="str">
        <f>IFERROR(VLOOKUP(A133,BUFFS!$H$5:$AF$195,16,),"")</f>
        <v/>
      </c>
      <c r="Q133" s="66" t="str">
        <f>IFERROR(VLOOKUP(A133,BUFFS!$H$5:$AF$195,17,),"")</f>
        <v/>
      </c>
      <c r="R133" s="66" t="str">
        <f>IFERROR(VLOOKUP(A133,BUFFS!$H$5:$AF$195,19,),"")</f>
        <v/>
      </c>
      <c r="S133" s="69" t="str">
        <f t="shared" si="10"/>
        <v/>
      </c>
      <c r="T133" s="70" t="str">
        <f>IFERROR(VLOOKUP(A133,BUFFS!$H$5:$AF$195,20,),"")</f>
        <v/>
      </c>
    </row>
    <row r="134" spans="1:20" x14ac:dyDescent="0.35">
      <c r="A134" s="17"/>
      <c r="B134" s="18"/>
      <c r="C134" s="13"/>
      <c r="D134" s="31" t="str">
        <f>IFERROR(VLOOKUP(A134,BUFFS!$H$5:$AF$195,8,),"")</f>
        <v/>
      </c>
      <c r="E134" s="24" t="str">
        <f t="shared" si="8"/>
        <v/>
      </c>
      <c r="F134" s="65" t="str">
        <f>IFERROR(VLOOKUP(A134,BUFFS!$H$5:$AF$195,5,),"")</f>
        <v/>
      </c>
      <c r="G134" s="66" t="str">
        <f>IFERROR(VLOOKUP(A134,BUFFS!$H$5:$AF$195,6,),"")</f>
        <v/>
      </c>
      <c r="H134" s="67" t="str">
        <f>IFERROR(VLOOKUP(A134,BUFFS!$H$5:$AF$195,7,),"")</f>
        <v/>
      </c>
      <c r="I134" s="66" t="str">
        <f>IFERROR(VLOOKUP(A134,BUFFS!$H$5:$AF$195,9,),"")</f>
        <v/>
      </c>
      <c r="J134" s="65" t="str">
        <f>IFERROR(VLOOKUP(A134,BUFFS!$H$5:$AF$195,10,),"")</f>
        <v/>
      </c>
      <c r="K134" s="66" t="str">
        <f>IFERROR(VLOOKUP(A134,BUFFS!$H$5:$AF$195,11,),"")</f>
        <v/>
      </c>
      <c r="L134" s="66" t="str">
        <f>IFERROR(VLOOKUP(A134,BUFFS!$H$5:$AF$195,12,),"")</f>
        <v/>
      </c>
      <c r="M134" s="66" t="str">
        <f>IFERROR(VLOOKUP(A134,BUFFS!$H$5:$AF$195,14,),"")</f>
        <v/>
      </c>
      <c r="N134" s="68" t="str">
        <f t="shared" si="9"/>
        <v/>
      </c>
      <c r="O134" s="65" t="str">
        <f>IFERROR(VLOOKUP(A134,BUFFS!$H$5:$AF$195,15,),"")</f>
        <v/>
      </c>
      <c r="P134" s="66" t="str">
        <f>IFERROR(VLOOKUP(A134,BUFFS!$H$5:$AF$195,16,),"")</f>
        <v/>
      </c>
      <c r="Q134" s="66" t="str">
        <f>IFERROR(VLOOKUP(A134,BUFFS!$H$5:$AF$195,17,),"")</f>
        <v/>
      </c>
      <c r="R134" s="66" t="str">
        <f>IFERROR(VLOOKUP(A134,BUFFS!$H$5:$AF$195,19,),"")</f>
        <v/>
      </c>
      <c r="S134" s="69" t="str">
        <f t="shared" si="10"/>
        <v/>
      </c>
      <c r="T134" s="70" t="str">
        <f>IFERROR(VLOOKUP(A134,BUFFS!$H$5:$AF$195,20,),"")</f>
        <v/>
      </c>
    </row>
    <row r="135" spans="1:20" x14ac:dyDescent="0.35">
      <c r="A135" s="17"/>
      <c r="B135" s="18"/>
      <c r="C135" s="13"/>
      <c r="D135" s="31" t="str">
        <f>IFERROR(VLOOKUP(A135,BUFFS!$H$5:$AF$195,8,),"")</f>
        <v/>
      </c>
      <c r="E135" s="24" t="str">
        <f t="shared" si="8"/>
        <v/>
      </c>
      <c r="F135" s="65" t="str">
        <f>IFERROR(VLOOKUP(A135,BUFFS!$H$5:$AF$195,5,),"")</f>
        <v/>
      </c>
      <c r="G135" s="66" t="str">
        <f>IFERROR(VLOOKUP(A135,BUFFS!$H$5:$AF$195,6,),"")</f>
        <v/>
      </c>
      <c r="H135" s="67" t="str">
        <f>IFERROR(VLOOKUP(A135,BUFFS!$H$5:$AF$195,7,),"")</f>
        <v/>
      </c>
      <c r="I135" s="66" t="str">
        <f>IFERROR(VLOOKUP(A135,BUFFS!$H$5:$AF$195,9,),"")</f>
        <v/>
      </c>
      <c r="J135" s="65" t="str">
        <f>IFERROR(VLOOKUP(A135,BUFFS!$H$5:$AF$195,10,),"")</f>
        <v/>
      </c>
      <c r="K135" s="66" t="str">
        <f>IFERROR(VLOOKUP(A135,BUFFS!$H$5:$AF$195,11,),"")</f>
        <v/>
      </c>
      <c r="L135" s="66" t="str">
        <f>IFERROR(VLOOKUP(A135,BUFFS!$H$5:$AF$195,12,),"")</f>
        <v/>
      </c>
      <c r="M135" s="66" t="str">
        <f>IFERROR(VLOOKUP(A135,BUFFS!$H$5:$AF$195,14,),"")</f>
        <v/>
      </c>
      <c r="N135" s="68" t="str">
        <f t="shared" si="9"/>
        <v/>
      </c>
      <c r="O135" s="65" t="str">
        <f>IFERROR(VLOOKUP(A135,BUFFS!$H$5:$AF$195,15,),"")</f>
        <v/>
      </c>
      <c r="P135" s="66" t="str">
        <f>IFERROR(VLOOKUP(A135,BUFFS!$H$5:$AF$195,16,),"")</f>
        <v/>
      </c>
      <c r="Q135" s="66" t="str">
        <f>IFERROR(VLOOKUP(A135,BUFFS!$H$5:$AF$195,17,),"")</f>
        <v/>
      </c>
      <c r="R135" s="66" t="str">
        <f>IFERROR(VLOOKUP(A135,BUFFS!$H$5:$AF$195,19,),"")</f>
        <v/>
      </c>
      <c r="S135" s="69" t="str">
        <f t="shared" si="10"/>
        <v/>
      </c>
      <c r="T135" s="70" t="str">
        <f>IFERROR(VLOOKUP(A135,BUFFS!$H$5:$AF$195,20,),"")</f>
        <v/>
      </c>
    </row>
    <row r="136" spans="1:20" x14ac:dyDescent="0.35">
      <c r="A136" s="17"/>
      <c r="B136" s="18"/>
      <c r="C136" s="13"/>
      <c r="D136" s="31" t="str">
        <f>IFERROR(VLOOKUP(A136,BUFFS!$H$5:$AF$195,8,),"")</f>
        <v/>
      </c>
      <c r="E136" s="24" t="str">
        <f t="shared" si="8"/>
        <v/>
      </c>
      <c r="F136" s="65" t="str">
        <f>IFERROR(VLOOKUP(A136,BUFFS!$H$5:$AF$195,5,),"")</f>
        <v/>
      </c>
      <c r="G136" s="66" t="str">
        <f>IFERROR(VLOOKUP(A136,BUFFS!$H$5:$AF$195,6,),"")</f>
        <v/>
      </c>
      <c r="H136" s="67" t="str">
        <f>IFERROR(VLOOKUP(A136,BUFFS!$H$5:$AF$195,7,),"")</f>
        <v/>
      </c>
      <c r="I136" s="66" t="str">
        <f>IFERROR(VLOOKUP(A136,BUFFS!$H$5:$AF$195,9,),"")</f>
        <v/>
      </c>
      <c r="J136" s="65" t="str">
        <f>IFERROR(VLOOKUP(A136,BUFFS!$H$5:$AF$195,10,),"")</f>
        <v/>
      </c>
      <c r="K136" s="66" t="str">
        <f>IFERROR(VLOOKUP(A136,BUFFS!$H$5:$AF$195,11,),"")</f>
        <v/>
      </c>
      <c r="L136" s="66" t="str">
        <f>IFERROR(VLOOKUP(A136,BUFFS!$H$5:$AF$195,12,),"")</f>
        <v/>
      </c>
      <c r="M136" s="66" t="str">
        <f>IFERROR(VLOOKUP(A136,BUFFS!$H$5:$AF$195,14,),"")</f>
        <v/>
      </c>
      <c r="N136" s="68" t="str">
        <f t="shared" si="9"/>
        <v/>
      </c>
      <c r="O136" s="65" t="str">
        <f>IFERROR(VLOOKUP(A136,BUFFS!$H$5:$AF$195,15,),"")</f>
        <v/>
      </c>
      <c r="P136" s="66" t="str">
        <f>IFERROR(VLOOKUP(A136,BUFFS!$H$5:$AF$195,16,),"")</f>
        <v/>
      </c>
      <c r="Q136" s="66" t="str">
        <f>IFERROR(VLOOKUP(A136,BUFFS!$H$5:$AF$195,17,),"")</f>
        <v/>
      </c>
      <c r="R136" s="66" t="str">
        <f>IFERROR(VLOOKUP(A136,BUFFS!$H$5:$AF$195,19,),"")</f>
        <v/>
      </c>
      <c r="S136" s="69" t="str">
        <f t="shared" si="10"/>
        <v/>
      </c>
      <c r="T136" s="70" t="str">
        <f>IFERROR(VLOOKUP(A136,BUFFS!$H$5:$AF$195,20,),"")</f>
        <v/>
      </c>
    </row>
    <row r="137" spans="1:20" x14ac:dyDescent="0.35">
      <c r="A137" s="17"/>
      <c r="B137" s="18"/>
      <c r="C137" s="13"/>
      <c r="D137" s="31" t="str">
        <f>IFERROR(VLOOKUP(A137,BUFFS!$H$5:$AF$195,8,),"")</f>
        <v/>
      </c>
      <c r="E137" s="24" t="str">
        <f t="shared" si="8"/>
        <v/>
      </c>
      <c r="F137" s="65" t="str">
        <f>IFERROR(VLOOKUP(A137,BUFFS!$H$5:$AF$195,5,),"")</f>
        <v/>
      </c>
      <c r="G137" s="66" t="str">
        <f>IFERROR(VLOOKUP(A137,BUFFS!$H$5:$AF$195,6,),"")</f>
        <v/>
      </c>
      <c r="H137" s="67" t="str">
        <f>IFERROR(VLOOKUP(A137,BUFFS!$H$5:$AF$195,7,),"")</f>
        <v/>
      </c>
      <c r="I137" s="66" t="str">
        <f>IFERROR(VLOOKUP(A137,BUFFS!$H$5:$AF$195,9,),"")</f>
        <v/>
      </c>
      <c r="J137" s="65" t="str">
        <f>IFERROR(VLOOKUP(A137,BUFFS!$H$5:$AF$195,10,),"")</f>
        <v/>
      </c>
      <c r="K137" s="66" t="str">
        <f>IFERROR(VLOOKUP(A137,BUFFS!$H$5:$AF$195,11,),"")</f>
        <v/>
      </c>
      <c r="L137" s="66" t="str">
        <f>IFERROR(VLOOKUP(A137,BUFFS!$H$5:$AF$195,12,),"")</f>
        <v/>
      </c>
      <c r="M137" s="66" t="str">
        <f>IFERROR(VLOOKUP(A137,BUFFS!$H$5:$AF$195,14,),"")</f>
        <v/>
      </c>
      <c r="N137" s="68" t="str">
        <f t="shared" si="9"/>
        <v/>
      </c>
      <c r="O137" s="65" t="str">
        <f>IFERROR(VLOOKUP(A137,BUFFS!$H$5:$AF$195,15,),"")</f>
        <v/>
      </c>
      <c r="P137" s="66" t="str">
        <f>IFERROR(VLOOKUP(A137,BUFFS!$H$5:$AF$195,16,),"")</f>
        <v/>
      </c>
      <c r="Q137" s="66" t="str">
        <f>IFERROR(VLOOKUP(A137,BUFFS!$H$5:$AF$195,17,),"")</f>
        <v/>
      </c>
      <c r="R137" s="66" t="str">
        <f>IFERROR(VLOOKUP(A137,BUFFS!$H$5:$AF$195,19,),"")</f>
        <v/>
      </c>
      <c r="S137" s="69" t="str">
        <f t="shared" si="10"/>
        <v/>
      </c>
      <c r="T137" s="70" t="str">
        <f>IFERROR(VLOOKUP(A137,BUFFS!$H$5:$AF$195,20,),"")</f>
        <v/>
      </c>
    </row>
    <row r="138" spans="1:20" x14ac:dyDescent="0.35">
      <c r="A138" s="17"/>
      <c r="B138" s="18"/>
      <c r="C138" s="13"/>
      <c r="D138" s="31" t="str">
        <f>IFERROR(VLOOKUP(A138,BUFFS!$H$5:$AF$195,8,),"")</f>
        <v/>
      </c>
      <c r="E138" s="24" t="str">
        <f t="shared" si="8"/>
        <v/>
      </c>
      <c r="F138" s="65" t="str">
        <f>IFERROR(VLOOKUP(A138,BUFFS!$H$5:$AF$195,5,),"")</f>
        <v/>
      </c>
      <c r="G138" s="66" t="str">
        <f>IFERROR(VLOOKUP(A138,BUFFS!$H$5:$AF$195,6,),"")</f>
        <v/>
      </c>
      <c r="H138" s="67" t="str">
        <f>IFERROR(VLOOKUP(A138,BUFFS!$H$5:$AF$195,7,),"")</f>
        <v/>
      </c>
      <c r="I138" s="66" t="str">
        <f>IFERROR(VLOOKUP(A138,BUFFS!$H$5:$AF$195,9,),"")</f>
        <v/>
      </c>
      <c r="J138" s="65" t="str">
        <f>IFERROR(VLOOKUP(A138,BUFFS!$H$5:$AF$195,10,),"")</f>
        <v/>
      </c>
      <c r="K138" s="66" t="str">
        <f>IFERROR(VLOOKUP(A138,BUFFS!$H$5:$AF$195,11,),"")</f>
        <v/>
      </c>
      <c r="L138" s="66" t="str">
        <f>IFERROR(VLOOKUP(A138,BUFFS!$H$5:$AF$195,12,),"")</f>
        <v/>
      </c>
      <c r="M138" s="66" t="str">
        <f>IFERROR(VLOOKUP(A138,BUFFS!$H$5:$AF$195,14,),"")</f>
        <v/>
      </c>
      <c r="N138" s="68" t="str">
        <f t="shared" si="9"/>
        <v/>
      </c>
      <c r="O138" s="65" t="str">
        <f>IFERROR(VLOOKUP(A138,BUFFS!$H$5:$AF$195,15,),"")</f>
        <v/>
      </c>
      <c r="P138" s="66" t="str">
        <f>IFERROR(VLOOKUP(A138,BUFFS!$H$5:$AF$195,16,),"")</f>
        <v/>
      </c>
      <c r="Q138" s="66" t="str">
        <f>IFERROR(VLOOKUP(A138,BUFFS!$H$5:$AF$195,17,),"")</f>
        <v/>
      </c>
      <c r="R138" s="66" t="str">
        <f>IFERROR(VLOOKUP(A138,BUFFS!$H$5:$AF$195,19,),"")</f>
        <v/>
      </c>
      <c r="S138" s="69" t="str">
        <f t="shared" si="10"/>
        <v/>
      </c>
      <c r="T138" s="70" t="str">
        <f>IFERROR(VLOOKUP(A138,BUFFS!$H$5:$AF$195,20,),"")</f>
        <v/>
      </c>
    </row>
    <row r="139" spans="1:20" x14ac:dyDescent="0.35">
      <c r="A139" s="17"/>
      <c r="B139" s="18"/>
      <c r="C139" s="13"/>
      <c r="D139" s="31" t="str">
        <f>IFERROR(VLOOKUP(A139,BUFFS!$H$5:$AF$195,8,),"")</f>
        <v/>
      </c>
      <c r="E139" s="24" t="str">
        <f t="shared" si="8"/>
        <v/>
      </c>
      <c r="F139" s="65" t="str">
        <f>IFERROR(VLOOKUP(A139,BUFFS!$H$5:$AF$195,5,),"")</f>
        <v/>
      </c>
      <c r="G139" s="66" t="str">
        <f>IFERROR(VLOOKUP(A139,BUFFS!$H$5:$AF$195,6,),"")</f>
        <v/>
      </c>
      <c r="H139" s="67" t="str">
        <f>IFERROR(VLOOKUP(A139,BUFFS!$H$5:$AF$195,7,),"")</f>
        <v/>
      </c>
      <c r="I139" s="66" t="str">
        <f>IFERROR(VLOOKUP(A139,BUFFS!$H$5:$AF$195,9,),"")</f>
        <v/>
      </c>
      <c r="J139" s="65" t="str">
        <f>IFERROR(VLOOKUP(A139,BUFFS!$H$5:$AF$195,10,),"")</f>
        <v/>
      </c>
      <c r="K139" s="66" t="str">
        <f>IFERROR(VLOOKUP(A139,BUFFS!$H$5:$AF$195,11,),"")</f>
        <v/>
      </c>
      <c r="L139" s="66" t="str">
        <f>IFERROR(VLOOKUP(A139,BUFFS!$H$5:$AF$195,12,),"")</f>
        <v/>
      </c>
      <c r="M139" s="66" t="str">
        <f>IFERROR(VLOOKUP(A139,BUFFS!$H$5:$AF$195,14,),"")</f>
        <v/>
      </c>
      <c r="N139" s="68" t="str">
        <f t="shared" si="9"/>
        <v/>
      </c>
      <c r="O139" s="65" t="str">
        <f>IFERROR(VLOOKUP(A139,BUFFS!$H$5:$AF$195,15,),"")</f>
        <v/>
      </c>
      <c r="P139" s="66" t="str">
        <f>IFERROR(VLOOKUP(A139,BUFFS!$H$5:$AF$195,16,),"")</f>
        <v/>
      </c>
      <c r="Q139" s="66" t="str">
        <f>IFERROR(VLOOKUP(A139,BUFFS!$H$5:$AF$195,17,),"")</f>
        <v/>
      </c>
      <c r="R139" s="66" t="str">
        <f>IFERROR(VLOOKUP(A139,BUFFS!$H$5:$AF$195,19,),"")</f>
        <v/>
      </c>
      <c r="S139" s="69" t="str">
        <f t="shared" si="10"/>
        <v/>
      </c>
      <c r="T139" s="70" t="str">
        <f>IFERROR(VLOOKUP(A139,BUFFS!$H$5:$AF$195,20,),"")</f>
        <v/>
      </c>
    </row>
    <row r="140" spans="1:20" x14ac:dyDescent="0.35">
      <c r="A140" s="17"/>
      <c r="B140" s="18"/>
      <c r="C140" s="13"/>
      <c r="D140" s="31" t="str">
        <f>IFERROR(VLOOKUP(A140,BUFFS!$H$5:$AF$195,8,),"")</f>
        <v/>
      </c>
      <c r="E140" s="24" t="str">
        <f t="shared" si="8"/>
        <v/>
      </c>
      <c r="F140" s="65" t="str">
        <f>IFERROR(VLOOKUP(A140,BUFFS!$H$5:$AF$195,5,),"")</f>
        <v/>
      </c>
      <c r="G140" s="66" t="str">
        <f>IFERROR(VLOOKUP(A140,BUFFS!$H$5:$AF$195,6,),"")</f>
        <v/>
      </c>
      <c r="H140" s="67" t="str">
        <f>IFERROR(VLOOKUP(A140,BUFFS!$H$5:$AF$195,7,),"")</f>
        <v/>
      </c>
      <c r="I140" s="66" t="str">
        <f>IFERROR(VLOOKUP(A140,BUFFS!$H$5:$AF$195,9,),"")</f>
        <v/>
      </c>
      <c r="J140" s="65" t="str">
        <f>IFERROR(VLOOKUP(A140,BUFFS!$H$5:$AF$195,10,),"")</f>
        <v/>
      </c>
      <c r="K140" s="66" t="str">
        <f>IFERROR(VLOOKUP(A140,BUFFS!$H$5:$AF$195,11,),"")</f>
        <v/>
      </c>
      <c r="L140" s="66" t="str">
        <f>IFERROR(VLOOKUP(A140,BUFFS!$H$5:$AF$195,12,),"")</f>
        <v/>
      </c>
      <c r="M140" s="66" t="str">
        <f>IFERROR(VLOOKUP(A140,BUFFS!$H$5:$AF$195,14,),"")</f>
        <v/>
      </c>
      <c r="N140" s="68" t="str">
        <f t="shared" si="9"/>
        <v/>
      </c>
      <c r="O140" s="65" t="str">
        <f>IFERROR(VLOOKUP(A140,BUFFS!$H$5:$AF$195,15,),"")</f>
        <v/>
      </c>
      <c r="P140" s="66" t="str">
        <f>IFERROR(VLOOKUP(A140,BUFFS!$H$5:$AF$195,16,),"")</f>
        <v/>
      </c>
      <c r="Q140" s="66" t="str">
        <f>IFERROR(VLOOKUP(A140,BUFFS!$H$5:$AF$195,17,),"")</f>
        <v/>
      </c>
      <c r="R140" s="66" t="str">
        <f>IFERROR(VLOOKUP(A140,BUFFS!$H$5:$AF$195,19,),"")</f>
        <v/>
      </c>
      <c r="S140" s="69" t="str">
        <f t="shared" si="10"/>
        <v/>
      </c>
      <c r="T140" s="70" t="str">
        <f>IFERROR(VLOOKUP(A140,BUFFS!$H$5:$AF$195,20,),"")</f>
        <v/>
      </c>
    </row>
    <row r="141" spans="1:20" x14ac:dyDescent="0.35">
      <c r="A141" s="17"/>
      <c r="B141" s="18"/>
      <c r="C141" s="13"/>
      <c r="D141" s="31" t="str">
        <f>IFERROR(VLOOKUP(A141,BUFFS!$H$5:$AF$195,8,),"")</f>
        <v/>
      </c>
      <c r="E141" s="24" t="str">
        <f t="shared" si="8"/>
        <v/>
      </c>
      <c r="F141" s="65" t="str">
        <f>IFERROR(VLOOKUP(A141,BUFFS!$H$5:$AF$195,5,),"")</f>
        <v/>
      </c>
      <c r="G141" s="66" t="str">
        <f>IFERROR(VLOOKUP(A141,BUFFS!$H$5:$AF$195,6,),"")</f>
        <v/>
      </c>
      <c r="H141" s="67" t="str">
        <f>IFERROR(VLOOKUP(A141,BUFFS!$H$5:$AF$195,7,),"")</f>
        <v/>
      </c>
      <c r="I141" s="66" t="str">
        <f>IFERROR(VLOOKUP(A141,BUFFS!$H$5:$AF$195,9,),"")</f>
        <v/>
      </c>
      <c r="J141" s="65" t="str">
        <f>IFERROR(VLOOKUP(A141,BUFFS!$H$5:$AF$195,10,),"")</f>
        <v/>
      </c>
      <c r="K141" s="66" t="str">
        <f>IFERROR(VLOOKUP(A141,BUFFS!$H$5:$AF$195,11,),"")</f>
        <v/>
      </c>
      <c r="L141" s="66" t="str">
        <f>IFERROR(VLOOKUP(A141,BUFFS!$H$5:$AF$195,12,),"")</f>
        <v/>
      </c>
      <c r="M141" s="66" t="str">
        <f>IFERROR(VLOOKUP(A141,BUFFS!$H$5:$AF$195,14,),"")</f>
        <v/>
      </c>
      <c r="N141" s="68" t="str">
        <f t="shared" si="9"/>
        <v/>
      </c>
      <c r="O141" s="65" t="str">
        <f>IFERROR(VLOOKUP(A141,BUFFS!$H$5:$AF$195,15,),"")</f>
        <v/>
      </c>
      <c r="P141" s="66" t="str">
        <f>IFERROR(VLOOKUP(A141,BUFFS!$H$5:$AF$195,16,),"")</f>
        <v/>
      </c>
      <c r="Q141" s="66" t="str">
        <f>IFERROR(VLOOKUP(A141,BUFFS!$H$5:$AF$195,17,),"")</f>
        <v/>
      </c>
      <c r="R141" s="66" t="str">
        <f>IFERROR(VLOOKUP(A141,BUFFS!$H$5:$AF$195,19,),"")</f>
        <v/>
      </c>
      <c r="S141" s="69" t="str">
        <f t="shared" si="10"/>
        <v/>
      </c>
      <c r="T141" s="70" t="str">
        <f>IFERROR(VLOOKUP(A141,BUFFS!$H$5:$AF$195,20,),"")</f>
        <v/>
      </c>
    </row>
    <row r="142" spans="1:20" x14ac:dyDescent="0.35">
      <c r="A142" s="17"/>
      <c r="B142" s="18"/>
      <c r="C142" s="13"/>
      <c r="D142" s="31" t="str">
        <f>IFERROR(VLOOKUP(A142,BUFFS!$H$5:$AF$195,8,),"")</f>
        <v/>
      </c>
      <c r="E142" s="24" t="str">
        <f t="shared" si="8"/>
        <v/>
      </c>
      <c r="F142" s="65" t="str">
        <f>IFERROR(VLOOKUP(A142,BUFFS!$H$5:$AF$195,5,),"")</f>
        <v/>
      </c>
      <c r="G142" s="66" t="str">
        <f>IFERROR(VLOOKUP(A142,BUFFS!$H$5:$AF$195,6,),"")</f>
        <v/>
      </c>
      <c r="H142" s="67" t="str">
        <f>IFERROR(VLOOKUP(A142,BUFFS!$H$5:$AF$195,7,),"")</f>
        <v/>
      </c>
      <c r="I142" s="66" t="str">
        <f>IFERROR(VLOOKUP(A142,BUFFS!$H$5:$AF$195,9,),"")</f>
        <v/>
      </c>
      <c r="J142" s="65" t="str">
        <f>IFERROR(VLOOKUP(A142,BUFFS!$H$5:$AF$195,10,),"")</f>
        <v/>
      </c>
      <c r="K142" s="66" t="str">
        <f>IFERROR(VLOOKUP(A142,BUFFS!$H$5:$AF$195,11,),"")</f>
        <v/>
      </c>
      <c r="L142" s="66" t="str">
        <f>IFERROR(VLOOKUP(A142,BUFFS!$H$5:$AF$195,12,),"")</f>
        <v/>
      </c>
      <c r="M142" s="66" t="str">
        <f>IFERROR(VLOOKUP(A142,BUFFS!$H$5:$AF$195,14,),"")</f>
        <v/>
      </c>
      <c r="N142" s="68" t="str">
        <f t="shared" si="9"/>
        <v/>
      </c>
      <c r="O142" s="65" t="str">
        <f>IFERROR(VLOOKUP(A142,BUFFS!$H$5:$AF$195,15,),"")</f>
        <v/>
      </c>
      <c r="P142" s="66" t="str">
        <f>IFERROR(VLOOKUP(A142,BUFFS!$H$5:$AF$195,16,),"")</f>
        <v/>
      </c>
      <c r="Q142" s="66" t="str">
        <f>IFERROR(VLOOKUP(A142,BUFFS!$H$5:$AF$195,17,),"")</f>
        <v/>
      </c>
      <c r="R142" s="66" t="str">
        <f>IFERROR(VLOOKUP(A142,BUFFS!$H$5:$AF$195,19,),"")</f>
        <v/>
      </c>
      <c r="S142" s="69" t="str">
        <f t="shared" si="10"/>
        <v/>
      </c>
      <c r="T142" s="70" t="str">
        <f>IFERROR(VLOOKUP(A142,BUFFS!$H$5:$AF$195,20,),"")</f>
        <v/>
      </c>
    </row>
    <row r="143" spans="1:20" x14ac:dyDescent="0.35">
      <c r="A143" s="17"/>
      <c r="B143" s="18"/>
      <c r="C143" s="13"/>
      <c r="D143" s="31" t="str">
        <f>IFERROR(VLOOKUP(A143,BUFFS!$H$5:$AF$195,8,),"")</f>
        <v/>
      </c>
      <c r="E143" s="24" t="str">
        <f t="shared" si="8"/>
        <v/>
      </c>
      <c r="F143" s="65" t="str">
        <f>IFERROR(VLOOKUP(A143,BUFFS!$H$5:$AF$195,5,),"")</f>
        <v/>
      </c>
      <c r="G143" s="66" t="str">
        <f>IFERROR(VLOOKUP(A143,BUFFS!$H$5:$AF$195,6,),"")</f>
        <v/>
      </c>
      <c r="H143" s="67" t="str">
        <f>IFERROR(VLOOKUP(A143,BUFFS!$H$5:$AF$195,7,),"")</f>
        <v/>
      </c>
      <c r="I143" s="66" t="str">
        <f>IFERROR(VLOOKUP(A143,BUFFS!$H$5:$AF$195,9,),"")</f>
        <v/>
      </c>
      <c r="J143" s="65" t="str">
        <f>IFERROR(VLOOKUP(A143,BUFFS!$H$5:$AF$195,10,),"")</f>
        <v/>
      </c>
      <c r="K143" s="66" t="str">
        <f>IFERROR(VLOOKUP(A143,BUFFS!$H$5:$AF$195,11,),"")</f>
        <v/>
      </c>
      <c r="L143" s="66" t="str">
        <f>IFERROR(VLOOKUP(A143,BUFFS!$H$5:$AF$195,12,),"")</f>
        <v/>
      </c>
      <c r="M143" s="66" t="str">
        <f>IFERROR(VLOOKUP(A143,BUFFS!$H$5:$AF$195,14,),"")</f>
        <v/>
      </c>
      <c r="N143" s="68" t="str">
        <f t="shared" si="9"/>
        <v/>
      </c>
      <c r="O143" s="65" t="str">
        <f>IFERROR(VLOOKUP(A143,BUFFS!$H$5:$AF$195,15,),"")</f>
        <v/>
      </c>
      <c r="P143" s="66" t="str">
        <f>IFERROR(VLOOKUP(A143,BUFFS!$H$5:$AF$195,16,),"")</f>
        <v/>
      </c>
      <c r="Q143" s="66" t="str">
        <f>IFERROR(VLOOKUP(A143,BUFFS!$H$5:$AF$195,17,),"")</f>
        <v/>
      </c>
      <c r="R143" s="66" t="str">
        <f>IFERROR(VLOOKUP(A143,BUFFS!$H$5:$AF$195,19,),"")</f>
        <v/>
      </c>
      <c r="S143" s="69" t="str">
        <f t="shared" si="10"/>
        <v/>
      </c>
      <c r="T143" s="70" t="str">
        <f>IFERROR(VLOOKUP(A143,BUFFS!$H$5:$AF$195,20,),"")</f>
        <v/>
      </c>
    </row>
    <row r="144" spans="1:20" x14ac:dyDescent="0.35">
      <c r="A144" s="17"/>
      <c r="B144" s="18"/>
      <c r="C144" s="13"/>
      <c r="D144" s="31" t="str">
        <f>IFERROR(VLOOKUP(A144,BUFFS!$H$5:$AF$195,8,),"")</f>
        <v/>
      </c>
      <c r="E144" s="24" t="str">
        <f t="shared" si="8"/>
        <v/>
      </c>
      <c r="F144" s="65" t="str">
        <f>IFERROR(VLOOKUP(A144,BUFFS!$H$5:$AF$195,5,),"")</f>
        <v/>
      </c>
      <c r="G144" s="66" t="str">
        <f>IFERROR(VLOOKUP(A144,BUFFS!$H$5:$AF$195,6,),"")</f>
        <v/>
      </c>
      <c r="H144" s="67" t="str">
        <f>IFERROR(VLOOKUP(A144,BUFFS!$H$5:$AF$195,7,),"")</f>
        <v/>
      </c>
      <c r="I144" s="66" t="str">
        <f>IFERROR(VLOOKUP(A144,BUFFS!$H$5:$AF$195,9,),"")</f>
        <v/>
      </c>
      <c r="J144" s="65" t="str">
        <f>IFERROR(VLOOKUP(A144,BUFFS!$H$5:$AF$195,10,),"")</f>
        <v/>
      </c>
      <c r="K144" s="66" t="str">
        <f>IFERROR(VLOOKUP(A144,BUFFS!$H$5:$AF$195,11,),"")</f>
        <v/>
      </c>
      <c r="L144" s="66" t="str">
        <f>IFERROR(VLOOKUP(A144,BUFFS!$H$5:$AF$195,12,),"")</f>
        <v/>
      </c>
      <c r="M144" s="66" t="str">
        <f>IFERROR(VLOOKUP(A144,BUFFS!$H$5:$AF$195,14,),"")</f>
        <v/>
      </c>
      <c r="N144" s="68" t="str">
        <f t="shared" si="9"/>
        <v/>
      </c>
      <c r="O144" s="65" t="str">
        <f>IFERROR(VLOOKUP(A144,BUFFS!$H$5:$AF$195,15,),"")</f>
        <v/>
      </c>
      <c r="P144" s="66" t="str">
        <f>IFERROR(VLOOKUP(A144,BUFFS!$H$5:$AF$195,16,),"")</f>
        <v/>
      </c>
      <c r="Q144" s="66" t="str">
        <f>IFERROR(VLOOKUP(A144,BUFFS!$H$5:$AF$195,17,),"")</f>
        <v/>
      </c>
      <c r="R144" s="66" t="str">
        <f>IFERROR(VLOOKUP(A144,BUFFS!$H$5:$AF$195,19,),"")</f>
        <v/>
      </c>
      <c r="S144" s="69" t="str">
        <f t="shared" si="10"/>
        <v/>
      </c>
      <c r="T144" s="70" t="str">
        <f>IFERROR(VLOOKUP(A144,BUFFS!$H$5:$AF$195,20,),"")</f>
        <v/>
      </c>
    </row>
    <row r="145" spans="1:20" x14ac:dyDescent="0.35">
      <c r="A145" s="17"/>
      <c r="B145" s="18"/>
      <c r="C145" s="13"/>
      <c r="D145" s="31" t="str">
        <f>IFERROR(VLOOKUP(A145,BUFFS!$H$5:$AF$195,8,),"")</f>
        <v/>
      </c>
      <c r="E145" s="24" t="str">
        <f t="shared" si="8"/>
        <v/>
      </c>
      <c r="F145" s="65" t="str">
        <f>IFERROR(VLOOKUP(A145,BUFFS!$H$5:$AF$195,5,),"")</f>
        <v/>
      </c>
      <c r="G145" s="66" t="str">
        <f>IFERROR(VLOOKUP(A145,BUFFS!$H$5:$AF$195,6,),"")</f>
        <v/>
      </c>
      <c r="H145" s="67" t="str">
        <f>IFERROR(VLOOKUP(A145,BUFFS!$H$5:$AF$195,7,),"")</f>
        <v/>
      </c>
      <c r="I145" s="66" t="str">
        <f>IFERROR(VLOOKUP(A145,BUFFS!$H$5:$AF$195,9,),"")</f>
        <v/>
      </c>
      <c r="J145" s="65" t="str">
        <f>IFERROR(VLOOKUP(A145,BUFFS!$H$5:$AF$195,10,),"")</f>
        <v/>
      </c>
      <c r="K145" s="66" t="str">
        <f>IFERROR(VLOOKUP(A145,BUFFS!$H$5:$AF$195,11,),"")</f>
        <v/>
      </c>
      <c r="L145" s="66" t="str">
        <f>IFERROR(VLOOKUP(A145,BUFFS!$H$5:$AF$195,12,),"")</f>
        <v/>
      </c>
      <c r="M145" s="66" t="str">
        <f>IFERROR(VLOOKUP(A145,BUFFS!$H$5:$AF$195,14,),"")</f>
        <v/>
      </c>
      <c r="N145" s="68" t="str">
        <f t="shared" si="9"/>
        <v/>
      </c>
      <c r="O145" s="65" t="str">
        <f>IFERROR(VLOOKUP(A145,BUFFS!$H$5:$AF$195,15,),"")</f>
        <v/>
      </c>
      <c r="P145" s="66" t="str">
        <f>IFERROR(VLOOKUP(A145,BUFFS!$H$5:$AF$195,16,),"")</f>
        <v/>
      </c>
      <c r="Q145" s="66" t="str">
        <f>IFERROR(VLOOKUP(A145,BUFFS!$H$5:$AF$195,17,),"")</f>
        <v/>
      </c>
      <c r="R145" s="66" t="str">
        <f>IFERROR(VLOOKUP(A145,BUFFS!$H$5:$AF$195,19,),"")</f>
        <v/>
      </c>
      <c r="S145" s="69" t="str">
        <f t="shared" si="10"/>
        <v/>
      </c>
      <c r="T145" s="70" t="str">
        <f>IFERROR(VLOOKUP(A145,BUFFS!$H$5:$AF$195,20,),"")</f>
        <v/>
      </c>
    </row>
    <row r="146" spans="1:20" x14ac:dyDescent="0.35">
      <c r="A146" s="17"/>
      <c r="B146" s="18"/>
      <c r="C146" s="13"/>
      <c r="D146" s="31" t="str">
        <f>IFERROR(VLOOKUP(A146,BUFFS!$H$5:$AF$195,8,),"")</f>
        <v/>
      </c>
      <c r="E146" s="24" t="str">
        <f t="shared" si="8"/>
        <v/>
      </c>
      <c r="F146" s="65" t="str">
        <f>IFERROR(VLOOKUP(A146,BUFFS!$H$5:$AF$195,5,),"")</f>
        <v/>
      </c>
      <c r="G146" s="66" t="str">
        <f>IFERROR(VLOOKUP(A146,BUFFS!$H$5:$AF$195,6,),"")</f>
        <v/>
      </c>
      <c r="H146" s="67" t="str">
        <f>IFERROR(VLOOKUP(A146,BUFFS!$H$5:$AF$195,7,),"")</f>
        <v/>
      </c>
      <c r="I146" s="66" t="str">
        <f>IFERROR(VLOOKUP(A146,BUFFS!$H$5:$AF$195,9,),"")</f>
        <v/>
      </c>
      <c r="J146" s="65" t="str">
        <f>IFERROR(VLOOKUP(A146,BUFFS!$H$5:$AF$195,10,),"")</f>
        <v/>
      </c>
      <c r="K146" s="66" t="str">
        <f>IFERROR(VLOOKUP(A146,BUFFS!$H$5:$AF$195,11,),"")</f>
        <v/>
      </c>
      <c r="L146" s="66" t="str">
        <f>IFERROR(VLOOKUP(A146,BUFFS!$H$5:$AF$195,12,),"")</f>
        <v/>
      </c>
      <c r="M146" s="66" t="str">
        <f>IFERROR(VLOOKUP(A146,BUFFS!$H$5:$AF$195,14,),"")</f>
        <v/>
      </c>
      <c r="N146" s="68" t="str">
        <f t="shared" si="9"/>
        <v/>
      </c>
      <c r="O146" s="65" t="str">
        <f>IFERROR(VLOOKUP(A146,BUFFS!$H$5:$AF$195,15,),"")</f>
        <v/>
      </c>
      <c r="P146" s="66" t="str">
        <f>IFERROR(VLOOKUP(A146,BUFFS!$H$5:$AF$195,16,),"")</f>
        <v/>
      </c>
      <c r="Q146" s="66" t="str">
        <f>IFERROR(VLOOKUP(A146,BUFFS!$H$5:$AF$195,17,),"")</f>
        <v/>
      </c>
      <c r="R146" s="66" t="str">
        <f>IFERROR(VLOOKUP(A146,BUFFS!$H$5:$AF$195,19,),"")</f>
        <v/>
      </c>
      <c r="S146" s="69" t="str">
        <f t="shared" si="10"/>
        <v/>
      </c>
      <c r="T146" s="70" t="str">
        <f>IFERROR(VLOOKUP(A146,BUFFS!$H$5:$AF$195,20,),"")</f>
        <v/>
      </c>
    </row>
    <row r="147" spans="1:20" x14ac:dyDescent="0.35">
      <c r="A147" s="17"/>
      <c r="B147" s="18"/>
      <c r="C147" s="13"/>
      <c r="D147" s="31" t="str">
        <f>IFERROR(VLOOKUP(A147,BUFFS!$H$5:$AF$195,8,),"")</f>
        <v/>
      </c>
      <c r="E147" s="24" t="str">
        <f t="shared" si="8"/>
        <v/>
      </c>
      <c r="F147" s="65" t="str">
        <f>IFERROR(VLOOKUP(A147,BUFFS!$H$5:$AF$195,5,),"")</f>
        <v/>
      </c>
      <c r="G147" s="66" t="str">
        <f>IFERROR(VLOOKUP(A147,BUFFS!$H$5:$AF$195,6,),"")</f>
        <v/>
      </c>
      <c r="H147" s="67" t="str">
        <f>IFERROR(VLOOKUP(A147,BUFFS!$H$5:$AF$195,7,),"")</f>
        <v/>
      </c>
      <c r="I147" s="66" t="str">
        <f>IFERROR(VLOOKUP(A147,BUFFS!$H$5:$AF$195,9,),"")</f>
        <v/>
      </c>
      <c r="J147" s="65" t="str">
        <f>IFERROR(VLOOKUP(A147,BUFFS!$H$5:$AF$195,10,),"")</f>
        <v/>
      </c>
      <c r="K147" s="66" t="str">
        <f>IFERROR(VLOOKUP(A147,BUFFS!$H$5:$AF$195,11,),"")</f>
        <v/>
      </c>
      <c r="L147" s="66" t="str">
        <f>IFERROR(VLOOKUP(A147,BUFFS!$H$5:$AF$195,12,),"")</f>
        <v/>
      </c>
      <c r="M147" s="66" t="str">
        <f>IFERROR(VLOOKUP(A147,BUFFS!$H$5:$AF$195,14,),"")</f>
        <v/>
      </c>
      <c r="N147" s="68" t="str">
        <f t="shared" si="9"/>
        <v/>
      </c>
      <c r="O147" s="65" t="str">
        <f>IFERROR(VLOOKUP(A147,BUFFS!$H$5:$AF$195,15,),"")</f>
        <v/>
      </c>
      <c r="P147" s="66" t="str">
        <f>IFERROR(VLOOKUP(A147,BUFFS!$H$5:$AF$195,16,),"")</f>
        <v/>
      </c>
      <c r="Q147" s="66" t="str">
        <f>IFERROR(VLOOKUP(A147,BUFFS!$H$5:$AF$195,17,),"")</f>
        <v/>
      </c>
      <c r="R147" s="66" t="str">
        <f>IFERROR(VLOOKUP(A147,BUFFS!$H$5:$AF$195,19,),"")</f>
        <v/>
      </c>
      <c r="S147" s="69" t="str">
        <f t="shared" si="10"/>
        <v/>
      </c>
      <c r="T147" s="70" t="str">
        <f>IFERROR(VLOOKUP(A147,BUFFS!$H$5:$AF$195,20,),"")</f>
        <v/>
      </c>
    </row>
    <row r="148" spans="1:20" x14ac:dyDescent="0.35">
      <c r="A148" s="17"/>
      <c r="B148" s="18"/>
      <c r="C148" s="13"/>
      <c r="D148" s="31" t="str">
        <f>IFERROR(VLOOKUP(A148,BUFFS!$H$5:$AF$195,8,),"")</f>
        <v/>
      </c>
      <c r="E148" s="24" t="str">
        <f t="shared" si="8"/>
        <v/>
      </c>
      <c r="F148" s="65" t="str">
        <f>IFERROR(VLOOKUP(A148,BUFFS!$H$5:$AF$195,5,),"")</f>
        <v/>
      </c>
      <c r="G148" s="66" t="str">
        <f>IFERROR(VLOOKUP(A148,BUFFS!$H$5:$AF$195,6,),"")</f>
        <v/>
      </c>
      <c r="H148" s="67" t="str">
        <f>IFERROR(VLOOKUP(A148,BUFFS!$H$5:$AF$195,7,),"")</f>
        <v/>
      </c>
      <c r="I148" s="66" t="str">
        <f>IFERROR(VLOOKUP(A148,BUFFS!$H$5:$AF$195,9,),"")</f>
        <v/>
      </c>
      <c r="J148" s="65" t="str">
        <f>IFERROR(VLOOKUP(A148,BUFFS!$H$5:$AF$195,10,),"")</f>
        <v/>
      </c>
      <c r="K148" s="66" t="str">
        <f>IFERROR(VLOOKUP(A148,BUFFS!$H$5:$AF$195,11,),"")</f>
        <v/>
      </c>
      <c r="L148" s="66" t="str">
        <f>IFERROR(VLOOKUP(A148,BUFFS!$H$5:$AF$195,12,),"")</f>
        <v/>
      </c>
      <c r="M148" s="66" t="str">
        <f>IFERROR(VLOOKUP(A148,BUFFS!$H$5:$AF$195,14,),"")</f>
        <v/>
      </c>
      <c r="N148" s="68" t="str">
        <f t="shared" si="9"/>
        <v/>
      </c>
      <c r="O148" s="65" t="str">
        <f>IFERROR(VLOOKUP(A148,BUFFS!$H$5:$AF$195,15,),"")</f>
        <v/>
      </c>
      <c r="P148" s="66" t="str">
        <f>IFERROR(VLOOKUP(A148,BUFFS!$H$5:$AF$195,16,),"")</f>
        <v/>
      </c>
      <c r="Q148" s="66" t="str">
        <f>IFERROR(VLOOKUP(A148,BUFFS!$H$5:$AF$195,17,),"")</f>
        <v/>
      </c>
      <c r="R148" s="66" t="str">
        <f>IFERROR(VLOOKUP(A148,BUFFS!$H$5:$AF$195,19,),"")</f>
        <v/>
      </c>
      <c r="S148" s="69" t="str">
        <f t="shared" si="10"/>
        <v/>
      </c>
      <c r="T148" s="70" t="str">
        <f>IFERROR(VLOOKUP(A148,BUFFS!$H$5:$AF$195,20,),"")</f>
        <v/>
      </c>
    </row>
    <row r="149" spans="1:20" x14ac:dyDescent="0.35">
      <c r="A149" s="17"/>
      <c r="B149" s="18"/>
      <c r="C149" s="13"/>
      <c r="D149" s="31" t="str">
        <f>IFERROR(VLOOKUP(A149,BUFFS!$H$5:$AF$195,8,),"")</f>
        <v/>
      </c>
      <c r="E149" s="24" t="str">
        <f t="shared" si="8"/>
        <v/>
      </c>
      <c r="F149" s="65" t="str">
        <f>IFERROR(VLOOKUP(A149,BUFFS!$H$5:$AF$195,5,),"")</f>
        <v/>
      </c>
      <c r="G149" s="66" t="str">
        <f>IFERROR(VLOOKUP(A149,BUFFS!$H$5:$AF$195,6,),"")</f>
        <v/>
      </c>
      <c r="H149" s="67" t="str">
        <f>IFERROR(VLOOKUP(A149,BUFFS!$H$5:$AF$195,7,),"")</f>
        <v/>
      </c>
      <c r="I149" s="66" t="str">
        <f>IFERROR(VLOOKUP(A149,BUFFS!$H$5:$AF$195,9,),"")</f>
        <v/>
      </c>
      <c r="J149" s="65" t="str">
        <f>IFERROR(VLOOKUP(A149,BUFFS!$H$5:$AF$195,10,),"")</f>
        <v/>
      </c>
      <c r="K149" s="66" t="str">
        <f>IFERROR(VLOOKUP(A149,BUFFS!$H$5:$AF$195,11,),"")</f>
        <v/>
      </c>
      <c r="L149" s="66" t="str">
        <f>IFERROR(VLOOKUP(A149,BUFFS!$H$5:$AF$195,12,),"")</f>
        <v/>
      </c>
      <c r="M149" s="66" t="str">
        <f>IFERROR(VLOOKUP(A149,BUFFS!$H$5:$AF$195,14,),"")</f>
        <v/>
      </c>
      <c r="N149" s="68" t="str">
        <f t="shared" si="9"/>
        <v/>
      </c>
      <c r="O149" s="65" t="str">
        <f>IFERROR(VLOOKUP(A149,BUFFS!$H$5:$AF$195,15,),"")</f>
        <v/>
      </c>
      <c r="P149" s="66" t="str">
        <f>IFERROR(VLOOKUP(A149,BUFFS!$H$5:$AF$195,16,),"")</f>
        <v/>
      </c>
      <c r="Q149" s="66" t="str">
        <f>IFERROR(VLOOKUP(A149,BUFFS!$H$5:$AF$195,17,),"")</f>
        <v/>
      </c>
      <c r="R149" s="66" t="str">
        <f>IFERROR(VLOOKUP(A149,BUFFS!$H$5:$AF$195,19,),"")</f>
        <v/>
      </c>
      <c r="S149" s="69" t="str">
        <f t="shared" si="10"/>
        <v/>
      </c>
      <c r="T149" s="70" t="str">
        <f>IFERROR(VLOOKUP(A149,BUFFS!$H$5:$AF$195,20,),"")</f>
        <v/>
      </c>
    </row>
    <row r="150" spans="1:20" x14ac:dyDescent="0.35">
      <c r="A150" s="17"/>
      <c r="B150" s="18"/>
      <c r="C150" s="13"/>
      <c r="D150" s="31" t="str">
        <f>IFERROR(VLOOKUP(A150,BUFFS!$H$5:$AF$195,8,),"")</f>
        <v/>
      </c>
      <c r="E150" s="24" t="str">
        <f t="shared" si="8"/>
        <v/>
      </c>
      <c r="F150" s="65" t="str">
        <f>IFERROR(VLOOKUP(A150,BUFFS!$H$5:$AF$195,5,),"")</f>
        <v/>
      </c>
      <c r="G150" s="66" t="str">
        <f>IFERROR(VLOOKUP(A150,BUFFS!$H$5:$AF$195,6,),"")</f>
        <v/>
      </c>
      <c r="H150" s="67" t="str">
        <f>IFERROR(VLOOKUP(A150,BUFFS!$H$5:$AF$195,7,),"")</f>
        <v/>
      </c>
      <c r="I150" s="66" t="str">
        <f>IFERROR(VLOOKUP(A150,BUFFS!$H$5:$AF$195,9,),"")</f>
        <v/>
      </c>
      <c r="J150" s="65" t="str">
        <f>IFERROR(VLOOKUP(A150,BUFFS!$H$5:$AF$195,10,),"")</f>
        <v/>
      </c>
      <c r="K150" s="66" t="str">
        <f>IFERROR(VLOOKUP(A150,BUFFS!$H$5:$AF$195,11,),"")</f>
        <v/>
      </c>
      <c r="L150" s="66" t="str">
        <f>IFERROR(VLOOKUP(A150,BUFFS!$H$5:$AF$195,12,),"")</f>
        <v/>
      </c>
      <c r="M150" s="66" t="str">
        <f>IFERROR(VLOOKUP(A150,BUFFS!$H$5:$AF$195,14,),"")</f>
        <v/>
      </c>
      <c r="N150" s="68" t="str">
        <f t="shared" si="9"/>
        <v/>
      </c>
      <c r="O150" s="65" t="str">
        <f>IFERROR(VLOOKUP(A150,BUFFS!$H$5:$AF$195,15,),"")</f>
        <v/>
      </c>
      <c r="P150" s="66" t="str">
        <f>IFERROR(VLOOKUP(A150,BUFFS!$H$5:$AF$195,16,),"")</f>
        <v/>
      </c>
      <c r="Q150" s="66" t="str">
        <f>IFERROR(VLOOKUP(A150,BUFFS!$H$5:$AF$195,17,),"")</f>
        <v/>
      </c>
      <c r="R150" s="66" t="str">
        <f>IFERROR(VLOOKUP(A150,BUFFS!$H$5:$AF$195,19,),"")</f>
        <v/>
      </c>
      <c r="S150" s="69" t="str">
        <f t="shared" si="10"/>
        <v/>
      </c>
      <c r="T150" s="70" t="str">
        <f>IFERROR(VLOOKUP(A150,BUFFS!$H$5:$AF$195,20,),"")</f>
        <v/>
      </c>
    </row>
    <row r="151" spans="1:20" x14ac:dyDescent="0.35">
      <c r="A151" s="17"/>
      <c r="B151" s="18"/>
      <c r="C151" s="13"/>
      <c r="D151" s="31" t="str">
        <f>IFERROR(VLOOKUP(A151,BUFFS!$H$5:$AF$195,8,),"")</f>
        <v/>
      </c>
      <c r="E151" s="24" t="str">
        <f t="shared" si="8"/>
        <v/>
      </c>
      <c r="F151" s="65" t="str">
        <f>IFERROR(VLOOKUP(A151,BUFFS!$H$5:$AF$195,5,),"")</f>
        <v/>
      </c>
      <c r="G151" s="66" t="str">
        <f>IFERROR(VLOOKUP(A151,BUFFS!$H$5:$AF$195,6,),"")</f>
        <v/>
      </c>
      <c r="H151" s="67" t="str">
        <f>IFERROR(VLOOKUP(A151,BUFFS!$H$5:$AF$195,7,),"")</f>
        <v/>
      </c>
      <c r="I151" s="66" t="str">
        <f>IFERROR(VLOOKUP(A151,BUFFS!$H$5:$AF$195,9,),"")</f>
        <v/>
      </c>
      <c r="J151" s="65" t="str">
        <f>IFERROR(VLOOKUP(A151,BUFFS!$H$5:$AF$195,10,),"")</f>
        <v/>
      </c>
      <c r="K151" s="66" t="str">
        <f>IFERROR(VLOOKUP(A151,BUFFS!$H$5:$AF$195,11,),"")</f>
        <v/>
      </c>
      <c r="L151" s="66" t="str">
        <f>IFERROR(VLOOKUP(A151,BUFFS!$H$5:$AF$195,12,),"")</f>
        <v/>
      </c>
      <c r="M151" s="66" t="str">
        <f>IFERROR(VLOOKUP(A151,BUFFS!$H$5:$AF$195,14,),"")</f>
        <v/>
      </c>
      <c r="N151" s="68" t="str">
        <f t="shared" si="9"/>
        <v/>
      </c>
      <c r="O151" s="65" t="str">
        <f>IFERROR(VLOOKUP(A151,BUFFS!$H$5:$AF$195,15,),"")</f>
        <v/>
      </c>
      <c r="P151" s="66" t="str">
        <f>IFERROR(VLOOKUP(A151,BUFFS!$H$5:$AF$195,16,),"")</f>
        <v/>
      </c>
      <c r="Q151" s="66" t="str">
        <f>IFERROR(VLOOKUP(A151,BUFFS!$H$5:$AF$195,17,),"")</f>
        <v/>
      </c>
      <c r="R151" s="66" t="str">
        <f>IFERROR(VLOOKUP(A151,BUFFS!$H$5:$AF$195,19,),"")</f>
        <v/>
      </c>
      <c r="S151" s="69" t="str">
        <f t="shared" si="10"/>
        <v/>
      </c>
      <c r="T151" s="70" t="str">
        <f>IFERROR(VLOOKUP(A151,BUFFS!$H$5:$AF$195,20,),"")</f>
        <v/>
      </c>
    </row>
    <row r="152" spans="1:20" x14ac:dyDescent="0.35">
      <c r="A152" s="17"/>
      <c r="B152" s="18"/>
      <c r="C152" s="13"/>
      <c r="D152" s="31" t="str">
        <f>IFERROR(VLOOKUP(A152,BUFFS!$H$5:$AF$195,8,),"")</f>
        <v/>
      </c>
      <c r="E152" s="24" t="str">
        <f t="shared" si="8"/>
        <v/>
      </c>
      <c r="F152" s="65" t="str">
        <f>IFERROR(VLOOKUP(A152,BUFFS!$H$5:$AF$195,5,),"")</f>
        <v/>
      </c>
      <c r="G152" s="66" t="str">
        <f>IFERROR(VLOOKUP(A152,BUFFS!$H$5:$AF$195,6,),"")</f>
        <v/>
      </c>
      <c r="H152" s="67" t="str">
        <f>IFERROR(VLOOKUP(A152,BUFFS!$H$5:$AF$195,7,),"")</f>
        <v/>
      </c>
      <c r="I152" s="66" t="str">
        <f>IFERROR(VLOOKUP(A152,BUFFS!$H$5:$AF$195,9,),"")</f>
        <v/>
      </c>
      <c r="J152" s="65" t="str">
        <f>IFERROR(VLOOKUP(A152,BUFFS!$H$5:$AF$195,10,),"")</f>
        <v/>
      </c>
      <c r="K152" s="66" t="str">
        <f>IFERROR(VLOOKUP(A152,BUFFS!$H$5:$AF$195,11,),"")</f>
        <v/>
      </c>
      <c r="L152" s="66" t="str">
        <f>IFERROR(VLOOKUP(A152,BUFFS!$H$5:$AF$195,12,),"")</f>
        <v/>
      </c>
      <c r="M152" s="66" t="str">
        <f>IFERROR(VLOOKUP(A152,BUFFS!$H$5:$AF$195,14,),"")</f>
        <v/>
      </c>
      <c r="N152" s="68" t="str">
        <f t="shared" si="9"/>
        <v/>
      </c>
      <c r="O152" s="65" t="str">
        <f>IFERROR(VLOOKUP(A152,BUFFS!$H$5:$AF$195,15,),"")</f>
        <v/>
      </c>
      <c r="P152" s="66" t="str">
        <f>IFERROR(VLOOKUP(A152,BUFFS!$H$5:$AF$195,16,),"")</f>
        <v/>
      </c>
      <c r="Q152" s="66" t="str">
        <f>IFERROR(VLOOKUP(A152,BUFFS!$H$5:$AF$195,17,),"")</f>
        <v/>
      </c>
      <c r="R152" s="66" t="str">
        <f>IFERROR(VLOOKUP(A152,BUFFS!$H$5:$AF$195,19,),"")</f>
        <v/>
      </c>
      <c r="S152" s="69" t="str">
        <f t="shared" si="10"/>
        <v/>
      </c>
      <c r="T152" s="70" t="str">
        <f>IFERROR(VLOOKUP(A152,BUFFS!$H$5:$AF$195,20,),"")</f>
        <v/>
      </c>
    </row>
    <row r="153" spans="1:20" x14ac:dyDescent="0.35">
      <c r="A153" s="17"/>
      <c r="B153" s="18"/>
      <c r="C153" s="13"/>
      <c r="D153" s="31" t="str">
        <f>IFERROR(VLOOKUP(A153,BUFFS!$H$5:$AF$195,8,),"")</f>
        <v/>
      </c>
      <c r="E153" s="24" t="str">
        <f t="shared" si="8"/>
        <v/>
      </c>
      <c r="F153" s="65" t="str">
        <f>IFERROR(VLOOKUP(A153,BUFFS!$H$5:$AF$195,5,),"")</f>
        <v/>
      </c>
      <c r="G153" s="66" t="str">
        <f>IFERROR(VLOOKUP(A153,BUFFS!$H$5:$AF$195,6,),"")</f>
        <v/>
      </c>
      <c r="H153" s="67" t="str">
        <f>IFERROR(VLOOKUP(A153,BUFFS!$H$5:$AF$195,7,),"")</f>
        <v/>
      </c>
      <c r="I153" s="66" t="str">
        <f>IFERROR(VLOOKUP(A153,BUFFS!$H$5:$AF$195,9,),"")</f>
        <v/>
      </c>
      <c r="J153" s="65" t="str">
        <f>IFERROR(VLOOKUP(A153,BUFFS!$H$5:$AF$195,10,),"")</f>
        <v/>
      </c>
      <c r="K153" s="66" t="str">
        <f>IFERROR(VLOOKUP(A153,BUFFS!$H$5:$AF$195,11,),"")</f>
        <v/>
      </c>
      <c r="L153" s="66" t="str">
        <f>IFERROR(VLOOKUP(A153,BUFFS!$H$5:$AF$195,12,),"")</f>
        <v/>
      </c>
      <c r="M153" s="66" t="str">
        <f>IFERROR(VLOOKUP(A153,BUFFS!$H$5:$AF$195,14,),"")</f>
        <v/>
      </c>
      <c r="N153" s="68" t="str">
        <f t="shared" si="9"/>
        <v/>
      </c>
      <c r="O153" s="65" t="str">
        <f>IFERROR(VLOOKUP(A153,BUFFS!$H$5:$AF$195,15,),"")</f>
        <v/>
      </c>
      <c r="P153" s="66" t="str">
        <f>IFERROR(VLOOKUP(A153,BUFFS!$H$5:$AF$195,16,),"")</f>
        <v/>
      </c>
      <c r="Q153" s="66" t="str">
        <f>IFERROR(VLOOKUP(A153,BUFFS!$H$5:$AF$195,17,),"")</f>
        <v/>
      </c>
      <c r="R153" s="66" t="str">
        <f>IFERROR(VLOOKUP(A153,BUFFS!$H$5:$AF$195,19,),"")</f>
        <v/>
      </c>
      <c r="S153" s="69" t="str">
        <f t="shared" si="10"/>
        <v/>
      </c>
      <c r="T153" s="70" t="str">
        <f>IFERROR(VLOOKUP(A153,BUFFS!$H$5:$AF$195,20,),"")</f>
        <v/>
      </c>
    </row>
    <row r="154" spans="1:20" x14ac:dyDescent="0.35">
      <c r="A154" s="17"/>
      <c r="B154" s="18"/>
      <c r="C154" s="13"/>
      <c r="D154" s="31" t="str">
        <f>IFERROR(VLOOKUP(A154,BUFFS!$H$5:$AF$195,8,),"")</f>
        <v/>
      </c>
      <c r="E154" s="24" t="str">
        <f t="shared" si="8"/>
        <v/>
      </c>
      <c r="F154" s="65" t="str">
        <f>IFERROR(VLOOKUP(A154,BUFFS!$H$5:$AF$195,5,),"")</f>
        <v/>
      </c>
      <c r="G154" s="66" t="str">
        <f>IFERROR(VLOOKUP(A154,BUFFS!$H$5:$AF$195,6,),"")</f>
        <v/>
      </c>
      <c r="H154" s="67" t="str">
        <f>IFERROR(VLOOKUP(A154,BUFFS!$H$5:$AF$195,7,),"")</f>
        <v/>
      </c>
      <c r="I154" s="66" t="str">
        <f>IFERROR(VLOOKUP(A154,BUFFS!$H$5:$AF$195,9,),"")</f>
        <v/>
      </c>
      <c r="J154" s="65" t="str">
        <f>IFERROR(VLOOKUP(A154,BUFFS!$H$5:$AF$195,10,),"")</f>
        <v/>
      </c>
      <c r="K154" s="66" t="str">
        <f>IFERROR(VLOOKUP(A154,BUFFS!$H$5:$AF$195,11,),"")</f>
        <v/>
      </c>
      <c r="L154" s="66" t="str">
        <f>IFERROR(VLOOKUP(A154,BUFFS!$H$5:$AF$195,12,),"")</f>
        <v/>
      </c>
      <c r="M154" s="66" t="str">
        <f>IFERROR(VLOOKUP(A154,BUFFS!$H$5:$AF$195,14,),"")</f>
        <v/>
      </c>
      <c r="N154" s="68" t="str">
        <f t="shared" si="9"/>
        <v/>
      </c>
      <c r="O154" s="65" t="str">
        <f>IFERROR(VLOOKUP(A154,BUFFS!$H$5:$AF$195,15,),"")</f>
        <v/>
      </c>
      <c r="P154" s="66" t="str">
        <f>IFERROR(VLOOKUP(A154,BUFFS!$H$5:$AF$195,16,),"")</f>
        <v/>
      </c>
      <c r="Q154" s="66" t="str">
        <f>IFERROR(VLOOKUP(A154,BUFFS!$H$5:$AF$195,17,),"")</f>
        <v/>
      </c>
      <c r="R154" s="66" t="str">
        <f>IFERROR(VLOOKUP(A154,BUFFS!$H$5:$AF$195,19,),"")</f>
        <v/>
      </c>
      <c r="S154" s="69" t="str">
        <f t="shared" si="10"/>
        <v/>
      </c>
      <c r="T154" s="70" t="str">
        <f>IFERROR(VLOOKUP(A154,BUFFS!$H$5:$AF$195,20,),"")</f>
        <v/>
      </c>
    </row>
    <row r="155" spans="1:20" x14ac:dyDescent="0.35">
      <c r="A155" s="17"/>
      <c r="B155" s="18"/>
      <c r="C155" s="13"/>
      <c r="D155" s="31" t="str">
        <f>IFERROR(VLOOKUP(A155,BUFFS!$H$5:$AF$195,8,),"")</f>
        <v/>
      </c>
      <c r="E155" s="24" t="str">
        <f t="shared" si="8"/>
        <v/>
      </c>
      <c r="F155" s="65" t="str">
        <f>IFERROR(VLOOKUP(A155,BUFFS!$H$5:$AF$195,5,),"")</f>
        <v/>
      </c>
      <c r="G155" s="66" t="str">
        <f>IFERROR(VLOOKUP(A155,BUFFS!$H$5:$AF$195,6,),"")</f>
        <v/>
      </c>
      <c r="H155" s="67" t="str">
        <f>IFERROR(VLOOKUP(A155,BUFFS!$H$5:$AF$195,7,),"")</f>
        <v/>
      </c>
      <c r="I155" s="66" t="str">
        <f>IFERROR(VLOOKUP(A155,BUFFS!$H$5:$AF$195,9,),"")</f>
        <v/>
      </c>
      <c r="J155" s="65" t="str">
        <f>IFERROR(VLOOKUP(A155,BUFFS!$H$5:$AF$195,10,),"")</f>
        <v/>
      </c>
      <c r="K155" s="66" t="str">
        <f>IFERROR(VLOOKUP(A155,BUFFS!$H$5:$AF$195,11,),"")</f>
        <v/>
      </c>
      <c r="L155" s="66" t="str">
        <f>IFERROR(VLOOKUP(A155,BUFFS!$H$5:$AF$195,12,),"")</f>
        <v/>
      </c>
      <c r="M155" s="66" t="str">
        <f>IFERROR(VLOOKUP(A155,BUFFS!$H$5:$AF$195,14,),"")</f>
        <v/>
      </c>
      <c r="N155" s="68" t="str">
        <f t="shared" si="9"/>
        <v/>
      </c>
      <c r="O155" s="65" t="str">
        <f>IFERROR(VLOOKUP(A155,BUFFS!$H$5:$AF$195,15,),"")</f>
        <v/>
      </c>
      <c r="P155" s="66" t="str">
        <f>IFERROR(VLOOKUP(A155,BUFFS!$H$5:$AF$195,16,),"")</f>
        <v/>
      </c>
      <c r="Q155" s="66" t="str">
        <f>IFERROR(VLOOKUP(A155,BUFFS!$H$5:$AF$195,17,),"")</f>
        <v/>
      </c>
      <c r="R155" s="66" t="str">
        <f>IFERROR(VLOOKUP(A155,BUFFS!$H$5:$AF$195,19,),"")</f>
        <v/>
      </c>
      <c r="S155" s="69" t="str">
        <f t="shared" si="10"/>
        <v/>
      </c>
      <c r="T155" s="70" t="str">
        <f>IFERROR(VLOOKUP(A155,BUFFS!$H$5:$AF$195,20,),"")</f>
        <v/>
      </c>
    </row>
    <row r="156" spans="1:20" x14ac:dyDescent="0.35">
      <c r="A156" s="17"/>
      <c r="B156" s="18"/>
      <c r="C156" s="13"/>
      <c r="D156" s="31" t="str">
        <f>IFERROR(VLOOKUP(A156,BUFFS!$H$5:$AF$195,8,),"")</f>
        <v/>
      </c>
      <c r="E156" s="24" t="str">
        <f t="shared" si="8"/>
        <v/>
      </c>
      <c r="F156" s="65" t="str">
        <f>IFERROR(VLOOKUP(A156,BUFFS!$H$5:$AF$195,5,),"")</f>
        <v/>
      </c>
      <c r="G156" s="66" t="str">
        <f>IFERROR(VLOOKUP(A156,BUFFS!$H$5:$AF$195,6,),"")</f>
        <v/>
      </c>
      <c r="H156" s="67" t="str">
        <f>IFERROR(VLOOKUP(A156,BUFFS!$H$5:$AF$195,7,),"")</f>
        <v/>
      </c>
      <c r="I156" s="66" t="str">
        <f>IFERROR(VLOOKUP(A156,BUFFS!$H$5:$AF$195,9,),"")</f>
        <v/>
      </c>
      <c r="J156" s="65" t="str">
        <f>IFERROR(VLOOKUP(A156,BUFFS!$H$5:$AF$195,10,),"")</f>
        <v/>
      </c>
      <c r="K156" s="66" t="str">
        <f>IFERROR(VLOOKUP(A156,BUFFS!$H$5:$AF$195,11,),"")</f>
        <v/>
      </c>
      <c r="L156" s="66" t="str">
        <f>IFERROR(VLOOKUP(A156,BUFFS!$H$5:$AF$195,12,),"")</f>
        <v/>
      </c>
      <c r="M156" s="66" t="str">
        <f>IFERROR(VLOOKUP(A156,BUFFS!$H$5:$AF$195,14,),"")</f>
        <v/>
      </c>
      <c r="N156" s="68" t="str">
        <f t="shared" si="9"/>
        <v/>
      </c>
      <c r="O156" s="65" t="str">
        <f>IFERROR(VLOOKUP(A156,BUFFS!$H$5:$AF$195,15,),"")</f>
        <v/>
      </c>
      <c r="P156" s="66" t="str">
        <f>IFERROR(VLOOKUP(A156,BUFFS!$H$5:$AF$195,16,),"")</f>
        <v/>
      </c>
      <c r="Q156" s="66" t="str">
        <f>IFERROR(VLOOKUP(A156,BUFFS!$H$5:$AF$195,17,),"")</f>
        <v/>
      </c>
      <c r="R156" s="66" t="str">
        <f>IFERROR(VLOOKUP(A156,BUFFS!$H$5:$AF$195,19,),"")</f>
        <v/>
      </c>
      <c r="S156" s="69" t="str">
        <f t="shared" si="10"/>
        <v/>
      </c>
      <c r="T156" s="70" t="str">
        <f>IFERROR(VLOOKUP(A156,BUFFS!$H$5:$AF$195,20,),"")</f>
        <v/>
      </c>
    </row>
    <row r="157" spans="1:20" x14ac:dyDescent="0.35">
      <c r="A157" s="17"/>
      <c r="B157" s="18"/>
      <c r="C157" s="13"/>
      <c r="D157" s="31" t="str">
        <f>IFERROR(VLOOKUP(A157,BUFFS!$H$5:$AF$195,8,),"")</f>
        <v/>
      </c>
      <c r="E157" s="24" t="str">
        <f t="shared" si="8"/>
        <v/>
      </c>
      <c r="F157" s="65" t="str">
        <f>IFERROR(VLOOKUP(A157,BUFFS!$H$5:$AF$195,5,),"")</f>
        <v/>
      </c>
      <c r="G157" s="66" t="str">
        <f>IFERROR(VLOOKUP(A157,BUFFS!$H$5:$AF$195,6,),"")</f>
        <v/>
      </c>
      <c r="H157" s="67" t="str">
        <f>IFERROR(VLOOKUP(A157,BUFFS!$H$5:$AF$195,7,),"")</f>
        <v/>
      </c>
      <c r="I157" s="66" t="str">
        <f>IFERROR(VLOOKUP(A157,BUFFS!$H$5:$AF$195,9,),"")</f>
        <v/>
      </c>
      <c r="J157" s="65" t="str">
        <f>IFERROR(VLOOKUP(A157,BUFFS!$H$5:$AF$195,10,),"")</f>
        <v/>
      </c>
      <c r="K157" s="66" t="str">
        <f>IFERROR(VLOOKUP(A157,BUFFS!$H$5:$AF$195,11,),"")</f>
        <v/>
      </c>
      <c r="L157" s="66" t="str">
        <f>IFERROR(VLOOKUP(A157,BUFFS!$H$5:$AF$195,12,),"")</f>
        <v/>
      </c>
      <c r="M157" s="66" t="str">
        <f>IFERROR(VLOOKUP(A157,BUFFS!$H$5:$AF$195,14,),"")</f>
        <v/>
      </c>
      <c r="N157" s="68" t="str">
        <f t="shared" si="9"/>
        <v/>
      </c>
      <c r="O157" s="65" t="str">
        <f>IFERROR(VLOOKUP(A157,BUFFS!$H$5:$AF$195,15,),"")</f>
        <v/>
      </c>
      <c r="P157" s="66" t="str">
        <f>IFERROR(VLOOKUP(A157,BUFFS!$H$5:$AF$195,16,),"")</f>
        <v/>
      </c>
      <c r="Q157" s="66" t="str">
        <f>IFERROR(VLOOKUP(A157,BUFFS!$H$5:$AF$195,17,),"")</f>
        <v/>
      </c>
      <c r="R157" s="66" t="str">
        <f>IFERROR(VLOOKUP(A157,BUFFS!$H$5:$AF$195,19,),"")</f>
        <v/>
      </c>
      <c r="S157" s="69" t="str">
        <f t="shared" si="10"/>
        <v/>
      </c>
      <c r="T157" s="70" t="str">
        <f>IFERROR(VLOOKUP(A157,BUFFS!$H$5:$AF$195,20,),"")</f>
        <v/>
      </c>
    </row>
    <row r="158" spans="1:20" x14ac:dyDescent="0.35">
      <c r="A158" s="17"/>
      <c r="B158" s="18"/>
      <c r="C158" s="13"/>
      <c r="D158" s="31" t="str">
        <f>IFERROR(VLOOKUP(A158,BUFFS!$H$5:$AF$195,8,),"")</f>
        <v/>
      </c>
      <c r="E158" s="24" t="str">
        <f t="shared" si="8"/>
        <v/>
      </c>
      <c r="F158" s="65" t="str">
        <f>IFERROR(VLOOKUP(A158,BUFFS!$H$5:$AF$195,5,),"")</f>
        <v/>
      </c>
      <c r="G158" s="66" t="str">
        <f>IFERROR(VLOOKUP(A158,BUFFS!$H$5:$AF$195,6,),"")</f>
        <v/>
      </c>
      <c r="H158" s="67" t="str">
        <f>IFERROR(VLOOKUP(A158,BUFFS!$H$5:$AF$195,7,),"")</f>
        <v/>
      </c>
      <c r="I158" s="66" t="str">
        <f>IFERROR(VLOOKUP(A158,BUFFS!$H$5:$AF$195,9,),"")</f>
        <v/>
      </c>
      <c r="J158" s="65" t="str">
        <f>IFERROR(VLOOKUP(A158,BUFFS!$H$5:$AF$195,10,),"")</f>
        <v/>
      </c>
      <c r="K158" s="66" t="str">
        <f>IFERROR(VLOOKUP(A158,BUFFS!$H$5:$AF$195,11,),"")</f>
        <v/>
      </c>
      <c r="L158" s="66" t="str">
        <f>IFERROR(VLOOKUP(A158,BUFFS!$H$5:$AF$195,12,),"")</f>
        <v/>
      </c>
      <c r="M158" s="66" t="str">
        <f>IFERROR(VLOOKUP(A158,BUFFS!$H$5:$AF$195,14,),"")</f>
        <v/>
      </c>
      <c r="N158" s="68" t="str">
        <f t="shared" si="9"/>
        <v/>
      </c>
      <c r="O158" s="65" t="str">
        <f>IFERROR(VLOOKUP(A158,BUFFS!$H$5:$AF$195,15,),"")</f>
        <v/>
      </c>
      <c r="P158" s="66" t="str">
        <f>IFERROR(VLOOKUP(A158,BUFFS!$H$5:$AF$195,16,),"")</f>
        <v/>
      </c>
      <c r="Q158" s="66" t="str">
        <f>IFERROR(VLOOKUP(A158,BUFFS!$H$5:$AF$195,17,),"")</f>
        <v/>
      </c>
      <c r="R158" s="66" t="str">
        <f>IFERROR(VLOOKUP(A158,BUFFS!$H$5:$AF$195,19,),"")</f>
        <v/>
      </c>
      <c r="S158" s="69" t="str">
        <f t="shared" si="10"/>
        <v/>
      </c>
      <c r="T158" s="70" t="str">
        <f>IFERROR(VLOOKUP(A158,BUFFS!$H$5:$AF$195,20,),"")</f>
        <v/>
      </c>
    </row>
    <row r="159" spans="1:20" x14ac:dyDescent="0.35">
      <c r="A159" s="17"/>
      <c r="B159" s="18"/>
      <c r="C159" s="13"/>
      <c r="D159" s="31" t="str">
        <f>IFERROR(VLOOKUP(A159,BUFFS!$H$5:$AF$195,8,),"")</f>
        <v/>
      </c>
      <c r="E159" s="24" t="str">
        <f t="shared" si="8"/>
        <v/>
      </c>
      <c r="F159" s="65" t="str">
        <f>IFERROR(VLOOKUP(A159,BUFFS!$H$5:$AF$195,5,),"")</f>
        <v/>
      </c>
      <c r="G159" s="66" t="str">
        <f>IFERROR(VLOOKUP(A159,BUFFS!$H$5:$AF$195,6,),"")</f>
        <v/>
      </c>
      <c r="H159" s="67" t="str">
        <f>IFERROR(VLOOKUP(A159,BUFFS!$H$5:$AF$195,7,),"")</f>
        <v/>
      </c>
      <c r="I159" s="66" t="str">
        <f>IFERROR(VLOOKUP(A159,BUFFS!$H$5:$AF$195,9,),"")</f>
        <v/>
      </c>
      <c r="J159" s="65" t="str">
        <f>IFERROR(VLOOKUP(A159,BUFFS!$H$5:$AF$195,10,),"")</f>
        <v/>
      </c>
      <c r="K159" s="66" t="str">
        <f>IFERROR(VLOOKUP(A159,BUFFS!$H$5:$AF$195,11,),"")</f>
        <v/>
      </c>
      <c r="L159" s="66" t="str">
        <f>IFERROR(VLOOKUP(A159,BUFFS!$H$5:$AF$195,12,),"")</f>
        <v/>
      </c>
      <c r="M159" s="66" t="str">
        <f>IFERROR(VLOOKUP(A159,BUFFS!$H$5:$AF$195,14,),"")</f>
        <v/>
      </c>
      <c r="N159" s="68" t="str">
        <f t="shared" si="9"/>
        <v/>
      </c>
      <c r="O159" s="65" t="str">
        <f>IFERROR(VLOOKUP(A159,BUFFS!$H$5:$AF$195,15,),"")</f>
        <v/>
      </c>
      <c r="P159" s="66" t="str">
        <f>IFERROR(VLOOKUP(A159,BUFFS!$H$5:$AF$195,16,),"")</f>
        <v/>
      </c>
      <c r="Q159" s="66" t="str">
        <f>IFERROR(VLOOKUP(A159,BUFFS!$H$5:$AF$195,17,),"")</f>
        <v/>
      </c>
      <c r="R159" s="66" t="str">
        <f>IFERROR(VLOOKUP(A159,BUFFS!$H$5:$AF$195,19,),"")</f>
        <v/>
      </c>
      <c r="S159" s="69" t="str">
        <f t="shared" si="10"/>
        <v/>
      </c>
      <c r="T159" s="70" t="str">
        <f>IFERROR(VLOOKUP(A159,BUFFS!$H$5:$AF$195,20,),"")</f>
        <v/>
      </c>
    </row>
    <row r="160" spans="1:20" x14ac:dyDescent="0.35">
      <c r="A160" s="17"/>
      <c r="B160" s="18"/>
      <c r="C160" s="13"/>
      <c r="D160" s="31" t="str">
        <f>IFERROR(VLOOKUP(A160,BUFFS!$H$5:$AF$195,8,),"")</f>
        <v/>
      </c>
      <c r="E160" s="24" t="str">
        <f t="shared" si="8"/>
        <v/>
      </c>
      <c r="F160" s="65" t="str">
        <f>IFERROR(VLOOKUP(A160,BUFFS!$H$5:$AF$195,5,),"")</f>
        <v/>
      </c>
      <c r="G160" s="66" t="str">
        <f>IFERROR(VLOOKUP(A160,BUFFS!$H$5:$AF$195,6,),"")</f>
        <v/>
      </c>
      <c r="H160" s="67" t="str">
        <f>IFERROR(VLOOKUP(A160,BUFFS!$H$5:$AF$195,7,),"")</f>
        <v/>
      </c>
      <c r="I160" s="66" t="str">
        <f>IFERROR(VLOOKUP(A160,BUFFS!$H$5:$AF$195,9,),"")</f>
        <v/>
      </c>
      <c r="J160" s="65" t="str">
        <f>IFERROR(VLOOKUP(A160,BUFFS!$H$5:$AF$195,10,),"")</f>
        <v/>
      </c>
      <c r="K160" s="66" t="str">
        <f>IFERROR(VLOOKUP(A160,BUFFS!$H$5:$AF$195,11,),"")</f>
        <v/>
      </c>
      <c r="L160" s="66" t="str">
        <f>IFERROR(VLOOKUP(A160,BUFFS!$H$5:$AF$195,12,),"")</f>
        <v/>
      </c>
      <c r="M160" s="66" t="str">
        <f>IFERROR(VLOOKUP(A160,BUFFS!$H$5:$AF$195,14,),"")</f>
        <v/>
      </c>
      <c r="N160" s="68" t="str">
        <f t="shared" si="9"/>
        <v/>
      </c>
      <c r="O160" s="65" t="str">
        <f>IFERROR(VLOOKUP(A160,BUFFS!$H$5:$AF$195,15,),"")</f>
        <v/>
      </c>
      <c r="P160" s="66" t="str">
        <f>IFERROR(VLOOKUP(A160,BUFFS!$H$5:$AF$195,16,),"")</f>
        <v/>
      </c>
      <c r="Q160" s="66" t="str">
        <f>IFERROR(VLOOKUP(A160,BUFFS!$H$5:$AF$195,17,),"")</f>
        <v/>
      </c>
      <c r="R160" s="66" t="str">
        <f>IFERROR(VLOOKUP(A160,BUFFS!$H$5:$AF$195,19,),"")</f>
        <v/>
      </c>
      <c r="S160" s="69" t="str">
        <f t="shared" si="10"/>
        <v/>
      </c>
      <c r="T160" s="70" t="str">
        <f>IFERROR(VLOOKUP(A160,BUFFS!$H$5:$AF$195,20,),"")</f>
        <v/>
      </c>
    </row>
    <row r="161" spans="1:20" x14ac:dyDescent="0.35">
      <c r="A161" s="17"/>
      <c r="B161" s="18"/>
      <c r="C161" s="13"/>
      <c r="D161" s="31" t="str">
        <f>IFERROR(VLOOKUP(A161,BUFFS!$H$5:$AF$195,8,),"")</f>
        <v/>
      </c>
      <c r="E161" s="24" t="str">
        <f t="shared" si="8"/>
        <v/>
      </c>
      <c r="F161" s="65" t="str">
        <f>IFERROR(VLOOKUP(A161,BUFFS!$H$5:$AF$195,5,),"")</f>
        <v/>
      </c>
      <c r="G161" s="66" t="str">
        <f>IFERROR(VLOOKUP(A161,BUFFS!$H$5:$AF$195,6,),"")</f>
        <v/>
      </c>
      <c r="H161" s="67" t="str">
        <f>IFERROR(VLOOKUP(A161,BUFFS!$H$5:$AF$195,7,),"")</f>
        <v/>
      </c>
      <c r="I161" s="66" t="str">
        <f>IFERROR(VLOOKUP(A161,BUFFS!$H$5:$AF$195,9,),"")</f>
        <v/>
      </c>
      <c r="J161" s="65" t="str">
        <f>IFERROR(VLOOKUP(A161,BUFFS!$H$5:$AF$195,10,),"")</f>
        <v/>
      </c>
      <c r="K161" s="66" t="str">
        <f>IFERROR(VLOOKUP(A161,BUFFS!$H$5:$AF$195,11,),"")</f>
        <v/>
      </c>
      <c r="L161" s="66" t="str">
        <f>IFERROR(VLOOKUP(A161,BUFFS!$H$5:$AF$195,12,),"")</f>
        <v/>
      </c>
      <c r="M161" s="66" t="str">
        <f>IFERROR(VLOOKUP(A161,BUFFS!$H$5:$AF$195,14,),"")</f>
        <v/>
      </c>
      <c r="N161" s="68" t="str">
        <f t="shared" si="9"/>
        <v/>
      </c>
      <c r="O161" s="65" t="str">
        <f>IFERROR(VLOOKUP(A161,BUFFS!$H$5:$AF$195,15,),"")</f>
        <v/>
      </c>
      <c r="P161" s="66" t="str">
        <f>IFERROR(VLOOKUP(A161,BUFFS!$H$5:$AF$195,16,),"")</f>
        <v/>
      </c>
      <c r="Q161" s="66" t="str">
        <f>IFERROR(VLOOKUP(A161,BUFFS!$H$5:$AF$195,17,),"")</f>
        <v/>
      </c>
      <c r="R161" s="66" t="str">
        <f>IFERROR(VLOOKUP(A161,BUFFS!$H$5:$AF$195,19,),"")</f>
        <v/>
      </c>
      <c r="S161" s="69" t="str">
        <f t="shared" si="10"/>
        <v/>
      </c>
      <c r="T161" s="70" t="str">
        <f>IFERROR(VLOOKUP(A161,BUFFS!$H$5:$AF$195,20,),"")</f>
        <v/>
      </c>
    </row>
    <row r="162" spans="1:20" x14ac:dyDescent="0.35">
      <c r="A162" s="17"/>
      <c r="B162" s="18"/>
      <c r="C162" s="13"/>
      <c r="D162" s="31" t="str">
        <f>IFERROR(VLOOKUP(A162,BUFFS!$H$5:$AF$195,8,),"")</f>
        <v/>
      </c>
      <c r="E162" s="24" t="str">
        <f t="shared" si="8"/>
        <v/>
      </c>
      <c r="F162" s="65" t="str">
        <f>IFERROR(VLOOKUP(A162,BUFFS!$H$5:$AF$195,5,),"")</f>
        <v/>
      </c>
      <c r="G162" s="66" t="str">
        <f>IFERROR(VLOOKUP(A162,BUFFS!$H$5:$AF$195,6,),"")</f>
        <v/>
      </c>
      <c r="H162" s="67" t="str">
        <f>IFERROR(VLOOKUP(A162,BUFFS!$H$5:$AF$195,7,),"")</f>
        <v/>
      </c>
      <c r="I162" s="66" t="str">
        <f>IFERROR(VLOOKUP(A162,BUFFS!$H$5:$AF$195,9,),"")</f>
        <v/>
      </c>
      <c r="J162" s="65" t="str">
        <f>IFERROR(VLOOKUP(A162,BUFFS!$H$5:$AF$195,10,),"")</f>
        <v/>
      </c>
      <c r="K162" s="66" t="str">
        <f>IFERROR(VLOOKUP(A162,BUFFS!$H$5:$AF$195,11,),"")</f>
        <v/>
      </c>
      <c r="L162" s="66" t="str">
        <f>IFERROR(VLOOKUP(A162,BUFFS!$H$5:$AF$195,12,),"")</f>
        <v/>
      </c>
      <c r="M162" s="66" t="str">
        <f>IFERROR(VLOOKUP(A162,BUFFS!$H$5:$AF$195,14,),"")</f>
        <v/>
      </c>
      <c r="N162" s="68" t="str">
        <f t="shared" si="9"/>
        <v/>
      </c>
      <c r="O162" s="65" t="str">
        <f>IFERROR(VLOOKUP(A162,BUFFS!$H$5:$AF$195,15,),"")</f>
        <v/>
      </c>
      <c r="P162" s="66" t="str">
        <f>IFERROR(VLOOKUP(A162,BUFFS!$H$5:$AF$195,16,),"")</f>
        <v/>
      </c>
      <c r="Q162" s="66" t="str">
        <f>IFERROR(VLOOKUP(A162,BUFFS!$H$5:$AF$195,17,),"")</f>
        <v/>
      </c>
      <c r="R162" s="66" t="str">
        <f>IFERROR(VLOOKUP(A162,BUFFS!$H$5:$AF$195,19,),"")</f>
        <v/>
      </c>
      <c r="S162" s="69" t="str">
        <f t="shared" si="10"/>
        <v/>
      </c>
      <c r="T162" s="70" t="str">
        <f>IFERROR(VLOOKUP(A162,BUFFS!$H$5:$AF$195,20,),"")</f>
        <v/>
      </c>
    </row>
    <row r="163" spans="1:20" x14ac:dyDescent="0.35">
      <c r="A163" s="17"/>
      <c r="B163" s="18"/>
      <c r="C163" s="13"/>
      <c r="D163" s="31" t="str">
        <f>IFERROR(VLOOKUP(A163,BUFFS!$H$5:$AF$195,8,),"")</f>
        <v/>
      </c>
      <c r="E163" s="24" t="str">
        <f t="shared" ref="E163" si="11">IFERROR(SUM(H163,ROUNDDOWN(MIN(B163,T$35)*I163,0)),"")</f>
        <v/>
      </c>
      <c r="F163" s="65" t="str">
        <f>IFERROR(VLOOKUP(A163,BUFFS!$H$5:$AF$195,5,),"")</f>
        <v/>
      </c>
      <c r="G163" s="66" t="str">
        <f>IFERROR(VLOOKUP(A163,BUFFS!$H$5:$AF$195,6,),"")</f>
        <v/>
      </c>
      <c r="H163" s="67" t="str">
        <f>IFERROR(VLOOKUP(A163,BUFFS!$H$5:$AF$195,7,),"")</f>
        <v/>
      </c>
      <c r="I163" s="66" t="str">
        <f>IFERROR(VLOOKUP(A163,BUFFS!$H$5:$AF$195,9,),"")</f>
        <v/>
      </c>
      <c r="J163" s="65" t="str">
        <f>IFERROR(VLOOKUP(A163,BUFFS!$H$5:$AF$195,10,),"")</f>
        <v/>
      </c>
      <c r="K163" s="66" t="str">
        <f>IFERROR(VLOOKUP(A163,BUFFS!$H$5:$AF$195,11,),"")</f>
        <v/>
      </c>
      <c r="L163" s="66" t="str">
        <f>IFERROR(VLOOKUP(A163,BUFFS!$H$5:$AF$195,12,),"")</f>
        <v/>
      </c>
      <c r="M163" s="66" t="str">
        <f>IFERROR(VLOOKUP(A163,BUFFS!$H$5:$AF$195,14,),"")</f>
        <v/>
      </c>
      <c r="N163" s="68" t="str">
        <f t="shared" ref="N163" si="12">IFERROR(SUM(L163,ROUNDDOWN(MIN(B163,T$35)*M163,0)),"")</f>
        <v/>
      </c>
      <c r="O163" s="65" t="str">
        <f>IFERROR(VLOOKUP(A163,BUFFS!$H$5:$AF$195,15,),"")</f>
        <v/>
      </c>
      <c r="P163" s="66" t="str">
        <f>IFERROR(VLOOKUP(A163,BUFFS!$H$5:$AF$195,16,),"")</f>
        <v/>
      </c>
      <c r="Q163" s="66" t="str">
        <f>IFERROR(VLOOKUP(A163,BUFFS!$H$5:$AF$195,17,),"")</f>
        <v/>
      </c>
      <c r="R163" s="66" t="str">
        <f>IFERROR(VLOOKUP(A163,BUFFS!$H$5:$AF$195,19,),"")</f>
        <v/>
      </c>
      <c r="S163" s="69" t="str">
        <f t="shared" ref="S163" si="13">IFERROR(SUM(Q163,ROUNDDOWN(MIN(B163,T$35)*R163,0)),"")</f>
        <v/>
      </c>
      <c r="T163" s="70" t="str">
        <f>IFERROR(VLOOKUP(A163,BUFFS!$H$5:$AF$195,20,),"")</f>
        <v/>
      </c>
    </row>
    <row r="164" spans="1:20" x14ac:dyDescent="0.35">
      <c r="A164" s="17"/>
      <c r="B164" s="18"/>
      <c r="C164" s="13"/>
      <c r="D164" s="31"/>
      <c r="E164" s="24"/>
      <c r="F164" s="71"/>
      <c r="G164" s="72"/>
      <c r="H164" s="73"/>
      <c r="I164" s="72"/>
      <c r="J164" s="71"/>
      <c r="K164" s="72"/>
      <c r="L164" s="72"/>
      <c r="M164" s="72"/>
      <c r="N164" s="74"/>
      <c r="O164" s="71"/>
      <c r="P164" s="72"/>
      <c r="Q164" s="72"/>
      <c r="R164" s="72"/>
      <c r="S164" s="74"/>
      <c r="T164" s="75"/>
    </row>
    <row r="165" spans="1:20" x14ac:dyDescent="0.35">
      <c r="A165" s="17"/>
      <c r="B165" s="18"/>
      <c r="C165" s="13"/>
      <c r="D165" s="31"/>
      <c r="E165" s="24"/>
      <c r="F165" s="71"/>
      <c r="G165" s="72"/>
      <c r="H165" s="73"/>
      <c r="I165" s="72"/>
      <c r="J165" s="71"/>
      <c r="K165" s="72"/>
      <c r="L165" s="72"/>
      <c r="M165" s="72"/>
      <c r="N165" s="74"/>
      <c r="O165" s="71"/>
      <c r="P165" s="72"/>
      <c r="Q165" s="72"/>
      <c r="R165" s="72"/>
      <c r="S165" s="74"/>
      <c r="T165" s="75"/>
    </row>
    <row r="166" spans="1:20" x14ac:dyDescent="0.35">
      <c r="A166" s="17"/>
      <c r="B166" s="18"/>
      <c r="C166" s="13"/>
      <c r="D166" s="31"/>
      <c r="E166" s="24"/>
      <c r="F166" s="71"/>
      <c r="G166" s="72"/>
      <c r="H166" s="73"/>
      <c r="I166" s="72"/>
      <c r="J166" s="71"/>
      <c r="K166" s="72"/>
      <c r="L166" s="72"/>
      <c r="M166" s="72"/>
      <c r="N166" s="74"/>
      <c r="O166" s="71"/>
      <c r="P166" s="72"/>
      <c r="Q166" s="72"/>
      <c r="R166" s="72"/>
      <c r="S166" s="74"/>
      <c r="T166" s="75"/>
    </row>
    <row r="167" spans="1:20" x14ac:dyDescent="0.35">
      <c r="A167" s="17"/>
      <c r="B167" s="18"/>
      <c r="C167" s="13"/>
      <c r="D167" s="31"/>
      <c r="E167" s="24"/>
      <c r="F167" s="71"/>
      <c r="G167" s="72"/>
      <c r="H167" s="73"/>
      <c r="I167" s="72"/>
      <c r="J167" s="71"/>
      <c r="K167" s="72"/>
      <c r="L167" s="72"/>
      <c r="M167" s="72"/>
      <c r="N167" s="74"/>
      <c r="O167" s="71"/>
      <c r="P167" s="72"/>
      <c r="Q167" s="72"/>
      <c r="R167" s="72"/>
      <c r="S167" s="74"/>
      <c r="T167" s="75"/>
    </row>
    <row r="168" spans="1:20" x14ac:dyDescent="0.35">
      <c r="A168" s="17"/>
      <c r="B168" s="18"/>
      <c r="C168" s="13"/>
      <c r="D168" s="31"/>
      <c r="E168" s="24"/>
      <c r="F168" s="71"/>
      <c r="G168" s="72"/>
      <c r="H168" s="73"/>
      <c r="I168" s="72"/>
      <c r="J168" s="71"/>
      <c r="K168" s="72"/>
      <c r="L168" s="72"/>
      <c r="M168" s="72"/>
      <c r="N168" s="74"/>
      <c r="O168" s="71"/>
      <c r="P168" s="72"/>
      <c r="Q168" s="72"/>
      <c r="R168" s="72"/>
      <c r="S168" s="74"/>
      <c r="T168" s="75"/>
    </row>
    <row r="169" spans="1:20" x14ac:dyDescent="0.35">
      <c r="A169" s="17"/>
      <c r="B169" s="18"/>
      <c r="C169" s="13"/>
      <c r="D169" s="31"/>
      <c r="E169" s="24"/>
      <c r="F169" s="71"/>
      <c r="G169" s="72"/>
      <c r="H169" s="73"/>
      <c r="I169" s="72"/>
      <c r="J169" s="71"/>
      <c r="K169" s="72"/>
      <c r="L169" s="72"/>
      <c r="M169" s="72"/>
      <c r="N169" s="74"/>
      <c r="O169" s="71"/>
      <c r="P169" s="72"/>
      <c r="Q169" s="72"/>
      <c r="R169" s="72"/>
      <c r="S169" s="74"/>
      <c r="T169" s="75"/>
    </row>
    <row r="170" spans="1:20" x14ac:dyDescent="0.35">
      <c r="A170" s="17"/>
      <c r="B170" s="18"/>
      <c r="C170" s="13"/>
      <c r="D170" s="31"/>
      <c r="E170" s="24"/>
      <c r="F170" s="71"/>
      <c r="G170" s="72"/>
      <c r="H170" s="73"/>
      <c r="I170" s="72"/>
      <c r="J170" s="71"/>
      <c r="K170" s="72"/>
      <c r="L170" s="72"/>
      <c r="M170" s="72"/>
      <c r="N170" s="74"/>
      <c r="O170" s="71"/>
      <c r="P170" s="72"/>
      <c r="Q170" s="72"/>
      <c r="R170" s="72"/>
      <c r="S170" s="74"/>
      <c r="T170" s="75"/>
    </row>
    <row r="171" spans="1:20" x14ac:dyDescent="0.35">
      <c r="A171" s="17"/>
      <c r="B171" s="18"/>
      <c r="C171" s="13"/>
      <c r="D171" s="31"/>
      <c r="E171" s="24"/>
      <c r="F171" s="71"/>
      <c r="G171" s="72"/>
      <c r="H171" s="73"/>
      <c r="I171" s="72"/>
      <c r="J171" s="71"/>
      <c r="K171" s="72"/>
      <c r="L171" s="72"/>
      <c r="M171" s="72"/>
      <c r="N171" s="74"/>
      <c r="O171" s="71"/>
      <c r="P171" s="72"/>
      <c r="Q171" s="72"/>
      <c r="R171" s="72"/>
      <c r="S171" s="74"/>
      <c r="T171" s="75"/>
    </row>
    <row r="172" spans="1:20" x14ac:dyDescent="0.35">
      <c r="A172" s="17"/>
      <c r="B172" s="18"/>
      <c r="C172" s="13"/>
      <c r="D172" s="31"/>
      <c r="E172" s="24"/>
      <c r="F172" s="71"/>
      <c r="G172" s="72"/>
      <c r="H172" s="73"/>
      <c r="I172" s="72"/>
      <c r="J172" s="71"/>
      <c r="K172" s="72"/>
      <c r="L172" s="72"/>
      <c r="M172" s="72"/>
      <c r="N172" s="74"/>
      <c r="O172" s="71"/>
      <c r="P172" s="72"/>
      <c r="Q172" s="72"/>
      <c r="R172" s="72"/>
      <c r="S172" s="74"/>
      <c r="T172" s="75"/>
    </row>
    <row r="173" spans="1:20" x14ac:dyDescent="0.35">
      <c r="A173" s="17"/>
      <c r="B173" s="18"/>
      <c r="C173" s="13"/>
      <c r="D173" s="31"/>
      <c r="E173" s="24"/>
      <c r="F173" s="71"/>
      <c r="G173" s="72"/>
      <c r="H173" s="73"/>
      <c r="I173" s="72"/>
      <c r="J173" s="71"/>
      <c r="K173" s="72"/>
      <c r="L173" s="72"/>
      <c r="M173" s="72"/>
      <c r="N173" s="74"/>
      <c r="O173" s="71"/>
      <c r="P173" s="72"/>
      <c r="Q173" s="72"/>
      <c r="R173" s="72"/>
      <c r="S173" s="74"/>
      <c r="T173" s="75"/>
    </row>
    <row r="174" spans="1:20" x14ac:dyDescent="0.35">
      <c r="A174" s="17"/>
      <c r="B174" s="18"/>
      <c r="C174" s="13"/>
      <c r="D174" s="31"/>
      <c r="E174" s="24"/>
      <c r="F174" s="71"/>
      <c r="G174" s="72"/>
      <c r="H174" s="73"/>
      <c r="I174" s="72"/>
      <c r="J174" s="71"/>
      <c r="K174" s="72"/>
      <c r="L174" s="72"/>
      <c r="M174" s="72"/>
      <c r="N174" s="74"/>
      <c r="O174" s="71"/>
      <c r="P174" s="72"/>
      <c r="Q174" s="72"/>
      <c r="R174" s="72"/>
      <c r="S174" s="74"/>
      <c r="T174" s="75"/>
    </row>
    <row r="175" spans="1:20" x14ac:dyDescent="0.35">
      <c r="A175" s="17"/>
      <c r="B175" s="18"/>
      <c r="C175" s="13"/>
      <c r="D175" s="31"/>
      <c r="E175" s="24"/>
      <c r="F175" s="71"/>
      <c r="G175" s="72"/>
      <c r="H175" s="73"/>
      <c r="I175" s="72"/>
      <c r="J175" s="71"/>
      <c r="K175" s="72"/>
      <c r="L175" s="72"/>
      <c r="M175" s="72"/>
      <c r="N175" s="74"/>
      <c r="O175" s="71"/>
      <c r="P175" s="72"/>
      <c r="Q175" s="72"/>
      <c r="R175" s="72"/>
      <c r="S175" s="74"/>
      <c r="T175" s="75"/>
    </row>
    <row r="176" spans="1:20" x14ac:dyDescent="0.35">
      <c r="A176" s="17"/>
      <c r="B176" s="18"/>
      <c r="C176" s="13"/>
      <c r="D176" s="31"/>
      <c r="E176" s="24"/>
      <c r="F176" s="71"/>
      <c r="G176" s="72"/>
      <c r="H176" s="73"/>
      <c r="I176" s="72"/>
      <c r="J176" s="71"/>
      <c r="K176" s="72"/>
      <c r="L176" s="72"/>
      <c r="M176" s="72"/>
      <c r="N176" s="74"/>
      <c r="O176" s="71"/>
      <c r="P176" s="72"/>
      <c r="Q176" s="72"/>
      <c r="R176" s="72"/>
      <c r="S176" s="74"/>
      <c r="T176" s="75"/>
    </row>
    <row r="177" spans="1:20" x14ac:dyDescent="0.35">
      <c r="A177" s="17"/>
      <c r="B177" s="18"/>
      <c r="C177" s="13"/>
      <c r="D177" s="31"/>
      <c r="E177" s="24"/>
      <c r="F177" s="71"/>
      <c r="G177" s="72"/>
      <c r="H177" s="73"/>
      <c r="I177" s="72"/>
      <c r="J177" s="71"/>
      <c r="K177" s="72"/>
      <c r="L177" s="72"/>
      <c r="M177" s="72"/>
      <c r="N177" s="74"/>
      <c r="O177" s="71"/>
      <c r="P177" s="72"/>
      <c r="Q177" s="72"/>
      <c r="R177" s="72"/>
      <c r="S177" s="74"/>
      <c r="T177" s="75"/>
    </row>
    <row r="178" spans="1:20" x14ac:dyDescent="0.35">
      <c r="A178" s="17"/>
      <c r="B178" s="18"/>
      <c r="C178" s="13"/>
      <c r="D178" s="31"/>
      <c r="E178" s="24"/>
      <c r="F178" s="71"/>
      <c r="G178" s="72"/>
      <c r="H178" s="73"/>
      <c r="I178" s="72"/>
      <c r="J178" s="71"/>
      <c r="K178" s="72"/>
      <c r="L178" s="72"/>
      <c r="M178" s="72"/>
      <c r="N178" s="74"/>
      <c r="O178" s="71"/>
      <c r="P178" s="72"/>
      <c r="Q178" s="72"/>
      <c r="R178" s="72"/>
      <c r="S178" s="74"/>
      <c r="T178" s="75"/>
    </row>
    <row r="179" spans="1:20" x14ac:dyDescent="0.35">
      <c r="A179" s="17"/>
      <c r="B179" s="18"/>
      <c r="C179" s="13"/>
      <c r="D179" s="31"/>
      <c r="E179" s="24"/>
      <c r="F179" s="71"/>
      <c r="G179" s="72"/>
      <c r="H179" s="73"/>
      <c r="I179" s="72"/>
      <c r="J179" s="71"/>
      <c r="K179" s="72"/>
      <c r="L179" s="72"/>
      <c r="M179" s="72"/>
      <c r="N179" s="74"/>
      <c r="O179" s="71"/>
      <c r="P179" s="72"/>
      <c r="Q179" s="72"/>
      <c r="R179" s="72"/>
      <c r="S179" s="74"/>
      <c r="T179" s="75"/>
    </row>
    <row r="180" spans="1:20" x14ac:dyDescent="0.35">
      <c r="A180" s="17"/>
      <c r="B180" s="18"/>
      <c r="C180" s="13"/>
      <c r="D180" s="31"/>
      <c r="E180" s="24"/>
      <c r="F180" s="71"/>
      <c r="G180" s="72"/>
      <c r="H180" s="73"/>
      <c r="I180" s="72"/>
      <c r="J180" s="71"/>
      <c r="K180" s="72"/>
      <c r="L180" s="72"/>
      <c r="M180" s="72"/>
      <c r="N180" s="74"/>
      <c r="O180" s="71"/>
      <c r="P180" s="72"/>
      <c r="Q180" s="72"/>
      <c r="R180" s="72"/>
      <c r="S180" s="74"/>
      <c r="T180" s="75"/>
    </row>
    <row r="181" spans="1:20" x14ac:dyDescent="0.35">
      <c r="A181" s="17"/>
      <c r="B181" s="18"/>
      <c r="C181" s="13"/>
      <c r="D181" s="31"/>
      <c r="E181" s="24"/>
      <c r="F181" s="71"/>
      <c r="G181" s="72"/>
      <c r="H181" s="73"/>
      <c r="I181" s="72"/>
      <c r="J181" s="71"/>
      <c r="K181" s="72"/>
      <c r="L181" s="72"/>
      <c r="M181" s="72"/>
      <c r="N181" s="74"/>
      <c r="O181" s="71"/>
      <c r="P181" s="72"/>
      <c r="Q181" s="72"/>
      <c r="R181" s="72"/>
      <c r="S181" s="74"/>
      <c r="T181" s="75"/>
    </row>
    <row r="182" spans="1:20" x14ac:dyDescent="0.35">
      <c r="A182" s="17"/>
      <c r="B182" s="18"/>
      <c r="C182" s="13"/>
      <c r="D182" s="31"/>
      <c r="E182" s="24"/>
      <c r="F182" s="71"/>
      <c r="G182" s="72"/>
      <c r="H182" s="73"/>
      <c r="I182" s="72"/>
      <c r="J182" s="71"/>
      <c r="K182" s="72"/>
      <c r="L182" s="72"/>
      <c r="M182" s="72"/>
      <c r="N182" s="74"/>
      <c r="O182" s="71"/>
      <c r="P182" s="72"/>
      <c r="Q182" s="72"/>
      <c r="R182" s="72"/>
      <c r="S182" s="74"/>
      <c r="T182" s="75"/>
    </row>
    <row r="183" spans="1:20" x14ac:dyDescent="0.35">
      <c r="A183" s="17"/>
      <c r="B183" s="18"/>
      <c r="C183" s="13"/>
      <c r="D183" s="31"/>
      <c r="E183" s="24"/>
      <c r="F183" s="71"/>
      <c r="G183" s="72"/>
      <c r="H183" s="73"/>
      <c r="I183" s="72"/>
      <c r="J183" s="71"/>
      <c r="K183" s="72"/>
      <c r="L183" s="72"/>
      <c r="M183" s="72"/>
      <c r="N183" s="74"/>
      <c r="O183" s="71"/>
      <c r="P183" s="72"/>
      <c r="Q183" s="72"/>
      <c r="R183" s="72"/>
      <c r="S183" s="74"/>
      <c r="T183" s="75"/>
    </row>
    <row r="184" spans="1:20" x14ac:dyDescent="0.35">
      <c r="A184" s="17"/>
      <c r="B184" s="18"/>
      <c r="C184" s="13"/>
      <c r="D184" s="31"/>
      <c r="E184" s="24"/>
      <c r="F184" s="71"/>
      <c r="G184" s="72"/>
      <c r="H184" s="73"/>
      <c r="I184" s="72"/>
      <c r="J184" s="71"/>
      <c r="K184" s="72"/>
      <c r="L184" s="72"/>
      <c r="M184" s="72"/>
      <c r="N184" s="74"/>
      <c r="O184" s="71"/>
      <c r="P184" s="72"/>
      <c r="Q184" s="72"/>
      <c r="R184" s="72"/>
      <c r="S184" s="74"/>
      <c r="T184" s="75"/>
    </row>
    <row r="185" spans="1:20" x14ac:dyDescent="0.35">
      <c r="A185" s="17"/>
      <c r="B185" s="18"/>
      <c r="C185" s="13"/>
      <c r="D185" s="31"/>
      <c r="E185" s="24"/>
      <c r="F185" s="71"/>
      <c r="G185" s="72"/>
      <c r="H185" s="73"/>
      <c r="I185" s="72"/>
      <c r="J185" s="71"/>
      <c r="K185" s="72"/>
      <c r="L185" s="72"/>
      <c r="M185" s="72"/>
      <c r="N185" s="74"/>
      <c r="O185" s="71"/>
      <c r="P185" s="72"/>
      <c r="Q185" s="72"/>
      <c r="R185" s="72"/>
      <c r="S185" s="74"/>
      <c r="T185" s="75"/>
    </row>
    <row r="186" spans="1:20" x14ac:dyDescent="0.35">
      <c r="A186" s="17"/>
      <c r="B186" s="18"/>
      <c r="C186" s="13"/>
      <c r="D186" s="31"/>
      <c r="E186" s="24"/>
      <c r="F186" s="71"/>
      <c r="G186" s="72"/>
      <c r="H186" s="73"/>
      <c r="I186" s="72"/>
      <c r="J186" s="71"/>
      <c r="K186" s="72"/>
      <c r="L186" s="72"/>
      <c r="M186" s="72"/>
      <c r="N186" s="74"/>
      <c r="O186" s="71"/>
      <c r="P186" s="72"/>
      <c r="Q186" s="72"/>
      <c r="R186" s="72"/>
      <c r="S186" s="74"/>
      <c r="T186" s="75"/>
    </row>
    <row r="187" spans="1:20" x14ac:dyDescent="0.35">
      <c r="A187" s="17"/>
      <c r="B187" s="18"/>
      <c r="C187" s="13"/>
      <c r="D187" s="31"/>
      <c r="E187" s="24"/>
      <c r="F187" s="71"/>
      <c r="G187" s="72"/>
      <c r="H187" s="73"/>
      <c r="I187" s="72"/>
      <c r="J187" s="71"/>
      <c r="K187" s="72"/>
      <c r="L187" s="72"/>
      <c r="M187" s="72"/>
      <c r="N187" s="74"/>
      <c r="O187" s="71"/>
      <c r="P187" s="72"/>
      <c r="Q187" s="72"/>
      <c r="R187" s="72"/>
      <c r="S187" s="74"/>
      <c r="T187" s="75"/>
    </row>
    <row r="188" spans="1:20" x14ac:dyDescent="0.35">
      <c r="A188" s="17"/>
      <c r="B188" s="18"/>
      <c r="C188" s="13"/>
      <c r="D188" s="31"/>
      <c r="E188" s="24"/>
      <c r="F188" s="71"/>
      <c r="G188" s="72"/>
      <c r="H188" s="73"/>
      <c r="I188" s="72"/>
      <c r="J188" s="71"/>
      <c r="K188" s="72"/>
      <c r="L188" s="72"/>
      <c r="M188" s="72"/>
      <c r="N188" s="74"/>
      <c r="O188" s="71"/>
      <c r="P188" s="72"/>
      <c r="Q188" s="72"/>
      <c r="R188" s="72"/>
      <c r="S188" s="74"/>
      <c r="T188" s="75"/>
    </row>
    <row r="189" spans="1:20" x14ac:dyDescent="0.35">
      <c r="A189" s="17"/>
      <c r="B189" s="18"/>
      <c r="C189" s="13"/>
      <c r="D189" s="31"/>
      <c r="E189" s="24"/>
      <c r="F189" s="71"/>
      <c r="G189" s="72"/>
      <c r="H189" s="73"/>
      <c r="I189" s="72"/>
      <c r="J189" s="71"/>
      <c r="K189" s="72"/>
      <c r="L189" s="72"/>
      <c r="M189" s="72"/>
      <c r="N189" s="74"/>
      <c r="O189" s="71"/>
      <c r="P189" s="72"/>
      <c r="Q189" s="72"/>
      <c r="R189" s="72"/>
      <c r="S189" s="74"/>
      <c r="T189" s="75"/>
    </row>
    <row r="190" spans="1:20" x14ac:dyDescent="0.35">
      <c r="A190" s="17"/>
      <c r="B190" s="18"/>
      <c r="C190" s="13"/>
      <c r="D190" s="31"/>
      <c r="E190" s="24"/>
      <c r="F190" s="71"/>
      <c r="G190" s="72"/>
      <c r="H190" s="73"/>
      <c r="I190" s="72"/>
      <c r="J190" s="71"/>
      <c r="K190" s="72"/>
      <c r="L190" s="72"/>
      <c r="M190" s="72"/>
      <c r="N190" s="74"/>
      <c r="O190" s="71"/>
      <c r="P190" s="72"/>
      <c r="Q190" s="72"/>
      <c r="R190" s="72"/>
      <c r="S190" s="74"/>
      <c r="T190" s="75"/>
    </row>
    <row r="191" spans="1:20" x14ac:dyDescent="0.35">
      <c r="A191" s="17"/>
      <c r="B191" s="18"/>
      <c r="C191" s="13"/>
      <c r="D191" s="31"/>
      <c r="E191" s="24"/>
      <c r="F191" s="71"/>
      <c r="G191" s="72"/>
      <c r="H191" s="73"/>
      <c r="I191" s="72"/>
      <c r="J191" s="71"/>
      <c r="K191" s="72"/>
      <c r="L191" s="72"/>
      <c r="M191" s="72"/>
      <c r="N191" s="74"/>
      <c r="O191" s="71"/>
      <c r="P191" s="72"/>
      <c r="Q191" s="72"/>
      <c r="R191" s="72"/>
      <c r="S191" s="74"/>
      <c r="T191" s="75"/>
    </row>
    <row r="192" spans="1:20" x14ac:dyDescent="0.35">
      <c r="A192" s="17"/>
      <c r="B192" s="18"/>
      <c r="C192" s="13"/>
      <c r="D192" s="31"/>
      <c r="E192" s="24"/>
      <c r="F192" s="71"/>
      <c r="G192" s="72"/>
      <c r="H192" s="73"/>
      <c r="I192" s="72"/>
      <c r="J192" s="71"/>
      <c r="K192" s="72"/>
      <c r="L192" s="72"/>
      <c r="M192" s="72"/>
      <c r="N192" s="74"/>
      <c r="O192" s="71"/>
      <c r="P192" s="72"/>
      <c r="Q192" s="72"/>
      <c r="R192" s="72"/>
      <c r="S192" s="74"/>
      <c r="T192" s="75"/>
    </row>
    <row r="193" spans="1:20" x14ac:dyDescent="0.35">
      <c r="A193" s="17"/>
      <c r="B193" s="18"/>
      <c r="C193" s="13"/>
      <c r="D193" s="31"/>
      <c r="E193" s="24"/>
      <c r="F193" s="71"/>
      <c r="G193" s="72"/>
      <c r="H193" s="73"/>
      <c r="I193" s="72"/>
      <c r="J193" s="71"/>
      <c r="K193" s="72"/>
      <c r="L193" s="72"/>
      <c r="M193" s="72"/>
      <c r="N193" s="74"/>
      <c r="O193" s="71"/>
      <c r="P193" s="72"/>
      <c r="Q193" s="72"/>
      <c r="R193" s="72"/>
      <c r="S193" s="74"/>
      <c r="T193" s="75"/>
    </row>
    <row r="194" spans="1:20" x14ac:dyDescent="0.35">
      <c r="A194" s="17"/>
      <c r="B194" s="18"/>
      <c r="C194" s="13"/>
      <c r="D194" s="31"/>
      <c r="E194" s="24"/>
      <c r="F194" s="71"/>
      <c r="G194" s="72"/>
      <c r="H194" s="73"/>
      <c r="I194" s="72"/>
      <c r="J194" s="71"/>
      <c r="K194" s="72"/>
      <c r="L194" s="72"/>
      <c r="M194" s="72"/>
      <c r="N194" s="74"/>
      <c r="O194" s="71"/>
      <c r="P194" s="72"/>
      <c r="Q194" s="72"/>
      <c r="R194" s="72"/>
      <c r="S194" s="74"/>
      <c r="T194" s="75"/>
    </row>
    <row r="195" spans="1:20" x14ac:dyDescent="0.35">
      <c r="A195" s="17"/>
      <c r="B195" s="18"/>
      <c r="C195" s="13"/>
      <c r="D195" s="31"/>
      <c r="E195" s="24"/>
      <c r="F195" s="71"/>
      <c r="G195" s="72"/>
      <c r="H195" s="73"/>
      <c r="I195" s="72"/>
      <c r="J195" s="71"/>
      <c r="K195" s="72"/>
      <c r="L195" s="72"/>
      <c r="M195" s="72"/>
      <c r="N195" s="74"/>
      <c r="O195" s="71"/>
      <c r="P195" s="72"/>
      <c r="Q195" s="72"/>
      <c r="R195" s="72"/>
      <c r="S195" s="74"/>
      <c r="T195" s="75"/>
    </row>
    <row r="196" spans="1:20" x14ac:dyDescent="0.35">
      <c r="A196" s="17"/>
      <c r="B196" s="18"/>
      <c r="C196" s="13"/>
      <c r="D196" s="31"/>
      <c r="E196" s="24"/>
      <c r="F196" s="71"/>
      <c r="G196" s="72"/>
      <c r="H196" s="73"/>
      <c r="I196" s="72"/>
      <c r="J196" s="71"/>
      <c r="K196" s="72"/>
      <c r="L196" s="72"/>
      <c r="M196" s="72"/>
      <c r="N196" s="74"/>
      <c r="O196" s="71"/>
      <c r="P196" s="72"/>
      <c r="Q196" s="72"/>
      <c r="R196" s="72"/>
      <c r="S196" s="74"/>
      <c r="T196" s="75"/>
    </row>
    <row r="197" spans="1:20" x14ac:dyDescent="0.35">
      <c r="A197" s="17"/>
      <c r="B197" s="18"/>
      <c r="C197" s="13"/>
      <c r="D197" s="31"/>
      <c r="E197" s="24"/>
      <c r="F197" s="71"/>
      <c r="G197" s="72"/>
      <c r="H197" s="73"/>
      <c r="I197" s="72"/>
      <c r="J197" s="71"/>
      <c r="K197" s="72"/>
      <c r="L197" s="72"/>
      <c r="M197" s="72"/>
      <c r="N197" s="74"/>
      <c r="O197" s="71"/>
      <c r="P197" s="72"/>
      <c r="Q197" s="72"/>
      <c r="R197" s="72"/>
      <c r="S197" s="74"/>
      <c r="T197" s="75"/>
    </row>
    <row r="198" spans="1:20" x14ac:dyDescent="0.35">
      <c r="A198" s="17"/>
      <c r="B198" s="18"/>
      <c r="C198" s="13"/>
      <c r="D198" s="31"/>
      <c r="E198" s="24"/>
      <c r="F198" s="71"/>
      <c r="G198" s="72"/>
      <c r="H198" s="73"/>
      <c r="I198" s="72"/>
      <c r="J198" s="71"/>
      <c r="K198" s="72"/>
      <c r="L198" s="72"/>
      <c r="M198" s="72"/>
      <c r="N198" s="74"/>
      <c r="O198" s="71"/>
      <c r="P198" s="72"/>
      <c r="Q198" s="72"/>
      <c r="R198" s="72"/>
      <c r="S198" s="74"/>
      <c r="T198" s="75"/>
    </row>
    <row r="199" spans="1:20" x14ac:dyDescent="0.35">
      <c r="A199" s="17"/>
      <c r="B199" s="18"/>
      <c r="C199" s="13"/>
      <c r="D199" s="31"/>
      <c r="E199" s="24"/>
      <c r="F199" s="71"/>
      <c r="G199" s="72"/>
      <c r="H199" s="73"/>
      <c r="I199" s="72"/>
      <c r="J199" s="71"/>
      <c r="K199" s="72"/>
      <c r="L199" s="72"/>
      <c r="M199" s="72"/>
      <c r="N199" s="74"/>
      <c r="O199" s="71"/>
      <c r="P199" s="72"/>
      <c r="Q199" s="72"/>
      <c r="R199" s="72"/>
      <c r="S199" s="74"/>
      <c r="T199" s="75"/>
    </row>
    <row r="200" spans="1:20" x14ac:dyDescent="0.35">
      <c r="A200" s="17"/>
      <c r="B200" s="18"/>
      <c r="C200" s="13"/>
      <c r="D200" s="31"/>
      <c r="E200" s="24"/>
      <c r="F200" s="71"/>
      <c r="G200" s="72"/>
      <c r="H200" s="73"/>
      <c r="I200" s="72"/>
      <c r="J200" s="71"/>
      <c r="K200" s="72"/>
      <c r="L200" s="72"/>
      <c r="M200" s="72"/>
      <c r="N200" s="74"/>
      <c r="O200" s="71"/>
      <c r="P200" s="72"/>
      <c r="Q200" s="72"/>
      <c r="R200" s="72"/>
      <c r="S200" s="74"/>
      <c r="T200" s="75"/>
    </row>
    <row r="201" spans="1:20" x14ac:dyDescent="0.35">
      <c r="A201" s="17"/>
      <c r="B201" s="18"/>
      <c r="C201" s="13"/>
      <c r="D201" s="31"/>
      <c r="E201" s="24"/>
      <c r="F201" s="71"/>
      <c r="G201" s="72"/>
      <c r="H201" s="73"/>
      <c r="I201" s="72"/>
      <c r="J201" s="71"/>
      <c r="K201" s="72"/>
      <c r="L201" s="72"/>
      <c r="M201" s="72"/>
      <c r="N201" s="74"/>
      <c r="O201" s="71"/>
      <c r="P201" s="72"/>
      <c r="Q201" s="72"/>
      <c r="R201" s="72"/>
      <c r="S201" s="74"/>
      <c r="T201" s="75"/>
    </row>
    <row r="202" spans="1:20" x14ac:dyDescent="0.35">
      <c r="A202" s="17"/>
      <c r="B202" s="18"/>
      <c r="C202" s="13"/>
      <c r="D202" s="31"/>
      <c r="E202" s="24"/>
      <c r="F202" s="71"/>
      <c r="G202" s="72"/>
      <c r="H202" s="73"/>
      <c r="I202" s="72"/>
      <c r="J202" s="71"/>
      <c r="K202" s="72"/>
      <c r="L202" s="72"/>
      <c r="M202" s="72"/>
      <c r="N202" s="74"/>
      <c r="O202" s="71"/>
      <c r="P202" s="72"/>
      <c r="Q202" s="72"/>
      <c r="R202" s="72"/>
      <c r="S202" s="74"/>
      <c r="T202" s="75"/>
    </row>
    <row r="203" spans="1:20" x14ac:dyDescent="0.35">
      <c r="A203" s="17"/>
      <c r="B203" s="18"/>
      <c r="C203" s="13"/>
      <c r="D203" s="31"/>
      <c r="E203" s="24"/>
      <c r="F203" s="71"/>
      <c r="G203" s="72"/>
      <c r="H203" s="73"/>
      <c r="I203" s="72"/>
      <c r="J203" s="71"/>
      <c r="K203" s="72"/>
      <c r="L203" s="72"/>
      <c r="M203" s="72"/>
      <c r="N203" s="74"/>
      <c r="O203" s="71"/>
      <c r="P203" s="72"/>
      <c r="Q203" s="72"/>
      <c r="R203" s="72"/>
      <c r="S203" s="74"/>
      <c r="T203" s="75"/>
    </row>
    <row r="204" spans="1:20" x14ac:dyDescent="0.35">
      <c r="A204" s="17"/>
      <c r="B204" s="18"/>
      <c r="C204" s="13"/>
      <c r="D204" s="31"/>
      <c r="E204" s="24"/>
      <c r="F204" s="71"/>
      <c r="G204" s="72"/>
      <c r="H204" s="73"/>
      <c r="I204" s="72"/>
      <c r="J204" s="71"/>
      <c r="K204" s="72"/>
      <c r="L204" s="72"/>
      <c r="M204" s="72"/>
      <c r="N204" s="74"/>
      <c r="O204" s="71"/>
      <c r="P204" s="72"/>
      <c r="Q204" s="72"/>
      <c r="R204" s="72"/>
      <c r="S204" s="74"/>
      <c r="T204" s="75"/>
    </row>
    <row r="205" spans="1:20" x14ac:dyDescent="0.35">
      <c r="A205" s="17"/>
      <c r="B205" s="18"/>
      <c r="C205" s="13"/>
      <c r="D205" s="31"/>
      <c r="E205" s="24"/>
      <c r="F205" s="71"/>
      <c r="G205" s="72"/>
      <c r="H205" s="73"/>
      <c r="I205" s="72"/>
      <c r="J205" s="71"/>
      <c r="K205" s="72"/>
      <c r="L205" s="72"/>
      <c r="M205" s="72"/>
      <c r="N205" s="74"/>
      <c r="O205" s="71"/>
      <c r="P205" s="72"/>
      <c r="Q205" s="72"/>
      <c r="R205" s="72"/>
      <c r="S205" s="74"/>
      <c r="T205" s="75"/>
    </row>
    <row r="206" spans="1:20" x14ac:dyDescent="0.35">
      <c r="A206" s="17"/>
      <c r="B206" s="18"/>
      <c r="C206" s="13"/>
      <c r="D206" s="31"/>
      <c r="E206" s="24"/>
      <c r="F206" s="71"/>
      <c r="G206" s="72"/>
      <c r="H206" s="73"/>
      <c r="I206" s="72"/>
      <c r="J206" s="71"/>
      <c r="K206" s="72"/>
      <c r="L206" s="72"/>
      <c r="M206" s="72"/>
      <c r="N206" s="74"/>
      <c r="O206" s="71"/>
      <c r="P206" s="72"/>
      <c r="Q206" s="72"/>
      <c r="R206" s="72"/>
      <c r="S206" s="74"/>
      <c r="T206" s="75"/>
    </row>
    <row r="207" spans="1:20" x14ac:dyDescent="0.35">
      <c r="A207" s="17"/>
      <c r="B207" s="18"/>
      <c r="C207" s="13"/>
      <c r="D207" s="31"/>
      <c r="E207" s="24"/>
      <c r="F207" s="71"/>
      <c r="G207" s="72"/>
      <c r="H207" s="73"/>
      <c r="I207" s="72"/>
      <c r="J207" s="71"/>
      <c r="K207" s="72"/>
      <c r="L207" s="72"/>
      <c r="M207" s="72"/>
      <c r="N207" s="74"/>
      <c r="O207" s="71"/>
      <c r="P207" s="72"/>
      <c r="Q207" s="72"/>
      <c r="R207" s="72"/>
      <c r="S207" s="74"/>
      <c r="T207" s="75"/>
    </row>
    <row r="208" spans="1:20" x14ac:dyDescent="0.35">
      <c r="A208" s="17"/>
      <c r="B208" s="18"/>
      <c r="C208" s="13"/>
      <c r="D208" s="31"/>
      <c r="E208" s="24"/>
      <c r="F208" s="71"/>
      <c r="G208" s="72"/>
      <c r="H208" s="73"/>
      <c r="I208" s="72"/>
      <c r="J208" s="71"/>
      <c r="K208" s="72"/>
      <c r="L208" s="72"/>
      <c r="M208" s="72"/>
      <c r="N208" s="74"/>
      <c r="O208" s="71"/>
      <c r="P208" s="72"/>
      <c r="Q208" s="72"/>
      <c r="R208" s="72"/>
      <c r="S208" s="74"/>
      <c r="T208" s="75"/>
    </row>
    <row r="209" spans="1:21" x14ac:dyDescent="0.35">
      <c r="A209" s="17"/>
      <c r="B209" s="18"/>
      <c r="C209" s="13"/>
      <c r="D209" s="31"/>
      <c r="E209" s="24"/>
      <c r="F209" s="71"/>
      <c r="G209" s="72"/>
      <c r="H209" s="73"/>
      <c r="I209" s="72"/>
      <c r="J209" s="71"/>
      <c r="K209" s="72"/>
      <c r="L209" s="72"/>
      <c r="M209" s="72"/>
      <c r="N209" s="74"/>
      <c r="O209" s="71"/>
      <c r="P209" s="72"/>
      <c r="Q209" s="72"/>
      <c r="R209" s="72"/>
      <c r="S209" s="74"/>
      <c r="T209" s="75"/>
      <c r="U209" s="33"/>
    </row>
    <row r="210" spans="1:21" x14ac:dyDescent="0.35">
      <c r="A210" s="17"/>
      <c r="B210" s="18"/>
      <c r="C210" s="13"/>
      <c r="D210" s="31"/>
      <c r="E210" s="24"/>
      <c r="F210" s="71"/>
      <c r="G210" s="72"/>
      <c r="H210" s="73"/>
      <c r="I210" s="72"/>
      <c r="J210" s="71"/>
      <c r="K210" s="72"/>
      <c r="L210" s="72"/>
      <c r="M210" s="72"/>
      <c r="N210" s="74"/>
      <c r="O210" s="71"/>
      <c r="P210" s="72"/>
      <c r="Q210" s="72"/>
      <c r="R210" s="72"/>
      <c r="S210" s="74"/>
      <c r="T210" s="75"/>
      <c r="U210" s="33"/>
    </row>
    <row r="211" spans="1:21" x14ac:dyDescent="0.35">
      <c r="A211" s="17"/>
      <c r="B211" s="18"/>
      <c r="C211" s="13"/>
      <c r="D211" s="31"/>
      <c r="E211" s="24"/>
      <c r="F211" s="71"/>
      <c r="G211" s="72"/>
      <c r="H211" s="73"/>
      <c r="I211" s="72"/>
      <c r="J211" s="71"/>
      <c r="K211" s="72"/>
      <c r="L211" s="72"/>
      <c r="M211" s="72"/>
      <c r="N211" s="74"/>
      <c r="O211" s="71"/>
      <c r="P211" s="72"/>
      <c r="Q211" s="72"/>
      <c r="R211" s="72"/>
      <c r="S211" s="74"/>
      <c r="T211" s="75"/>
      <c r="U211" s="33"/>
    </row>
    <row r="212" spans="1:21" x14ac:dyDescent="0.35">
      <c r="A212" s="17"/>
      <c r="B212" s="18"/>
      <c r="C212" s="13"/>
      <c r="D212" s="31"/>
      <c r="E212" s="24"/>
      <c r="F212" s="71"/>
      <c r="G212" s="72"/>
      <c r="H212" s="73"/>
      <c r="I212" s="72"/>
      <c r="J212" s="71"/>
      <c r="K212" s="72"/>
      <c r="L212" s="72"/>
      <c r="M212" s="72"/>
      <c r="N212" s="74"/>
      <c r="O212" s="71"/>
      <c r="P212" s="72"/>
      <c r="Q212" s="72"/>
      <c r="R212" s="72"/>
      <c r="S212" s="74"/>
      <c r="T212" s="75"/>
      <c r="U212" s="33"/>
    </row>
    <row r="213" spans="1:21" x14ac:dyDescent="0.35">
      <c r="A213" s="17"/>
      <c r="B213" s="18"/>
      <c r="C213" s="13"/>
      <c r="D213" s="31"/>
      <c r="E213" s="24"/>
      <c r="F213" s="71"/>
      <c r="G213" s="72"/>
      <c r="H213" s="73"/>
      <c r="I213" s="72"/>
      <c r="J213" s="71"/>
      <c r="K213" s="72"/>
      <c r="L213" s="72"/>
      <c r="M213" s="72"/>
      <c r="N213" s="74"/>
      <c r="O213" s="71"/>
      <c r="P213" s="72"/>
      <c r="Q213" s="72"/>
      <c r="R213" s="72"/>
      <c r="S213" s="74"/>
      <c r="T213" s="75"/>
    </row>
    <row r="214" spans="1:21" x14ac:dyDescent="0.35">
      <c r="A214" s="17"/>
      <c r="B214" s="18"/>
      <c r="C214" s="13"/>
      <c r="D214" s="31"/>
      <c r="E214" s="24"/>
      <c r="F214" s="71"/>
      <c r="G214" s="72"/>
      <c r="H214" s="73"/>
      <c r="I214" s="72"/>
      <c r="J214" s="71"/>
      <c r="K214" s="72"/>
      <c r="L214" s="72"/>
      <c r="M214" s="72"/>
      <c r="N214" s="74"/>
      <c r="O214" s="71"/>
      <c r="P214" s="72"/>
      <c r="Q214" s="72"/>
      <c r="R214" s="72"/>
      <c r="S214" s="74"/>
      <c r="T214" s="75"/>
    </row>
    <row r="215" spans="1:21" x14ac:dyDescent="0.35">
      <c r="A215" s="17"/>
      <c r="B215" s="18"/>
      <c r="C215" s="13"/>
      <c r="D215" s="31"/>
      <c r="E215" s="24"/>
      <c r="F215" s="71"/>
      <c r="G215" s="72"/>
      <c r="H215" s="73"/>
      <c r="I215" s="72"/>
      <c r="J215" s="71"/>
      <c r="K215" s="72"/>
      <c r="L215" s="72"/>
      <c r="M215" s="72"/>
      <c r="N215" s="74"/>
      <c r="O215" s="71"/>
      <c r="P215" s="72"/>
      <c r="Q215" s="72"/>
      <c r="R215" s="72"/>
      <c r="S215" s="74"/>
      <c r="T215" s="75"/>
    </row>
    <row r="216" spans="1:21" x14ac:dyDescent="0.35">
      <c r="A216" s="17"/>
      <c r="B216" s="18"/>
      <c r="C216" s="13"/>
      <c r="D216" s="31"/>
      <c r="E216" s="24"/>
      <c r="F216" s="71"/>
      <c r="G216" s="72"/>
      <c r="H216" s="73"/>
      <c r="I216" s="72"/>
      <c r="J216" s="71"/>
      <c r="K216" s="72"/>
      <c r="L216" s="72"/>
      <c r="M216" s="72"/>
      <c r="N216" s="74"/>
      <c r="O216" s="71"/>
      <c r="P216" s="72"/>
      <c r="Q216" s="72"/>
      <c r="R216" s="72"/>
      <c r="S216" s="74"/>
      <c r="T216" s="75"/>
    </row>
    <row r="217" spans="1:21" x14ac:dyDescent="0.35">
      <c r="A217" s="17"/>
      <c r="B217" s="18"/>
      <c r="C217" s="13"/>
      <c r="D217" s="31"/>
      <c r="E217" s="24"/>
      <c r="F217" s="71"/>
      <c r="G217" s="72"/>
      <c r="H217" s="73"/>
      <c r="I217" s="72"/>
      <c r="J217" s="71"/>
      <c r="K217" s="72"/>
      <c r="L217" s="72"/>
      <c r="M217" s="72"/>
      <c r="N217" s="74"/>
      <c r="O217" s="71"/>
      <c r="P217" s="72"/>
      <c r="Q217" s="72"/>
      <c r="R217" s="72"/>
      <c r="S217" s="74"/>
      <c r="T217" s="75"/>
    </row>
    <row r="218" spans="1:21" x14ac:dyDescent="0.35">
      <c r="A218" s="17"/>
      <c r="B218" s="18"/>
      <c r="C218" s="13"/>
      <c r="D218" s="31"/>
      <c r="E218" s="24"/>
      <c r="F218" s="71"/>
      <c r="G218" s="72"/>
      <c r="H218" s="73"/>
      <c r="I218" s="72"/>
      <c r="J218" s="71"/>
      <c r="K218" s="72"/>
      <c r="L218" s="72"/>
      <c r="M218" s="72"/>
      <c r="N218" s="74"/>
      <c r="O218" s="71"/>
      <c r="P218" s="72"/>
      <c r="Q218" s="72"/>
      <c r="R218" s="72"/>
      <c r="S218" s="74"/>
      <c r="T218" s="75"/>
    </row>
    <row r="219" spans="1:21" x14ac:dyDescent="0.35">
      <c r="A219" s="17"/>
      <c r="B219" s="18"/>
      <c r="C219" s="13"/>
      <c r="D219" s="31"/>
      <c r="E219" s="24"/>
      <c r="F219" s="71"/>
      <c r="G219" s="72"/>
      <c r="H219" s="73"/>
      <c r="I219" s="72"/>
      <c r="J219" s="71"/>
      <c r="K219" s="72"/>
      <c r="L219" s="72"/>
      <c r="M219" s="72"/>
      <c r="N219" s="74"/>
      <c r="O219" s="71"/>
      <c r="P219" s="72"/>
      <c r="Q219" s="72"/>
      <c r="R219" s="72"/>
      <c r="S219" s="74"/>
      <c r="T219" s="75"/>
    </row>
    <row r="220" spans="1:21" x14ac:dyDescent="0.35">
      <c r="A220" s="17"/>
      <c r="B220" s="18"/>
      <c r="C220" s="13"/>
      <c r="D220" s="31"/>
      <c r="E220" s="24"/>
      <c r="F220" s="71"/>
      <c r="G220" s="72"/>
      <c r="H220" s="73"/>
      <c r="I220" s="72"/>
      <c r="J220" s="71"/>
      <c r="K220" s="72"/>
      <c r="L220" s="72"/>
      <c r="M220" s="72"/>
      <c r="N220" s="74"/>
      <c r="O220" s="71"/>
      <c r="P220" s="72"/>
      <c r="Q220" s="72"/>
      <c r="R220" s="72"/>
      <c r="S220" s="74"/>
      <c r="T220" s="75"/>
    </row>
    <row r="221" spans="1:21" x14ac:dyDescent="0.35">
      <c r="A221" s="17"/>
      <c r="B221" s="18"/>
      <c r="C221" s="13"/>
      <c r="D221" s="31"/>
      <c r="E221" s="24"/>
      <c r="F221" s="71"/>
      <c r="G221" s="72"/>
      <c r="H221" s="73"/>
      <c r="I221" s="72"/>
      <c r="J221" s="71"/>
      <c r="K221" s="72"/>
      <c r="L221" s="72"/>
      <c r="M221" s="72"/>
      <c r="N221" s="74"/>
      <c r="O221" s="71"/>
      <c r="P221" s="72"/>
      <c r="Q221" s="72"/>
      <c r="R221" s="72"/>
      <c r="S221" s="74"/>
      <c r="T221" s="75"/>
    </row>
    <row r="222" spans="1:21" x14ac:dyDescent="0.35">
      <c r="A222" s="17"/>
      <c r="B222" s="18"/>
      <c r="C222" s="13"/>
      <c r="D222" s="31"/>
      <c r="E222" s="24"/>
      <c r="F222" s="71"/>
      <c r="G222" s="72"/>
      <c r="H222" s="73"/>
      <c r="I222" s="72"/>
      <c r="J222" s="71"/>
      <c r="K222" s="72"/>
      <c r="L222" s="72"/>
      <c r="M222" s="72"/>
      <c r="N222" s="74"/>
      <c r="O222" s="71"/>
      <c r="P222" s="72"/>
      <c r="Q222" s="72"/>
      <c r="R222" s="72"/>
      <c r="S222" s="74"/>
      <c r="T222" s="75"/>
    </row>
    <row r="223" spans="1:21" x14ac:dyDescent="0.35">
      <c r="A223" s="17"/>
      <c r="B223" s="18"/>
      <c r="C223" s="13"/>
      <c r="D223" s="31"/>
      <c r="E223" s="24"/>
      <c r="F223" s="71"/>
      <c r="G223" s="72"/>
      <c r="H223" s="73"/>
      <c r="I223" s="72"/>
      <c r="J223" s="71"/>
      <c r="K223" s="72"/>
      <c r="L223" s="72"/>
      <c r="M223" s="72"/>
      <c r="N223" s="74"/>
      <c r="O223" s="71"/>
      <c r="P223" s="72"/>
      <c r="Q223" s="72"/>
      <c r="R223" s="72"/>
      <c r="S223" s="74"/>
      <c r="T223" s="75"/>
    </row>
    <row r="224" spans="1:21" x14ac:dyDescent="0.35">
      <c r="A224" s="17"/>
      <c r="B224" s="18"/>
      <c r="C224" s="13"/>
      <c r="D224" s="31"/>
      <c r="E224" s="24"/>
      <c r="F224" s="71"/>
      <c r="G224" s="72"/>
      <c r="H224" s="73"/>
      <c r="I224" s="72"/>
      <c r="J224" s="71"/>
      <c r="K224" s="72"/>
      <c r="L224" s="72"/>
      <c r="M224" s="72"/>
      <c r="N224" s="74"/>
      <c r="O224" s="71"/>
      <c r="P224" s="72"/>
      <c r="Q224" s="72"/>
      <c r="R224" s="72"/>
      <c r="S224" s="74"/>
      <c r="T224" s="75"/>
    </row>
    <row r="225" spans="1:20" x14ac:dyDescent="0.35">
      <c r="A225" s="17"/>
      <c r="B225" s="18"/>
      <c r="C225" s="13"/>
      <c r="D225" s="31"/>
      <c r="E225" s="24"/>
      <c r="F225" s="71"/>
      <c r="G225" s="72"/>
      <c r="H225" s="73"/>
      <c r="I225" s="72"/>
      <c r="J225" s="71"/>
      <c r="K225" s="72"/>
      <c r="L225" s="72"/>
      <c r="M225" s="72"/>
      <c r="N225" s="74"/>
      <c r="O225" s="71"/>
      <c r="P225" s="72"/>
      <c r="Q225" s="72"/>
      <c r="R225" s="72"/>
      <c r="S225" s="74"/>
      <c r="T225" s="75"/>
    </row>
    <row r="226" spans="1:20" x14ac:dyDescent="0.35">
      <c r="A226" s="17"/>
      <c r="B226" s="18"/>
      <c r="C226" s="13"/>
      <c r="D226" s="31"/>
      <c r="E226" s="24"/>
      <c r="F226" s="71"/>
      <c r="G226" s="72"/>
      <c r="H226" s="73"/>
      <c r="I226" s="72"/>
      <c r="J226" s="71"/>
      <c r="K226" s="72"/>
      <c r="L226" s="72"/>
      <c r="M226" s="72"/>
      <c r="N226" s="74"/>
      <c r="O226" s="71"/>
      <c r="P226" s="72"/>
      <c r="Q226" s="72"/>
      <c r="R226" s="72"/>
      <c r="S226" s="74"/>
      <c r="T226" s="75"/>
    </row>
    <row r="227" spans="1:20" x14ac:dyDescent="0.35">
      <c r="A227" s="17"/>
      <c r="B227" s="18"/>
      <c r="C227" s="13"/>
      <c r="D227" s="31"/>
      <c r="E227" s="24"/>
      <c r="F227" s="71"/>
      <c r="G227" s="72"/>
      <c r="H227" s="73"/>
      <c r="I227" s="72"/>
      <c r="J227" s="71"/>
      <c r="K227" s="72"/>
      <c r="L227" s="72"/>
      <c r="M227" s="72"/>
      <c r="N227" s="74"/>
      <c r="O227" s="71"/>
      <c r="P227" s="72"/>
      <c r="Q227" s="72"/>
      <c r="R227" s="72"/>
      <c r="S227" s="74"/>
      <c r="T227" s="75"/>
    </row>
    <row r="228" spans="1:20" x14ac:dyDescent="0.35">
      <c r="A228" s="17"/>
      <c r="B228" s="18"/>
      <c r="C228" s="13"/>
      <c r="D228" s="31"/>
      <c r="E228" s="24"/>
      <c r="F228" s="71"/>
      <c r="G228" s="72"/>
      <c r="H228" s="73"/>
      <c r="I228" s="72"/>
      <c r="J228" s="71"/>
      <c r="K228" s="72"/>
      <c r="L228" s="72"/>
      <c r="M228" s="72"/>
      <c r="N228" s="74"/>
      <c r="O228" s="71"/>
      <c r="P228" s="72"/>
      <c r="Q228" s="72"/>
      <c r="R228" s="72"/>
      <c r="S228" s="74"/>
      <c r="T228" s="75"/>
    </row>
    <row r="229" spans="1:20" x14ac:dyDescent="0.35">
      <c r="A229" s="17"/>
      <c r="B229" s="18"/>
      <c r="C229" s="13"/>
      <c r="D229" s="31"/>
      <c r="E229" s="24"/>
      <c r="F229" s="71"/>
      <c r="G229" s="72"/>
      <c r="H229" s="73"/>
      <c r="I229" s="72"/>
      <c r="J229" s="71"/>
      <c r="K229" s="72"/>
      <c r="L229" s="72"/>
      <c r="M229" s="72"/>
      <c r="N229" s="74"/>
      <c r="O229" s="71"/>
      <c r="P229" s="72"/>
      <c r="Q229" s="72"/>
      <c r="R229" s="72"/>
      <c r="S229" s="74"/>
      <c r="T229" s="75"/>
    </row>
    <row r="230" spans="1:20" x14ac:dyDescent="0.35">
      <c r="A230" s="17"/>
      <c r="B230" s="18"/>
      <c r="C230" s="13"/>
      <c r="D230" s="31"/>
      <c r="E230" s="24"/>
      <c r="F230" s="71"/>
      <c r="G230" s="72"/>
      <c r="H230" s="73"/>
      <c r="I230" s="72"/>
      <c r="J230" s="71"/>
      <c r="K230" s="72"/>
      <c r="L230" s="72"/>
      <c r="M230" s="72"/>
      <c r="N230" s="74"/>
      <c r="O230" s="71"/>
      <c r="P230" s="72"/>
      <c r="Q230" s="72"/>
      <c r="R230" s="72"/>
      <c r="S230" s="74"/>
      <c r="T230" s="75"/>
    </row>
    <row r="231" spans="1:20" x14ac:dyDescent="0.35">
      <c r="A231" s="17"/>
      <c r="B231" s="18"/>
      <c r="C231" s="13"/>
      <c r="D231" s="31"/>
      <c r="E231" s="24"/>
      <c r="F231" s="71"/>
      <c r="G231" s="72"/>
      <c r="H231" s="73"/>
      <c r="I231" s="72"/>
      <c r="J231" s="71"/>
      <c r="K231" s="72"/>
      <c r="L231" s="72"/>
      <c r="M231" s="72"/>
      <c r="N231" s="74"/>
      <c r="O231" s="71"/>
      <c r="P231" s="72"/>
      <c r="Q231" s="72"/>
      <c r="R231" s="72"/>
      <c r="S231" s="74"/>
      <c r="T231" s="75"/>
    </row>
    <row r="232" spans="1:20" x14ac:dyDescent="0.35">
      <c r="A232" s="17"/>
      <c r="B232" s="18"/>
      <c r="C232" s="13"/>
      <c r="D232" s="31"/>
      <c r="E232" s="24"/>
      <c r="F232" s="71"/>
      <c r="G232" s="72"/>
      <c r="H232" s="73"/>
      <c r="I232" s="72"/>
      <c r="J232" s="71"/>
      <c r="K232" s="72"/>
      <c r="L232" s="72"/>
      <c r="M232" s="72"/>
      <c r="N232" s="74"/>
      <c r="O232" s="71"/>
      <c r="P232" s="72"/>
      <c r="Q232" s="72"/>
      <c r="R232" s="72"/>
      <c r="S232" s="74"/>
      <c r="T232" s="75"/>
    </row>
    <row r="233" spans="1:20" x14ac:dyDescent="0.35">
      <c r="A233" s="17"/>
      <c r="B233" s="18"/>
      <c r="C233" s="13"/>
      <c r="D233" s="31"/>
      <c r="E233" s="24"/>
      <c r="F233" s="71"/>
      <c r="G233" s="72"/>
      <c r="H233" s="73"/>
      <c r="I233" s="72"/>
      <c r="J233" s="71"/>
      <c r="K233" s="72"/>
      <c r="L233" s="72"/>
      <c r="M233" s="72"/>
      <c r="N233" s="74"/>
      <c r="O233" s="71"/>
      <c r="P233" s="72"/>
      <c r="Q233" s="72"/>
      <c r="R233" s="72"/>
      <c r="S233" s="74"/>
      <c r="T233" s="75"/>
    </row>
    <row r="234" spans="1:20" x14ac:dyDescent="0.35">
      <c r="A234" s="17"/>
      <c r="B234" s="18"/>
      <c r="C234" s="13"/>
      <c r="D234" s="31"/>
      <c r="E234" s="24"/>
      <c r="F234" s="71"/>
      <c r="G234" s="72"/>
      <c r="H234" s="73"/>
      <c r="I234" s="72"/>
      <c r="J234" s="71"/>
      <c r="K234" s="72"/>
      <c r="L234" s="72"/>
      <c r="M234" s="72"/>
      <c r="N234" s="74"/>
      <c r="O234" s="71"/>
      <c r="P234" s="72"/>
      <c r="Q234" s="72"/>
      <c r="R234" s="72"/>
      <c r="S234" s="74"/>
      <c r="T234" s="75"/>
    </row>
    <row r="235" spans="1:20" x14ac:dyDescent="0.35">
      <c r="A235" s="17"/>
      <c r="B235" s="18"/>
      <c r="C235" s="13"/>
      <c r="D235" s="31"/>
      <c r="E235" s="24"/>
      <c r="F235" s="71"/>
      <c r="G235" s="72"/>
      <c r="H235" s="73"/>
      <c r="I235" s="72"/>
      <c r="J235" s="71"/>
      <c r="K235" s="72"/>
      <c r="L235" s="72"/>
      <c r="M235" s="72"/>
      <c r="N235" s="74"/>
      <c r="O235" s="71"/>
      <c r="P235" s="72"/>
      <c r="Q235" s="72"/>
      <c r="R235" s="72"/>
      <c r="S235" s="74"/>
      <c r="T235" s="75"/>
    </row>
    <row r="236" spans="1:20" x14ac:dyDescent="0.35">
      <c r="A236" s="17"/>
      <c r="B236" s="18"/>
      <c r="C236" s="13"/>
      <c r="D236" s="31"/>
      <c r="E236" s="24"/>
      <c r="F236" s="71"/>
      <c r="G236" s="72"/>
      <c r="H236" s="73"/>
      <c r="I236" s="72"/>
      <c r="J236" s="71"/>
      <c r="K236" s="72"/>
      <c r="L236" s="72"/>
      <c r="M236" s="72"/>
      <c r="N236" s="74"/>
      <c r="O236" s="71"/>
      <c r="P236" s="72"/>
      <c r="Q236" s="72"/>
      <c r="R236" s="72"/>
      <c r="S236" s="74"/>
      <c r="T236" s="75"/>
    </row>
    <row r="237" spans="1:20" x14ac:dyDescent="0.35">
      <c r="A237" s="17"/>
      <c r="B237" s="18"/>
      <c r="C237" s="13"/>
      <c r="D237" s="31"/>
      <c r="E237" s="24"/>
      <c r="F237" s="71"/>
      <c r="G237" s="72"/>
      <c r="H237" s="73"/>
      <c r="I237" s="72"/>
      <c r="J237" s="71"/>
      <c r="K237" s="72"/>
      <c r="L237" s="72"/>
      <c r="M237" s="72"/>
      <c r="N237" s="74"/>
      <c r="O237" s="71"/>
      <c r="P237" s="72"/>
      <c r="Q237" s="72"/>
      <c r="R237" s="72"/>
      <c r="S237" s="74"/>
      <c r="T237" s="75"/>
    </row>
    <row r="238" spans="1:20" x14ac:dyDescent="0.35">
      <c r="A238" s="17"/>
      <c r="B238" s="18"/>
      <c r="C238" s="13"/>
      <c r="D238" s="31"/>
      <c r="E238" s="24"/>
      <c r="F238" s="71"/>
      <c r="G238" s="72"/>
      <c r="H238" s="73"/>
      <c r="I238" s="72"/>
      <c r="J238" s="71"/>
      <c r="K238" s="72"/>
      <c r="L238" s="72"/>
      <c r="M238" s="72"/>
      <c r="N238" s="74"/>
      <c r="O238" s="71"/>
      <c r="P238" s="72"/>
      <c r="Q238" s="72"/>
      <c r="R238" s="72"/>
      <c r="S238" s="74"/>
      <c r="T238" s="75"/>
    </row>
    <row r="239" spans="1:20" x14ac:dyDescent="0.35">
      <c r="A239" s="17"/>
      <c r="B239" s="18"/>
      <c r="C239" s="13"/>
      <c r="D239" s="31"/>
      <c r="E239" s="24"/>
      <c r="F239" s="71"/>
      <c r="G239" s="72"/>
      <c r="H239" s="73"/>
      <c r="I239" s="72"/>
      <c r="J239" s="71"/>
      <c r="K239" s="72"/>
      <c r="L239" s="72"/>
      <c r="M239" s="72"/>
      <c r="N239" s="74"/>
      <c r="O239" s="71"/>
      <c r="P239" s="72"/>
      <c r="Q239" s="72"/>
      <c r="R239" s="72"/>
      <c r="S239" s="74"/>
      <c r="T239" s="75"/>
    </row>
    <row r="240" spans="1:20" x14ac:dyDescent="0.35">
      <c r="A240" s="17"/>
      <c r="B240" s="18"/>
      <c r="C240" s="13"/>
      <c r="D240" s="31"/>
      <c r="E240" s="24"/>
      <c r="F240" s="71"/>
      <c r="G240" s="72"/>
      <c r="H240" s="73"/>
      <c r="I240" s="72"/>
      <c r="J240" s="71"/>
      <c r="K240" s="72"/>
      <c r="L240" s="72"/>
      <c r="M240" s="72"/>
      <c r="N240" s="74"/>
      <c r="O240" s="71"/>
      <c r="P240" s="72"/>
      <c r="Q240" s="72"/>
      <c r="R240" s="72"/>
      <c r="S240" s="74"/>
      <c r="T240" s="75"/>
    </row>
    <row r="241" spans="1:20" x14ac:dyDescent="0.35">
      <c r="A241" s="17"/>
      <c r="B241" s="18"/>
      <c r="C241" s="13"/>
      <c r="D241" s="31"/>
      <c r="E241" s="24"/>
      <c r="F241" s="71"/>
      <c r="G241" s="72"/>
      <c r="H241" s="73"/>
      <c r="I241" s="72"/>
      <c r="J241" s="71"/>
      <c r="K241" s="72"/>
      <c r="L241" s="72"/>
      <c r="M241" s="72"/>
      <c r="N241" s="74"/>
      <c r="O241" s="71"/>
      <c r="P241" s="72"/>
      <c r="Q241" s="72"/>
      <c r="R241" s="72"/>
      <c r="S241" s="74"/>
      <c r="T241" s="75"/>
    </row>
    <row r="242" spans="1:20" x14ac:dyDescent="0.35">
      <c r="A242" s="17"/>
      <c r="B242" s="18"/>
      <c r="C242" s="13"/>
      <c r="D242" s="31"/>
      <c r="E242" s="24"/>
      <c r="F242" s="71"/>
      <c r="G242" s="72"/>
      <c r="H242" s="73"/>
      <c r="I242" s="72"/>
      <c r="J242" s="71"/>
      <c r="K242" s="72"/>
      <c r="L242" s="72"/>
      <c r="M242" s="72"/>
      <c r="N242" s="74"/>
      <c r="O242" s="71"/>
      <c r="P242" s="72"/>
      <c r="Q242" s="72"/>
      <c r="R242" s="72"/>
      <c r="S242" s="74"/>
      <c r="T242" s="75"/>
    </row>
    <row r="243" spans="1:20" x14ac:dyDescent="0.35">
      <c r="A243" s="17"/>
      <c r="B243" s="18"/>
      <c r="C243" s="13"/>
      <c r="D243" s="31"/>
      <c r="E243" s="24"/>
      <c r="F243" s="71"/>
      <c r="G243" s="72"/>
      <c r="H243" s="73"/>
      <c r="I243" s="72"/>
      <c r="J243" s="71"/>
      <c r="K243" s="72"/>
      <c r="L243" s="72"/>
      <c r="M243" s="72"/>
      <c r="N243" s="74"/>
      <c r="O243" s="71"/>
      <c r="P243" s="72"/>
      <c r="Q243" s="72"/>
      <c r="R243" s="72"/>
      <c r="S243" s="74"/>
      <c r="T243" s="75"/>
    </row>
    <row r="244" spans="1:20" x14ac:dyDescent="0.35">
      <c r="A244" s="17"/>
      <c r="B244" s="18"/>
      <c r="C244" s="13"/>
      <c r="D244" s="31"/>
      <c r="E244" s="24"/>
      <c r="F244" s="71"/>
      <c r="G244" s="72"/>
      <c r="H244" s="73"/>
      <c r="I244" s="72"/>
      <c r="J244" s="71"/>
      <c r="K244" s="72"/>
      <c r="L244" s="72"/>
      <c r="M244" s="72"/>
      <c r="N244" s="74"/>
      <c r="O244" s="71"/>
      <c r="P244" s="72"/>
      <c r="Q244" s="72"/>
      <c r="R244" s="72"/>
      <c r="S244" s="74"/>
      <c r="T244" s="75"/>
    </row>
    <row r="245" spans="1:20" x14ac:dyDescent="0.35">
      <c r="A245" s="17"/>
      <c r="B245" s="18"/>
      <c r="C245" s="13"/>
      <c r="D245" s="31"/>
      <c r="E245" s="24"/>
      <c r="F245" s="71"/>
      <c r="G245" s="72"/>
      <c r="H245" s="73"/>
      <c r="I245" s="72"/>
      <c r="J245" s="71"/>
      <c r="K245" s="72"/>
      <c r="L245" s="72"/>
      <c r="M245" s="72"/>
      <c r="N245" s="74"/>
      <c r="O245" s="71"/>
      <c r="P245" s="72"/>
      <c r="Q245" s="72"/>
      <c r="R245" s="72"/>
      <c r="S245" s="74"/>
      <c r="T245" s="75"/>
    </row>
    <row r="246" spans="1:20" x14ac:dyDescent="0.35">
      <c r="A246" s="17"/>
      <c r="B246" s="18"/>
      <c r="C246" s="13"/>
      <c r="D246" s="31"/>
      <c r="E246" s="24"/>
      <c r="F246" s="71"/>
      <c r="G246" s="72"/>
      <c r="H246" s="73"/>
      <c r="I246" s="72"/>
      <c r="J246" s="71"/>
      <c r="K246" s="72"/>
      <c r="L246" s="72"/>
      <c r="M246" s="72"/>
      <c r="N246" s="74"/>
      <c r="O246" s="71"/>
      <c r="P246" s="72"/>
      <c r="Q246" s="72"/>
      <c r="R246" s="72"/>
      <c r="S246" s="74"/>
      <c r="T246" s="75"/>
    </row>
    <row r="247" spans="1:20" x14ac:dyDescent="0.35">
      <c r="A247" s="17"/>
      <c r="B247" s="18"/>
      <c r="C247" s="13"/>
      <c r="D247" s="31"/>
      <c r="E247" s="24"/>
      <c r="F247" s="71"/>
      <c r="G247" s="72"/>
      <c r="H247" s="73"/>
      <c r="I247" s="72"/>
      <c r="J247" s="71"/>
      <c r="K247" s="72"/>
      <c r="L247" s="72"/>
      <c r="M247" s="72"/>
      <c r="N247" s="74"/>
      <c r="O247" s="71"/>
      <c r="P247" s="72"/>
      <c r="Q247" s="72"/>
      <c r="R247" s="72"/>
      <c r="S247" s="74"/>
      <c r="T247" s="75"/>
    </row>
    <row r="248" spans="1:20" x14ac:dyDescent="0.35">
      <c r="A248" s="17"/>
      <c r="B248" s="18"/>
      <c r="C248" s="13"/>
      <c r="D248" s="31"/>
      <c r="E248" s="24"/>
      <c r="F248" s="71"/>
      <c r="G248" s="72"/>
      <c r="H248" s="73"/>
      <c r="I248" s="72"/>
      <c r="J248" s="71"/>
      <c r="K248" s="72"/>
      <c r="L248" s="72"/>
      <c r="M248" s="72"/>
      <c r="N248" s="74"/>
      <c r="O248" s="71"/>
      <c r="P248" s="72"/>
      <c r="Q248" s="72"/>
      <c r="R248" s="72"/>
      <c r="S248" s="74"/>
      <c r="T248" s="75"/>
    </row>
    <row r="249" spans="1:20" x14ac:dyDescent="0.35">
      <c r="A249" s="17"/>
      <c r="B249" s="18"/>
      <c r="C249" s="13"/>
      <c r="D249" s="31"/>
      <c r="E249" s="24"/>
      <c r="F249" s="71"/>
      <c r="G249" s="72"/>
      <c r="H249" s="73"/>
      <c r="I249" s="72"/>
      <c r="J249" s="71"/>
      <c r="K249" s="72"/>
      <c r="L249" s="72"/>
      <c r="M249" s="72"/>
      <c r="N249" s="74"/>
      <c r="O249" s="71"/>
      <c r="P249" s="72"/>
      <c r="Q249" s="72"/>
      <c r="R249" s="72"/>
      <c r="S249" s="74"/>
      <c r="T249" s="75"/>
    </row>
    <row r="250" spans="1:20" x14ac:dyDescent="0.35">
      <c r="A250" s="17"/>
      <c r="B250" s="18"/>
      <c r="C250" s="13"/>
      <c r="D250" s="31"/>
      <c r="E250" s="24"/>
      <c r="F250" s="71"/>
      <c r="G250" s="72"/>
      <c r="H250" s="73"/>
      <c r="I250" s="72"/>
      <c r="J250" s="71"/>
      <c r="K250" s="72"/>
      <c r="L250" s="72"/>
      <c r="M250" s="72"/>
      <c r="N250" s="74"/>
      <c r="O250" s="71"/>
      <c r="P250" s="72"/>
      <c r="Q250" s="72"/>
      <c r="R250" s="72"/>
      <c r="S250" s="74"/>
      <c r="T250" s="75"/>
    </row>
    <row r="251" spans="1:20" x14ac:dyDescent="0.35">
      <c r="A251" s="17"/>
      <c r="B251" s="18"/>
      <c r="C251" s="13"/>
      <c r="D251" s="31"/>
      <c r="E251" s="24"/>
      <c r="F251" s="71"/>
      <c r="G251" s="72"/>
      <c r="H251" s="73"/>
      <c r="I251" s="72"/>
      <c r="J251" s="71"/>
      <c r="K251" s="72"/>
      <c r="L251" s="72"/>
      <c r="M251" s="72"/>
      <c r="N251" s="74"/>
      <c r="O251" s="71"/>
      <c r="P251" s="72"/>
      <c r="Q251" s="72"/>
      <c r="R251" s="72"/>
      <c r="S251" s="74"/>
      <c r="T251" s="75"/>
    </row>
    <row r="252" spans="1:20" x14ac:dyDescent="0.35">
      <c r="A252" s="17"/>
      <c r="B252" s="18"/>
      <c r="C252" s="13"/>
      <c r="D252" s="31"/>
      <c r="E252" s="24"/>
      <c r="F252" s="71"/>
      <c r="G252" s="72"/>
      <c r="H252" s="73"/>
      <c r="I252" s="72"/>
      <c r="J252" s="71"/>
      <c r="K252" s="72"/>
      <c r="L252" s="72"/>
      <c r="M252" s="72"/>
      <c r="N252" s="74"/>
      <c r="O252" s="71"/>
      <c r="P252" s="72"/>
      <c r="Q252" s="72"/>
      <c r="R252" s="72"/>
      <c r="S252" s="74"/>
      <c r="T252" s="75"/>
    </row>
    <row r="253" spans="1:20" x14ac:dyDescent="0.35">
      <c r="A253" s="17"/>
      <c r="B253" s="18"/>
      <c r="C253" s="13"/>
      <c r="D253" s="31"/>
      <c r="E253" s="24"/>
      <c r="F253" s="71"/>
      <c r="G253" s="72"/>
      <c r="H253" s="73"/>
      <c r="I253" s="72"/>
      <c r="J253" s="71"/>
      <c r="K253" s="72"/>
      <c r="L253" s="72"/>
      <c r="M253" s="72"/>
      <c r="N253" s="74"/>
      <c r="O253" s="71"/>
      <c r="P253" s="72"/>
      <c r="Q253" s="72"/>
      <c r="R253" s="72"/>
      <c r="S253" s="74"/>
      <c r="T253" s="75"/>
    </row>
    <row r="254" spans="1:20" x14ac:dyDescent="0.35">
      <c r="A254" s="17"/>
      <c r="B254" s="18"/>
      <c r="C254" s="13"/>
      <c r="D254" s="31"/>
      <c r="E254" s="24"/>
      <c r="F254" s="71"/>
      <c r="G254" s="72"/>
      <c r="H254" s="73"/>
      <c r="I254" s="72"/>
      <c r="J254" s="71"/>
      <c r="K254" s="72"/>
      <c r="L254" s="72"/>
      <c r="M254" s="72"/>
      <c r="N254" s="74"/>
      <c r="O254" s="71"/>
      <c r="P254" s="72"/>
      <c r="Q254" s="72"/>
      <c r="R254" s="72"/>
      <c r="S254" s="74"/>
      <c r="T254" s="75"/>
    </row>
    <row r="255" spans="1:20" x14ac:dyDescent="0.35">
      <c r="A255" s="17"/>
      <c r="B255" s="18"/>
      <c r="C255" s="13"/>
      <c r="D255" s="31"/>
      <c r="E255" s="24"/>
      <c r="F255" s="71"/>
      <c r="G255" s="72"/>
      <c r="H255" s="73"/>
      <c r="I255" s="72"/>
      <c r="J255" s="71"/>
      <c r="K255" s="72"/>
      <c r="L255" s="72"/>
      <c r="M255" s="72"/>
      <c r="N255" s="74"/>
      <c r="O255" s="71"/>
      <c r="P255" s="72"/>
      <c r="Q255" s="72"/>
      <c r="R255" s="72"/>
      <c r="S255" s="74"/>
      <c r="T255" s="75"/>
    </row>
    <row r="256" spans="1:20" x14ac:dyDescent="0.35">
      <c r="A256" s="17"/>
      <c r="B256" s="18"/>
      <c r="C256" s="13"/>
      <c r="D256" s="31"/>
      <c r="E256" s="24"/>
      <c r="F256" s="71"/>
      <c r="G256" s="72"/>
      <c r="H256" s="73"/>
      <c r="I256" s="72"/>
      <c r="J256" s="71"/>
      <c r="K256" s="72"/>
      <c r="L256" s="72"/>
      <c r="M256" s="72"/>
      <c r="N256" s="74"/>
      <c r="O256" s="71"/>
      <c r="P256" s="72"/>
      <c r="Q256" s="72"/>
      <c r="R256" s="72"/>
      <c r="S256" s="74"/>
      <c r="T256" s="75"/>
    </row>
    <row r="257" spans="1:20" x14ac:dyDescent="0.35">
      <c r="A257" s="17"/>
      <c r="B257" s="18"/>
      <c r="C257" s="13"/>
      <c r="D257" s="31"/>
      <c r="E257" s="24"/>
      <c r="F257" s="71"/>
      <c r="G257" s="72"/>
      <c r="H257" s="73"/>
      <c r="I257" s="72"/>
      <c r="J257" s="71"/>
      <c r="K257" s="72"/>
      <c r="L257" s="72"/>
      <c r="M257" s="72"/>
      <c r="N257" s="74"/>
      <c r="O257" s="71"/>
      <c r="P257" s="72"/>
      <c r="Q257" s="72"/>
      <c r="R257" s="72"/>
      <c r="S257" s="74"/>
      <c r="T257" s="75"/>
    </row>
    <row r="258" spans="1:20" x14ac:dyDescent="0.35">
      <c r="A258" s="17"/>
      <c r="B258" s="18"/>
      <c r="C258" s="13"/>
      <c r="D258" s="31"/>
      <c r="E258" s="24"/>
      <c r="F258" s="71"/>
      <c r="G258" s="72"/>
      <c r="H258" s="73"/>
      <c r="I258" s="72"/>
      <c r="J258" s="71"/>
      <c r="K258" s="72"/>
      <c r="L258" s="72"/>
      <c r="M258" s="72"/>
      <c r="N258" s="74"/>
      <c r="O258" s="71"/>
      <c r="P258" s="72"/>
      <c r="Q258" s="72"/>
      <c r="R258" s="72"/>
      <c r="S258" s="74"/>
      <c r="T258" s="75"/>
    </row>
    <row r="259" spans="1:20" x14ac:dyDescent="0.35">
      <c r="A259" s="17"/>
      <c r="B259" s="18"/>
      <c r="C259" s="13"/>
      <c r="D259" s="31"/>
      <c r="E259" s="24"/>
      <c r="F259" s="71"/>
      <c r="G259" s="72"/>
      <c r="H259" s="73"/>
      <c r="I259" s="72"/>
      <c r="J259" s="71"/>
      <c r="K259" s="72"/>
      <c r="L259" s="72"/>
      <c r="M259" s="72"/>
      <c r="N259" s="74"/>
      <c r="O259" s="71"/>
      <c r="P259" s="72"/>
      <c r="Q259" s="72"/>
      <c r="R259" s="72"/>
      <c r="S259" s="74"/>
      <c r="T259" s="75"/>
    </row>
    <row r="260" spans="1:20" x14ac:dyDescent="0.35">
      <c r="A260" s="17"/>
      <c r="B260" s="18"/>
      <c r="C260" s="13"/>
      <c r="D260" s="31"/>
      <c r="E260" s="24"/>
      <c r="F260" s="71"/>
      <c r="G260" s="72"/>
      <c r="H260" s="73"/>
      <c r="I260" s="72"/>
      <c r="J260" s="71"/>
      <c r="K260" s="72"/>
      <c r="L260" s="72"/>
      <c r="M260" s="72"/>
      <c r="N260" s="74"/>
      <c r="O260" s="71"/>
      <c r="P260" s="72"/>
      <c r="Q260" s="72"/>
      <c r="R260" s="72"/>
      <c r="S260" s="74"/>
      <c r="T260" s="75"/>
    </row>
    <row r="261" spans="1:20" x14ac:dyDescent="0.35">
      <c r="A261" s="17"/>
      <c r="B261" s="18"/>
      <c r="C261" s="13"/>
      <c r="D261" s="31"/>
      <c r="E261" s="24"/>
      <c r="F261" s="71"/>
      <c r="G261" s="72"/>
      <c r="H261" s="73"/>
      <c r="I261" s="72"/>
      <c r="J261" s="71"/>
      <c r="K261" s="72"/>
      <c r="L261" s="72"/>
      <c r="M261" s="72"/>
      <c r="N261" s="74"/>
      <c r="O261" s="71"/>
      <c r="P261" s="72"/>
      <c r="Q261" s="72"/>
      <c r="R261" s="72"/>
      <c r="S261" s="74"/>
      <c r="T261" s="75"/>
    </row>
    <row r="262" spans="1:20" x14ac:dyDescent="0.35">
      <c r="A262" s="17"/>
      <c r="B262" s="18"/>
      <c r="C262" s="13"/>
      <c r="D262" s="31"/>
      <c r="E262" s="24"/>
      <c r="F262" s="71"/>
      <c r="G262" s="72"/>
      <c r="H262" s="73"/>
      <c r="I262" s="72"/>
      <c r="J262" s="71"/>
      <c r="K262" s="72"/>
      <c r="L262" s="72"/>
      <c r="M262" s="72"/>
      <c r="N262" s="74"/>
      <c r="O262" s="71"/>
      <c r="P262" s="72"/>
      <c r="Q262" s="72"/>
      <c r="R262" s="72"/>
      <c r="S262" s="74"/>
      <c r="T262" s="75"/>
    </row>
    <row r="263" spans="1:20" x14ac:dyDescent="0.35">
      <c r="A263" s="17"/>
      <c r="B263" s="18"/>
      <c r="C263" s="13"/>
      <c r="D263" s="31"/>
      <c r="E263" s="24"/>
      <c r="F263" s="71"/>
      <c r="G263" s="72"/>
      <c r="H263" s="73"/>
      <c r="I263" s="72"/>
      <c r="J263" s="71"/>
      <c r="K263" s="72"/>
      <c r="L263" s="72"/>
      <c r="M263" s="72"/>
      <c r="N263" s="74"/>
      <c r="O263" s="71"/>
      <c r="P263" s="72"/>
      <c r="Q263" s="72"/>
      <c r="R263" s="72"/>
      <c r="S263" s="74"/>
      <c r="T263" s="75"/>
    </row>
    <row r="264" spans="1:20" x14ac:dyDescent="0.35">
      <c r="A264" s="17"/>
      <c r="B264" s="18"/>
      <c r="C264" s="13"/>
      <c r="D264" s="31"/>
      <c r="E264" s="24"/>
      <c r="F264" s="71"/>
      <c r="G264" s="72"/>
      <c r="H264" s="73"/>
      <c r="I264" s="72"/>
      <c r="J264" s="71"/>
      <c r="K264" s="72"/>
      <c r="L264" s="72"/>
      <c r="M264" s="72"/>
      <c r="N264" s="74"/>
      <c r="O264" s="71"/>
      <c r="P264" s="72"/>
      <c r="Q264" s="72"/>
      <c r="R264" s="72"/>
      <c r="S264" s="74"/>
      <c r="T264" s="75"/>
    </row>
    <row r="265" spans="1:20" x14ac:dyDescent="0.35">
      <c r="A265" s="17"/>
      <c r="B265" s="18"/>
      <c r="C265" s="13"/>
      <c r="D265" s="31"/>
      <c r="E265" s="24"/>
      <c r="F265" s="71"/>
      <c r="G265" s="72"/>
      <c r="H265" s="73"/>
      <c r="I265" s="72"/>
      <c r="J265" s="71"/>
      <c r="K265" s="72"/>
      <c r="L265" s="72"/>
      <c r="M265" s="72"/>
      <c r="N265" s="74"/>
      <c r="O265" s="71"/>
      <c r="P265" s="72"/>
      <c r="Q265" s="72"/>
      <c r="R265" s="72"/>
      <c r="S265" s="74"/>
      <c r="T265" s="75"/>
    </row>
    <row r="266" spans="1:20" x14ac:dyDescent="0.35">
      <c r="A266" s="17"/>
      <c r="B266" s="18"/>
      <c r="C266" s="13"/>
      <c r="D266" s="31"/>
      <c r="E266" s="24"/>
      <c r="F266" s="71"/>
      <c r="G266" s="72"/>
      <c r="H266" s="73"/>
      <c r="I266" s="72"/>
      <c r="J266" s="71"/>
      <c r="K266" s="72"/>
      <c r="L266" s="72"/>
      <c r="M266" s="72"/>
      <c r="N266" s="74"/>
      <c r="O266" s="71"/>
      <c r="P266" s="72"/>
      <c r="Q266" s="72"/>
      <c r="R266" s="72"/>
      <c r="S266" s="74"/>
      <c r="T266" s="75"/>
    </row>
    <row r="267" spans="1:20" x14ac:dyDescent="0.35">
      <c r="A267" s="17"/>
      <c r="B267" s="18"/>
      <c r="C267" s="13"/>
      <c r="D267" s="31"/>
      <c r="E267" s="24"/>
      <c r="F267" s="71"/>
      <c r="G267" s="72"/>
      <c r="H267" s="73"/>
      <c r="I267" s="72"/>
      <c r="J267" s="71"/>
      <c r="K267" s="72"/>
      <c r="L267" s="72"/>
      <c r="M267" s="72"/>
      <c r="N267" s="74"/>
      <c r="O267" s="71"/>
      <c r="P267" s="72"/>
      <c r="Q267" s="72"/>
      <c r="R267" s="72"/>
      <c r="S267" s="74"/>
      <c r="T267" s="75"/>
    </row>
    <row r="268" spans="1:20" x14ac:dyDescent="0.35">
      <c r="A268" s="17"/>
      <c r="B268" s="18"/>
      <c r="C268" s="13"/>
      <c r="D268" s="31"/>
      <c r="E268" s="24"/>
      <c r="F268" s="71"/>
      <c r="G268" s="72"/>
      <c r="H268" s="73"/>
      <c r="I268" s="72"/>
      <c r="J268" s="71"/>
      <c r="K268" s="72"/>
      <c r="L268" s="72"/>
      <c r="M268" s="72"/>
      <c r="N268" s="74"/>
      <c r="O268" s="71"/>
      <c r="P268" s="72"/>
      <c r="Q268" s="72"/>
      <c r="R268" s="72"/>
      <c r="S268" s="74"/>
      <c r="T268" s="75"/>
    </row>
    <row r="269" spans="1:20" x14ac:dyDescent="0.35">
      <c r="A269" s="17"/>
      <c r="B269" s="18"/>
      <c r="C269" s="13"/>
      <c r="D269" s="31"/>
      <c r="E269" s="24"/>
      <c r="F269" s="71"/>
      <c r="G269" s="72"/>
      <c r="H269" s="73"/>
      <c r="I269" s="72"/>
      <c r="J269" s="71"/>
      <c r="K269" s="72"/>
      <c r="L269" s="72"/>
      <c r="M269" s="72"/>
      <c r="N269" s="74"/>
      <c r="O269" s="71"/>
      <c r="P269" s="72"/>
      <c r="Q269" s="72"/>
      <c r="R269" s="72"/>
      <c r="S269" s="74"/>
      <c r="T269" s="75"/>
    </row>
    <row r="270" spans="1:20" x14ac:dyDescent="0.35">
      <c r="A270" s="17"/>
      <c r="B270" s="18"/>
      <c r="C270" s="13"/>
      <c r="D270" s="31"/>
      <c r="E270" s="24"/>
      <c r="F270" s="71"/>
      <c r="G270" s="72"/>
      <c r="H270" s="73"/>
      <c r="I270" s="72"/>
      <c r="J270" s="71"/>
      <c r="K270" s="72"/>
      <c r="L270" s="72"/>
      <c r="M270" s="72"/>
      <c r="N270" s="74"/>
      <c r="O270" s="71"/>
      <c r="P270" s="72"/>
      <c r="Q270" s="72"/>
      <c r="R270" s="72"/>
      <c r="S270" s="74"/>
      <c r="T270" s="75"/>
    </row>
    <row r="271" spans="1:20" x14ac:dyDescent="0.35">
      <c r="A271" s="17"/>
      <c r="B271" s="18"/>
      <c r="C271" s="13"/>
      <c r="D271" s="31"/>
      <c r="E271" s="24"/>
      <c r="F271" s="71"/>
      <c r="G271" s="72"/>
      <c r="H271" s="73"/>
      <c r="I271" s="72"/>
      <c r="J271" s="71"/>
      <c r="K271" s="72"/>
      <c r="L271" s="72"/>
      <c r="M271" s="72"/>
      <c r="N271" s="74"/>
      <c r="O271" s="71"/>
      <c r="P271" s="72"/>
      <c r="Q271" s="72"/>
      <c r="R271" s="72"/>
      <c r="S271" s="74"/>
      <c r="T271" s="75"/>
    </row>
    <row r="272" spans="1:20" x14ac:dyDescent="0.35">
      <c r="A272" s="17"/>
      <c r="B272" s="18"/>
      <c r="C272" s="13"/>
      <c r="D272" s="31"/>
      <c r="E272" s="24"/>
      <c r="F272" s="71"/>
      <c r="G272" s="72"/>
      <c r="H272" s="73"/>
      <c r="I272" s="72"/>
      <c r="J272" s="71"/>
      <c r="K272" s="72"/>
      <c r="L272" s="72"/>
      <c r="M272" s="72"/>
      <c r="N272" s="74"/>
      <c r="O272" s="71"/>
      <c r="P272" s="72"/>
      <c r="Q272" s="72"/>
      <c r="R272" s="72"/>
      <c r="S272" s="74"/>
      <c r="T272" s="75"/>
    </row>
    <row r="273" spans="1:20" x14ac:dyDescent="0.35">
      <c r="A273" s="17"/>
      <c r="B273" s="18"/>
      <c r="C273" s="13"/>
      <c r="D273" s="31"/>
      <c r="E273" s="24"/>
      <c r="F273" s="71"/>
      <c r="G273" s="72"/>
      <c r="H273" s="73"/>
      <c r="I273" s="72"/>
      <c r="J273" s="71"/>
      <c r="K273" s="72"/>
      <c r="L273" s="72"/>
      <c r="M273" s="72"/>
      <c r="N273" s="74"/>
      <c r="O273" s="71"/>
      <c r="P273" s="72"/>
      <c r="Q273" s="72"/>
      <c r="R273" s="72"/>
      <c r="S273" s="74"/>
      <c r="T273" s="75"/>
    </row>
    <row r="274" spans="1:20" x14ac:dyDescent="0.35">
      <c r="A274" s="17"/>
      <c r="B274" s="18"/>
      <c r="C274" s="13"/>
      <c r="D274" s="31"/>
      <c r="E274" s="24"/>
      <c r="F274" s="71"/>
      <c r="G274" s="72"/>
      <c r="H274" s="73"/>
      <c r="I274" s="72"/>
      <c r="J274" s="71"/>
      <c r="K274" s="72"/>
      <c r="L274" s="72"/>
      <c r="M274" s="72"/>
      <c r="N274" s="74"/>
      <c r="O274" s="71"/>
      <c r="P274" s="72"/>
      <c r="Q274" s="72"/>
      <c r="R274" s="72"/>
      <c r="S274" s="74"/>
      <c r="T274" s="75"/>
    </row>
    <row r="275" spans="1:20" x14ac:dyDescent="0.35">
      <c r="A275" s="17"/>
      <c r="B275" s="18"/>
      <c r="C275" s="13"/>
      <c r="D275" s="31"/>
      <c r="E275" s="24"/>
      <c r="F275" s="71"/>
      <c r="G275" s="72"/>
      <c r="H275" s="73"/>
      <c r="I275" s="72"/>
      <c r="J275" s="71"/>
      <c r="K275" s="72"/>
      <c r="L275" s="72"/>
      <c r="M275" s="72"/>
      <c r="N275" s="74"/>
      <c r="O275" s="71"/>
      <c r="P275" s="72"/>
      <c r="Q275" s="72"/>
      <c r="R275" s="72"/>
      <c r="S275" s="74"/>
      <c r="T275" s="75"/>
    </row>
    <row r="276" spans="1:20" x14ac:dyDescent="0.35">
      <c r="A276" s="17"/>
      <c r="B276" s="18"/>
      <c r="C276" s="13"/>
      <c r="D276" s="31"/>
      <c r="E276" s="24"/>
      <c r="F276" s="71"/>
      <c r="G276" s="72"/>
      <c r="H276" s="73"/>
      <c r="I276" s="72"/>
      <c r="J276" s="71"/>
      <c r="K276" s="72"/>
      <c r="L276" s="72"/>
      <c r="M276" s="72"/>
      <c r="N276" s="74"/>
      <c r="O276" s="71"/>
      <c r="P276" s="72"/>
      <c r="Q276" s="72"/>
      <c r="R276" s="72"/>
      <c r="S276" s="74"/>
      <c r="T276" s="75"/>
    </row>
    <row r="277" spans="1:20" x14ac:dyDescent="0.35">
      <c r="A277" s="17"/>
      <c r="B277" s="18"/>
      <c r="C277" s="13"/>
      <c r="D277" s="31"/>
      <c r="E277" s="24"/>
      <c r="F277" s="71"/>
      <c r="G277" s="72"/>
      <c r="H277" s="73"/>
      <c r="I277" s="72"/>
      <c r="J277" s="71"/>
      <c r="K277" s="72"/>
      <c r="L277" s="72"/>
      <c r="M277" s="72"/>
      <c r="N277" s="74"/>
      <c r="O277" s="71"/>
      <c r="P277" s="72"/>
      <c r="Q277" s="72"/>
      <c r="R277" s="72"/>
      <c r="S277" s="74"/>
      <c r="T277" s="75"/>
    </row>
    <row r="278" spans="1:20" x14ac:dyDescent="0.35">
      <c r="A278" s="17"/>
      <c r="B278" s="18"/>
      <c r="C278" s="13"/>
      <c r="D278" s="31"/>
      <c r="E278" s="24"/>
      <c r="F278" s="71"/>
      <c r="G278" s="72"/>
      <c r="H278" s="73"/>
      <c r="I278" s="72"/>
      <c r="J278" s="71"/>
      <c r="K278" s="72"/>
      <c r="L278" s="72"/>
      <c r="M278" s="72"/>
      <c r="N278" s="74"/>
      <c r="O278" s="71"/>
      <c r="P278" s="72"/>
      <c r="Q278" s="72"/>
      <c r="R278" s="72"/>
      <c r="S278" s="74"/>
      <c r="T278" s="75"/>
    </row>
    <row r="279" spans="1:20" x14ac:dyDescent="0.35">
      <c r="A279" s="17"/>
      <c r="B279" s="18"/>
      <c r="C279" s="13"/>
      <c r="D279" s="31"/>
      <c r="E279" s="24"/>
      <c r="F279" s="71"/>
      <c r="G279" s="72"/>
      <c r="H279" s="73"/>
      <c r="I279" s="72"/>
      <c r="J279" s="71"/>
      <c r="K279" s="72"/>
      <c r="L279" s="72"/>
      <c r="M279" s="72"/>
      <c r="N279" s="74"/>
      <c r="O279" s="71"/>
      <c r="P279" s="72"/>
      <c r="Q279" s="72"/>
      <c r="R279" s="72"/>
      <c r="S279" s="74"/>
      <c r="T279" s="75"/>
    </row>
    <row r="280" spans="1:20" x14ac:dyDescent="0.35">
      <c r="A280" s="17"/>
      <c r="B280" s="18"/>
      <c r="C280" s="13"/>
      <c r="D280" s="31"/>
      <c r="E280" s="24"/>
      <c r="F280" s="71"/>
      <c r="G280" s="72"/>
      <c r="H280" s="73"/>
      <c r="I280" s="72"/>
      <c r="J280" s="71"/>
      <c r="K280" s="72"/>
      <c r="L280" s="72"/>
      <c r="M280" s="72"/>
      <c r="N280" s="74"/>
      <c r="O280" s="71"/>
      <c r="P280" s="72"/>
      <c r="Q280" s="72"/>
      <c r="R280" s="72"/>
      <c r="S280" s="74"/>
      <c r="T280" s="75"/>
    </row>
    <row r="281" spans="1:20" x14ac:dyDescent="0.35">
      <c r="A281" s="17"/>
      <c r="B281" s="18"/>
      <c r="C281" s="13"/>
      <c r="D281" s="31"/>
      <c r="E281" s="24"/>
      <c r="F281" s="71"/>
      <c r="G281" s="72"/>
      <c r="H281" s="73"/>
      <c r="I281" s="72"/>
      <c r="J281" s="71"/>
      <c r="K281" s="72"/>
      <c r="L281" s="72"/>
      <c r="M281" s="72"/>
      <c r="N281" s="74"/>
      <c r="O281" s="71"/>
      <c r="P281" s="72"/>
      <c r="Q281" s="72"/>
      <c r="R281" s="72"/>
      <c r="S281" s="74"/>
      <c r="T281" s="75"/>
    </row>
    <row r="282" spans="1:20" x14ac:dyDescent="0.35">
      <c r="A282" s="17"/>
      <c r="B282" s="18"/>
      <c r="C282" s="13"/>
      <c r="D282" s="31"/>
      <c r="E282" s="24"/>
      <c r="F282" s="71"/>
      <c r="G282" s="72"/>
      <c r="H282" s="73"/>
      <c r="I282" s="72"/>
      <c r="J282" s="71"/>
      <c r="K282" s="72"/>
      <c r="L282" s="72"/>
      <c r="M282" s="72"/>
      <c r="N282" s="74"/>
      <c r="O282" s="71"/>
      <c r="P282" s="72"/>
      <c r="Q282" s="72"/>
      <c r="R282" s="72"/>
      <c r="S282" s="74"/>
      <c r="T282" s="75"/>
    </row>
    <row r="283" spans="1:20" x14ac:dyDescent="0.35">
      <c r="A283" s="17"/>
      <c r="B283" s="18"/>
      <c r="C283" s="13"/>
      <c r="D283" s="31"/>
      <c r="E283" s="24"/>
      <c r="F283" s="71"/>
      <c r="G283" s="72"/>
      <c r="H283" s="73"/>
      <c r="I283" s="72"/>
      <c r="J283" s="71"/>
      <c r="K283" s="72"/>
      <c r="L283" s="72"/>
      <c r="M283" s="72"/>
      <c r="N283" s="74"/>
      <c r="O283" s="71"/>
      <c r="P283" s="72"/>
      <c r="Q283" s="72"/>
      <c r="R283" s="72"/>
      <c r="S283" s="74"/>
      <c r="T283" s="75"/>
    </row>
    <row r="284" spans="1:20" x14ac:dyDescent="0.35">
      <c r="A284" s="17"/>
      <c r="B284" s="18"/>
      <c r="C284" s="13"/>
      <c r="D284" s="31"/>
      <c r="E284" s="24"/>
      <c r="F284" s="71"/>
      <c r="G284" s="72"/>
      <c r="H284" s="73"/>
      <c r="I284" s="72"/>
      <c r="J284" s="71"/>
      <c r="K284" s="72"/>
      <c r="L284" s="72"/>
      <c r="M284" s="72"/>
      <c r="N284" s="74"/>
      <c r="O284" s="71"/>
      <c r="P284" s="72"/>
      <c r="Q284" s="72"/>
      <c r="R284" s="72"/>
      <c r="S284" s="74"/>
      <c r="T284" s="75"/>
    </row>
    <row r="285" spans="1:20" x14ac:dyDescent="0.35">
      <c r="A285" s="17"/>
      <c r="B285" s="18"/>
      <c r="C285" s="13"/>
      <c r="D285" s="31"/>
      <c r="E285" s="24"/>
      <c r="F285" s="71"/>
      <c r="G285" s="72"/>
      <c r="H285" s="73"/>
      <c r="I285" s="72"/>
      <c r="J285" s="71"/>
      <c r="K285" s="72"/>
      <c r="L285" s="72"/>
      <c r="M285" s="72"/>
      <c r="N285" s="74"/>
      <c r="O285" s="71"/>
      <c r="P285" s="72"/>
      <c r="Q285" s="72"/>
      <c r="R285" s="72"/>
      <c r="S285" s="74"/>
      <c r="T285" s="75"/>
    </row>
    <row r="286" spans="1:20" x14ac:dyDescent="0.35">
      <c r="A286" s="17"/>
      <c r="B286" s="18"/>
      <c r="C286" s="13"/>
      <c r="D286" s="31"/>
      <c r="E286" s="24"/>
      <c r="F286" s="71"/>
      <c r="G286" s="72"/>
      <c r="H286" s="73"/>
      <c r="I286" s="72"/>
      <c r="J286" s="71"/>
      <c r="K286" s="72"/>
      <c r="L286" s="72"/>
      <c r="M286" s="72"/>
      <c r="N286" s="74"/>
      <c r="O286" s="71"/>
      <c r="P286" s="72"/>
      <c r="Q286" s="72"/>
      <c r="R286" s="72"/>
      <c r="S286" s="74"/>
      <c r="T286" s="75"/>
    </row>
    <row r="287" spans="1:20" x14ac:dyDescent="0.35">
      <c r="A287" s="17"/>
      <c r="B287" s="18"/>
      <c r="C287" s="13"/>
      <c r="D287" s="31"/>
      <c r="E287" s="24"/>
      <c r="F287" s="71"/>
      <c r="G287" s="72"/>
      <c r="H287" s="73"/>
      <c r="I287" s="72"/>
      <c r="J287" s="71"/>
      <c r="K287" s="72"/>
      <c r="L287" s="72"/>
      <c r="M287" s="72"/>
      <c r="N287" s="74"/>
      <c r="O287" s="71"/>
      <c r="P287" s="72"/>
      <c r="Q287" s="72"/>
      <c r="R287" s="72"/>
      <c r="S287" s="74"/>
      <c r="T287" s="75"/>
    </row>
    <row r="288" spans="1:20" x14ac:dyDescent="0.35">
      <c r="A288" s="17"/>
      <c r="B288" s="18"/>
      <c r="C288" s="13"/>
      <c r="D288" s="31"/>
      <c r="E288" s="24"/>
      <c r="F288" s="71"/>
      <c r="G288" s="72"/>
      <c r="H288" s="73"/>
      <c r="I288" s="72"/>
      <c r="J288" s="71"/>
      <c r="K288" s="72"/>
      <c r="L288" s="72"/>
      <c r="M288" s="72"/>
      <c r="N288" s="74"/>
      <c r="O288" s="71"/>
      <c r="P288" s="72"/>
      <c r="Q288" s="72"/>
      <c r="R288" s="72"/>
      <c r="S288" s="74"/>
      <c r="T288" s="75"/>
    </row>
    <row r="289" spans="1:20" x14ac:dyDescent="0.35">
      <c r="A289" s="17"/>
      <c r="B289" s="18"/>
      <c r="C289" s="13"/>
      <c r="D289" s="31"/>
      <c r="E289" s="24"/>
      <c r="F289" s="71"/>
      <c r="G289" s="72"/>
      <c r="H289" s="73"/>
      <c r="I289" s="72"/>
      <c r="J289" s="71"/>
      <c r="K289" s="72"/>
      <c r="L289" s="72"/>
      <c r="M289" s="72"/>
      <c r="N289" s="74"/>
      <c r="O289" s="71"/>
      <c r="P289" s="72"/>
      <c r="Q289" s="72"/>
      <c r="R289" s="72"/>
      <c r="S289" s="74"/>
      <c r="T289" s="75"/>
    </row>
    <row r="290" spans="1:20" x14ac:dyDescent="0.35">
      <c r="A290" s="17"/>
      <c r="B290" s="18"/>
      <c r="C290" s="13"/>
      <c r="D290" s="31"/>
      <c r="E290" s="24"/>
      <c r="F290" s="71"/>
      <c r="G290" s="72"/>
      <c r="H290" s="73"/>
      <c r="I290" s="72"/>
      <c r="J290" s="71"/>
      <c r="K290" s="72"/>
      <c r="L290" s="72"/>
      <c r="M290" s="72"/>
      <c r="N290" s="74"/>
      <c r="O290" s="71"/>
      <c r="P290" s="72"/>
      <c r="Q290" s="72"/>
      <c r="R290" s="72"/>
      <c r="S290" s="74"/>
      <c r="T290" s="75"/>
    </row>
    <row r="291" spans="1:20" x14ac:dyDescent="0.35">
      <c r="A291" s="17"/>
      <c r="B291" s="18"/>
      <c r="C291" s="13"/>
      <c r="D291" s="31"/>
      <c r="E291" s="24"/>
      <c r="F291" s="71"/>
      <c r="G291" s="72"/>
      <c r="H291" s="73"/>
      <c r="I291" s="72"/>
      <c r="J291" s="71"/>
      <c r="K291" s="72"/>
      <c r="L291" s="72"/>
      <c r="M291" s="72"/>
      <c r="N291" s="74"/>
      <c r="O291" s="71"/>
      <c r="P291" s="72"/>
      <c r="Q291" s="72"/>
      <c r="R291" s="72"/>
      <c r="S291" s="74"/>
      <c r="T291" s="75"/>
    </row>
    <row r="292" spans="1:20" x14ac:dyDescent="0.35">
      <c r="A292" s="17"/>
      <c r="B292" s="18"/>
      <c r="C292" s="13"/>
      <c r="D292" s="31"/>
      <c r="E292" s="24"/>
      <c r="F292" s="71"/>
      <c r="G292" s="72"/>
      <c r="H292" s="73"/>
      <c r="I292" s="72"/>
      <c r="J292" s="71"/>
      <c r="K292" s="72"/>
      <c r="L292" s="72"/>
      <c r="M292" s="72"/>
      <c r="N292" s="74"/>
      <c r="O292" s="71"/>
      <c r="P292" s="72"/>
      <c r="Q292" s="72"/>
      <c r="R292" s="72"/>
      <c r="S292" s="74"/>
      <c r="T292" s="75"/>
    </row>
    <row r="293" spans="1:20" x14ac:dyDescent="0.35">
      <c r="A293" s="17"/>
      <c r="B293" s="18"/>
      <c r="C293" s="13"/>
      <c r="D293" s="31"/>
      <c r="E293" s="24"/>
      <c r="F293" s="71"/>
      <c r="G293" s="72"/>
      <c r="H293" s="73"/>
      <c r="I293" s="72"/>
      <c r="J293" s="71"/>
      <c r="K293" s="72"/>
      <c r="L293" s="72"/>
      <c r="M293" s="72"/>
      <c r="N293" s="74"/>
      <c r="O293" s="71"/>
      <c r="P293" s="72"/>
      <c r="Q293" s="72"/>
      <c r="R293" s="72"/>
      <c r="S293" s="74"/>
      <c r="T293" s="75"/>
    </row>
    <row r="294" spans="1:20" x14ac:dyDescent="0.35">
      <c r="A294" s="17"/>
      <c r="B294" s="18"/>
      <c r="C294" s="13"/>
      <c r="D294" s="31"/>
      <c r="E294" s="24"/>
      <c r="F294" s="71"/>
      <c r="G294" s="72"/>
      <c r="H294" s="73"/>
      <c r="I294" s="72"/>
      <c r="J294" s="71"/>
      <c r="K294" s="72"/>
      <c r="L294" s="72"/>
      <c r="M294" s="72"/>
      <c r="N294" s="74"/>
      <c r="O294" s="71"/>
      <c r="P294" s="72"/>
      <c r="Q294" s="72"/>
      <c r="R294" s="72"/>
      <c r="S294" s="74"/>
      <c r="T294" s="75"/>
    </row>
    <row r="295" spans="1:20" x14ac:dyDescent="0.35">
      <c r="A295" s="17"/>
      <c r="B295" s="18"/>
      <c r="C295" s="13"/>
      <c r="D295" s="31"/>
      <c r="E295" s="24"/>
      <c r="F295" s="71"/>
      <c r="G295" s="72"/>
      <c r="H295" s="73"/>
      <c r="I295" s="72"/>
      <c r="J295" s="71"/>
      <c r="K295" s="72"/>
      <c r="L295" s="72"/>
      <c r="M295" s="72"/>
      <c r="N295" s="74"/>
      <c r="O295" s="71"/>
      <c r="P295" s="72"/>
      <c r="Q295" s="72"/>
      <c r="R295" s="72"/>
      <c r="S295" s="74"/>
      <c r="T295" s="75"/>
    </row>
    <row r="296" spans="1:20" x14ac:dyDescent="0.35">
      <c r="A296" s="17"/>
      <c r="B296" s="18"/>
      <c r="C296" s="13"/>
      <c r="D296" s="31"/>
      <c r="E296" s="24"/>
      <c r="F296" s="71"/>
      <c r="G296" s="72"/>
      <c r="H296" s="73"/>
      <c r="I296" s="72"/>
      <c r="J296" s="71"/>
      <c r="K296" s="72"/>
      <c r="L296" s="72"/>
      <c r="M296" s="72"/>
      <c r="N296" s="74"/>
      <c r="O296" s="71"/>
      <c r="P296" s="72"/>
      <c r="Q296" s="72"/>
      <c r="R296" s="72"/>
      <c r="S296" s="74"/>
      <c r="T296" s="75"/>
    </row>
    <row r="297" spans="1:20" x14ac:dyDescent="0.35">
      <c r="A297" s="17"/>
      <c r="B297" s="18"/>
      <c r="C297" s="13"/>
      <c r="D297" s="31"/>
      <c r="E297" s="24"/>
      <c r="F297" s="71"/>
      <c r="G297" s="72"/>
      <c r="H297" s="73"/>
      <c r="I297" s="72"/>
      <c r="J297" s="71"/>
      <c r="K297" s="72"/>
      <c r="L297" s="72"/>
      <c r="M297" s="72"/>
      <c r="N297" s="74"/>
      <c r="O297" s="71"/>
      <c r="P297" s="72"/>
      <c r="Q297" s="72"/>
      <c r="R297" s="72"/>
      <c r="S297" s="74"/>
      <c r="T297" s="75"/>
    </row>
    <row r="298" spans="1:20" x14ac:dyDescent="0.35">
      <c r="A298" s="17"/>
      <c r="B298" s="18"/>
      <c r="C298" s="13"/>
      <c r="D298" s="31"/>
      <c r="E298" s="24"/>
      <c r="F298" s="71"/>
      <c r="G298" s="72"/>
      <c r="H298" s="73"/>
      <c r="I298" s="72"/>
      <c r="J298" s="71"/>
      <c r="K298" s="72"/>
      <c r="L298" s="72"/>
      <c r="M298" s="72"/>
      <c r="N298" s="74"/>
      <c r="O298" s="71"/>
      <c r="P298" s="72"/>
      <c r="Q298" s="72"/>
      <c r="R298" s="72"/>
      <c r="S298" s="74"/>
      <c r="T298" s="75"/>
    </row>
    <row r="299" spans="1:20" x14ac:dyDescent="0.35">
      <c r="A299" s="17"/>
      <c r="B299" s="18"/>
      <c r="C299" s="13"/>
      <c r="D299" s="31"/>
      <c r="E299" s="24"/>
      <c r="F299" s="71"/>
      <c r="G299" s="72"/>
      <c r="H299" s="73"/>
      <c r="I299" s="72"/>
      <c r="J299" s="71"/>
      <c r="K299" s="72"/>
      <c r="L299" s="72"/>
      <c r="M299" s="72"/>
      <c r="N299" s="74"/>
      <c r="O299" s="71"/>
      <c r="P299" s="72"/>
      <c r="Q299" s="72"/>
      <c r="R299" s="72"/>
      <c r="S299" s="74"/>
      <c r="T299" s="75"/>
    </row>
    <row r="300" spans="1:20" x14ac:dyDescent="0.35">
      <c r="A300" s="17"/>
      <c r="B300" s="18"/>
      <c r="C300" s="13"/>
      <c r="D300" s="31"/>
      <c r="E300" s="24"/>
      <c r="F300" s="71"/>
      <c r="G300" s="72"/>
      <c r="H300" s="73"/>
      <c r="I300" s="72"/>
      <c r="J300" s="71"/>
      <c r="K300" s="72"/>
      <c r="L300" s="72"/>
      <c r="M300" s="72"/>
      <c r="N300" s="74"/>
      <c r="O300" s="71"/>
      <c r="P300" s="72"/>
      <c r="Q300" s="72"/>
      <c r="R300" s="72"/>
      <c r="S300" s="74"/>
      <c r="T300" s="75"/>
    </row>
    <row r="301" spans="1:20" x14ac:dyDescent="0.35">
      <c r="A301" s="17"/>
      <c r="B301" s="18"/>
      <c r="C301" s="13"/>
      <c r="D301" s="31"/>
      <c r="E301" s="24"/>
      <c r="F301" s="71"/>
      <c r="G301" s="72"/>
      <c r="H301" s="73"/>
      <c r="I301" s="72"/>
      <c r="J301" s="71"/>
      <c r="K301" s="72"/>
      <c r="L301" s="72"/>
      <c r="M301" s="72"/>
      <c r="N301" s="74"/>
      <c r="O301" s="71"/>
      <c r="P301" s="72"/>
      <c r="Q301" s="72"/>
      <c r="R301" s="72"/>
      <c r="S301" s="74"/>
      <c r="T301" s="75"/>
    </row>
    <row r="302" spans="1:20" x14ac:dyDescent="0.35">
      <c r="A302" s="17"/>
      <c r="B302" s="18"/>
      <c r="C302" s="13"/>
      <c r="D302" s="31"/>
      <c r="E302" s="24"/>
      <c r="F302" s="71"/>
      <c r="G302" s="72"/>
      <c r="H302" s="73"/>
      <c r="I302" s="72"/>
      <c r="J302" s="71"/>
      <c r="K302" s="72"/>
      <c r="L302" s="72"/>
      <c r="M302" s="72"/>
      <c r="N302" s="74"/>
      <c r="O302" s="71"/>
      <c r="P302" s="72"/>
      <c r="Q302" s="72"/>
      <c r="R302" s="72"/>
      <c r="S302" s="74"/>
      <c r="T302" s="75"/>
    </row>
    <row r="303" spans="1:20" x14ac:dyDescent="0.35">
      <c r="A303" s="17"/>
      <c r="B303" s="18"/>
      <c r="C303" s="13"/>
      <c r="D303" s="31"/>
      <c r="E303" s="24"/>
      <c r="F303" s="71"/>
      <c r="G303" s="72"/>
      <c r="H303" s="73"/>
      <c r="I303" s="72"/>
      <c r="J303" s="71"/>
      <c r="K303" s="72"/>
      <c r="L303" s="72"/>
      <c r="M303" s="72"/>
      <c r="N303" s="74"/>
      <c r="O303" s="71"/>
      <c r="P303" s="72"/>
      <c r="Q303" s="72"/>
      <c r="R303" s="72"/>
      <c r="S303" s="74"/>
      <c r="T303" s="75"/>
    </row>
    <row r="304" spans="1:20" x14ac:dyDescent="0.35">
      <c r="A304" s="17"/>
      <c r="B304" s="18"/>
      <c r="C304" s="13"/>
      <c r="D304" s="31"/>
      <c r="E304" s="24"/>
      <c r="F304" s="71"/>
      <c r="G304" s="72"/>
      <c r="H304" s="73"/>
      <c r="I304" s="72"/>
      <c r="J304" s="71"/>
      <c r="K304" s="72"/>
      <c r="L304" s="72"/>
      <c r="M304" s="72"/>
      <c r="N304" s="74"/>
      <c r="O304" s="71"/>
      <c r="P304" s="72"/>
      <c r="Q304" s="72"/>
      <c r="R304" s="72"/>
      <c r="S304" s="74"/>
      <c r="T304" s="75"/>
    </row>
    <row r="305" spans="1:20" x14ac:dyDescent="0.35">
      <c r="A305" s="17"/>
      <c r="B305" s="18"/>
      <c r="C305" s="13"/>
      <c r="D305" s="31"/>
      <c r="E305" s="24"/>
      <c r="F305" s="71"/>
      <c r="G305" s="72"/>
      <c r="H305" s="73"/>
      <c r="I305" s="72"/>
      <c r="J305" s="71"/>
      <c r="K305" s="72"/>
      <c r="L305" s="72"/>
      <c r="M305" s="72"/>
      <c r="N305" s="74"/>
      <c r="O305" s="71"/>
      <c r="P305" s="72"/>
      <c r="Q305" s="72"/>
      <c r="R305" s="72"/>
      <c r="S305" s="74"/>
      <c r="T305" s="75"/>
    </row>
    <row r="306" spans="1:20" x14ac:dyDescent="0.35">
      <c r="A306" s="17"/>
      <c r="B306" s="18"/>
      <c r="C306" s="13"/>
      <c r="D306" s="31"/>
      <c r="E306" s="24"/>
      <c r="F306" s="71"/>
      <c r="G306" s="72"/>
      <c r="H306" s="73"/>
      <c r="I306" s="72"/>
      <c r="J306" s="71"/>
      <c r="K306" s="72"/>
      <c r="L306" s="72"/>
      <c r="M306" s="72"/>
      <c r="N306" s="74"/>
      <c r="O306" s="71"/>
      <c r="P306" s="72"/>
      <c r="Q306" s="72"/>
      <c r="R306" s="72"/>
      <c r="S306" s="74"/>
      <c r="T306" s="75"/>
    </row>
    <row r="307" spans="1:20" x14ac:dyDescent="0.35">
      <c r="A307" s="17"/>
      <c r="B307" s="18"/>
      <c r="C307" s="13"/>
      <c r="D307" s="31"/>
      <c r="E307" s="24"/>
      <c r="F307" s="71"/>
      <c r="G307" s="72"/>
      <c r="H307" s="73"/>
      <c r="I307" s="72"/>
      <c r="J307" s="71"/>
      <c r="K307" s="72"/>
      <c r="L307" s="72"/>
      <c r="M307" s="72"/>
      <c r="N307" s="74"/>
      <c r="O307" s="71"/>
      <c r="P307" s="72"/>
      <c r="Q307" s="72"/>
      <c r="R307" s="72"/>
      <c r="S307" s="74"/>
      <c r="T307" s="75"/>
    </row>
    <row r="308" spans="1:20" x14ac:dyDescent="0.35">
      <c r="A308" s="17"/>
      <c r="B308" s="18"/>
      <c r="C308" s="13"/>
      <c r="D308" s="31"/>
      <c r="E308" s="24"/>
      <c r="F308" s="71"/>
      <c r="G308" s="72"/>
      <c r="H308" s="73"/>
      <c r="I308" s="72"/>
      <c r="J308" s="71"/>
      <c r="K308" s="72"/>
      <c r="L308" s="72"/>
      <c r="M308" s="72"/>
      <c r="N308" s="74"/>
      <c r="O308" s="71"/>
      <c r="P308" s="72"/>
      <c r="Q308" s="72"/>
      <c r="R308" s="72"/>
      <c r="S308" s="74"/>
      <c r="T308" s="75"/>
    </row>
    <row r="309" spans="1:20" x14ac:dyDescent="0.35">
      <c r="A309" s="17"/>
      <c r="B309" s="18"/>
      <c r="C309" s="13"/>
      <c r="D309" s="31"/>
      <c r="E309" s="24"/>
      <c r="F309" s="71"/>
      <c r="G309" s="72"/>
      <c r="H309" s="73"/>
      <c r="I309" s="72"/>
      <c r="J309" s="71"/>
      <c r="K309" s="72"/>
      <c r="L309" s="72"/>
      <c r="M309" s="72"/>
      <c r="N309" s="74"/>
      <c r="O309" s="71"/>
      <c r="P309" s="72"/>
      <c r="Q309" s="72"/>
      <c r="R309" s="72"/>
      <c r="S309" s="74"/>
      <c r="T309" s="75"/>
    </row>
    <row r="310" spans="1:20" x14ac:dyDescent="0.35">
      <c r="A310" s="17"/>
      <c r="B310" s="18"/>
      <c r="C310" s="13"/>
      <c r="D310" s="31"/>
      <c r="E310" s="24"/>
      <c r="F310" s="71"/>
      <c r="G310" s="72"/>
      <c r="H310" s="73"/>
      <c r="I310" s="72"/>
      <c r="J310" s="71"/>
      <c r="K310" s="72"/>
      <c r="L310" s="72"/>
      <c r="M310" s="72"/>
      <c r="N310" s="74"/>
      <c r="O310" s="71"/>
      <c r="P310" s="72"/>
      <c r="Q310" s="72"/>
      <c r="R310" s="72"/>
      <c r="S310" s="74"/>
      <c r="T310" s="75"/>
    </row>
    <row r="311" spans="1:20" x14ac:dyDescent="0.35">
      <c r="A311" s="17"/>
      <c r="B311" s="18"/>
      <c r="C311" s="13"/>
      <c r="D311" s="31"/>
      <c r="E311" s="24"/>
      <c r="F311" s="71"/>
      <c r="G311" s="72"/>
      <c r="H311" s="73"/>
      <c r="I311" s="72"/>
      <c r="J311" s="71"/>
      <c r="K311" s="72"/>
      <c r="L311" s="72"/>
      <c r="M311" s="72"/>
      <c r="N311" s="74"/>
      <c r="O311" s="71"/>
      <c r="P311" s="72"/>
      <c r="Q311" s="72"/>
      <c r="R311" s="72"/>
      <c r="S311" s="74"/>
      <c r="T311" s="75"/>
    </row>
    <row r="312" spans="1:20" x14ac:dyDescent="0.35">
      <c r="A312" s="17"/>
      <c r="B312" s="18"/>
      <c r="C312" s="13"/>
      <c r="D312" s="31"/>
      <c r="E312" s="24"/>
      <c r="F312" s="71"/>
      <c r="G312" s="72"/>
      <c r="H312" s="73"/>
      <c r="I312" s="72"/>
      <c r="J312" s="71"/>
      <c r="K312" s="72"/>
      <c r="L312" s="72"/>
      <c r="M312" s="72"/>
      <c r="N312" s="74"/>
      <c r="O312" s="71"/>
      <c r="P312" s="72"/>
      <c r="Q312" s="72"/>
      <c r="R312" s="72"/>
      <c r="S312" s="74"/>
      <c r="T312" s="75"/>
    </row>
    <row r="313" spans="1:20" x14ac:dyDescent="0.35">
      <c r="A313" s="17"/>
      <c r="B313" s="18"/>
      <c r="C313" s="13"/>
      <c r="D313" s="31"/>
      <c r="E313" s="24"/>
      <c r="F313" s="71"/>
      <c r="G313" s="72"/>
      <c r="H313" s="73"/>
      <c r="I313" s="72"/>
      <c r="J313" s="71"/>
      <c r="K313" s="72"/>
      <c r="L313" s="72"/>
      <c r="M313" s="72"/>
      <c r="N313" s="74"/>
      <c r="O313" s="71"/>
      <c r="P313" s="72"/>
      <c r="Q313" s="72"/>
      <c r="R313" s="72"/>
      <c r="S313" s="74"/>
      <c r="T313" s="75"/>
    </row>
    <row r="314" spans="1:20" x14ac:dyDescent="0.35">
      <c r="A314" s="17"/>
      <c r="B314" s="18"/>
      <c r="C314" s="13"/>
      <c r="D314" s="31"/>
      <c r="E314" s="24"/>
      <c r="F314" s="71"/>
      <c r="G314" s="72"/>
      <c r="H314" s="73"/>
      <c r="I314" s="72"/>
      <c r="J314" s="71"/>
      <c r="K314" s="72"/>
      <c r="L314" s="72"/>
      <c r="M314" s="72"/>
      <c r="N314" s="74"/>
      <c r="O314" s="71"/>
      <c r="P314" s="72"/>
      <c r="Q314" s="72"/>
      <c r="R314" s="72"/>
      <c r="S314" s="74"/>
      <c r="T314" s="75"/>
    </row>
    <row r="315" spans="1:20" x14ac:dyDescent="0.35">
      <c r="A315" s="17"/>
      <c r="B315" s="18"/>
      <c r="C315" s="13"/>
      <c r="D315" s="31"/>
      <c r="E315" s="24"/>
      <c r="F315" s="71"/>
      <c r="G315" s="72"/>
      <c r="H315" s="73"/>
      <c r="I315" s="72"/>
      <c r="J315" s="71"/>
      <c r="K315" s="72"/>
      <c r="L315" s="72"/>
      <c r="M315" s="72"/>
      <c r="N315" s="74"/>
      <c r="O315" s="71"/>
      <c r="P315" s="72"/>
      <c r="Q315" s="72"/>
      <c r="R315" s="72"/>
      <c r="S315" s="74"/>
      <c r="T315" s="75"/>
    </row>
    <row r="316" spans="1:20" x14ac:dyDescent="0.35">
      <c r="A316" s="17"/>
      <c r="B316" s="18"/>
      <c r="C316" s="13"/>
      <c r="D316" s="31"/>
      <c r="E316" s="24"/>
      <c r="F316" s="71"/>
      <c r="G316" s="72"/>
      <c r="H316" s="73"/>
      <c r="I316" s="72"/>
      <c r="J316" s="71"/>
      <c r="K316" s="72"/>
      <c r="L316" s="72"/>
      <c r="M316" s="72"/>
      <c r="N316" s="74"/>
      <c r="O316" s="71"/>
      <c r="P316" s="72"/>
      <c r="Q316" s="72"/>
      <c r="R316" s="72"/>
      <c r="S316" s="74"/>
      <c r="T316" s="75"/>
    </row>
    <row r="317" spans="1:20" x14ac:dyDescent="0.35">
      <c r="A317" s="17"/>
      <c r="B317" s="18"/>
      <c r="C317" s="13"/>
      <c r="D317" s="31"/>
      <c r="E317" s="24"/>
      <c r="F317" s="71"/>
      <c r="G317" s="72"/>
      <c r="H317" s="73"/>
      <c r="I317" s="72"/>
      <c r="J317" s="71"/>
      <c r="K317" s="72"/>
      <c r="L317" s="72"/>
      <c r="M317" s="72"/>
      <c r="N317" s="74"/>
      <c r="O317" s="71"/>
      <c r="P317" s="72"/>
      <c r="Q317" s="72"/>
      <c r="R317" s="72"/>
      <c r="S317" s="74"/>
      <c r="T317" s="75"/>
    </row>
    <row r="318" spans="1:20" x14ac:dyDescent="0.35">
      <c r="A318" s="17"/>
      <c r="B318" s="18"/>
      <c r="C318" s="13"/>
      <c r="D318" s="31"/>
      <c r="E318" s="24"/>
      <c r="F318" s="71"/>
      <c r="G318" s="72"/>
      <c r="H318" s="73"/>
      <c r="I318" s="72"/>
      <c r="J318" s="71"/>
      <c r="K318" s="72"/>
      <c r="L318" s="72"/>
      <c r="M318" s="72"/>
      <c r="N318" s="74"/>
      <c r="O318" s="71"/>
      <c r="P318" s="72"/>
      <c r="Q318" s="72"/>
      <c r="R318" s="72"/>
      <c r="S318" s="74"/>
      <c r="T318" s="75"/>
    </row>
    <row r="319" spans="1:20" x14ac:dyDescent="0.35">
      <c r="A319" s="17"/>
      <c r="B319" s="18"/>
      <c r="C319" s="13"/>
      <c r="D319" s="31"/>
      <c r="E319" s="24"/>
      <c r="F319" s="71"/>
      <c r="G319" s="72"/>
      <c r="H319" s="73"/>
      <c r="I319" s="72"/>
      <c r="J319" s="71"/>
      <c r="K319" s="72"/>
      <c r="L319" s="72"/>
      <c r="M319" s="72"/>
      <c r="N319" s="74"/>
      <c r="O319" s="71"/>
      <c r="P319" s="72"/>
      <c r="Q319" s="72"/>
      <c r="R319" s="72"/>
      <c r="S319" s="74"/>
      <c r="T319" s="75"/>
    </row>
    <row r="320" spans="1:20" x14ac:dyDescent="0.35">
      <c r="A320" s="17"/>
      <c r="B320" s="18"/>
      <c r="C320" s="13"/>
      <c r="D320" s="31"/>
      <c r="E320" s="24"/>
      <c r="F320" s="71"/>
      <c r="G320" s="72"/>
      <c r="H320" s="73"/>
      <c r="I320" s="72"/>
      <c r="J320" s="71"/>
      <c r="K320" s="72"/>
      <c r="L320" s="72"/>
      <c r="M320" s="72"/>
      <c r="N320" s="74"/>
      <c r="O320" s="71"/>
      <c r="P320" s="72"/>
      <c r="Q320" s="72"/>
      <c r="R320" s="72"/>
      <c r="S320" s="74"/>
      <c r="T320" s="75"/>
    </row>
    <row r="321" spans="1:20" x14ac:dyDescent="0.35">
      <c r="A321" s="17"/>
      <c r="B321" s="18"/>
      <c r="C321" s="13"/>
      <c r="D321" s="31"/>
      <c r="E321" s="24"/>
      <c r="F321" s="71"/>
      <c r="G321" s="72"/>
      <c r="H321" s="73"/>
      <c r="I321" s="72"/>
      <c r="J321" s="71"/>
      <c r="K321" s="72"/>
      <c r="L321" s="72"/>
      <c r="M321" s="72"/>
      <c r="N321" s="74"/>
      <c r="O321" s="71"/>
      <c r="P321" s="72"/>
      <c r="Q321" s="72"/>
      <c r="R321" s="72"/>
      <c r="S321" s="74"/>
      <c r="T321" s="75"/>
    </row>
    <row r="322" spans="1:20" x14ac:dyDescent="0.35">
      <c r="A322" s="17"/>
      <c r="B322" s="18"/>
      <c r="C322" s="13"/>
      <c r="D322" s="31"/>
      <c r="E322" s="24"/>
      <c r="F322" s="71"/>
      <c r="G322" s="72"/>
      <c r="H322" s="73"/>
      <c r="I322" s="72"/>
      <c r="J322" s="71"/>
      <c r="K322" s="72"/>
      <c r="L322" s="72"/>
      <c r="M322" s="72"/>
      <c r="N322" s="74"/>
      <c r="O322" s="71"/>
      <c r="P322" s="72"/>
      <c r="Q322" s="72"/>
      <c r="R322" s="72"/>
      <c r="S322" s="74"/>
      <c r="T322" s="75"/>
    </row>
    <row r="323" spans="1:20" x14ac:dyDescent="0.35">
      <c r="A323" s="17"/>
      <c r="B323" s="18"/>
      <c r="C323" s="13"/>
      <c r="D323" s="31"/>
      <c r="E323" s="24"/>
      <c r="F323" s="71"/>
      <c r="G323" s="72"/>
      <c r="H323" s="73"/>
      <c r="I323" s="72"/>
      <c r="J323" s="71"/>
      <c r="K323" s="72"/>
      <c r="L323" s="72"/>
      <c r="M323" s="72"/>
      <c r="N323" s="74"/>
      <c r="O323" s="71"/>
      <c r="P323" s="72"/>
      <c r="Q323" s="72"/>
      <c r="R323" s="72"/>
      <c r="S323" s="74"/>
      <c r="T323" s="75"/>
    </row>
    <row r="324" spans="1:20" x14ac:dyDescent="0.35">
      <c r="A324" s="17"/>
      <c r="B324" s="18"/>
      <c r="C324" s="13"/>
      <c r="D324" s="31"/>
      <c r="E324" s="24"/>
      <c r="F324" s="71"/>
      <c r="G324" s="72"/>
      <c r="H324" s="73"/>
      <c r="I324" s="72"/>
      <c r="J324" s="71"/>
      <c r="K324" s="72"/>
      <c r="L324" s="72"/>
      <c r="M324" s="72"/>
      <c r="N324" s="74"/>
      <c r="O324" s="71"/>
      <c r="P324" s="72"/>
      <c r="Q324" s="72"/>
      <c r="R324" s="72"/>
      <c r="S324" s="74"/>
      <c r="T324" s="75"/>
    </row>
    <row r="325" spans="1:20" x14ac:dyDescent="0.35">
      <c r="A325" s="17"/>
      <c r="B325" s="18"/>
      <c r="C325" s="13"/>
      <c r="D325" s="31"/>
      <c r="E325" s="24"/>
      <c r="F325" s="71"/>
      <c r="G325" s="72"/>
      <c r="H325" s="73"/>
      <c r="I325" s="72"/>
      <c r="J325" s="71"/>
      <c r="K325" s="72"/>
      <c r="L325" s="72"/>
      <c r="M325" s="72"/>
      <c r="N325" s="74"/>
      <c r="O325" s="71"/>
      <c r="P325" s="72"/>
      <c r="Q325" s="72"/>
      <c r="R325" s="72"/>
      <c r="S325" s="74"/>
      <c r="T325" s="75"/>
    </row>
    <row r="326" spans="1:20" x14ac:dyDescent="0.35">
      <c r="A326" s="17"/>
      <c r="B326" s="18"/>
      <c r="C326" s="13"/>
      <c r="D326" s="31"/>
      <c r="E326" s="24"/>
      <c r="F326" s="71"/>
      <c r="G326" s="72"/>
      <c r="H326" s="73"/>
      <c r="I326" s="72"/>
      <c r="J326" s="71"/>
      <c r="K326" s="72"/>
      <c r="L326" s="72"/>
      <c r="M326" s="72"/>
      <c r="N326" s="74"/>
      <c r="O326" s="71"/>
      <c r="P326" s="72"/>
      <c r="Q326" s="72"/>
      <c r="R326" s="72"/>
      <c r="S326" s="74"/>
      <c r="T326" s="75"/>
    </row>
    <row r="327" spans="1:20" x14ac:dyDescent="0.35">
      <c r="A327" s="17"/>
      <c r="B327" s="18"/>
      <c r="C327" s="13"/>
      <c r="D327" s="31"/>
      <c r="E327" s="24"/>
      <c r="F327" s="71"/>
      <c r="G327" s="72"/>
      <c r="H327" s="73"/>
      <c r="I327" s="72"/>
      <c r="J327" s="71"/>
      <c r="K327" s="72"/>
      <c r="L327" s="72"/>
      <c r="M327" s="72"/>
      <c r="N327" s="74"/>
      <c r="O327" s="71"/>
      <c r="P327" s="72"/>
      <c r="Q327" s="72"/>
      <c r="R327" s="72"/>
      <c r="S327" s="74"/>
      <c r="T327" s="75"/>
    </row>
    <row r="328" spans="1:20" x14ac:dyDescent="0.35">
      <c r="A328" s="17"/>
      <c r="B328" s="18"/>
      <c r="C328" s="13"/>
      <c r="D328" s="31"/>
      <c r="E328" s="24"/>
      <c r="F328" s="71"/>
      <c r="G328" s="72"/>
      <c r="H328" s="73"/>
      <c r="I328" s="72"/>
      <c r="J328" s="71"/>
      <c r="K328" s="72"/>
      <c r="L328" s="72"/>
      <c r="M328" s="72"/>
      <c r="N328" s="74"/>
      <c r="O328" s="71"/>
      <c r="P328" s="72"/>
      <c r="Q328" s="72"/>
      <c r="R328" s="72"/>
      <c r="S328" s="74"/>
      <c r="T328" s="75"/>
    </row>
    <row r="329" spans="1:20" x14ac:dyDescent="0.35">
      <c r="A329" s="17"/>
      <c r="B329" s="18"/>
      <c r="C329" s="13"/>
      <c r="D329" s="31"/>
      <c r="E329" s="24"/>
      <c r="F329" s="71"/>
      <c r="G329" s="72"/>
      <c r="H329" s="73"/>
      <c r="I329" s="72"/>
      <c r="J329" s="71"/>
      <c r="K329" s="72"/>
      <c r="L329" s="72"/>
      <c r="M329" s="72"/>
      <c r="N329" s="74"/>
      <c r="O329" s="71"/>
      <c r="P329" s="72"/>
      <c r="Q329" s="72"/>
      <c r="R329" s="72"/>
      <c r="S329" s="74"/>
      <c r="T329" s="75"/>
    </row>
    <row r="330" spans="1:20" x14ac:dyDescent="0.35">
      <c r="A330" s="17"/>
      <c r="B330" s="18"/>
      <c r="C330" s="13"/>
      <c r="D330" s="31"/>
      <c r="E330" s="24"/>
      <c r="F330" s="71"/>
      <c r="G330" s="72"/>
      <c r="H330" s="73"/>
      <c r="I330" s="72"/>
      <c r="J330" s="71"/>
      <c r="K330" s="72"/>
      <c r="L330" s="72"/>
      <c r="M330" s="72"/>
      <c r="N330" s="74"/>
      <c r="O330" s="71"/>
      <c r="P330" s="72"/>
      <c r="Q330" s="72"/>
      <c r="R330" s="72"/>
      <c r="S330" s="74"/>
      <c r="T330" s="75"/>
    </row>
    <row r="331" spans="1:20" x14ac:dyDescent="0.35">
      <c r="A331" s="17"/>
      <c r="B331" s="18"/>
      <c r="C331" s="13"/>
      <c r="D331" s="31"/>
      <c r="E331" s="24"/>
      <c r="F331" s="71"/>
      <c r="G331" s="72"/>
      <c r="H331" s="73"/>
      <c r="I331" s="72"/>
      <c r="J331" s="71"/>
      <c r="K331" s="72"/>
      <c r="L331" s="72"/>
      <c r="M331" s="72"/>
      <c r="N331" s="74"/>
      <c r="O331" s="71"/>
      <c r="P331" s="72"/>
      <c r="Q331" s="72"/>
      <c r="R331" s="72"/>
      <c r="S331" s="74"/>
      <c r="T331" s="75"/>
    </row>
    <row r="332" spans="1:20" x14ac:dyDescent="0.35">
      <c r="A332" s="17"/>
      <c r="B332" s="18"/>
      <c r="C332" s="13"/>
      <c r="D332" s="31"/>
      <c r="E332" s="24"/>
      <c r="F332" s="71"/>
      <c r="G332" s="72"/>
      <c r="H332" s="73"/>
      <c r="I332" s="72"/>
      <c r="J332" s="71"/>
      <c r="K332" s="72"/>
      <c r="L332" s="72"/>
      <c r="M332" s="72"/>
      <c r="N332" s="74"/>
      <c r="O332" s="71"/>
      <c r="P332" s="72"/>
      <c r="Q332" s="72"/>
      <c r="R332" s="72"/>
      <c r="S332" s="74"/>
      <c r="T332" s="75"/>
    </row>
    <row r="333" spans="1:20" x14ac:dyDescent="0.35">
      <c r="A333" s="17"/>
      <c r="B333" s="18"/>
      <c r="C333" s="13"/>
      <c r="D333" s="31"/>
      <c r="E333" s="24"/>
      <c r="F333" s="71"/>
      <c r="G333" s="72"/>
      <c r="H333" s="73"/>
      <c r="I333" s="72"/>
      <c r="J333" s="71"/>
      <c r="K333" s="72"/>
      <c r="L333" s="72"/>
      <c r="M333" s="72"/>
      <c r="N333" s="74"/>
      <c r="O333" s="71"/>
      <c r="P333" s="72"/>
      <c r="Q333" s="72"/>
      <c r="R333" s="72"/>
      <c r="S333" s="74"/>
      <c r="T333" s="75"/>
    </row>
    <row r="334" spans="1:20" x14ac:dyDescent="0.35">
      <c r="A334" s="17"/>
      <c r="B334" s="18"/>
      <c r="C334" s="13"/>
      <c r="D334" s="31"/>
      <c r="E334" s="24"/>
      <c r="F334" s="71"/>
      <c r="G334" s="72"/>
      <c r="H334" s="73"/>
      <c r="I334" s="72"/>
      <c r="J334" s="71"/>
      <c r="K334" s="72"/>
      <c r="L334" s="72"/>
      <c r="M334" s="72"/>
      <c r="N334" s="74"/>
      <c r="O334" s="71"/>
      <c r="P334" s="72"/>
      <c r="Q334" s="72"/>
      <c r="R334" s="72"/>
      <c r="S334" s="74"/>
      <c r="T334" s="75"/>
    </row>
    <row r="335" spans="1:20" x14ac:dyDescent="0.35">
      <c r="A335" s="17"/>
      <c r="B335" s="18"/>
      <c r="C335" s="13"/>
      <c r="D335" s="31"/>
      <c r="E335" s="24"/>
      <c r="F335" s="71"/>
      <c r="G335" s="72"/>
      <c r="H335" s="73"/>
      <c r="I335" s="72"/>
      <c r="J335" s="71"/>
      <c r="K335" s="72"/>
      <c r="L335" s="72"/>
      <c r="M335" s="72"/>
      <c r="N335" s="74"/>
      <c r="O335" s="71"/>
      <c r="P335" s="72"/>
      <c r="Q335" s="72"/>
      <c r="R335" s="72"/>
      <c r="S335" s="74"/>
      <c r="T335" s="75"/>
    </row>
    <row r="336" spans="1:20" x14ac:dyDescent="0.35">
      <c r="A336" s="17"/>
      <c r="B336" s="18"/>
      <c r="C336" s="13"/>
      <c r="D336" s="31"/>
      <c r="E336" s="24"/>
      <c r="F336" s="71"/>
      <c r="G336" s="72"/>
      <c r="H336" s="73"/>
      <c r="I336" s="72"/>
      <c r="J336" s="71"/>
      <c r="K336" s="72"/>
      <c r="L336" s="72"/>
      <c r="M336" s="72"/>
      <c r="N336" s="74"/>
      <c r="O336" s="71"/>
      <c r="P336" s="72"/>
      <c r="Q336" s="72"/>
      <c r="R336" s="72"/>
      <c r="S336" s="74"/>
      <c r="T336" s="75"/>
    </row>
    <row r="337" spans="1:20" x14ac:dyDescent="0.35">
      <c r="A337" s="17"/>
      <c r="B337" s="18"/>
      <c r="C337" s="13"/>
      <c r="D337" s="31"/>
      <c r="E337" s="24"/>
      <c r="F337" s="71"/>
      <c r="G337" s="72"/>
      <c r="H337" s="73"/>
      <c r="I337" s="72"/>
      <c r="J337" s="71"/>
      <c r="K337" s="72"/>
      <c r="L337" s="72"/>
      <c r="M337" s="72"/>
      <c r="N337" s="74"/>
      <c r="O337" s="71"/>
      <c r="P337" s="72"/>
      <c r="Q337" s="72"/>
      <c r="R337" s="72"/>
      <c r="S337" s="74"/>
      <c r="T337" s="75"/>
    </row>
    <row r="338" spans="1:20" x14ac:dyDescent="0.35">
      <c r="A338" s="17"/>
      <c r="B338" s="18"/>
      <c r="C338" s="13"/>
      <c r="D338" s="31"/>
      <c r="E338" s="24"/>
      <c r="F338" s="71"/>
      <c r="G338" s="72"/>
      <c r="H338" s="73"/>
      <c r="I338" s="72"/>
      <c r="J338" s="71"/>
      <c r="K338" s="72"/>
      <c r="L338" s="72"/>
      <c r="M338" s="72"/>
      <c r="N338" s="74"/>
      <c r="O338" s="71"/>
      <c r="P338" s="72"/>
      <c r="Q338" s="72"/>
      <c r="R338" s="72"/>
      <c r="S338" s="74"/>
      <c r="T338" s="75"/>
    </row>
    <row r="339" spans="1:20" x14ac:dyDescent="0.35">
      <c r="A339" s="17"/>
      <c r="B339" s="18"/>
      <c r="C339" s="13"/>
      <c r="D339" s="31"/>
      <c r="E339" s="24"/>
      <c r="F339" s="71"/>
      <c r="G339" s="72"/>
      <c r="H339" s="73"/>
      <c r="I339" s="72"/>
      <c r="J339" s="71"/>
      <c r="K339" s="72"/>
      <c r="L339" s="72"/>
      <c r="M339" s="72"/>
      <c r="N339" s="74"/>
      <c r="O339" s="71"/>
      <c r="P339" s="72"/>
      <c r="Q339" s="72"/>
      <c r="R339" s="72"/>
      <c r="S339" s="74"/>
      <c r="T339" s="75"/>
    </row>
    <row r="340" spans="1:20" x14ac:dyDescent="0.35">
      <c r="A340" s="17"/>
      <c r="B340" s="18"/>
      <c r="C340" s="13"/>
      <c r="D340" s="31"/>
      <c r="E340" s="24"/>
      <c r="F340" s="71"/>
      <c r="G340" s="72"/>
      <c r="H340" s="73"/>
      <c r="I340" s="72"/>
      <c r="J340" s="71"/>
      <c r="K340" s="72"/>
      <c r="L340" s="72"/>
      <c r="M340" s="72"/>
      <c r="N340" s="74"/>
      <c r="O340" s="71"/>
      <c r="P340" s="72"/>
      <c r="Q340" s="72"/>
      <c r="R340" s="72"/>
      <c r="S340" s="74"/>
      <c r="T340" s="75"/>
    </row>
    <row r="341" spans="1:20" x14ac:dyDescent="0.35">
      <c r="A341" s="17"/>
      <c r="B341" s="18"/>
      <c r="C341" s="13"/>
      <c r="D341" s="31"/>
      <c r="E341" s="24"/>
      <c r="F341" s="71"/>
      <c r="G341" s="72"/>
      <c r="H341" s="73"/>
      <c r="I341" s="72"/>
      <c r="J341" s="71"/>
      <c r="K341" s="72"/>
      <c r="L341" s="72"/>
      <c r="M341" s="72"/>
      <c r="N341" s="74"/>
      <c r="O341" s="71"/>
      <c r="P341" s="72"/>
      <c r="Q341" s="72"/>
      <c r="R341" s="72"/>
      <c r="S341" s="74"/>
      <c r="T341" s="75"/>
    </row>
    <row r="342" spans="1:20" x14ac:dyDescent="0.35">
      <c r="A342" s="17"/>
      <c r="B342" s="18"/>
      <c r="C342" s="13"/>
      <c r="D342" s="31"/>
      <c r="E342" s="24"/>
      <c r="F342" s="71"/>
      <c r="G342" s="72"/>
      <c r="H342" s="73"/>
      <c r="I342" s="72"/>
      <c r="J342" s="71"/>
      <c r="K342" s="72"/>
      <c r="L342" s="72"/>
      <c r="M342" s="72"/>
      <c r="N342" s="74"/>
      <c r="O342" s="71"/>
      <c r="P342" s="72"/>
      <c r="Q342" s="72"/>
      <c r="R342" s="72"/>
      <c r="S342" s="74"/>
      <c r="T342" s="75"/>
    </row>
    <row r="343" spans="1:20" x14ac:dyDescent="0.35">
      <c r="A343" s="17"/>
      <c r="B343" s="18"/>
      <c r="C343" s="13"/>
      <c r="D343" s="31"/>
      <c r="E343" s="24"/>
      <c r="F343" s="71"/>
      <c r="G343" s="72"/>
      <c r="H343" s="73"/>
      <c r="I343" s="72"/>
      <c r="J343" s="71"/>
      <c r="K343" s="72"/>
      <c r="L343" s="72"/>
      <c r="M343" s="72"/>
      <c r="N343" s="74"/>
      <c r="O343" s="71"/>
      <c r="P343" s="72"/>
      <c r="Q343" s="72"/>
      <c r="R343" s="72"/>
      <c r="S343" s="74"/>
      <c r="T343" s="75"/>
    </row>
    <row r="344" spans="1:20" x14ac:dyDescent="0.35">
      <c r="A344" s="17"/>
      <c r="B344" s="18"/>
      <c r="C344" s="13"/>
      <c r="D344" s="31"/>
      <c r="E344" s="24"/>
      <c r="F344" s="71"/>
      <c r="G344" s="72"/>
      <c r="H344" s="73"/>
      <c r="I344" s="72"/>
      <c r="J344" s="71"/>
      <c r="K344" s="72"/>
      <c r="L344" s="72"/>
      <c r="M344" s="72"/>
      <c r="N344" s="74"/>
      <c r="O344" s="71"/>
      <c r="P344" s="72"/>
      <c r="Q344" s="72"/>
      <c r="R344" s="72"/>
      <c r="S344" s="74"/>
      <c r="T344" s="75"/>
    </row>
    <row r="345" spans="1:20" x14ac:dyDescent="0.35">
      <c r="A345" s="17"/>
      <c r="B345" s="18"/>
      <c r="C345" s="13"/>
      <c r="D345" s="31"/>
      <c r="E345" s="24"/>
      <c r="F345" s="71"/>
      <c r="G345" s="72"/>
      <c r="H345" s="73"/>
      <c r="I345" s="72"/>
      <c r="J345" s="71"/>
      <c r="K345" s="72"/>
      <c r="L345" s="72"/>
      <c r="M345" s="72"/>
      <c r="N345" s="74"/>
      <c r="O345" s="71"/>
      <c r="P345" s="72"/>
      <c r="Q345" s="72"/>
      <c r="R345" s="72"/>
      <c r="S345" s="74"/>
      <c r="T345" s="75"/>
    </row>
    <row r="346" spans="1:20" x14ac:dyDescent="0.35">
      <c r="A346" s="17"/>
      <c r="B346" s="18"/>
      <c r="C346" s="13"/>
      <c r="D346" s="31"/>
      <c r="E346" s="24"/>
      <c r="F346" s="71"/>
      <c r="G346" s="72"/>
      <c r="H346" s="73"/>
      <c r="I346" s="72"/>
      <c r="J346" s="71"/>
      <c r="K346" s="72"/>
      <c r="L346" s="72"/>
      <c r="M346" s="72"/>
      <c r="N346" s="74"/>
      <c r="O346" s="71"/>
      <c r="P346" s="72"/>
      <c r="Q346" s="72"/>
      <c r="R346" s="72"/>
      <c r="S346" s="74"/>
      <c r="T346" s="75"/>
    </row>
    <row r="347" spans="1:20" x14ac:dyDescent="0.35">
      <c r="A347" s="17"/>
      <c r="B347" s="18"/>
      <c r="C347" s="13"/>
      <c r="D347" s="31"/>
      <c r="E347" s="24"/>
      <c r="F347" s="71"/>
      <c r="G347" s="72"/>
      <c r="H347" s="73"/>
      <c r="I347" s="72"/>
      <c r="J347" s="71"/>
      <c r="K347" s="72"/>
      <c r="L347" s="72"/>
      <c r="M347" s="72"/>
      <c r="N347" s="74"/>
      <c r="O347" s="71"/>
      <c r="P347" s="72"/>
      <c r="Q347" s="72"/>
      <c r="R347" s="72"/>
      <c r="S347" s="74"/>
      <c r="T347" s="75"/>
    </row>
    <row r="348" spans="1:20" x14ac:dyDescent="0.35">
      <c r="A348" s="17"/>
      <c r="B348" s="18"/>
      <c r="C348" s="13"/>
      <c r="D348" s="31"/>
      <c r="E348" s="24"/>
      <c r="F348" s="71"/>
      <c r="G348" s="72"/>
      <c r="H348" s="73"/>
      <c r="I348" s="72"/>
      <c r="J348" s="71"/>
      <c r="K348" s="72"/>
      <c r="L348" s="72"/>
      <c r="M348" s="72"/>
      <c r="N348" s="74"/>
      <c r="O348" s="71"/>
      <c r="P348" s="72"/>
      <c r="Q348" s="72"/>
      <c r="R348" s="72"/>
      <c r="S348" s="74"/>
      <c r="T348" s="75"/>
    </row>
    <row r="349" spans="1:20" x14ac:dyDescent="0.35">
      <c r="A349" s="17"/>
      <c r="B349" s="18"/>
      <c r="C349" s="13"/>
      <c r="D349" s="31"/>
      <c r="E349" s="24"/>
      <c r="F349" s="71"/>
      <c r="G349" s="72"/>
      <c r="H349" s="73"/>
      <c r="I349" s="72"/>
      <c r="J349" s="71"/>
      <c r="K349" s="72"/>
      <c r="L349" s="72"/>
      <c r="M349" s="72"/>
      <c r="N349" s="74"/>
      <c r="O349" s="71"/>
      <c r="P349" s="72"/>
      <c r="Q349" s="72"/>
      <c r="R349" s="72"/>
      <c r="S349" s="74"/>
      <c r="T349" s="75"/>
    </row>
    <row r="350" spans="1:20" x14ac:dyDescent="0.35">
      <c r="A350" s="17"/>
      <c r="B350" s="18"/>
      <c r="C350" s="13"/>
      <c r="D350" s="31"/>
      <c r="E350" s="24"/>
      <c r="F350" s="71"/>
      <c r="G350" s="72"/>
      <c r="H350" s="73"/>
      <c r="I350" s="72"/>
      <c r="J350" s="71"/>
      <c r="K350" s="72"/>
      <c r="L350" s="72"/>
      <c r="M350" s="72"/>
      <c r="N350" s="74"/>
      <c r="O350" s="71"/>
      <c r="P350" s="72"/>
      <c r="Q350" s="72"/>
      <c r="R350" s="72"/>
      <c r="S350" s="74"/>
      <c r="T350" s="75"/>
    </row>
    <row r="351" spans="1:20" x14ac:dyDescent="0.35">
      <c r="A351" s="17"/>
      <c r="B351" s="18"/>
      <c r="C351" s="13"/>
      <c r="D351" s="31"/>
      <c r="E351" s="24"/>
      <c r="F351" s="71"/>
      <c r="G351" s="72"/>
      <c r="H351" s="73"/>
      <c r="I351" s="72"/>
      <c r="J351" s="71"/>
      <c r="K351" s="72"/>
      <c r="L351" s="72"/>
      <c r="M351" s="72"/>
      <c r="N351" s="74"/>
      <c r="O351" s="71"/>
      <c r="P351" s="72"/>
      <c r="Q351" s="72"/>
      <c r="R351" s="72"/>
      <c r="S351" s="74"/>
      <c r="T351" s="75"/>
    </row>
    <row r="352" spans="1:20" x14ac:dyDescent="0.35">
      <c r="A352" s="17"/>
      <c r="B352" s="18"/>
      <c r="C352" s="13"/>
      <c r="D352" s="31"/>
      <c r="E352" s="24"/>
      <c r="F352" s="71"/>
      <c r="G352" s="72"/>
      <c r="H352" s="73"/>
      <c r="I352" s="72"/>
      <c r="J352" s="71"/>
      <c r="K352" s="72"/>
      <c r="L352" s="72"/>
      <c r="M352" s="72"/>
      <c r="N352" s="74"/>
      <c r="O352" s="71"/>
      <c r="P352" s="72"/>
      <c r="Q352" s="72"/>
      <c r="R352" s="72"/>
      <c r="S352" s="74"/>
      <c r="T352" s="75"/>
    </row>
    <row r="353" spans="1:20" x14ac:dyDescent="0.35">
      <c r="A353" s="17"/>
      <c r="B353" s="18"/>
      <c r="C353" s="13"/>
      <c r="D353" s="31"/>
      <c r="E353" s="24"/>
      <c r="F353" s="71"/>
      <c r="G353" s="72"/>
      <c r="H353" s="73"/>
      <c r="I353" s="72"/>
      <c r="J353" s="71"/>
      <c r="K353" s="72"/>
      <c r="L353" s="72"/>
      <c r="M353" s="72"/>
      <c r="N353" s="74"/>
      <c r="O353" s="71"/>
      <c r="P353" s="72"/>
      <c r="Q353" s="72"/>
      <c r="R353" s="72"/>
      <c r="S353" s="74"/>
      <c r="T353" s="75"/>
    </row>
    <row r="354" spans="1:20" x14ac:dyDescent="0.35">
      <c r="A354" s="17"/>
      <c r="B354" s="18"/>
      <c r="C354" s="13"/>
      <c r="D354" s="31"/>
      <c r="E354" s="24"/>
      <c r="F354" s="71"/>
      <c r="G354" s="72"/>
      <c r="H354" s="73"/>
      <c r="I354" s="72"/>
      <c r="J354" s="71"/>
      <c r="K354" s="72"/>
      <c r="L354" s="72"/>
      <c r="M354" s="72"/>
      <c r="N354" s="74"/>
      <c r="O354" s="71"/>
      <c r="P354" s="72"/>
      <c r="Q354" s="72"/>
      <c r="R354" s="72"/>
      <c r="S354" s="74"/>
      <c r="T354" s="75"/>
    </row>
    <row r="355" spans="1:20" x14ac:dyDescent="0.35">
      <c r="A355" s="17"/>
      <c r="B355" s="18"/>
      <c r="C355" s="13"/>
      <c r="D355" s="31"/>
      <c r="E355" s="24"/>
      <c r="F355" s="71"/>
      <c r="G355" s="72"/>
      <c r="H355" s="73"/>
      <c r="I355" s="72"/>
      <c r="J355" s="71"/>
      <c r="K355" s="72"/>
      <c r="L355" s="72"/>
      <c r="M355" s="72"/>
      <c r="N355" s="74"/>
      <c r="O355" s="71"/>
      <c r="P355" s="72"/>
      <c r="Q355" s="72"/>
      <c r="R355" s="72"/>
      <c r="S355" s="74"/>
      <c r="T355" s="75"/>
    </row>
    <row r="356" spans="1:20" x14ac:dyDescent="0.35">
      <c r="A356" s="17"/>
      <c r="B356" s="18"/>
      <c r="C356" s="13"/>
      <c r="D356" s="31"/>
      <c r="E356" s="24"/>
      <c r="F356" s="71"/>
      <c r="G356" s="72"/>
      <c r="H356" s="73"/>
      <c r="I356" s="72"/>
      <c r="J356" s="71"/>
      <c r="K356" s="72"/>
      <c r="L356" s="72"/>
      <c r="M356" s="72"/>
      <c r="N356" s="74"/>
      <c r="O356" s="71"/>
      <c r="P356" s="72"/>
      <c r="Q356" s="72"/>
      <c r="R356" s="72"/>
      <c r="S356" s="74"/>
      <c r="T356" s="75"/>
    </row>
    <row r="357" spans="1:20" x14ac:dyDescent="0.35">
      <c r="A357" s="17"/>
      <c r="B357" s="18"/>
      <c r="C357" s="13"/>
      <c r="D357" s="31"/>
      <c r="E357" s="24"/>
      <c r="F357" s="71"/>
      <c r="G357" s="72"/>
      <c r="H357" s="73"/>
      <c r="I357" s="72"/>
      <c r="J357" s="71"/>
      <c r="K357" s="72"/>
      <c r="L357" s="72"/>
      <c r="M357" s="72"/>
      <c r="N357" s="74"/>
      <c r="O357" s="71"/>
      <c r="P357" s="72"/>
      <c r="Q357" s="72"/>
      <c r="R357" s="72"/>
      <c r="S357" s="74"/>
      <c r="T357" s="75"/>
    </row>
    <row r="358" spans="1:20" x14ac:dyDescent="0.35">
      <c r="A358" s="17"/>
      <c r="B358" s="18"/>
      <c r="C358" s="13"/>
      <c r="D358" s="31"/>
      <c r="E358" s="24"/>
      <c r="F358" s="71"/>
      <c r="G358" s="72"/>
      <c r="H358" s="73"/>
      <c r="I358" s="72"/>
      <c r="J358" s="71"/>
      <c r="K358" s="72"/>
      <c r="L358" s="72"/>
      <c r="M358" s="72"/>
      <c r="N358" s="74"/>
      <c r="O358" s="71"/>
      <c r="P358" s="72"/>
      <c r="Q358" s="72"/>
      <c r="R358" s="72"/>
      <c r="S358" s="74"/>
      <c r="T358" s="75"/>
    </row>
    <row r="359" spans="1:20" x14ac:dyDescent="0.35">
      <c r="A359" s="17"/>
      <c r="B359" s="18"/>
      <c r="C359" s="13"/>
      <c r="D359" s="31"/>
      <c r="E359" s="24"/>
      <c r="F359" s="71"/>
      <c r="G359" s="72"/>
      <c r="H359" s="73"/>
      <c r="I359" s="72"/>
      <c r="J359" s="71"/>
      <c r="K359" s="72"/>
      <c r="L359" s="72"/>
      <c r="M359" s="72"/>
      <c r="N359" s="74"/>
      <c r="O359" s="71"/>
      <c r="P359" s="72"/>
      <c r="Q359" s="72"/>
      <c r="R359" s="72"/>
      <c r="S359" s="74"/>
      <c r="T359" s="75"/>
    </row>
    <row r="360" spans="1:20" x14ac:dyDescent="0.35">
      <c r="A360" s="17"/>
      <c r="B360" s="18"/>
      <c r="C360" s="13"/>
      <c r="D360" s="31"/>
      <c r="E360" s="24"/>
      <c r="F360" s="71"/>
      <c r="G360" s="72"/>
      <c r="H360" s="73"/>
      <c r="I360" s="72"/>
      <c r="J360" s="71"/>
      <c r="K360" s="72"/>
      <c r="L360" s="72"/>
      <c r="M360" s="72"/>
      <c r="N360" s="74"/>
      <c r="O360" s="71"/>
      <c r="P360" s="72"/>
      <c r="Q360" s="72"/>
      <c r="R360" s="72"/>
      <c r="S360" s="74"/>
      <c r="T360" s="75"/>
    </row>
    <row r="361" spans="1:20" x14ac:dyDescent="0.35">
      <c r="A361" s="17"/>
      <c r="B361" s="18"/>
      <c r="C361" s="13"/>
      <c r="D361" s="31"/>
      <c r="E361" s="24"/>
      <c r="F361" s="71"/>
      <c r="G361" s="72"/>
      <c r="H361" s="73"/>
      <c r="I361" s="72"/>
      <c r="J361" s="71"/>
      <c r="K361" s="72"/>
      <c r="L361" s="72"/>
      <c r="M361" s="72"/>
      <c r="N361" s="74"/>
      <c r="O361" s="71"/>
      <c r="P361" s="72"/>
      <c r="Q361" s="72"/>
      <c r="R361" s="72"/>
      <c r="S361" s="74"/>
      <c r="T361" s="75"/>
    </row>
    <row r="362" spans="1:20" x14ac:dyDescent="0.35">
      <c r="A362" s="17"/>
      <c r="B362" s="18"/>
      <c r="C362" s="13"/>
      <c r="D362" s="31"/>
      <c r="E362" s="24"/>
      <c r="F362" s="71"/>
      <c r="G362" s="72"/>
      <c r="H362" s="73"/>
      <c r="I362" s="72"/>
      <c r="J362" s="71"/>
      <c r="K362" s="72"/>
      <c r="L362" s="72"/>
      <c r="M362" s="72"/>
      <c r="N362" s="74"/>
      <c r="O362" s="71"/>
      <c r="P362" s="72"/>
      <c r="Q362" s="72"/>
      <c r="R362" s="72"/>
      <c r="S362" s="74"/>
      <c r="T362" s="75"/>
    </row>
    <row r="363" spans="1:20" x14ac:dyDescent="0.35">
      <c r="A363" s="17"/>
      <c r="B363" s="18"/>
      <c r="C363" s="13"/>
      <c r="D363" s="31"/>
      <c r="E363" s="24"/>
      <c r="F363" s="71"/>
      <c r="G363" s="72"/>
      <c r="H363" s="73"/>
      <c r="I363" s="72"/>
      <c r="J363" s="71"/>
      <c r="K363" s="72"/>
      <c r="L363" s="72"/>
      <c r="M363" s="72"/>
      <c r="N363" s="74"/>
      <c r="O363" s="71"/>
      <c r="P363" s="72"/>
      <c r="Q363" s="72"/>
      <c r="R363" s="72"/>
      <c r="S363" s="74"/>
      <c r="T363" s="75"/>
    </row>
    <row r="364" spans="1:20" x14ac:dyDescent="0.35">
      <c r="A364" s="17"/>
      <c r="B364" s="18"/>
      <c r="C364" s="13"/>
      <c r="D364" s="31"/>
      <c r="E364" s="24"/>
      <c r="F364" s="71"/>
      <c r="G364" s="72"/>
      <c r="H364" s="73"/>
      <c r="I364" s="72"/>
      <c r="J364" s="71"/>
      <c r="K364" s="72"/>
      <c r="L364" s="72"/>
      <c r="M364" s="72"/>
      <c r="N364" s="74"/>
      <c r="O364" s="71"/>
      <c r="P364" s="72"/>
      <c r="Q364" s="72"/>
      <c r="R364" s="72"/>
      <c r="S364" s="74"/>
      <c r="T364" s="75"/>
    </row>
    <row r="365" spans="1:20" x14ac:dyDescent="0.35">
      <c r="A365" s="17"/>
      <c r="B365" s="18"/>
      <c r="C365" s="13"/>
      <c r="D365" s="31"/>
      <c r="E365" s="24"/>
      <c r="F365" s="71"/>
      <c r="G365" s="72"/>
      <c r="H365" s="73"/>
      <c r="I365" s="72"/>
      <c r="J365" s="71"/>
      <c r="K365" s="72"/>
      <c r="L365" s="72"/>
      <c r="M365" s="72"/>
      <c r="N365" s="74"/>
      <c r="O365" s="71"/>
      <c r="P365" s="72"/>
      <c r="Q365" s="72"/>
      <c r="R365" s="72"/>
      <c r="S365" s="74"/>
      <c r="T365" s="75"/>
    </row>
    <row r="366" spans="1:20" x14ac:dyDescent="0.35">
      <c r="A366" s="17"/>
      <c r="B366" s="18"/>
      <c r="C366" s="13"/>
      <c r="D366" s="31"/>
      <c r="E366" s="24"/>
      <c r="F366" s="71"/>
      <c r="G366" s="72"/>
      <c r="H366" s="73"/>
      <c r="I366" s="72"/>
      <c r="J366" s="71"/>
      <c r="K366" s="72"/>
      <c r="L366" s="72"/>
      <c r="M366" s="72"/>
      <c r="N366" s="74"/>
      <c r="O366" s="71"/>
      <c r="P366" s="72"/>
      <c r="Q366" s="72"/>
      <c r="R366" s="72"/>
      <c r="S366" s="74"/>
      <c r="T366" s="75"/>
    </row>
    <row r="367" spans="1:20" x14ac:dyDescent="0.35">
      <c r="A367" s="17"/>
      <c r="B367" s="18"/>
      <c r="C367" s="13"/>
      <c r="D367" s="31"/>
      <c r="E367" s="24"/>
      <c r="F367" s="71"/>
      <c r="G367" s="72"/>
      <c r="H367" s="73"/>
      <c r="I367" s="72"/>
      <c r="J367" s="71"/>
      <c r="K367" s="72"/>
      <c r="L367" s="72"/>
      <c r="M367" s="72"/>
      <c r="N367" s="74"/>
      <c r="O367" s="71"/>
      <c r="P367" s="72"/>
      <c r="Q367" s="72"/>
      <c r="R367" s="72"/>
      <c r="S367" s="74"/>
      <c r="T367" s="75"/>
    </row>
    <row r="368" spans="1:20" x14ac:dyDescent="0.35">
      <c r="A368" s="17"/>
      <c r="B368" s="18"/>
      <c r="C368" s="13"/>
      <c r="D368" s="31"/>
      <c r="E368" s="24"/>
      <c r="F368" s="71"/>
      <c r="G368" s="72"/>
      <c r="H368" s="73"/>
      <c r="I368" s="72"/>
      <c r="J368" s="71"/>
      <c r="K368" s="72"/>
      <c r="L368" s="72"/>
      <c r="M368" s="72"/>
      <c r="N368" s="74"/>
      <c r="O368" s="71"/>
      <c r="P368" s="72"/>
      <c r="Q368" s="72"/>
      <c r="R368" s="72"/>
      <c r="S368" s="74"/>
      <c r="T368" s="75"/>
    </row>
    <row r="369" spans="1:20" x14ac:dyDescent="0.35">
      <c r="A369" s="17"/>
      <c r="B369" s="18"/>
      <c r="C369" s="13"/>
      <c r="D369" s="31"/>
      <c r="E369" s="24"/>
      <c r="F369" s="71"/>
      <c r="G369" s="72"/>
      <c r="H369" s="73"/>
      <c r="I369" s="72"/>
      <c r="J369" s="71"/>
      <c r="K369" s="72"/>
      <c r="L369" s="72"/>
      <c r="M369" s="72"/>
      <c r="N369" s="74"/>
      <c r="O369" s="71"/>
      <c r="P369" s="72"/>
      <c r="Q369" s="72"/>
      <c r="R369" s="72"/>
      <c r="S369" s="74"/>
      <c r="T369" s="75"/>
    </row>
    <row r="370" spans="1:20" x14ac:dyDescent="0.35">
      <c r="A370" s="17"/>
      <c r="B370" s="18"/>
      <c r="C370" s="13"/>
      <c r="D370" s="31"/>
      <c r="E370" s="24"/>
      <c r="F370" s="71"/>
      <c r="G370" s="72"/>
      <c r="H370" s="73"/>
      <c r="I370" s="72"/>
      <c r="J370" s="71"/>
      <c r="K370" s="72"/>
      <c r="L370" s="72"/>
      <c r="M370" s="72"/>
      <c r="N370" s="74"/>
      <c r="O370" s="71"/>
      <c r="P370" s="72"/>
      <c r="Q370" s="72"/>
      <c r="R370" s="72"/>
      <c r="S370" s="74"/>
      <c r="T370" s="75"/>
    </row>
    <row r="371" spans="1:20" x14ac:dyDescent="0.35">
      <c r="A371" s="17"/>
      <c r="B371" s="18"/>
      <c r="C371" s="13"/>
      <c r="D371" s="31"/>
      <c r="E371" s="24"/>
      <c r="F371" s="71"/>
      <c r="G371" s="72"/>
      <c r="H371" s="73"/>
      <c r="I371" s="72"/>
      <c r="J371" s="71"/>
      <c r="K371" s="72"/>
      <c r="L371" s="72"/>
      <c r="M371" s="72"/>
      <c r="N371" s="74"/>
      <c r="O371" s="71"/>
      <c r="P371" s="72"/>
      <c r="Q371" s="72"/>
      <c r="R371" s="72"/>
      <c r="S371" s="74"/>
      <c r="T371" s="75"/>
    </row>
    <row r="372" spans="1:20" x14ac:dyDescent="0.35">
      <c r="A372" s="17"/>
      <c r="B372" s="18"/>
      <c r="C372" s="13"/>
      <c r="D372" s="31"/>
      <c r="E372" s="24"/>
      <c r="F372" s="71"/>
      <c r="G372" s="72"/>
      <c r="H372" s="73"/>
      <c r="I372" s="72"/>
      <c r="J372" s="71"/>
      <c r="K372" s="72"/>
      <c r="L372" s="72"/>
      <c r="M372" s="72"/>
      <c r="N372" s="74"/>
      <c r="O372" s="71"/>
      <c r="P372" s="72"/>
      <c r="Q372" s="72"/>
      <c r="R372" s="72"/>
      <c r="S372" s="74"/>
      <c r="T372" s="75"/>
    </row>
    <row r="373" spans="1:20" x14ac:dyDescent="0.35">
      <c r="A373" s="17"/>
      <c r="B373" s="18"/>
      <c r="C373" s="13"/>
      <c r="D373" s="31"/>
      <c r="E373" s="24"/>
      <c r="F373" s="71"/>
      <c r="G373" s="72"/>
      <c r="H373" s="73"/>
      <c r="I373" s="72"/>
      <c r="J373" s="71"/>
      <c r="K373" s="72"/>
      <c r="L373" s="72"/>
      <c r="M373" s="72"/>
      <c r="N373" s="74"/>
      <c r="O373" s="71"/>
      <c r="P373" s="72"/>
      <c r="Q373" s="72"/>
      <c r="R373" s="72"/>
      <c r="S373" s="74"/>
      <c r="T373" s="75"/>
    </row>
    <row r="374" spans="1:20" x14ac:dyDescent="0.35">
      <c r="A374" s="17"/>
      <c r="B374" s="18"/>
      <c r="C374" s="13"/>
      <c r="D374" s="31"/>
      <c r="E374" s="24"/>
      <c r="F374" s="71"/>
      <c r="G374" s="72"/>
      <c r="H374" s="73"/>
      <c r="I374" s="72"/>
      <c r="J374" s="71"/>
      <c r="K374" s="72"/>
      <c r="L374" s="72"/>
      <c r="M374" s="72"/>
      <c r="N374" s="74"/>
      <c r="O374" s="71"/>
      <c r="P374" s="72"/>
      <c r="Q374" s="72"/>
      <c r="R374" s="72"/>
      <c r="S374" s="74"/>
      <c r="T374" s="75"/>
    </row>
    <row r="375" spans="1:20" x14ac:dyDescent="0.35">
      <c r="A375" s="17"/>
      <c r="B375" s="18"/>
      <c r="C375" s="13"/>
      <c r="D375" s="31"/>
      <c r="E375" s="24"/>
      <c r="F375" s="71"/>
      <c r="G375" s="72"/>
      <c r="H375" s="73"/>
      <c r="I375" s="72"/>
      <c r="J375" s="71"/>
      <c r="K375" s="72"/>
      <c r="L375" s="72"/>
      <c r="M375" s="72"/>
      <c r="N375" s="74"/>
      <c r="O375" s="71"/>
      <c r="P375" s="72"/>
      <c r="Q375" s="72"/>
      <c r="R375" s="72"/>
      <c r="S375" s="74"/>
      <c r="T375" s="75"/>
    </row>
    <row r="376" spans="1:20" x14ac:dyDescent="0.35">
      <c r="A376" s="17"/>
      <c r="B376" s="18"/>
      <c r="C376" s="13"/>
      <c r="D376" s="31"/>
      <c r="E376" s="24"/>
      <c r="F376" s="71"/>
      <c r="G376" s="72"/>
      <c r="H376" s="73"/>
      <c r="I376" s="72"/>
      <c r="J376" s="71"/>
      <c r="K376" s="72"/>
      <c r="L376" s="72"/>
      <c r="M376" s="72"/>
      <c r="N376" s="74"/>
      <c r="O376" s="71"/>
      <c r="P376" s="72"/>
      <c r="Q376" s="72"/>
      <c r="R376" s="72"/>
      <c r="S376" s="74"/>
      <c r="T376" s="75"/>
    </row>
    <row r="377" spans="1:20" x14ac:dyDescent="0.35">
      <c r="A377" s="17"/>
      <c r="B377" s="18"/>
      <c r="C377" s="13"/>
      <c r="D377" s="31"/>
      <c r="E377" s="24"/>
      <c r="F377" s="71"/>
      <c r="G377" s="72"/>
      <c r="H377" s="73"/>
      <c r="I377" s="72"/>
      <c r="J377" s="71"/>
      <c r="K377" s="72"/>
      <c r="L377" s="72"/>
      <c r="M377" s="72"/>
      <c r="N377" s="74"/>
      <c r="O377" s="71"/>
      <c r="P377" s="72"/>
      <c r="Q377" s="72"/>
      <c r="R377" s="72"/>
      <c r="S377" s="74"/>
      <c r="T377" s="75"/>
    </row>
    <row r="378" spans="1:20" x14ac:dyDescent="0.35">
      <c r="A378" s="17"/>
      <c r="B378" s="18"/>
      <c r="C378" s="13"/>
      <c r="D378" s="31"/>
      <c r="E378" s="24"/>
      <c r="F378" s="71"/>
      <c r="G378" s="72"/>
      <c r="H378" s="73"/>
      <c r="I378" s="72"/>
      <c r="J378" s="71"/>
      <c r="K378" s="72"/>
      <c r="L378" s="72"/>
      <c r="M378" s="72"/>
      <c r="N378" s="74"/>
      <c r="O378" s="71"/>
      <c r="P378" s="72"/>
      <c r="Q378" s="72"/>
      <c r="R378" s="72"/>
      <c r="S378" s="74"/>
      <c r="T378" s="75"/>
    </row>
    <row r="379" spans="1:20" x14ac:dyDescent="0.35">
      <c r="A379" s="17"/>
      <c r="B379" s="18"/>
      <c r="C379" s="13"/>
      <c r="D379" s="31"/>
      <c r="E379" s="24"/>
      <c r="F379" s="71"/>
      <c r="G379" s="72"/>
      <c r="H379" s="73"/>
      <c r="I379" s="72"/>
      <c r="J379" s="71"/>
      <c r="K379" s="72"/>
      <c r="L379" s="72"/>
      <c r="M379" s="72"/>
      <c r="N379" s="74"/>
      <c r="O379" s="71"/>
      <c r="P379" s="72"/>
      <c r="Q379" s="72"/>
      <c r="R379" s="72"/>
      <c r="S379" s="74"/>
      <c r="T379" s="75"/>
    </row>
    <row r="380" spans="1:20" x14ac:dyDescent="0.35">
      <c r="A380" s="17"/>
      <c r="B380" s="18"/>
      <c r="C380" s="13"/>
      <c r="D380" s="31"/>
      <c r="E380" s="24"/>
      <c r="F380" s="71"/>
      <c r="G380" s="72"/>
      <c r="H380" s="73"/>
      <c r="I380" s="72"/>
      <c r="J380" s="71"/>
      <c r="K380" s="72"/>
      <c r="L380" s="72"/>
      <c r="M380" s="72"/>
      <c r="N380" s="74"/>
      <c r="O380" s="71"/>
      <c r="P380" s="72"/>
      <c r="Q380" s="72"/>
      <c r="R380" s="72"/>
      <c r="S380" s="74"/>
      <c r="T380" s="75"/>
    </row>
    <row r="381" spans="1:20" x14ac:dyDescent="0.35">
      <c r="A381" s="17"/>
      <c r="B381" s="18"/>
      <c r="C381" s="13"/>
      <c r="D381" s="31"/>
      <c r="E381" s="24"/>
      <c r="F381" s="71"/>
      <c r="G381" s="72"/>
      <c r="H381" s="73"/>
      <c r="I381" s="72"/>
      <c r="J381" s="71"/>
      <c r="K381" s="72"/>
      <c r="L381" s="72"/>
      <c r="M381" s="72"/>
      <c r="N381" s="74"/>
      <c r="O381" s="71"/>
      <c r="P381" s="72"/>
      <c r="Q381" s="72"/>
      <c r="R381" s="72"/>
      <c r="S381" s="74"/>
      <c r="T381" s="75"/>
    </row>
    <row r="382" spans="1:20" x14ac:dyDescent="0.35">
      <c r="A382" s="17"/>
      <c r="B382" s="18"/>
      <c r="C382" s="13"/>
      <c r="D382" s="31"/>
      <c r="E382" s="24"/>
      <c r="F382" s="71"/>
      <c r="G382" s="72"/>
      <c r="H382" s="73"/>
      <c r="I382" s="72"/>
      <c r="J382" s="71"/>
      <c r="K382" s="72"/>
      <c r="L382" s="72"/>
      <c r="M382" s="72"/>
      <c r="N382" s="74"/>
      <c r="O382" s="71"/>
      <c r="P382" s="72"/>
      <c r="Q382" s="72"/>
      <c r="R382" s="72"/>
      <c r="S382" s="74"/>
      <c r="T382" s="75"/>
    </row>
    <row r="383" spans="1:20" x14ac:dyDescent="0.35">
      <c r="A383" s="17"/>
      <c r="B383" s="18"/>
      <c r="C383" s="13"/>
      <c r="D383" s="31"/>
      <c r="E383" s="24"/>
      <c r="F383" s="71"/>
      <c r="G383" s="72"/>
      <c r="H383" s="73"/>
      <c r="I383" s="72"/>
      <c r="J383" s="71"/>
      <c r="K383" s="72"/>
      <c r="L383" s="72"/>
      <c r="M383" s="72"/>
      <c r="N383" s="74"/>
      <c r="O383" s="71"/>
      <c r="P383" s="72"/>
      <c r="Q383" s="72"/>
      <c r="R383" s="72"/>
      <c r="S383" s="74"/>
      <c r="T383" s="75"/>
    </row>
    <row r="384" spans="1:20" x14ac:dyDescent="0.35">
      <c r="A384" s="17"/>
      <c r="B384" s="18"/>
      <c r="C384" s="13"/>
      <c r="D384" s="31"/>
      <c r="E384" s="24"/>
      <c r="F384" s="71"/>
      <c r="G384" s="72"/>
      <c r="H384" s="73"/>
      <c r="I384" s="72"/>
      <c r="J384" s="71"/>
      <c r="K384" s="72"/>
      <c r="L384" s="72"/>
      <c r="M384" s="72"/>
      <c r="N384" s="74"/>
      <c r="O384" s="71"/>
      <c r="P384" s="72"/>
      <c r="Q384" s="72"/>
      <c r="R384" s="72"/>
      <c r="S384" s="74"/>
      <c r="T384" s="75"/>
    </row>
    <row r="385" spans="1:20" x14ac:dyDescent="0.35">
      <c r="A385" s="17"/>
      <c r="B385" s="18"/>
      <c r="C385" s="13"/>
      <c r="D385" s="31"/>
      <c r="E385" s="24"/>
      <c r="F385" s="71"/>
      <c r="G385" s="72"/>
      <c r="H385" s="73"/>
      <c r="I385" s="72"/>
      <c r="J385" s="71"/>
      <c r="K385" s="72"/>
      <c r="L385" s="72"/>
      <c r="M385" s="72"/>
      <c r="N385" s="74"/>
      <c r="O385" s="71"/>
      <c r="P385" s="72"/>
      <c r="Q385" s="72"/>
      <c r="R385" s="72"/>
      <c r="S385" s="74"/>
      <c r="T385" s="75"/>
    </row>
    <row r="386" spans="1:20" x14ac:dyDescent="0.35">
      <c r="A386" s="17"/>
      <c r="B386" s="18"/>
      <c r="C386" s="13"/>
      <c r="D386" s="31"/>
      <c r="E386" s="24"/>
      <c r="F386" s="71"/>
      <c r="G386" s="72"/>
      <c r="H386" s="73"/>
      <c r="I386" s="72"/>
      <c r="J386" s="71"/>
      <c r="K386" s="72"/>
      <c r="L386" s="72"/>
      <c r="M386" s="72"/>
      <c r="N386" s="74"/>
      <c r="O386" s="71"/>
      <c r="P386" s="72"/>
      <c r="Q386" s="72"/>
      <c r="R386" s="72"/>
      <c r="S386" s="74"/>
      <c r="T386" s="75"/>
    </row>
    <row r="387" spans="1:20" x14ac:dyDescent="0.35">
      <c r="A387" s="17"/>
      <c r="B387" s="18"/>
      <c r="C387" s="13"/>
      <c r="D387" s="31"/>
      <c r="E387" s="24"/>
      <c r="F387" s="71"/>
      <c r="G387" s="72"/>
      <c r="H387" s="73"/>
      <c r="I387" s="72"/>
      <c r="J387" s="71"/>
      <c r="K387" s="72"/>
      <c r="L387" s="72"/>
      <c r="M387" s="72"/>
      <c r="N387" s="74"/>
      <c r="O387" s="71"/>
      <c r="P387" s="72"/>
      <c r="Q387" s="72"/>
      <c r="R387" s="72"/>
      <c r="S387" s="74"/>
      <c r="T387" s="75"/>
    </row>
    <row r="388" spans="1:20" x14ac:dyDescent="0.35">
      <c r="A388" s="17"/>
      <c r="B388" s="18"/>
      <c r="C388" s="13"/>
      <c r="D388" s="31"/>
      <c r="E388" s="24"/>
      <c r="F388" s="71"/>
      <c r="G388" s="72"/>
      <c r="H388" s="73"/>
      <c r="I388" s="72"/>
      <c r="J388" s="71"/>
      <c r="K388" s="72"/>
      <c r="L388" s="72"/>
      <c r="M388" s="72"/>
      <c r="N388" s="74"/>
      <c r="O388" s="71"/>
      <c r="P388" s="72"/>
      <c r="Q388" s="72"/>
      <c r="R388" s="72"/>
      <c r="S388" s="74"/>
      <c r="T388" s="75"/>
    </row>
    <row r="389" spans="1:20" x14ac:dyDescent="0.35">
      <c r="A389" s="17"/>
      <c r="B389" s="18"/>
      <c r="C389" s="13"/>
      <c r="D389" s="31"/>
      <c r="E389" s="24"/>
      <c r="F389" s="71"/>
      <c r="G389" s="72"/>
      <c r="H389" s="73"/>
      <c r="I389" s="72"/>
      <c r="J389" s="71"/>
      <c r="K389" s="72"/>
      <c r="L389" s="72"/>
      <c r="M389" s="72"/>
      <c r="N389" s="74"/>
      <c r="O389" s="71"/>
      <c r="P389" s="72"/>
      <c r="Q389" s="72"/>
      <c r="R389" s="72"/>
      <c r="S389" s="74"/>
      <c r="T389" s="75"/>
    </row>
    <row r="390" spans="1:20" x14ac:dyDescent="0.35">
      <c r="A390" s="17"/>
      <c r="B390" s="18"/>
      <c r="C390" s="13"/>
      <c r="D390" s="31"/>
      <c r="E390" s="24"/>
      <c r="F390" s="71"/>
      <c r="G390" s="72"/>
      <c r="H390" s="73"/>
      <c r="I390" s="72"/>
      <c r="J390" s="71"/>
      <c r="K390" s="72"/>
      <c r="L390" s="72"/>
      <c r="M390" s="72"/>
      <c r="N390" s="74"/>
      <c r="O390" s="71"/>
      <c r="P390" s="72"/>
      <c r="Q390" s="72"/>
      <c r="R390" s="72"/>
      <c r="S390" s="74"/>
      <c r="T390" s="75"/>
    </row>
    <row r="391" spans="1:20" x14ac:dyDescent="0.35">
      <c r="A391" s="17"/>
      <c r="B391" s="18"/>
      <c r="C391" s="13"/>
      <c r="D391" s="31"/>
      <c r="E391" s="24"/>
      <c r="F391" s="71"/>
      <c r="G391" s="72"/>
      <c r="H391" s="73"/>
      <c r="I391" s="72"/>
      <c r="J391" s="71"/>
      <c r="K391" s="72"/>
      <c r="L391" s="72"/>
      <c r="M391" s="72"/>
      <c r="N391" s="74"/>
      <c r="O391" s="71"/>
      <c r="P391" s="72"/>
      <c r="Q391" s="72"/>
      <c r="R391" s="72"/>
      <c r="S391" s="74"/>
      <c r="T391" s="75"/>
    </row>
    <row r="392" spans="1:20" x14ac:dyDescent="0.35">
      <c r="A392" s="17"/>
      <c r="B392" s="18"/>
      <c r="C392" s="13"/>
      <c r="D392" s="31"/>
      <c r="E392" s="24"/>
      <c r="F392" s="71"/>
      <c r="G392" s="72"/>
      <c r="H392" s="73"/>
      <c r="I392" s="72"/>
      <c r="J392" s="71"/>
      <c r="K392" s="72"/>
      <c r="L392" s="72"/>
      <c r="M392" s="72"/>
      <c r="N392" s="74"/>
      <c r="O392" s="71"/>
      <c r="P392" s="72"/>
      <c r="Q392" s="72"/>
      <c r="R392" s="72"/>
      <c r="S392" s="74"/>
      <c r="T392" s="75"/>
    </row>
    <row r="393" spans="1:20" x14ac:dyDescent="0.35">
      <c r="A393" s="17"/>
      <c r="B393" s="18"/>
      <c r="C393" s="13"/>
      <c r="D393" s="31"/>
      <c r="E393" s="24"/>
      <c r="F393" s="71"/>
      <c r="G393" s="72"/>
      <c r="H393" s="73"/>
      <c r="I393" s="72"/>
      <c r="J393" s="71"/>
      <c r="K393" s="72"/>
      <c r="L393" s="72"/>
      <c r="M393" s="72"/>
      <c r="N393" s="74"/>
      <c r="O393" s="71"/>
      <c r="P393" s="72"/>
      <c r="Q393" s="72"/>
      <c r="R393" s="72"/>
      <c r="S393" s="74"/>
      <c r="T393" s="75"/>
    </row>
    <row r="394" spans="1:20" x14ac:dyDescent="0.35">
      <c r="A394" s="17"/>
      <c r="B394" s="18"/>
      <c r="C394" s="13"/>
      <c r="D394" s="31"/>
      <c r="E394" s="24"/>
      <c r="F394" s="71"/>
      <c r="G394" s="72"/>
      <c r="H394" s="73"/>
      <c r="I394" s="72"/>
      <c r="J394" s="71"/>
      <c r="K394" s="72"/>
      <c r="L394" s="72"/>
      <c r="M394" s="72"/>
      <c r="N394" s="74"/>
      <c r="O394" s="71"/>
      <c r="P394" s="72"/>
      <c r="Q394" s="72"/>
      <c r="R394" s="72"/>
      <c r="S394" s="74"/>
      <c r="T394" s="75"/>
    </row>
    <row r="395" spans="1:20" x14ac:dyDescent="0.35">
      <c r="A395" s="17"/>
      <c r="B395" s="18"/>
      <c r="C395" s="13"/>
      <c r="D395" s="31"/>
      <c r="E395" s="24"/>
      <c r="F395" s="71"/>
      <c r="G395" s="72"/>
      <c r="H395" s="73"/>
      <c r="I395" s="72"/>
      <c r="J395" s="71"/>
      <c r="K395" s="72"/>
      <c r="L395" s="72"/>
      <c r="M395" s="72"/>
      <c r="N395" s="74"/>
      <c r="O395" s="71"/>
      <c r="P395" s="72"/>
      <c r="Q395" s="72"/>
      <c r="R395" s="72"/>
      <c r="S395" s="74"/>
      <c r="T395" s="75"/>
    </row>
    <row r="396" spans="1:20" x14ac:dyDescent="0.35">
      <c r="A396" s="17"/>
      <c r="B396" s="18"/>
      <c r="C396" s="13"/>
      <c r="D396" s="31"/>
      <c r="E396" s="24"/>
      <c r="F396" s="71"/>
      <c r="G396" s="72"/>
      <c r="H396" s="73"/>
      <c r="I396" s="72"/>
      <c r="J396" s="71"/>
      <c r="K396" s="72"/>
      <c r="L396" s="72"/>
      <c r="M396" s="72"/>
      <c r="N396" s="74"/>
      <c r="O396" s="71"/>
      <c r="P396" s="72"/>
      <c r="Q396" s="72"/>
      <c r="R396" s="72"/>
      <c r="S396" s="74"/>
      <c r="T396" s="75"/>
    </row>
    <row r="397" spans="1:20" x14ac:dyDescent="0.35">
      <c r="A397" s="17"/>
      <c r="B397" s="18"/>
      <c r="C397" s="13"/>
      <c r="D397" s="31"/>
      <c r="E397" s="24"/>
      <c r="F397" s="71"/>
      <c r="G397" s="72"/>
      <c r="H397" s="73"/>
      <c r="I397" s="72"/>
      <c r="J397" s="71"/>
      <c r="K397" s="72"/>
      <c r="L397" s="72"/>
      <c r="M397" s="72"/>
      <c r="N397" s="74"/>
      <c r="O397" s="71"/>
      <c r="P397" s="72"/>
      <c r="Q397" s="72"/>
      <c r="R397" s="72"/>
      <c r="S397" s="74"/>
      <c r="T397" s="75"/>
    </row>
    <row r="398" spans="1:20" x14ac:dyDescent="0.35">
      <c r="A398" s="17"/>
      <c r="B398" s="18"/>
      <c r="C398" s="13"/>
      <c r="D398" s="31"/>
      <c r="E398" s="24"/>
      <c r="F398" s="71"/>
      <c r="G398" s="72"/>
      <c r="H398" s="73"/>
      <c r="I398" s="72"/>
      <c r="J398" s="71"/>
      <c r="K398" s="72"/>
      <c r="L398" s="72"/>
      <c r="M398" s="72"/>
      <c r="N398" s="74"/>
      <c r="O398" s="71"/>
      <c r="P398" s="72"/>
      <c r="Q398" s="72"/>
      <c r="R398" s="72"/>
      <c r="S398" s="74"/>
      <c r="T398" s="75"/>
    </row>
    <row r="399" spans="1:20" x14ac:dyDescent="0.35">
      <c r="A399" s="17"/>
      <c r="B399" s="18"/>
      <c r="C399" s="13"/>
      <c r="D399" s="31"/>
      <c r="E399" s="24"/>
      <c r="F399" s="71"/>
      <c r="G399" s="72"/>
      <c r="H399" s="73"/>
      <c r="I399" s="72"/>
      <c r="J399" s="71"/>
      <c r="K399" s="72"/>
      <c r="L399" s="72"/>
      <c r="M399" s="72"/>
      <c r="N399" s="74"/>
      <c r="O399" s="71"/>
      <c r="P399" s="72"/>
      <c r="Q399" s="72"/>
      <c r="R399" s="72"/>
      <c r="S399" s="74"/>
      <c r="T399" s="75"/>
    </row>
    <row r="400" spans="1:20" x14ac:dyDescent="0.35">
      <c r="A400" s="17"/>
      <c r="B400" s="18"/>
      <c r="C400" s="13"/>
      <c r="D400" s="31"/>
      <c r="E400" s="24"/>
      <c r="F400" s="71"/>
      <c r="G400" s="72"/>
      <c r="H400" s="73"/>
      <c r="I400" s="72"/>
      <c r="J400" s="71"/>
      <c r="K400" s="72"/>
      <c r="L400" s="72"/>
      <c r="M400" s="72"/>
      <c r="N400" s="74"/>
      <c r="O400" s="71"/>
      <c r="P400" s="72"/>
      <c r="Q400" s="72"/>
      <c r="R400" s="72"/>
      <c r="S400" s="74"/>
      <c r="T400" s="75"/>
    </row>
    <row r="401" spans="1:20" x14ac:dyDescent="0.35">
      <c r="A401" s="17"/>
      <c r="B401" s="18"/>
      <c r="C401" s="13"/>
      <c r="D401" s="31"/>
      <c r="E401" s="24"/>
      <c r="F401" s="71"/>
      <c r="G401" s="72"/>
      <c r="H401" s="73"/>
      <c r="I401" s="72"/>
      <c r="J401" s="71"/>
      <c r="K401" s="72"/>
      <c r="L401" s="72"/>
      <c r="M401" s="72"/>
      <c r="N401" s="74"/>
      <c r="O401" s="71"/>
      <c r="P401" s="72"/>
      <c r="Q401" s="72"/>
      <c r="R401" s="72"/>
      <c r="S401" s="74"/>
      <c r="T401" s="75"/>
    </row>
    <row r="402" spans="1:20" x14ac:dyDescent="0.35">
      <c r="A402" s="17"/>
      <c r="B402" s="18"/>
      <c r="C402" s="13"/>
      <c r="D402" s="31"/>
      <c r="E402" s="24"/>
      <c r="F402" s="71"/>
      <c r="G402" s="72"/>
      <c r="H402" s="73"/>
      <c r="I402" s="72"/>
      <c r="J402" s="71"/>
      <c r="K402" s="72"/>
      <c r="L402" s="72"/>
      <c r="M402" s="72"/>
      <c r="N402" s="74"/>
      <c r="O402" s="71"/>
      <c r="P402" s="72"/>
      <c r="Q402" s="72"/>
      <c r="R402" s="72"/>
      <c r="S402" s="74"/>
      <c r="T402" s="75"/>
    </row>
    <row r="403" spans="1:20" x14ac:dyDescent="0.35">
      <c r="A403" s="17"/>
      <c r="B403" s="18"/>
      <c r="C403" s="13"/>
      <c r="D403" s="31"/>
      <c r="E403" s="24"/>
      <c r="F403" s="71"/>
      <c r="G403" s="72"/>
      <c r="H403" s="73"/>
      <c r="I403" s="72"/>
      <c r="J403" s="71"/>
      <c r="K403" s="72"/>
      <c r="L403" s="72"/>
      <c r="M403" s="72"/>
      <c r="N403" s="74"/>
      <c r="O403" s="71"/>
      <c r="P403" s="72"/>
      <c r="Q403" s="72"/>
      <c r="R403" s="72"/>
      <c r="S403" s="74"/>
      <c r="T403" s="75"/>
    </row>
    <row r="404" spans="1:20" x14ac:dyDescent="0.35">
      <c r="A404" s="17"/>
      <c r="B404" s="18"/>
      <c r="C404" s="13"/>
      <c r="D404" s="31"/>
      <c r="E404" s="24"/>
      <c r="F404" s="71"/>
      <c r="G404" s="72"/>
      <c r="H404" s="73"/>
      <c r="I404" s="72"/>
      <c r="J404" s="71"/>
      <c r="K404" s="72"/>
      <c r="L404" s="72"/>
      <c r="M404" s="72"/>
      <c r="N404" s="74"/>
      <c r="O404" s="71"/>
      <c r="P404" s="72"/>
      <c r="Q404" s="72"/>
      <c r="R404" s="72"/>
      <c r="S404" s="74"/>
      <c r="T404" s="75"/>
    </row>
    <row r="405" spans="1:20" x14ac:dyDescent="0.35">
      <c r="A405" s="17"/>
      <c r="B405" s="18"/>
      <c r="C405" s="13"/>
      <c r="D405" s="31"/>
      <c r="E405" s="24"/>
      <c r="F405" s="71"/>
      <c r="G405" s="72"/>
      <c r="H405" s="73"/>
      <c r="I405" s="72"/>
      <c r="J405" s="71"/>
      <c r="K405" s="72"/>
      <c r="L405" s="72"/>
      <c r="M405" s="72"/>
      <c r="N405" s="74"/>
      <c r="O405" s="71"/>
      <c r="P405" s="72"/>
      <c r="Q405" s="72"/>
      <c r="R405" s="72"/>
      <c r="S405" s="74"/>
      <c r="T405" s="75"/>
    </row>
    <row r="406" spans="1:20" x14ac:dyDescent="0.35">
      <c r="A406" s="17"/>
      <c r="B406" s="18"/>
      <c r="C406" s="13"/>
      <c r="D406" s="31"/>
      <c r="E406" s="24"/>
      <c r="F406" s="71"/>
      <c r="G406" s="72"/>
      <c r="H406" s="73"/>
      <c r="I406" s="72"/>
      <c r="J406" s="71"/>
      <c r="K406" s="72"/>
      <c r="L406" s="72"/>
      <c r="M406" s="72"/>
      <c r="N406" s="74"/>
      <c r="O406" s="71"/>
      <c r="P406" s="72"/>
      <c r="Q406" s="72"/>
      <c r="R406" s="72"/>
      <c r="S406" s="74"/>
      <c r="T406" s="75"/>
    </row>
    <row r="407" spans="1:20" x14ac:dyDescent="0.35">
      <c r="A407" s="17"/>
      <c r="B407" s="18"/>
      <c r="C407" s="13"/>
      <c r="D407" s="31"/>
      <c r="E407" s="24"/>
      <c r="F407" s="71"/>
      <c r="G407" s="72"/>
      <c r="H407" s="73"/>
      <c r="I407" s="72"/>
      <c r="J407" s="71"/>
      <c r="K407" s="72"/>
      <c r="L407" s="72"/>
      <c r="M407" s="72"/>
      <c r="N407" s="74"/>
      <c r="O407" s="71"/>
      <c r="P407" s="72"/>
      <c r="Q407" s="72"/>
      <c r="R407" s="72"/>
      <c r="S407" s="74"/>
      <c r="T407" s="75"/>
    </row>
    <row r="408" spans="1:20" x14ac:dyDescent="0.35">
      <c r="A408" s="17"/>
      <c r="B408" s="18"/>
      <c r="C408" s="13"/>
      <c r="D408" s="31"/>
      <c r="E408" s="24"/>
      <c r="F408" s="71"/>
      <c r="G408" s="72"/>
      <c r="H408" s="73"/>
      <c r="I408" s="72"/>
      <c r="J408" s="71"/>
      <c r="K408" s="72"/>
      <c r="L408" s="72"/>
      <c r="M408" s="72"/>
      <c r="N408" s="74"/>
      <c r="O408" s="71"/>
      <c r="P408" s="72"/>
      <c r="Q408" s="72"/>
      <c r="R408" s="72"/>
      <c r="S408" s="74"/>
      <c r="T408" s="75"/>
    </row>
    <row r="409" spans="1:20" x14ac:dyDescent="0.35">
      <c r="A409" s="17"/>
      <c r="B409" s="18"/>
      <c r="C409" s="13"/>
      <c r="D409" s="31"/>
      <c r="E409" s="24"/>
      <c r="F409" s="71"/>
      <c r="G409" s="72"/>
      <c r="H409" s="73"/>
      <c r="I409" s="72"/>
      <c r="J409" s="71"/>
      <c r="K409" s="72"/>
      <c r="L409" s="72"/>
      <c r="M409" s="72"/>
      <c r="N409" s="74"/>
      <c r="O409" s="71"/>
      <c r="P409" s="72"/>
      <c r="Q409" s="72"/>
      <c r="R409" s="72"/>
      <c r="S409" s="74"/>
      <c r="T409" s="75"/>
    </row>
    <row r="410" spans="1:20" x14ac:dyDescent="0.35">
      <c r="A410" s="17"/>
      <c r="B410" s="18"/>
      <c r="C410" s="13"/>
      <c r="D410" s="31"/>
      <c r="E410" s="24"/>
      <c r="F410" s="71"/>
      <c r="G410" s="72"/>
      <c r="H410" s="73"/>
      <c r="I410" s="72"/>
      <c r="J410" s="71"/>
      <c r="K410" s="72"/>
      <c r="L410" s="72"/>
      <c r="M410" s="72"/>
      <c r="N410" s="74"/>
      <c r="O410" s="71"/>
      <c r="P410" s="72"/>
      <c r="Q410" s="72"/>
      <c r="R410" s="72"/>
      <c r="S410" s="74"/>
      <c r="T410" s="75"/>
    </row>
    <row r="411" spans="1:20" x14ac:dyDescent="0.35">
      <c r="A411" s="17"/>
      <c r="B411" s="18"/>
      <c r="C411" s="13"/>
      <c r="D411" s="31"/>
      <c r="E411" s="24"/>
      <c r="F411" s="71"/>
      <c r="G411" s="72"/>
      <c r="H411" s="73"/>
      <c r="I411" s="72"/>
      <c r="J411" s="71"/>
      <c r="K411" s="72"/>
      <c r="L411" s="72"/>
      <c r="M411" s="72"/>
      <c r="N411" s="74"/>
      <c r="O411" s="71"/>
      <c r="P411" s="72"/>
      <c r="Q411" s="72"/>
      <c r="R411" s="72"/>
      <c r="S411" s="74"/>
      <c r="T411" s="75"/>
    </row>
    <row r="412" spans="1:20" x14ac:dyDescent="0.35">
      <c r="A412" s="17"/>
      <c r="B412" s="18"/>
      <c r="C412" s="13"/>
      <c r="D412" s="31"/>
      <c r="E412" s="24"/>
      <c r="F412" s="71"/>
      <c r="G412" s="72"/>
      <c r="H412" s="73"/>
      <c r="I412" s="72"/>
      <c r="J412" s="71"/>
      <c r="K412" s="72"/>
      <c r="L412" s="72"/>
      <c r="M412" s="72"/>
      <c r="N412" s="74"/>
      <c r="O412" s="71"/>
      <c r="P412" s="72"/>
      <c r="Q412" s="72"/>
      <c r="R412" s="72"/>
      <c r="S412" s="74"/>
      <c r="T412" s="75"/>
    </row>
    <row r="413" spans="1:20" x14ac:dyDescent="0.35">
      <c r="A413" s="17"/>
      <c r="B413" s="18"/>
      <c r="C413" s="13"/>
      <c r="D413" s="31"/>
      <c r="E413" s="24"/>
      <c r="F413" s="71"/>
      <c r="G413" s="72"/>
      <c r="H413" s="73"/>
      <c r="I413" s="72"/>
      <c r="J413" s="71"/>
      <c r="K413" s="72"/>
      <c r="L413" s="72"/>
      <c r="M413" s="72"/>
      <c r="N413" s="74"/>
      <c r="O413" s="71"/>
      <c r="P413" s="72"/>
      <c r="Q413" s="72"/>
      <c r="R413" s="72"/>
      <c r="S413" s="74"/>
      <c r="T413" s="75"/>
    </row>
    <row r="414" spans="1:20" x14ac:dyDescent="0.35">
      <c r="A414" s="17"/>
      <c r="B414" s="18"/>
      <c r="C414" s="13"/>
      <c r="D414" s="31"/>
      <c r="E414" s="24"/>
      <c r="F414" s="71"/>
      <c r="G414" s="72"/>
      <c r="H414" s="73"/>
      <c r="I414" s="72"/>
      <c r="J414" s="71"/>
      <c r="K414" s="72"/>
      <c r="L414" s="72"/>
      <c r="M414" s="72"/>
      <c r="N414" s="74"/>
      <c r="O414" s="71"/>
      <c r="P414" s="72"/>
      <c r="Q414" s="72"/>
      <c r="R414" s="72"/>
      <c r="S414" s="74"/>
      <c r="T414" s="75"/>
    </row>
    <row r="415" spans="1:20" x14ac:dyDescent="0.35">
      <c r="A415" s="17"/>
      <c r="B415" s="18"/>
      <c r="C415" s="13"/>
      <c r="D415" s="31"/>
      <c r="E415" s="24"/>
      <c r="F415" s="71"/>
      <c r="G415" s="72"/>
      <c r="H415" s="73"/>
      <c r="I415" s="72"/>
      <c r="J415" s="71"/>
      <c r="K415" s="72"/>
      <c r="L415" s="72"/>
      <c r="M415" s="72"/>
      <c r="N415" s="74"/>
      <c r="O415" s="71"/>
      <c r="P415" s="72"/>
      <c r="Q415" s="72"/>
      <c r="R415" s="72"/>
      <c r="S415" s="74"/>
      <c r="T415" s="75"/>
    </row>
    <row r="416" spans="1:20" x14ac:dyDescent="0.35">
      <c r="A416" s="17"/>
      <c r="B416" s="18"/>
      <c r="C416" s="13"/>
      <c r="D416" s="31"/>
      <c r="E416" s="24"/>
      <c r="F416" s="71"/>
      <c r="G416" s="72"/>
      <c r="H416" s="73"/>
      <c r="I416" s="72"/>
      <c r="J416" s="71"/>
      <c r="K416" s="72"/>
      <c r="L416" s="72"/>
      <c r="M416" s="72"/>
      <c r="N416" s="74"/>
      <c r="O416" s="71"/>
      <c r="P416" s="72"/>
      <c r="Q416" s="72"/>
      <c r="R416" s="72"/>
      <c r="S416" s="74"/>
      <c r="T416" s="75"/>
    </row>
    <row r="417" spans="1:20" x14ac:dyDescent="0.35">
      <c r="A417" s="17"/>
      <c r="B417" s="18"/>
      <c r="C417" s="13"/>
      <c r="D417" s="31"/>
      <c r="E417" s="24"/>
      <c r="F417" s="71"/>
      <c r="G417" s="72"/>
      <c r="H417" s="73"/>
      <c r="I417" s="72"/>
      <c r="J417" s="71"/>
      <c r="K417" s="72"/>
      <c r="L417" s="72"/>
      <c r="M417" s="72"/>
      <c r="N417" s="74"/>
      <c r="O417" s="71"/>
      <c r="P417" s="72"/>
      <c r="Q417" s="72"/>
      <c r="R417" s="72"/>
      <c r="S417" s="74"/>
      <c r="T417" s="75"/>
    </row>
    <row r="418" spans="1:20" x14ac:dyDescent="0.35">
      <c r="A418" s="17"/>
      <c r="B418" s="18"/>
      <c r="C418" s="13"/>
      <c r="D418" s="31"/>
      <c r="E418" s="24"/>
      <c r="F418" s="71"/>
      <c r="G418" s="72"/>
      <c r="H418" s="73"/>
      <c r="I418" s="72"/>
      <c r="J418" s="71"/>
      <c r="K418" s="72"/>
      <c r="L418" s="72"/>
      <c r="M418" s="72"/>
      <c r="N418" s="74"/>
      <c r="O418" s="71"/>
      <c r="P418" s="72"/>
      <c r="Q418" s="72"/>
      <c r="R418" s="72"/>
      <c r="S418" s="74"/>
      <c r="T418" s="75"/>
    </row>
    <row r="419" spans="1:20" x14ac:dyDescent="0.35">
      <c r="A419" s="17"/>
      <c r="B419" s="18"/>
      <c r="C419" s="13"/>
      <c r="D419" s="31"/>
      <c r="E419" s="24"/>
      <c r="F419" s="71"/>
      <c r="G419" s="72"/>
      <c r="H419" s="73"/>
      <c r="I419" s="72"/>
      <c r="J419" s="71"/>
      <c r="K419" s="72"/>
      <c r="L419" s="72"/>
      <c r="M419" s="72"/>
      <c r="N419" s="74"/>
      <c r="O419" s="71"/>
      <c r="P419" s="72"/>
      <c r="Q419" s="72"/>
      <c r="R419" s="72"/>
      <c r="S419" s="74"/>
      <c r="T419" s="75"/>
    </row>
    <row r="420" spans="1:20" x14ac:dyDescent="0.35">
      <c r="A420" s="17"/>
      <c r="B420" s="18"/>
      <c r="C420" s="13"/>
      <c r="D420" s="31"/>
      <c r="E420" s="24"/>
      <c r="F420" s="71"/>
      <c r="G420" s="72"/>
      <c r="H420" s="73"/>
      <c r="I420" s="72"/>
      <c r="J420" s="71"/>
      <c r="K420" s="72"/>
      <c r="L420" s="72"/>
      <c r="M420" s="72"/>
      <c r="N420" s="74"/>
      <c r="O420" s="71"/>
      <c r="P420" s="72"/>
      <c r="Q420" s="72"/>
      <c r="R420" s="72"/>
      <c r="S420" s="74"/>
      <c r="T420" s="75"/>
    </row>
    <row r="421" spans="1:20" x14ac:dyDescent="0.35">
      <c r="A421" s="17"/>
      <c r="B421" s="18"/>
      <c r="C421" s="13"/>
      <c r="D421" s="31"/>
      <c r="E421" s="24"/>
      <c r="F421" s="71"/>
      <c r="G421" s="72"/>
      <c r="H421" s="73"/>
      <c r="I421" s="72"/>
      <c r="J421" s="71"/>
      <c r="K421" s="72"/>
      <c r="L421" s="72"/>
      <c r="M421" s="72"/>
      <c r="N421" s="74"/>
      <c r="O421" s="71"/>
      <c r="P421" s="72"/>
      <c r="Q421" s="72"/>
      <c r="R421" s="72"/>
      <c r="S421" s="74"/>
      <c r="T421" s="75"/>
    </row>
    <row r="422" spans="1:20" x14ac:dyDescent="0.35">
      <c r="A422" s="17"/>
      <c r="B422" s="18"/>
      <c r="C422" s="13"/>
      <c r="D422" s="31"/>
      <c r="E422" s="24"/>
      <c r="F422" s="71"/>
      <c r="G422" s="72"/>
      <c r="H422" s="73"/>
      <c r="I422" s="72"/>
      <c r="J422" s="71"/>
      <c r="K422" s="72"/>
      <c r="L422" s="72"/>
      <c r="M422" s="72"/>
      <c r="N422" s="74"/>
      <c r="O422" s="71"/>
      <c r="P422" s="72"/>
      <c r="Q422" s="72"/>
      <c r="R422" s="72"/>
      <c r="S422" s="74"/>
      <c r="T422" s="75"/>
    </row>
    <row r="423" spans="1:20" x14ac:dyDescent="0.35">
      <c r="A423" s="17"/>
      <c r="B423" s="18"/>
      <c r="C423" s="13"/>
      <c r="D423" s="31"/>
      <c r="E423" s="24"/>
      <c r="F423" s="71"/>
      <c r="G423" s="72"/>
      <c r="H423" s="73"/>
      <c r="I423" s="72"/>
      <c r="J423" s="71"/>
      <c r="K423" s="72"/>
      <c r="L423" s="72"/>
      <c r="M423" s="72"/>
      <c r="N423" s="74"/>
      <c r="O423" s="71"/>
      <c r="P423" s="72"/>
      <c r="Q423" s="72"/>
      <c r="R423" s="72"/>
      <c r="S423" s="74"/>
      <c r="T423" s="75"/>
    </row>
    <row r="424" spans="1:20" x14ac:dyDescent="0.35">
      <c r="A424" s="17"/>
      <c r="B424" s="18"/>
      <c r="C424" s="13"/>
      <c r="D424" s="31"/>
      <c r="E424" s="24"/>
      <c r="F424" s="71"/>
      <c r="G424" s="72"/>
      <c r="H424" s="73"/>
      <c r="I424" s="72"/>
      <c r="J424" s="71"/>
      <c r="K424" s="72"/>
      <c r="L424" s="72"/>
      <c r="M424" s="72"/>
      <c r="N424" s="74"/>
      <c r="O424" s="71"/>
      <c r="P424" s="72"/>
      <c r="Q424" s="72"/>
      <c r="R424" s="72"/>
      <c r="S424" s="74"/>
      <c r="T424" s="75"/>
    </row>
    <row r="425" spans="1:20" x14ac:dyDescent="0.35">
      <c r="A425" s="17"/>
      <c r="B425" s="18"/>
      <c r="C425" s="13"/>
      <c r="D425" s="31"/>
      <c r="E425" s="24"/>
      <c r="F425" s="71"/>
      <c r="G425" s="72"/>
      <c r="H425" s="73"/>
      <c r="I425" s="72"/>
      <c r="J425" s="71"/>
      <c r="K425" s="72"/>
      <c r="L425" s="72"/>
      <c r="M425" s="72"/>
      <c r="N425" s="74"/>
      <c r="O425" s="71"/>
      <c r="P425" s="72"/>
      <c r="Q425" s="72"/>
      <c r="R425" s="72"/>
      <c r="S425" s="74"/>
      <c r="T425" s="75"/>
    </row>
    <row r="426" spans="1:20" x14ac:dyDescent="0.35">
      <c r="A426" s="17"/>
      <c r="B426" s="18"/>
      <c r="C426" s="13"/>
      <c r="D426" s="31"/>
      <c r="E426" s="24"/>
      <c r="F426" s="71"/>
      <c r="G426" s="72"/>
      <c r="H426" s="73"/>
      <c r="I426" s="72"/>
      <c r="J426" s="71"/>
      <c r="K426" s="72"/>
      <c r="L426" s="72"/>
      <c r="M426" s="72"/>
      <c r="N426" s="74"/>
      <c r="O426" s="71"/>
      <c r="P426" s="72"/>
      <c r="Q426" s="72"/>
      <c r="R426" s="72"/>
      <c r="S426" s="74"/>
      <c r="T426" s="75"/>
    </row>
    <row r="427" spans="1:20" x14ac:dyDescent="0.35">
      <c r="A427" s="17"/>
      <c r="B427" s="18"/>
      <c r="C427" s="13"/>
      <c r="D427" s="31"/>
      <c r="E427" s="24"/>
      <c r="F427" s="71"/>
      <c r="G427" s="72"/>
      <c r="H427" s="73"/>
      <c r="I427" s="72"/>
      <c r="J427" s="71"/>
      <c r="K427" s="72"/>
      <c r="L427" s="72"/>
      <c r="M427" s="72"/>
      <c r="N427" s="74"/>
      <c r="O427" s="71"/>
      <c r="P427" s="72"/>
      <c r="Q427" s="72"/>
      <c r="R427" s="72"/>
      <c r="S427" s="74"/>
      <c r="T427" s="75"/>
    </row>
    <row r="428" spans="1:20" x14ac:dyDescent="0.35">
      <c r="A428" s="17"/>
      <c r="B428" s="18"/>
      <c r="C428" s="13"/>
      <c r="D428" s="31"/>
      <c r="E428" s="24"/>
      <c r="F428" s="71"/>
      <c r="G428" s="72"/>
      <c r="H428" s="73"/>
      <c r="I428" s="72"/>
      <c r="J428" s="71"/>
      <c r="K428" s="72"/>
      <c r="L428" s="72"/>
      <c r="M428" s="72"/>
      <c r="N428" s="74"/>
      <c r="O428" s="71"/>
      <c r="P428" s="72"/>
      <c r="Q428" s="72"/>
      <c r="R428" s="72"/>
      <c r="S428" s="74"/>
      <c r="T428" s="75"/>
    </row>
    <row r="429" spans="1:20" x14ac:dyDescent="0.35">
      <c r="A429" s="17"/>
      <c r="B429" s="18"/>
      <c r="C429" s="13"/>
      <c r="D429" s="31"/>
      <c r="E429" s="24"/>
      <c r="F429" s="71"/>
      <c r="G429" s="72"/>
      <c r="H429" s="73"/>
      <c r="I429" s="72"/>
      <c r="J429" s="71"/>
      <c r="K429" s="72"/>
      <c r="L429" s="72"/>
      <c r="M429" s="72"/>
      <c r="N429" s="74"/>
      <c r="O429" s="71"/>
      <c r="P429" s="72"/>
      <c r="Q429" s="72"/>
      <c r="R429" s="72"/>
      <c r="S429" s="74"/>
      <c r="T429" s="75"/>
    </row>
    <row r="430" spans="1:20" x14ac:dyDescent="0.35">
      <c r="A430" s="17"/>
      <c r="B430" s="18"/>
      <c r="C430" s="13"/>
      <c r="D430" s="31"/>
      <c r="E430" s="24"/>
      <c r="F430" s="71"/>
      <c r="G430" s="72"/>
      <c r="H430" s="73"/>
      <c r="I430" s="72"/>
      <c r="J430" s="71"/>
      <c r="K430" s="72"/>
      <c r="L430" s="72"/>
      <c r="M430" s="72"/>
      <c r="N430" s="74"/>
      <c r="O430" s="71"/>
      <c r="P430" s="72"/>
      <c r="Q430" s="72"/>
      <c r="R430" s="72"/>
      <c r="S430" s="74"/>
      <c r="T430" s="75"/>
    </row>
    <row r="431" spans="1:20" x14ac:dyDescent="0.35">
      <c r="A431" s="17"/>
      <c r="B431" s="18"/>
      <c r="C431" s="13"/>
      <c r="D431" s="31"/>
      <c r="E431" s="24"/>
      <c r="F431" s="71"/>
      <c r="G431" s="72"/>
      <c r="H431" s="73"/>
      <c r="I431" s="72"/>
      <c r="J431" s="71"/>
      <c r="K431" s="72"/>
      <c r="L431" s="72"/>
      <c r="M431" s="72"/>
      <c r="N431" s="74"/>
      <c r="O431" s="71"/>
      <c r="P431" s="72"/>
      <c r="Q431" s="72"/>
      <c r="R431" s="72"/>
      <c r="S431" s="74"/>
      <c r="T431" s="75"/>
    </row>
    <row r="432" spans="1:20" x14ac:dyDescent="0.35">
      <c r="A432" s="17"/>
      <c r="B432" s="18"/>
      <c r="C432" s="13"/>
      <c r="D432" s="31"/>
      <c r="E432" s="24"/>
      <c r="F432" s="71"/>
      <c r="G432" s="72"/>
      <c r="H432" s="73"/>
      <c r="I432" s="72"/>
      <c r="J432" s="71"/>
      <c r="K432" s="72"/>
      <c r="L432" s="72"/>
      <c r="M432" s="72"/>
      <c r="N432" s="74"/>
      <c r="O432" s="71"/>
      <c r="P432" s="72"/>
      <c r="Q432" s="72"/>
      <c r="R432" s="72"/>
      <c r="S432" s="74"/>
      <c r="T432" s="75"/>
    </row>
    <row r="433" spans="1:20" x14ac:dyDescent="0.35">
      <c r="A433" s="17"/>
      <c r="B433" s="18"/>
      <c r="C433" s="13"/>
      <c r="D433" s="31"/>
      <c r="E433" s="24"/>
      <c r="F433" s="71"/>
      <c r="G433" s="72"/>
      <c r="H433" s="73"/>
      <c r="I433" s="72"/>
      <c r="J433" s="71"/>
      <c r="K433" s="72"/>
      <c r="L433" s="72"/>
      <c r="M433" s="72"/>
      <c r="N433" s="74"/>
      <c r="O433" s="71"/>
      <c r="P433" s="72"/>
      <c r="Q433" s="72"/>
      <c r="R433" s="72"/>
      <c r="S433" s="74"/>
      <c r="T433" s="75"/>
    </row>
    <row r="434" spans="1:20" x14ac:dyDescent="0.35">
      <c r="A434" s="17"/>
      <c r="B434" s="18"/>
      <c r="C434" s="13"/>
      <c r="D434" s="31"/>
      <c r="E434" s="24"/>
      <c r="F434" s="71"/>
      <c r="G434" s="72"/>
      <c r="H434" s="73"/>
      <c r="I434" s="72"/>
      <c r="J434" s="71"/>
      <c r="K434" s="72"/>
      <c r="L434" s="72"/>
      <c r="M434" s="72"/>
      <c r="N434" s="74"/>
      <c r="O434" s="71"/>
      <c r="P434" s="72"/>
      <c r="Q434" s="72"/>
      <c r="R434" s="72"/>
      <c r="S434" s="74"/>
      <c r="T434" s="75"/>
    </row>
    <row r="435" spans="1:20" x14ac:dyDescent="0.35">
      <c r="A435" s="17"/>
      <c r="B435" s="18"/>
      <c r="C435" s="13"/>
      <c r="D435" s="31"/>
      <c r="E435" s="24"/>
      <c r="F435" s="71"/>
      <c r="G435" s="72"/>
      <c r="H435" s="73"/>
      <c r="I435" s="72"/>
      <c r="J435" s="71"/>
      <c r="K435" s="72"/>
      <c r="L435" s="72"/>
      <c r="M435" s="72"/>
      <c r="N435" s="74"/>
      <c r="O435" s="71"/>
      <c r="P435" s="72"/>
      <c r="Q435" s="72"/>
      <c r="R435" s="72"/>
      <c r="S435" s="74"/>
      <c r="T435" s="75"/>
    </row>
    <row r="436" spans="1:20" x14ac:dyDescent="0.35">
      <c r="A436" s="17"/>
      <c r="B436" s="18"/>
      <c r="C436" s="13"/>
      <c r="D436" s="31"/>
      <c r="E436" s="24"/>
      <c r="F436" s="71"/>
      <c r="G436" s="72"/>
      <c r="H436" s="73"/>
      <c r="I436" s="72"/>
      <c r="J436" s="71"/>
      <c r="K436" s="72"/>
      <c r="L436" s="72"/>
      <c r="M436" s="72"/>
      <c r="N436" s="74"/>
      <c r="O436" s="71"/>
      <c r="P436" s="72"/>
      <c r="Q436" s="72"/>
      <c r="R436" s="72"/>
      <c r="S436" s="74"/>
      <c r="T436" s="75"/>
    </row>
    <row r="437" spans="1:20" x14ac:dyDescent="0.35">
      <c r="A437" s="17"/>
      <c r="B437" s="18"/>
      <c r="C437" s="13"/>
      <c r="D437" s="31"/>
      <c r="E437" s="24"/>
      <c r="F437" s="71"/>
      <c r="G437" s="72"/>
      <c r="H437" s="73"/>
      <c r="I437" s="72"/>
      <c r="J437" s="71"/>
      <c r="K437" s="72"/>
      <c r="L437" s="72"/>
      <c r="M437" s="72"/>
      <c r="N437" s="74"/>
      <c r="O437" s="71"/>
      <c r="P437" s="72"/>
      <c r="Q437" s="72"/>
      <c r="R437" s="72"/>
      <c r="S437" s="74"/>
      <c r="T437" s="75"/>
    </row>
    <row r="438" spans="1:20" x14ac:dyDescent="0.35">
      <c r="A438" s="17"/>
      <c r="B438" s="18"/>
      <c r="C438" s="13"/>
      <c r="D438" s="31"/>
      <c r="E438" s="24"/>
      <c r="F438" s="71"/>
      <c r="G438" s="72"/>
      <c r="H438" s="73"/>
      <c r="I438" s="72"/>
      <c r="J438" s="71"/>
      <c r="K438" s="72"/>
      <c r="L438" s="72"/>
      <c r="M438" s="72"/>
      <c r="N438" s="74"/>
      <c r="O438" s="71"/>
      <c r="P438" s="72"/>
      <c r="Q438" s="72"/>
      <c r="R438" s="72"/>
      <c r="S438" s="74"/>
      <c r="T438" s="75"/>
    </row>
    <row r="439" spans="1:20" x14ac:dyDescent="0.35">
      <c r="A439" s="17"/>
      <c r="B439" s="18"/>
      <c r="C439" s="13"/>
      <c r="D439" s="31"/>
      <c r="E439" s="24"/>
      <c r="F439" s="71"/>
      <c r="G439" s="72"/>
      <c r="H439" s="73"/>
      <c r="I439" s="72"/>
      <c r="J439" s="71"/>
      <c r="K439" s="72"/>
      <c r="L439" s="72"/>
      <c r="M439" s="72"/>
      <c r="N439" s="74"/>
      <c r="O439" s="71"/>
      <c r="P439" s="72"/>
      <c r="Q439" s="72"/>
      <c r="R439" s="72"/>
      <c r="S439" s="74"/>
      <c r="T439" s="75"/>
    </row>
    <row r="440" spans="1:20" x14ac:dyDescent="0.35">
      <c r="A440" s="17"/>
      <c r="B440" s="18"/>
      <c r="C440" s="13"/>
      <c r="D440" s="31"/>
      <c r="E440" s="24"/>
      <c r="F440" s="71"/>
      <c r="G440" s="72"/>
      <c r="H440" s="73"/>
      <c r="I440" s="72"/>
      <c r="J440" s="71"/>
      <c r="K440" s="72"/>
      <c r="L440" s="72"/>
      <c r="M440" s="72"/>
      <c r="N440" s="74"/>
      <c r="O440" s="71"/>
      <c r="P440" s="72"/>
      <c r="Q440" s="72"/>
      <c r="R440" s="72"/>
      <c r="S440" s="74"/>
      <c r="T440" s="75"/>
    </row>
    <row r="441" spans="1:20" x14ac:dyDescent="0.35">
      <c r="A441" s="17"/>
      <c r="B441" s="18"/>
      <c r="C441" s="13"/>
      <c r="D441" s="31"/>
      <c r="E441" s="24"/>
      <c r="F441" s="71"/>
      <c r="G441" s="72"/>
      <c r="H441" s="73"/>
      <c r="I441" s="72"/>
      <c r="J441" s="71"/>
      <c r="K441" s="72"/>
      <c r="L441" s="72"/>
      <c r="M441" s="72"/>
      <c r="N441" s="74"/>
      <c r="O441" s="71"/>
      <c r="P441" s="72"/>
      <c r="Q441" s="72"/>
      <c r="R441" s="72"/>
      <c r="S441" s="74"/>
      <c r="T441" s="75"/>
    </row>
    <row r="442" spans="1:20" x14ac:dyDescent="0.35">
      <c r="A442" s="17"/>
      <c r="B442" s="18"/>
      <c r="C442" s="13"/>
      <c r="D442" s="31"/>
      <c r="E442" s="24"/>
      <c r="F442" s="71"/>
      <c r="G442" s="72"/>
      <c r="H442" s="73"/>
      <c r="I442" s="72"/>
      <c r="J442" s="71"/>
      <c r="K442" s="72"/>
      <c r="L442" s="72"/>
      <c r="M442" s="72"/>
      <c r="N442" s="74"/>
      <c r="O442" s="71"/>
      <c r="P442" s="72"/>
      <c r="Q442" s="72"/>
      <c r="R442" s="72"/>
      <c r="S442" s="74"/>
      <c r="T442" s="75"/>
    </row>
    <row r="443" spans="1:20" x14ac:dyDescent="0.35">
      <c r="A443" s="17"/>
      <c r="B443" s="18"/>
      <c r="C443" s="13"/>
      <c r="D443" s="31"/>
      <c r="E443" s="24"/>
      <c r="F443" s="71"/>
      <c r="G443" s="72"/>
      <c r="H443" s="73"/>
      <c r="I443" s="72"/>
      <c r="J443" s="71"/>
      <c r="K443" s="72"/>
      <c r="L443" s="72"/>
      <c r="M443" s="72"/>
      <c r="N443" s="74"/>
      <c r="O443" s="71"/>
      <c r="P443" s="72"/>
      <c r="Q443" s="72"/>
      <c r="R443" s="72"/>
      <c r="S443" s="74"/>
      <c r="T443" s="75"/>
    </row>
    <row r="444" spans="1:20" x14ac:dyDescent="0.35">
      <c r="A444" s="17"/>
      <c r="B444" s="18"/>
      <c r="C444" s="13"/>
      <c r="D444" s="31"/>
      <c r="E444" s="24"/>
      <c r="F444" s="71"/>
      <c r="G444" s="72"/>
      <c r="H444" s="73"/>
      <c r="I444" s="72"/>
      <c r="J444" s="71"/>
      <c r="K444" s="72"/>
      <c r="L444" s="72"/>
      <c r="M444" s="72"/>
      <c r="N444" s="74"/>
      <c r="O444" s="71"/>
      <c r="P444" s="72"/>
      <c r="Q444" s="72"/>
      <c r="R444" s="72"/>
      <c r="S444" s="74"/>
      <c r="T444" s="75"/>
    </row>
    <row r="445" spans="1:20" x14ac:dyDescent="0.35">
      <c r="A445" s="17"/>
      <c r="B445" s="18"/>
      <c r="C445" s="13"/>
      <c r="D445" s="31"/>
      <c r="E445" s="24"/>
      <c r="F445" s="71"/>
      <c r="G445" s="72"/>
      <c r="H445" s="73"/>
      <c r="I445" s="72"/>
      <c r="J445" s="71"/>
      <c r="K445" s="72"/>
      <c r="L445" s="72"/>
      <c r="M445" s="72"/>
      <c r="N445" s="74"/>
      <c r="O445" s="71"/>
      <c r="P445" s="72"/>
      <c r="Q445" s="72"/>
      <c r="R445" s="72"/>
      <c r="S445" s="74"/>
      <c r="T445" s="75"/>
    </row>
    <row r="446" spans="1:20" x14ac:dyDescent="0.35">
      <c r="A446" s="17"/>
      <c r="B446" s="18"/>
      <c r="C446" s="13"/>
      <c r="D446" s="31"/>
      <c r="E446" s="24"/>
      <c r="F446" s="71"/>
      <c r="G446" s="72"/>
      <c r="H446" s="73"/>
      <c r="I446" s="72"/>
      <c r="J446" s="71"/>
      <c r="K446" s="72"/>
      <c r="L446" s="72"/>
      <c r="M446" s="72"/>
      <c r="N446" s="74"/>
      <c r="O446" s="71"/>
      <c r="P446" s="72"/>
      <c r="Q446" s="72"/>
      <c r="R446" s="72"/>
      <c r="S446" s="74"/>
      <c r="T446" s="75"/>
    </row>
    <row r="447" spans="1:20" x14ac:dyDescent="0.35">
      <c r="A447" s="17"/>
      <c r="B447" s="18"/>
      <c r="C447" s="13"/>
      <c r="D447" s="31"/>
      <c r="E447" s="24"/>
      <c r="F447" s="71"/>
      <c r="G447" s="72"/>
      <c r="H447" s="73"/>
      <c r="I447" s="72"/>
      <c r="J447" s="71"/>
      <c r="K447" s="72"/>
      <c r="L447" s="72"/>
      <c r="M447" s="72"/>
      <c r="N447" s="74"/>
      <c r="O447" s="71"/>
      <c r="P447" s="72"/>
      <c r="Q447" s="72"/>
      <c r="R447" s="72"/>
      <c r="S447" s="74"/>
      <c r="T447" s="75"/>
    </row>
    <row r="448" spans="1:20" x14ac:dyDescent="0.35">
      <c r="A448" s="17"/>
      <c r="B448" s="18"/>
      <c r="C448" s="13"/>
      <c r="D448" s="31"/>
      <c r="E448" s="24"/>
      <c r="F448" s="71"/>
      <c r="G448" s="72"/>
      <c r="H448" s="73"/>
      <c r="I448" s="72"/>
      <c r="J448" s="71"/>
      <c r="K448" s="72"/>
      <c r="L448" s="72"/>
      <c r="M448" s="72"/>
      <c r="N448" s="74"/>
      <c r="O448" s="71"/>
      <c r="P448" s="72"/>
      <c r="Q448" s="72"/>
      <c r="R448" s="72"/>
      <c r="S448" s="74"/>
      <c r="T448" s="75"/>
    </row>
    <row r="449" spans="1:20" x14ac:dyDescent="0.35">
      <c r="A449" s="17"/>
      <c r="B449" s="18"/>
      <c r="C449" s="13"/>
      <c r="D449" s="31"/>
      <c r="E449" s="24"/>
      <c r="F449" s="71"/>
      <c r="G449" s="72"/>
      <c r="H449" s="73"/>
      <c r="I449" s="72"/>
      <c r="J449" s="71"/>
      <c r="K449" s="72"/>
      <c r="L449" s="72"/>
      <c r="M449" s="72"/>
      <c r="N449" s="74"/>
      <c r="O449" s="71"/>
      <c r="P449" s="72"/>
      <c r="Q449" s="72"/>
      <c r="R449" s="72"/>
      <c r="S449" s="74"/>
      <c r="T449" s="75"/>
    </row>
    <row r="450" spans="1:20" x14ac:dyDescent="0.35">
      <c r="A450" s="17"/>
      <c r="B450" s="18"/>
      <c r="C450" s="13"/>
      <c r="D450" s="31"/>
      <c r="E450" s="24"/>
      <c r="F450" s="71"/>
      <c r="G450" s="72"/>
      <c r="H450" s="73"/>
      <c r="I450" s="72"/>
      <c r="J450" s="71"/>
      <c r="K450" s="72"/>
      <c r="L450" s="72"/>
      <c r="M450" s="72"/>
      <c r="N450" s="74"/>
      <c r="O450" s="71"/>
      <c r="P450" s="72"/>
      <c r="Q450" s="72"/>
      <c r="R450" s="72"/>
      <c r="S450" s="74"/>
      <c r="T450" s="75"/>
    </row>
    <row r="451" spans="1:20" x14ac:dyDescent="0.35">
      <c r="A451" s="17"/>
      <c r="B451" s="18"/>
      <c r="C451" s="13"/>
      <c r="D451" s="31"/>
      <c r="E451" s="24"/>
      <c r="F451" s="71"/>
      <c r="G451" s="72"/>
      <c r="H451" s="73"/>
      <c r="I451" s="72"/>
      <c r="J451" s="71"/>
      <c r="K451" s="72"/>
      <c r="L451" s="72"/>
      <c r="M451" s="72"/>
      <c r="N451" s="74"/>
      <c r="O451" s="71"/>
      <c r="P451" s="72"/>
      <c r="Q451" s="72"/>
      <c r="R451" s="72"/>
      <c r="S451" s="74"/>
      <c r="T451" s="75"/>
    </row>
    <row r="452" spans="1:20" x14ac:dyDescent="0.35">
      <c r="A452" s="17"/>
      <c r="B452" s="18"/>
      <c r="C452" s="13"/>
      <c r="D452" s="31"/>
      <c r="E452" s="24"/>
      <c r="F452" s="71"/>
      <c r="G452" s="72"/>
      <c r="H452" s="73"/>
      <c r="I452" s="72"/>
      <c r="J452" s="71"/>
      <c r="K452" s="72"/>
      <c r="L452" s="72"/>
      <c r="M452" s="72"/>
      <c r="N452" s="74"/>
      <c r="O452" s="71"/>
      <c r="P452" s="72"/>
      <c r="Q452" s="72"/>
      <c r="R452" s="72"/>
      <c r="S452" s="74"/>
      <c r="T452" s="75"/>
    </row>
    <row r="453" spans="1:20" x14ac:dyDescent="0.35">
      <c r="A453" s="17"/>
      <c r="B453" s="18"/>
      <c r="C453" s="13"/>
      <c r="D453" s="31"/>
      <c r="E453" s="24"/>
      <c r="F453" s="71"/>
      <c r="G453" s="72"/>
      <c r="H453" s="73"/>
      <c r="I453" s="72"/>
      <c r="J453" s="71"/>
      <c r="K453" s="72"/>
      <c r="L453" s="72"/>
      <c r="M453" s="72"/>
      <c r="N453" s="74"/>
      <c r="O453" s="71"/>
      <c r="P453" s="72"/>
      <c r="Q453" s="72"/>
      <c r="R453" s="72"/>
      <c r="S453" s="74"/>
      <c r="T453" s="75"/>
    </row>
    <row r="454" spans="1:20" x14ac:dyDescent="0.35">
      <c r="A454" s="17"/>
      <c r="B454" s="18"/>
      <c r="C454" s="13"/>
      <c r="D454" s="31"/>
      <c r="E454" s="24"/>
      <c r="F454" s="71"/>
      <c r="G454" s="72"/>
      <c r="H454" s="73"/>
      <c r="I454" s="72"/>
      <c r="J454" s="71"/>
      <c r="K454" s="72"/>
      <c r="L454" s="72"/>
      <c r="M454" s="72"/>
      <c r="N454" s="74"/>
      <c r="O454" s="71"/>
      <c r="P454" s="72"/>
      <c r="Q454" s="72"/>
      <c r="R454" s="72"/>
      <c r="S454" s="74"/>
      <c r="T454" s="75"/>
    </row>
    <row r="455" spans="1:20" x14ac:dyDescent="0.35">
      <c r="A455" s="17"/>
      <c r="B455" s="18"/>
      <c r="C455" s="13"/>
      <c r="D455" s="31"/>
      <c r="E455" s="24"/>
      <c r="F455" s="71"/>
      <c r="G455" s="72"/>
      <c r="H455" s="73"/>
      <c r="I455" s="72"/>
      <c r="J455" s="71"/>
      <c r="K455" s="72"/>
      <c r="L455" s="72"/>
      <c r="M455" s="72"/>
      <c r="N455" s="74"/>
      <c r="O455" s="71"/>
      <c r="P455" s="72"/>
      <c r="Q455" s="72"/>
      <c r="R455" s="72"/>
      <c r="S455" s="74"/>
      <c r="T455" s="75"/>
    </row>
    <row r="456" spans="1:20" x14ac:dyDescent="0.35">
      <c r="A456" s="17"/>
      <c r="B456" s="18"/>
      <c r="C456" s="13"/>
      <c r="D456" s="31"/>
      <c r="E456" s="24"/>
      <c r="F456" s="71"/>
      <c r="G456" s="72"/>
      <c r="H456" s="73"/>
      <c r="I456" s="72"/>
      <c r="J456" s="71"/>
      <c r="K456" s="72"/>
      <c r="L456" s="72"/>
      <c r="M456" s="72"/>
      <c r="N456" s="74"/>
      <c r="O456" s="71"/>
      <c r="P456" s="72"/>
      <c r="Q456" s="72"/>
      <c r="R456" s="72"/>
      <c r="S456" s="74"/>
      <c r="T456" s="75"/>
    </row>
    <row r="457" spans="1:20" x14ac:dyDescent="0.35">
      <c r="A457" s="17"/>
      <c r="B457" s="18"/>
      <c r="C457" s="13"/>
      <c r="D457" s="31"/>
      <c r="E457" s="24"/>
      <c r="F457" s="71"/>
      <c r="G457" s="72"/>
      <c r="H457" s="73"/>
      <c r="I457" s="72"/>
      <c r="J457" s="71"/>
      <c r="K457" s="72"/>
      <c r="L457" s="72"/>
      <c r="M457" s="72"/>
      <c r="N457" s="74"/>
      <c r="O457" s="71"/>
      <c r="P457" s="72"/>
      <c r="Q457" s="72"/>
      <c r="R457" s="72"/>
      <c r="S457" s="74"/>
      <c r="T457" s="75"/>
    </row>
    <row r="458" spans="1:20" x14ac:dyDescent="0.35">
      <c r="A458" s="17"/>
      <c r="B458" s="18"/>
      <c r="C458" s="13"/>
      <c r="D458" s="31"/>
      <c r="E458" s="24"/>
      <c r="F458" s="71"/>
      <c r="G458" s="72"/>
      <c r="H458" s="73"/>
      <c r="I458" s="72"/>
      <c r="J458" s="71"/>
      <c r="K458" s="72"/>
      <c r="L458" s="72"/>
      <c r="M458" s="72"/>
      <c r="N458" s="74"/>
      <c r="O458" s="71"/>
      <c r="P458" s="72"/>
      <c r="Q458" s="72"/>
      <c r="R458" s="72"/>
      <c r="S458" s="74"/>
      <c r="T458" s="75"/>
    </row>
    <row r="459" spans="1:20" x14ac:dyDescent="0.35">
      <c r="A459" s="17"/>
      <c r="B459" s="18"/>
      <c r="C459" s="13"/>
      <c r="D459" s="31"/>
      <c r="E459" s="24"/>
      <c r="F459" s="71"/>
      <c r="G459" s="72"/>
      <c r="H459" s="73"/>
      <c r="I459" s="72"/>
      <c r="J459" s="71"/>
      <c r="K459" s="72"/>
      <c r="L459" s="72"/>
      <c r="M459" s="72"/>
      <c r="N459" s="74"/>
      <c r="O459" s="71"/>
      <c r="P459" s="72"/>
      <c r="Q459" s="72"/>
      <c r="R459" s="72"/>
      <c r="S459" s="74"/>
      <c r="T459" s="75"/>
    </row>
    <row r="460" spans="1:20" x14ac:dyDescent="0.35">
      <c r="A460" s="17"/>
      <c r="B460" s="18"/>
      <c r="C460" s="13"/>
      <c r="D460" s="31"/>
      <c r="E460" s="24"/>
      <c r="F460" s="71"/>
      <c r="G460" s="72"/>
      <c r="H460" s="73"/>
      <c r="I460" s="72"/>
      <c r="J460" s="71"/>
      <c r="K460" s="72"/>
      <c r="L460" s="72"/>
      <c r="M460" s="72"/>
      <c r="N460" s="74"/>
      <c r="O460" s="71"/>
      <c r="P460" s="72"/>
      <c r="Q460" s="72"/>
      <c r="R460" s="72"/>
      <c r="S460" s="74"/>
      <c r="T460" s="75"/>
    </row>
    <row r="461" spans="1:20" x14ac:dyDescent="0.35">
      <c r="A461" s="17"/>
      <c r="B461" s="18"/>
      <c r="C461" s="13"/>
      <c r="D461" s="31"/>
      <c r="E461" s="24"/>
      <c r="F461" s="71"/>
      <c r="G461" s="72"/>
      <c r="H461" s="73"/>
      <c r="I461" s="72"/>
      <c r="J461" s="71"/>
      <c r="K461" s="72"/>
      <c r="L461" s="72"/>
      <c r="M461" s="72"/>
      <c r="N461" s="74"/>
      <c r="O461" s="71"/>
      <c r="P461" s="72"/>
      <c r="Q461" s="72"/>
      <c r="R461" s="72"/>
      <c r="S461" s="74"/>
      <c r="T461" s="75"/>
    </row>
    <row r="462" spans="1:20" x14ac:dyDescent="0.35">
      <c r="A462" s="17"/>
      <c r="B462" s="18"/>
      <c r="C462" s="13"/>
      <c r="D462" s="31"/>
      <c r="E462" s="24"/>
      <c r="F462" s="71"/>
      <c r="G462" s="72"/>
      <c r="H462" s="73"/>
      <c r="I462" s="72"/>
      <c r="J462" s="71"/>
      <c r="K462" s="72"/>
      <c r="L462" s="72"/>
      <c r="M462" s="72"/>
      <c r="N462" s="74"/>
      <c r="O462" s="71"/>
      <c r="P462" s="72"/>
      <c r="Q462" s="72"/>
      <c r="R462" s="72"/>
      <c r="S462" s="74"/>
      <c r="T462" s="75"/>
    </row>
    <row r="463" spans="1:20" x14ac:dyDescent="0.35">
      <c r="A463" s="17"/>
      <c r="B463" s="18"/>
      <c r="C463" s="13"/>
      <c r="D463" s="31"/>
      <c r="E463" s="24"/>
      <c r="F463" s="71"/>
      <c r="G463" s="72"/>
      <c r="H463" s="73"/>
      <c r="I463" s="72"/>
      <c r="J463" s="71"/>
      <c r="K463" s="72"/>
      <c r="L463" s="72"/>
      <c r="M463" s="72"/>
      <c r="N463" s="74"/>
      <c r="O463" s="71"/>
      <c r="P463" s="72"/>
      <c r="Q463" s="72"/>
      <c r="R463" s="72"/>
      <c r="S463" s="74"/>
      <c r="T463" s="75"/>
    </row>
    <row r="464" spans="1:20" x14ac:dyDescent="0.35">
      <c r="A464" s="17"/>
      <c r="B464" s="18"/>
      <c r="C464" s="13"/>
      <c r="D464" s="31"/>
      <c r="E464" s="24"/>
      <c r="F464" s="71"/>
      <c r="G464" s="72"/>
      <c r="H464" s="73"/>
      <c r="I464" s="72"/>
      <c r="J464" s="71"/>
      <c r="K464" s="72"/>
      <c r="L464" s="72"/>
      <c r="M464" s="72"/>
      <c r="N464" s="74"/>
      <c r="O464" s="71"/>
      <c r="P464" s="72"/>
      <c r="Q464" s="72"/>
      <c r="R464" s="72"/>
      <c r="S464" s="74"/>
      <c r="T464" s="75"/>
    </row>
    <row r="465" spans="1:20" x14ac:dyDescent="0.35">
      <c r="A465" s="17"/>
      <c r="B465" s="18"/>
      <c r="C465" s="13"/>
      <c r="D465" s="31"/>
      <c r="E465" s="24"/>
      <c r="F465" s="71"/>
      <c r="G465" s="72"/>
      <c r="H465" s="73"/>
      <c r="I465" s="72"/>
      <c r="J465" s="71"/>
      <c r="K465" s="72"/>
      <c r="L465" s="72"/>
      <c r="M465" s="72"/>
      <c r="N465" s="74"/>
      <c r="O465" s="71"/>
      <c r="P465" s="72"/>
      <c r="Q465" s="72"/>
      <c r="R465" s="72"/>
      <c r="S465" s="74"/>
      <c r="T465" s="75"/>
    </row>
    <row r="466" spans="1:20" x14ac:dyDescent="0.35">
      <c r="A466" s="17"/>
      <c r="B466" s="18"/>
      <c r="C466" s="13"/>
      <c r="D466" s="31"/>
      <c r="E466" s="24"/>
      <c r="F466" s="71"/>
      <c r="G466" s="72"/>
      <c r="H466" s="73"/>
      <c r="I466" s="72"/>
      <c r="J466" s="71"/>
      <c r="K466" s="72"/>
      <c r="L466" s="72"/>
      <c r="M466" s="72"/>
      <c r="N466" s="74"/>
      <c r="O466" s="71"/>
      <c r="P466" s="72"/>
      <c r="Q466" s="72"/>
      <c r="R466" s="72"/>
      <c r="S466" s="74"/>
      <c r="T466" s="75"/>
    </row>
    <row r="467" spans="1:20" x14ac:dyDescent="0.35">
      <c r="A467" s="17"/>
      <c r="B467" s="18"/>
      <c r="C467" s="13"/>
      <c r="D467" s="31"/>
      <c r="E467" s="24"/>
      <c r="F467" s="71"/>
      <c r="G467" s="72"/>
      <c r="H467" s="73"/>
      <c r="I467" s="72"/>
      <c r="J467" s="71"/>
      <c r="K467" s="72"/>
      <c r="L467" s="72"/>
      <c r="M467" s="72"/>
      <c r="N467" s="74"/>
      <c r="O467" s="71"/>
      <c r="P467" s="72"/>
      <c r="Q467" s="72"/>
      <c r="R467" s="72"/>
      <c r="S467" s="74"/>
      <c r="T467" s="75"/>
    </row>
    <row r="468" spans="1:20" x14ac:dyDescent="0.35">
      <c r="A468" s="17"/>
      <c r="B468" s="18"/>
      <c r="C468" s="13"/>
      <c r="D468" s="31"/>
      <c r="E468" s="24"/>
      <c r="F468" s="71"/>
      <c r="G468" s="72"/>
      <c r="H468" s="73"/>
      <c r="I468" s="72"/>
      <c r="J468" s="71"/>
      <c r="K468" s="72"/>
      <c r="L468" s="72"/>
      <c r="M468" s="72"/>
      <c r="N468" s="74"/>
      <c r="O468" s="71"/>
      <c r="P468" s="72"/>
      <c r="Q468" s="72"/>
      <c r="R468" s="72"/>
      <c r="S468" s="74"/>
      <c r="T468" s="75"/>
    </row>
    <row r="469" spans="1:20" x14ac:dyDescent="0.35">
      <c r="A469" s="17"/>
      <c r="B469" s="18"/>
      <c r="C469" s="13"/>
      <c r="D469" s="31"/>
      <c r="E469" s="24"/>
      <c r="F469" s="71"/>
      <c r="G469" s="72"/>
      <c r="H469" s="73"/>
      <c r="I469" s="72"/>
      <c r="J469" s="71"/>
      <c r="K469" s="72"/>
      <c r="L469" s="72"/>
      <c r="M469" s="72"/>
      <c r="N469" s="74"/>
      <c r="O469" s="71"/>
      <c r="P469" s="72"/>
      <c r="Q469" s="72"/>
      <c r="R469" s="72"/>
      <c r="S469" s="74"/>
      <c r="T469" s="75"/>
    </row>
    <row r="470" spans="1:20" x14ac:dyDescent="0.35">
      <c r="A470" s="17"/>
      <c r="B470" s="18"/>
      <c r="C470" s="13"/>
      <c r="D470" s="31"/>
      <c r="E470" s="24"/>
      <c r="F470" s="71"/>
      <c r="G470" s="72"/>
      <c r="H470" s="73"/>
      <c r="I470" s="72"/>
      <c r="J470" s="71"/>
      <c r="K470" s="72"/>
      <c r="L470" s="72"/>
      <c r="M470" s="72"/>
      <c r="N470" s="74"/>
      <c r="O470" s="71"/>
      <c r="P470" s="72"/>
      <c r="Q470" s="72"/>
      <c r="R470" s="72"/>
      <c r="S470" s="74"/>
      <c r="T470" s="75"/>
    </row>
    <row r="471" spans="1:20" x14ac:dyDescent="0.35">
      <c r="A471" s="17"/>
      <c r="B471" s="18"/>
      <c r="C471" s="13"/>
      <c r="D471" s="31"/>
      <c r="E471" s="24"/>
      <c r="F471" s="22"/>
      <c r="G471" s="23"/>
      <c r="H471" s="24"/>
      <c r="I471" s="23"/>
      <c r="J471" s="22"/>
      <c r="K471" s="23"/>
      <c r="L471" s="23"/>
      <c r="M471" s="23"/>
      <c r="N471" s="25"/>
      <c r="O471" s="22"/>
      <c r="P471" s="23"/>
      <c r="Q471" s="23"/>
      <c r="R471" s="23"/>
      <c r="S471" s="25"/>
      <c r="T471" s="26"/>
    </row>
    <row r="472" spans="1:20" x14ac:dyDescent="0.35">
      <c r="A472" s="17"/>
      <c r="B472" s="18"/>
      <c r="C472" s="13"/>
      <c r="D472" s="31"/>
      <c r="E472" s="24"/>
      <c r="F472" s="22"/>
      <c r="G472" s="23"/>
      <c r="H472" s="24"/>
      <c r="I472" s="23"/>
      <c r="J472" s="22"/>
      <c r="K472" s="23"/>
      <c r="L472" s="23"/>
      <c r="M472" s="23"/>
      <c r="N472" s="25"/>
      <c r="O472" s="22"/>
      <c r="P472" s="23"/>
      <c r="Q472" s="23"/>
      <c r="R472" s="23"/>
      <c r="S472" s="25"/>
      <c r="T472" s="26"/>
    </row>
  </sheetData>
  <sortState ref="A35:T50">
    <sortCondition ref="D35:D50"/>
  </sortState>
  <mergeCells count="16">
    <mergeCell ref="I10:J10"/>
    <mergeCell ref="AW21:AX21"/>
    <mergeCell ref="G22:H22"/>
    <mergeCell ref="AW24:AX24"/>
    <mergeCell ref="G29:H29"/>
    <mergeCell ref="G13:I13"/>
    <mergeCell ref="J13:L13"/>
    <mergeCell ref="G15:I15"/>
    <mergeCell ref="G17:I17"/>
    <mergeCell ref="J17:L17"/>
    <mergeCell ref="AW20:AY20"/>
    <mergeCell ref="L1:M1"/>
    <mergeCell ref="L2:M2"/>
    <mergeCell ref="I3:J3"/>
    <mergeCell ref="L3:M3"/>
    <mergeCell ref="AW4:AY4"/>
  </mergeCells>
  <dataValidations count="5">
    <dataValidation type="list" allowBlank="1" showInputMessage="1" showErrorMessage="1" sqref="K12 K14 K16">
      <formula1>$AZ$20:$BD$20</formula1>
    </dataValidation>
    <dataValidation type="list" allowBlank="1" showInputMessage="1" showErrorMessage="1" sqref="D1">
      <formula1>$AX$10:$AX$18</formula1>
    </dataValidation>
    <dataValidation type="list" allowBlank="1" showInputMessage="1" showErrorMessage="1" sqref="L12 L14 L16">
      <formula1>$A$12:$A$13</formula1>
    </dataValidation>
    <dataValidation type="list" allowBlank="1" showInputMessage="1" showErrorMessage="1" sqref="A35:A472">
      <formula1>BUFFS</formula1>
    </dataValidation>
    <dataValidation type="list" allowBlank="1" showInputMessage="1" showErrorMessage="1" sqref="W4 R4:U4 Y4:AP4 AR4">
      <formula1>$A$5:$A$37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FIRST SHEET</vt:lpstr>
      <vt:lpstr>BUFFS</vt:lpstr>
      <vt:lpstr>NUM1</vt:lpstr>
      <vt:lpstr>NUM2</vt:lpstr>
      <vt:lpstr>NUM3</vt:lpstr>
      <vt:lpstr>NUM4</vt:lpstr>
      <vt:lpstr>NUM5</vt:lpstr>
      <vt:lpstr>NUM6</vt:lpstr>
      <vt:lpstr>NUM7</vt:lpstr>
      <vt:lpstr>NUM8</vt:lpstr>
      <vt:lpstr>NUM9</vt:lpstr>
      <vt:lpstr>NUM10</vt:lpstr>
      <vt:lpstr>NUM11</vt:lpstr>
      <vt:lpstr>Types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2018-12-24T01:59:22Z</dcterms:modified>
</cp:coreProperties>
</file>