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FIRST SHEET" sheetId="6" r:id="rId1"/>
    <sheet name="BUFFS" sheetId="7" r:id="rId2"/>
    <sheet name="NUM1" sheetId="3" r:id="rId3"/>
    <sheet name="NUM2" sheetId="4" r:id="rId4"/>
    <sheet name="NUM3" sheetId="5" r:id="rId5"/>
    <sheet name="NUM4" sheetId="8" r:id="rId6"/>
    <sheet name="NUM5" sheetId="9" r:id="rId7"/>
    <sheet name="NUM6" sheetId="14" r:id="rId8"/>
    <sheet name="NUM7" sheetId="10" r:id="rId9"/>
    <sheet name="NUM8" sheetId="15" r:id="rId10"/>
    <sheet name="NUM9" sheetId="11" r:id="rId11"/>
    <sheet name="NUM10" sheetId="12" r:id="rId12"/>
    <sheet name="NUM11" sheetId="13" r:id="rId13"/>
  </sheets>
  <definedNames>
    <definedName name="BUFFS">OFFSET(BUFFS!$K$5,,,COUNTIF(BUFFS!$K$5:$K$200,"?*"))</definedName>
    <definedName name="Modifiers_List">OFFSET(BUFFS!$E$5,,,COUNTIF(BUFFS!$E$5:$E$30,"?*"))</definedName>
    <definedName name="Types">BUFFS!$F$8:$F$25</definedName>
  </definedNames>
  <calcPr calcId="152511" concurrentCalc="0"/>
</workbook>
</file>

<file path=xl/calcChain.xml><?xml version="1.0" encoding="utf-8"?>
<calcChain xmlns="http://schemas.openxmlformats.org/spreadsheetml/2006/main">
  <c r="B22" i="3" l="1"/>
  <c r="B21" i="3"/>
  <c r="B11" i="3"/>
  <c r="B12" i="3"/>
  <c r="B13" i="3"/>
  <c r="B14" i="3"/>
  <c r="B10" i="3"/>
  <c r="B9" i="3"/>
  <c r="B8" i="3"/>
  <c r="B7" i="3"/>
  <c r="B20" i="3"/>
  <c r="C9" i="3"/>
  <c r="B23" i="3"/>
  <c r="B25" i="3"/>
  <c r="B24" i="3"/>
  <c r="T35" i="3"/>
  <c r="G35" i="3"/>
  <c r="F35" i="3"/>
  <c r="H35" i="3"/>
  <c r="I38" i="3"/>
  <c r="G37" i="3"/>
  <c r="G36" i="3"/>
  <c r="C10" i="3"/>
  <c r="G20" i="3"/>
  <c r="H20" i="3"/>
  <c r="D16" i="6"/>
  <c r="D15" i="6"/>
  <c r="D14" i="6"/>
  <c r="D13" i="6"/>
  <c r="D12" i="6"/>
  <c r="D11" i="6"/>
  <c r="D10" i="6"/>
  <c r="D9" i="6"/>
  <c r="D8" i="6"/>
  <c r="D7" i="6"/>
  <c r="C7" i="6"/>
  <c r="D6" i="6"/>
  <c r="C16" i="6"/>
  <c r="C15" i="6"/>
  <c r="C14" i="6"/>
  <c r="C13" i="6"/>
  <c r="C12" i="6"/>
  <c r="C11" i="6"/>
  <c r="C10" i="6"/>
  <c r="C9" i="6"/>
  <c r="C8" i="6"/>
  <c r="B6" i="3"/>
  <c r="C6" i="6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119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62" i="8"/>
  <c r="I61" i="8"/>
  <c r="I60" i="8"/>
  <c r="I59" i="8"/>
  <c r="T58" i="8"/>
  <c r="T35" i="8"/>
  <c r="R58" i="8"/>
  <c r="S58" i="8"/>
  <c r="Q58" i="8"/>
  <c r="P58" i="8"/>
  <c r="O58" i="8"/>
  <c r="M58" i="8"/>
  <c r="N58" i="8"/>
  <c r="L58" i="8"/>
  <c r="K58" i="8"/>
  <c r="J58" i="8"/>
  <c r="I58" i="8"/>
  <c r="G58" i="8"/>
  <c r="H58" i="8"/>
  <c r="F58" i="8"/>
  <c r="E58" i="8"/>
  <c r="D58" i="8"/>
  <c r="T57" i="8"/>
  <c r="R57" i="8"/>
  <c r="S57" i="8"/>
  <c r="Q57" i="8"/>
  <c r="P57" i="8"/>
  <c r="O57" i="8"/>
  <c r="M57" i="8"/>
  <c r="N57" i="8"/>
  <c r="L57" i="8"/>
  <c r="K57" i="8"/>
  <c r="J57" i="8"/>
  <c r="I57" i="8"/>
  <c r="G57" i="8"/>
  <c r="H57" i="8"/>
  <c r="F57" i="8"/>
  <c r="E57" i="8"/>
  <c r="D57" i="8"/>
  <c r="T56" i="8"/>
  <c r="R56" i="8"/>
  <c r="S56" i="8"/>
  <c r="Q56" i="8"/>
  <c r="P56" i="8"/>
  <c r="O56" i="8"/>
  <c r="M56" i="8"/>
  <c r="N56" i="8"/>
  <c r="L56" i="8"/>
  <c r="K56" i="8"/>
  <c r="J56" i="8"/>
  <c r="I56" i="8"/>
  <c r="G56" i="8"/>
  <c r="H56" i="8"/>
  <c r="F56" i="8"/>
  <c r="E56" i="8"/>
  <c r="D56" i="8"/>
  <c r="T55" i="8"/>
  <c r="R55" i="8"/>
  <c r="S55" i="8"/>
  <c r="Q55" i="8"/>
  <c r="P55" i="8"/>
  <c r="O55" i="8"/>
  <c r="M55" i="8"/>
  <c r="N55" i="8"/>
  <c r="L55" i="8"/>
  <c r="K55" i="8"/>
  <c r="J55" i="8"/>
  <c r="I55" i="8"/>
  <c r="G55" i="8"/>
  <c r="H55" i="8"/>
  <c r="F55" i="8"/>
  <c r="E55" i="8"/>
  <c r="D55" i="8"/>
  <c r="T54" i="8"/>
  <c r="R54" i="8"/>
  <c r="S54" i="8"/>
  <c r="Q54" i="8"/>
  <c r="P54" i="8"/>
  <c r="O54" i="8"/>
  <c r="M54" i="8"/>
  <c r="N54" i="8"/>
  <c r="L54" i="8"/>
  <c r="K54" i="8"/>
  <c r="J54" i="8"/>
  <c r="I54" i="8"/>
  <c r="G54" i="8"/>
  <c r="H54" i="8"/>
  <c r="F54" i="8"/>
  <c r="E54" i="8"/>
  <c r="D54" i="8"/>
  <c r="T53" i="8"/>
  <c r="R53" i="8"/>
  <c r="S53" i="8"/>
  <c r="Q53" i="8"/>
  <c r="P53" i="8"/>
  <c r="O53" i="8"/>
  <c r="M53" i="8"/>
  <c r="N53" i="8"/>
  <c r="L53" i="8"/>
  <c r="K53" i="8"/>
  <c r="J53" i="8"/>
  <c r="I53" i="8"/>
  <c r="G53" i="8"/>
  <c r="H53" i="8"/>
  <c r="F53" i="8"/>
  <c r="E53" i="8"/>
  <c r="D53" i="8"/>
  <c r="T52" i="8"/>
  <c r="R52" i="8"/>
  <c r="S52" i="8"/>
  <c r="Q52" i="8"/>
  <c r="P52" i="8"/>
  <c r="O52" i="8"/>
  <c r="M52" i="8"/>
  <c r="N52" i="8"/>
  <c r="L52" i="8"/>
  <c r="K52" i="8"/>
  <c r="J52" i="8"/>
  <c r="I52" i="8"/>
  <c r="G52" i="8"/>
  <c r="H52" i="8"/>
  <c r="F52" i="8"/>
  <c r="E52" i="8"/>
  <c r="D52" i="8"/>
  <c r="T51" i="8"/>
  <c r="R51" i="8"/>
  <c r="S51" i="8"/>
  <c r="Q51" i="8"/>
  <c r="P51" i="8"/>
  <c r="O51" i="8"/>
  <c r="M51" i="8"/>
  <c r="N51" i="8"/>
  <c r="L51" i="8"/>
  <c r="K51" i="8"/>
  <c r="J51" i="8"/>
  <c r="I51" i="8"/>
  <c r="G51" i="8"/>
  <c r="H51" i="8"/>
  <c r="F51" i="8"/>
  <c r="E51" i="8"/>
  <c r="D51" i="8"/>
  <c r="T50" i="8"/>
  <c r="R50" i="8"/>
  <c r="S50" i="8"/>
  <c r="Q50" i="8"/>
  <c r="P50" i="8"/>
  <c r="O50" i="8"/>
  <c r="M50" i="8"/>
  <c r="N50" i="8"/>
  <c r="L50" i="8"/>
  <c r="K50" i="8"/>
  <c r="J50" i="8"/>
  <c r="I50" i="8"/>
  <c r="G50" i="8"/>
  <c r="H50" i="8"/>
  <c r="F50" i="8"/>
  <c r="E50" i="8"/>
  <c r="D50" i="8"/>
  <c r="T49" i="8"/>
  <c r="R49" i="8"/>
  <c r="S49" i="8"/>
  <c r="Q49" i="8"/>
  <c r="P49" i="8"/>
  <c r="O49" i="8"/>
  <c r="M49" i="8"/>
  <c r="N49" i="8"/>
  <c r="L49" i="8"/>
  <c r="K49" i="8"/>
  <c r="J49" i="8"/>
  <c r="I49" i="8"/>
  <c r="G49" i="8"/>
  <c r="H49" i="8"/>
  <c r="F49" i="8"/>
  <c r="E49" i="8"/>
  <c r="D49" i="8"/>
  <c r="T48" i="8"/>
  <c r="R48" i="8"/>
  <c r="S48" i="8"/>
  <c r="Q48" i="8"/>
  <c r="P48" i="8"/>
  <c r="O48" i="8"/>
  <c r="M48" i="8"/>
  <c r="N48" i="8"/>
  <c r="L48" i="8"/>
  <c r="K48" i="8"/>
  <c r="J48" i="8"/>
  <c r="I48" i="8"/>
  <c r="G48" i="8"/>
  <c r="H48" i="8"/>
  <c r="F48" i="8"/>
  <c r="E48" i="8"/>
  <c r="D48" i="8"/>
  <c r="T47" i="8"/>
  <c r="R47" i="8"/>
  <c r="S47" i="8"/>
  <c r="Q47" i="8"/>
  <c r="P47" i="8"/>
  <c r="O47" i="8"/>
  <c r="M47" i="8"/>
  <c r="N47" i="8"/>
  <c r="L47" i="8"/>
  <c r="K47" i="8"/>
  <c r="J47" i="8"/>
  <c r="I47" i="8"/>
  <c r="G47" i="8"/>
  <c r="H47" i="8"/>
  <c r="F47" i="8"/>
  <c r="E47" i="8"/>
  <c r="D47" i="8"/>
  <c r="T46" i="8"/>
  <c r="R46" i="8"/>
  <c r="S46" i="8"/>
  <c r="Q46" i="8"/>
  <c r="P46" i="8"/>
  <c r="O46" i="8"/>
  <c r="M46" i="8"/>
  <c r="N46" i="8"/>
  <c r="L46" i="8"/>
  <c r="K46" i="8"/>
  <c r="J46" i="8"/>
  <c r="I46" i="8"/>
  <c r="G46" i="8"/>
  <c r="H46" i="8"/>
  <c r="F46" i="8"/>
  <c r="E46" i="8"/>
  <c r="D46" i="8"/>
  <c r="T45" i="8"/>
  <c r="R45" i="8"/>
  <c r="S45" i="8"/>
  <c r="Q45" i="8"/>
  <c r="P45" i="8"/>
  <c r="O45" i="8"/>
  <c r="M45" i="8"/>
  <c r="N45" i="8"/>
  <c r="L45" i="8"/>
  <c r="K45" i="8"/>
  <c r="J45" i="8"/>
  <c r="I45" i="8"/>
  <c r="G45" i="8"/>
  <c r="H45" i="8"/>
  <c r="F45" i="8"/>
  <c r="E45" i="8"/>
  <c r="D45" i="8"/>
  <c r="T44" i="8"/>
  <c r="R44" i="8"/>
  <c r="Q44" i="8"/>
  <c r="S44" i="8"/>
  <c r="P44" i="8"/>
  <c r="O44" i="8"/>
  <c r="M44" i="8"/>
  <c r="L44" i="8"/>
  <c r="N44" i="8"/>
  <c r="K44" i="8"/>
  <c r="J44" i="8"/>
  <c r="I44" i="8"/>
  <c r="G44" i="8"/>
  <c r="F44" i="8"/>
  <c r="H44" i="8"/>
  <c r="E44" i="8"/>
  <c r="D44" i="8"/>
  <c r="T43" i="8"/>
  <c r="R43" i="8"/>
  <c r="Q43" i="8"/>
  <c r="S43" i="8"/>
  <c r="P43" i="8"/>
  <c r="O43" i="8"/>
  <c r="M43" i="8"/>
  <c r="L43" i="8"/>
  <c r="N43" i="8"/>
  <c r="K43" i="8"/>
  <c r="J43" i="8"/>
  <c r="I43" i="8"/>
  <c r="G43" i="8"/>
  <c r="F43" i="8"/>
  <c r="H43" i="8"/>
  <c r="E43" i="8"/>
  <c r="D43" i="8"/>
  <c r="T42" i="8"/>
  <c r="R42" i="8"/>
  <c r="Q42" i="8"/>
  <c r="S42" i="8"/>
  <c r="P42" i="8"/>
  <c r="O42" i="8"/>
  <c r="M42" i="8"/>
  <c r="L42" i="8"/>
  <c r="N42" i="8"/>
  <c r="K42" i="8"/>
  <c r="J42" i="8"/>
  <c r="I42" i="8"/>
  <c r="G42" i="8"/>
  <c r="F42" i="8"/>
  <c r="H42" i="8"/>
  <c r="E42" i="8"/>
  <c r="D42" i="8"/>
  <c r="T41" i="8"/>
  <c r="R41" i="8"/>
  <c r="Q41" i="8"/>
  <c r="S41" i="8"/>
  <c r="P41" i="8"/>
  <c r="O41" i="8"/>
  <c r="M41" i="8"/>
  <c r="L41" i="8"/>
  <c r="N41" i="8"/>
  <c r="K41" i="8"/>
  <c r="J41" i="8"/>
  <c r="I41" i="8"/>
  <c r="G41" i="8"/>
  <c r="F41" i="8"/>
  <c r="H41" i="8"/>
  <c r="E41" i="8"/>
  <c r="D41" i="8"/>
  <c r="T40" i="8"/>
  <c r="R40" i="8"/>
  <c r="Q40" i="8"/>
  <c r="S40" i="8"/>
  <c r="P40" i="8"/>
  <c r="O40" i="8"/>
  <c r="M40" i="8"/>
  <c r="L40" i="8"/>
  <c r="N40" i="8"/>
  <c r="K40" i="8"/>
  <c r="J40" i="8"/>
  <c r="I40" i="8"/>
  <c r="G40" i="8"/>
  <c r="F40" i="8"/>
  <c r="H40" i="8"/>
  <c r="E40" i="8"/>
  <c r="D40" i="8"/>
  <c r="T39" i="8"/>
  <c r="R39" i="8"/>
  <c r="Q39" i="8"/>
  <c r="S39" i="8"/>
  <c r="P39" i="8"/>
  <c r="O39" i="8"/>
  <c r="M39" i="8"/>
  <c r="L39" i="8"/>
  <c r="N39" i="8"/>
  <c r="K39" i="8"/>
  <c r="J39" i="8"/>
  <c r="I39" i="8"/>
  <c r="G39" i="8"/>
  <c r="F39" i="8"/>
  <c r="H39" i="8"/>
  <c r="E39" i="8"/>
  <c r="D39" i="8"/>
  <c r="T38" i="8"/>
  <c r="R38" i="8"/>
  <c r="Q38" i="8"/>
  <c r="S38" i="8"/>
  <c r="P38" i="8"/>
  <c r="O38" i="8"/>
  <c r="M38" i="8"/>
  <c r="L38" i="8"/>
  <c r="N38" i="8"/>
  <c r="K38" i="8"/>
  <c r="J38" i="8"/>
  <c r="I38" i="8"/>
  <c r="G38" i="8"/>
  <c r="F38" i="8"/>
  <c r="H38" i="8"/>
  <c r="E38" i="8"/>
  <c r="D38" i="8"/>
  <c r="T37" i="8"/>
  <c r="R37" i="8"/>
  <c r="Q37" i="8"/>
  <c r="S37" i="8"/>
  <c r="P37" i="8"/>
  <c r="O37" i="8"/>
  <c r="M37" i="8"/>
  <c r="L37" i="8"/>
  <c r="N37" i="8"/>
  <c r="K37" i="8"/>
  <c r="J37" i="8"/>
  <c r="I37" i="8"/>
  <c r="G37" i="8"/>
  <c r="F37" i="8"/>
  <c r="H37" i="8"/>
  <c r="E37" i="8"/>
  <c r="D37" i="8"/>
  <c r="T36" i="8"/>
  <c r="R36" i="8"/>
  <c r="Q36" i="8"/>
  <c r="S36" i="8"/>
  <c r="P36" i="8"/>
  <c r="O36" i="8"/>
  <c r="M36" i="8"/>
  <c r="L36" i="8"/>
  <c r="N36" i="8"/>
  <c r="K36" i="8"/>
  <c r="J36" i="8"/>
  <c r="I36" i="8"/>
  <c r="G36" i="8"/>
  <c r="F36" i="8"/>
  <c r="H36" i="8"/>
  <c r="E36" i="8"/>
  <c r="D36" i="8"/>
  <c r="R35" i="8"/>
  <c r="Q35" i="8"/>
  <c r="S35" i="8"/>
  <c r="P35" i="8"/>
  <c r="O35" i="8"/>
  <c r="M35" i="8"/>
  <c r="L35" i="8"/>
  <c r="N35" i="8"/>
  <c r="K35" i="8"/>
  <c r="J35" i="8"/>
  <c r="I35" i="8"/>
  <c r="G35" i="8"/>
  <c r="F35" i="8"/>
  <c r="H35" i="8"/>
  <c r="E35" i="8"/>
  <c r="D35" i="8"/>
  <c r="B32" i="8"/>
  <c r="D30" i="8"/>
  <c r="D29" i="8"/>
  <c r="D28" i="8"/>
  <c r="D27" i="8"/>
  <c r="B10" i="8"/>
  <c r="C10" i="8"/>
  <c r="B23" i="8"/>
  <c r="B25" i="8"/>
  <c r="B24" i="8"/>
  <c r="B9" i="8"/>
  <c r="C9" i="8"/>
  <c r="B22" i="8"/>
  <c r="B21" i="8"/>
  <c r="H20" i="8"/>
  <c r="G20" i="8"/>
  <c r="B8" i="8"/>
  <c r="B20" i="8"/>
  <c r="G18" i="8"/>
  <c r="B18" i="8"/>
  <c r="G17" i="8"/>
  <c r="B17" i="8"/>
  <c r="G16" i="8"/>
  <c r="B16" i="8"/>
  <c r="B14" i="8"/>
  <c r="C14" i="8"/>
  <c r="B13" i="8"/>
  <c r="C13" i="8"/>
  <c r="B12" i="8"/>
  <c r="C12" i="8"/>
  <c r="B11" i="8"/>
  <c r="C11" i="8"/>
  <c r="G7" i="8"/>
  <c r="N2" i="8"/>
  <c r="O2" i="8"/>
  <c r="B7" i="8"/>
  <c r="B6" i="8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T58" i="5"/>
  <c r="T35" i="5"/>
  <c r="R58" i="5"/>
  <c r="S58" i="5"/>
  <c r="Q58" i="5"/>
  <c r="P58" i="5"/>
  <c r="O58" i="5"/>
  <c r="M58" i="5"/>
  <c r="N58" i="5"/>
  <c r="L58" i="5"/>
  <c r="K58" i="5"/>
  <c r="J58" i="5"/>
  <c r="I58" i="5"/>
  <c r="G58" i="5"/>
  <c r="H58" i="5"/>
  <c r="F58" i="5"/>
  <c r="E58" i="5"/>
  <c r="D58" i="5"/>
  <c r="T57" i="5"/>
  <c r="R57" i="5"/>
  <c r="S57" i="5"/>
  <c r="Q57" i="5"/>
  <c r="P57" i="5"/>
  <c r="O57" i="5"/>
  <c r="M57" i="5"/>
  <c r="N57" i="5"/>
  <c r="L57" i="5"/>
  <c r="K57" i="5"/>
  <c r="J57" i="5"/>
  <c r="I57" i="5"/>
  <c r="G57" i="5"/>
  <c r="H57" i="5"/>
  <c r="F57" i="5"/>
  <c r="E57" i="5"/>
  <c r="D57" i="5"/>
  <c r="T56" i="5"/>
  <c r="R56" i="5"/>
  <c r="S56" i="5"/>
  <c r="Q56" i="5"/>
  <c r="P56" i="5"/>
  <c r="O56" i="5"/>
  <c r="M56" i="5"/>
  <c r="N56" i="5"/>
  <c r="L56" i="5"/>
  <c r="K56" i="5"/>
  <c r="J56" i="5"/>
  <c r="I56" i="5"/>
  <c r="G56" i="5"/>
  <c r="H56" i="5"/>
  <c r="F56" i="5"/>
  <c r="E56" i="5"/>
  <c r="D56" i="5"/>
  <c r="T55" i="5"/>
  <c r="R55" i="5"/>
  <c r="S55" i="5"/>
  <c r="Q55" i="5"/>
  <c r="P55" i="5"/>
  <c r="O55" i="5"/>
  <c r="M55" i="5"/>
  <c r="N55" i="5"/>
  <c r="L55" i="5"/>
  <c r="K55" i="5"/>
  <c r="J55" i="5"/>
  <c r="I55" i="5"/>
  <c r="G55" i="5"/>
  <c r="H55" i="5"/>
  <c r="F55" i="5"/>
  <c r="E55" i="5"/>
  <c r="D55" i="5"/>
  <c r="T54" i="5"/>
  <c r="R54" i="5"/>
  <c r="S54" i="5"/>
  <c r="Q54" i="5"/>
  <c r="P54" i="5"/>
  <c r="O54" i="5"/>
  <c r="M54" i="5"/>
  <c r="N54" i="5"/>
  <c r="L54" i="5"/>
  <c r="K54" i="5"/>
  <c r="J54" i="5"/>
  <c r="I54" i="5"/>
  <c r="G54" i="5"/>
  <c r="H54" i="5"/>
  <c r="F54" i="5"/>
  <c r="E54" i="5"/>
  <c r="D54" i="5"/>
  <c r="T53" i="5"/>
  <c r="R53" i="5"/>
  <c r="S53" i="5"/>
  <c r="Q53" i="5"/>
  <c r="P53" i="5"/>
  <c r="O53" i="5"/>
  <c r="M53" i="5"/>
  <c r="N53" i="5"/>
  <c r="L53" i="5"/>
  <c r="K53" i="5"/>
  <c r="J53" i="5"/>
  <c r="I53" i="5"/>
  <c r="G53" i="5"/>
  <c r="H53" i="5"/>
  <c r="F53" i="5"/>
  <c r="E53" i="5"/>
  <c r="D53" i="5"/>
  <c r="T52" i="5"/>
  <c r="R52" i="5"/>
  <c r="S52" i="5"/>
  <c r="Q52" i="5"/>
  <c r="P52" i="5"/>
  <c r="O52" i="5"/>
  <c r="M52" i="5"/>
  <c r="N52" i="5"/>
  <c r="L52" i="5"/>
  <c r="K52" i="5"/>
  <c r="J52" i="5"/>
  <c r="I52" i="5"/>
  <c r="G52" i="5"/>
  <c r="H52" i="5"/>
  <c r="F52" i="5"/>
  <c r="E52" i="5"/>
  <c r="D52" i="5"/>
  <c r="T51" i="5"/>
  <c r="R51" i="5"/>
  <c r="S51" i="5"/>
  <c r="Q51" i="5"/>
  <c r="P51" i="5"/>
  <c r="O51" i="5"/>
  <c r="M51" i="5"/>
  <c r="N51" i="5"/>
  <c r="L51" i="5"/>
  <c r="K51" i="5"/>
  <c r="J51" i="5"/>
  <c r="I51" i="5"/>
  <c r="G51" i="5"/>
  <c r="H51" i="5"/>
  <c r="F51" i="5"/>
  <c r="E51" i="5"/>
  <c r="D51" i="5"/>
  <c r="T50" i="5"/>
  <c r="R50" i="5"/>
  <c r="S50" i="5"/>
  <c r="Q50" i="5"/>
  <c r="P50" i="5"/>
  <c r="O50" i="5"/>
  <c r="M50" i="5"/>
  <c r="N50" i="5"/>
  <c r="L50" i="5"/>
  <c r="K50" i="5"/>
  <c r="J50" i="5"/>
  <c r="I50" i="5"/>
  <c r="G50" i="5"/>
  <c r="H50" i="5"/>
  <c r="F50" i="5"/>
  <c r="E50" i="5"/>
  <c r="D50" i="5"/>
  <c r="T49" i="5"/>
  <c r="R49" i="5"/>
  <c r="S49" i="5"/>
  <c r="Q49" i="5"/>
  <c r="P49" i="5"/>
  <c r="O49" i="5"/>
  <c r="M49" i="5"/>
  <c r="N49" i="5"/>
  <c r="L49" i="5"/>
  <c r="K49" i="5"/>
  <c r="J49" i="5"/>
  <c r="I49" i="5"/>
  <c r="G49" i="5"/>
  <c r="H49" i="5"/>
  <c r="F49" i="5"/>
  <c r="E49" i="5"/>
  <c r="D49" i="5"/>
  <c r="T48" i="5"/>
  <c r="R48" i="5"/>
  <c r="S48" i="5"/>
  <c r="Q48" i="5"/>
  <c r="P48" i="5"/>
  <c r="O48" i="5"/>
  <c r="M48" i="5"/>
  <c r="N48" i="5"/>
  <c r="L48" i="5"/>
  <c r="K48" i="5"/>
  <c r="J48" i="5"/>
  <c r="I48" i="5"/>
  <c r="G48" i="5"/>
  <c r="H48" i="5"/>
  <c r="F48" i="5"/>
  <c r="E48" i="5"/>
  <c r="D48" i="5"/>
  <c r="T47" i="5"/>
  <c r="R47" i="5"/>
  <c r="S47" i="5"/>
  <c r="Q47" i="5"/>
  <c r="P47" i="5"/>
  <c r="O47" i="5"/>
  <c r="M47" i="5"/>
  <c r="N47" i="5"/>
  <c r="L47" i="5"/>
  <c r="K47" i="5"/>
  <c r="J47" i="5"/>
  <c r="I47" i="5"/>
  <c r="G47" i="5"/>
  <c r="H47" i="5"/>
  <c r="F47" i="5"/>
  <c r="E47" i="5"/>
  <c r="D47" i="5"/>
  <c r="T46" i="5"/>
  <c r="R46" i="5"/>
  <c r="S46" i="5"/>
  <c r="Q46" i="5"/>
  <c r="P46" i="5"/>
  <c r="O46" i="5"/>
  <c r="M46" i="5"/>
  <c r="N46" i="5"/>
  <c r="L46" i="5"/>
  <c r="K46" i="5"/>
  <c r="J46" i="5"/>
  <c r="I46" i="5"/>
  <c r="G46" i="5"/>
  <c r="H46" i="5"/>
  <c r="F46" i="5"/>
  <c r="E46" i="5"/>
  <c r="D46" i="5"/>
  <c r="T45" i="5"/>
  <c r="R45" i="5"/>
  <c r="S45" i="5"/>
  <c r="Q45" i="5"/>
  <c r="P45" i="5"/>
  <c r="O45" i="5"/>
  <c r="M45" i="5"/>
  <c r="N45" i="5"/>
  <c r="L45" i="5"/>
  <c r="K45" i="5"/>
  <c r="J45" i="5"/>
  <c r="I45" i="5"/>
  <c r="G45" i="5"/>
  <c r="H45" i="5"/>
  <c r="F45" i="5"/>
  <c r="E45" i="5"/>
  <c r="D45" i="5"/>
  <c r="T44" i="5"/>
  <c r="R44" i="5"/>
  <c r="Q44" i="5"/>
  <c r="S44" i="5"/>
  <c r="P44" i="5"/>
  <c r="O44" i="5"/>
  <c r="M44" i="5"/>
  <c r="L44" i="5"/>
  <c r="N44" i="5"/>
  <c r="K44" i="5"/>
  <c r="J44" i="5"/>
  <c r="I44" i="5"/>
  <c r="G44" i="5"/>
  <c r="F44" i="5"/>
  <c r="H44" i="5"/>
  <c r="E44" i="5"/>
  <c r="D44" i="5"/>
  <c r="T43" i="5"/>
  <c r="R43" i="5"/>
  <c r="Q43" i="5"/>
  <c r="S43" i="5"/>
  <c r="P43" i="5"/>
  <c r="O43" i="5"/>
  <c r="M43" i="5"/>
  <c r="L43" i="5"/>
  <c r="N43" i="5"/>
  <c r="K43" i="5"/>
  <c r="J43" i="5"/>
  <c r="I43" i="5"/>
  <c r="G43" i="5"/>
  <c r="F43" i="5"/>
  <c r="H43" i="5"/>
  <c r="E43" i="5"/>
  <c r="D43" i="5"/>
  <c r="T42" i="5"/>
  <c r="R42" i="5"/>
  <c r="Q42" i="5"/>
  <c r="S42" i="5"/>
  <c r="P42" i="5"/>
  <c r="O42" i="5"/>
  <c r="M42" i="5"/>
  <c r="L42" i="5"/>
  <c r="N42" i="5"/>
  <c r="K42" i="5"/>
  <c r="J42" i="5"/>
  <c r="I42" i="5"/>
  <c r="G42" i="5"/>
  <c r="F42" i="5"/>
  <c r="H42" i="5"/>
  <c r="E42" i="5"/>
  <c r="D42" i="5"/>
  <c r="T41" i="5"/>
  <c r="R41" i="5"/>
  <c r="Q41" i="5"/>
  <c r="S41" i="5"/>
  <c r="P41" i="5"/>
  <c r="O41" i="5"/>
  <c r="M41" i="5"/>
  <c r="L41" i="5"/>
  <c r="N41" i="5"/>
  <c r="K41" i="5"/>
  <c r="J41" i="5"/>
  <c r="I41" i="5"/>
  <c r="G41" i="5"/>
  <c r="F41" i="5"/>
  <c r="H41" i="5"/>
  <c r="E41" i="5"/>
  <c r="D41" i="5"/>
  <c r="T40" i="5"/>
  <c r="R40" i="5"/>
  <c r="Q40" i="5"/>
  <c r="S40" i="5"/>
  <c r="P40" i="5"/>
  <c r="O40" i="5"/>
  <c r="M40" i="5"/>
  <c r="L40" i="5"/>
  <c r="N40" i="5"/>
  <c r="K40" i="5"/>
  <c r="J40" i="5"/>
  <c r="I40" i="5"/>
  <c r="G40" i="5"/>
  <c r="F40" i="5"/>
  <c r="H40" i="5"/>
  <c r="E40" i="5"/>
  <c r="D40" i="5"/>
  <c r="T39" i="5"/>
  <c r="R39" i="5"/>
  <c r="Q39" i="5"/>
  <c r="S39" i="5"/>
  <c r="P39" i="5"/>
  <c r="O39" i="5"/>
  <c r="M39" i="5"/>
  <c r="L39" i="5"/>
  <c r="N39" i="5"/>
  <c r="K39" i="5"/>
  <c r="J39" i="5"/>
  <c r="I39" i="5"/>
  <c r="G39" i="5"/>
  <c r="F39" i="5"/>
  <c r="H39" i="5"/>
  <c r="E39" i="5"/>
  <c r="D39" i="5"/>
  <c r="T38" i="5"/>
  <c r="R38" i="5"/>
  <c r="Q38" i="5"/>
  <c r="S38" i="5"/>
  <c r="P38" i="5"/>
  <c r="O38" i="5"/>
  <c r="M38" i="5"/>
  <c r="L38" i="5"/>
  <c r="N38" i="5"/>
  <c r="K38" i="5"/>
  <c r="J38" i="5"/>
  <c r="I38" i="5"/>
  <c r="G38" i="5"/>
  <c r="F38" i="5"/>
  <c r="H38" i="5"/>
  <c r="E38" i="5"/>
  <c r="D38" i="5"/>
  <c r="T37" i="5"/>
  <c r="R37" i="5"/>
  <c r="Q37" i="5"/>
  <c r="S37" i="5"/>
  <c r="P37" i="5"/>
  <c r="O37" i="5"/>
  <c r="M37" i="5"/>
  <c r="L37" i="5"/>
  <c r="N37" i="5"/>
  <c r="K37" i="5"/>
  <c r="J37" i="5"/>
  <c r="I37" i="5"/>
  <c r="G37" i="5"/>
  <c r="F37" i="5"/>
  <c r="H37" i="5"/>
  <c r="E37" i="5"/>
  <c r="D37" i="5"/>
  <c r="T36" i="5"/>
  <c r="R36" i="5"/>
  <c r="Q36" i="5"/>
  <c r="S36" i="5"/>
  <c r="P36" i="5"/>
  <c r="O36" i="5"/>
  <c r="M36" i="5"/>
  <c r="L36" i="5"/>
  <c r="N36" i="5"/>
  <c r="K36" i="5"/>
  <c r="J36" i="5"/>
  <c r="I36" i="5"/>
  <c r="G36" i="5"/>
  <c r="F36" i="5"/>
  <c r="H36" i="5"/>
  <c r="E36" i="5"/>
  <c r="D36" i="5"/>
  <c r="R35" i="5"/>
  <c r="Q35" i="5"/>
  <c r="S35" i="5"/>
  <c r="P35" i="5"/>
  <c r="O35" i="5"/>
  <c r="M35" i="5"/>
  <c r="L35" i="5"/>
  <c r="N35" i="5"/>
  <c r="K35" i="5"/>
  <c r="J35" i="5"/>
  <c r="I35" i="5"/>
  <c r="G35" i="5"/>
  <c r="F35" i="5"/>
  <c r="H35" i="5"/>
  <c r="E35" i="5"/>
  <c r="D35" i="5"/>
  <c r="B32" i="5"/>
  <c r="D30" i="5"/>
  <c r="D29" i="5"/>
  <c r="D28" i="5"/>
  <c r="D27" i="5"/>
  <c r="B10" i="5"/>
  <c r="C10" i="5"/>
  <c r="B23" i="5"/>
  <c r="B25" i="5"/>
  <c r="B24" i="5"/>
  <c r="B9" i="5"/>
  <c r="C9" i="5"/>
  <c r="B22" i="5"/>
  <c r="B21" i="5"/>
  <c r="H20" i="5"/>
  <c r="G20" i="5"/>
  <c r="B8" i="5"/>
  <c r="B20" i="5"/>
  <c r="G18" i="5"/>
  <c r="B18" i="5"/>
  <c r="G17" i="5"/>
  <c r="B17" i="5"/>
  <c r="G16" i="5"/>
  <c r="B16" i="5"/>
  <c r="B14" i="5"/>
  <c r="C14" i="5"/>
  <c r="B13" i="5"/>
  <c r="C13" i="5"/>
  <c r="B12" i="5"/>
  <c r="C12" i="5"/>
  <c r="B11" i="5"/>
  <c r="C11" i="5"/>
  <c r="G7" i="5"/>
  <c r="N2" i="5"/>
  <c r="O2" i="5"/>
  <c r="B7" i="5"/>
  <c r="B6" i="5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T58" i="4"/>
  <c r="T35" i="4"/>
  <c r="R58" i="4"/>
  <c r="S58" i="4"/>
  <c r="Q58" i="4"/>
  <c r="P58" i="4"/>
  <c r="O58" i="4"/>
  <c r="M58" i="4"/>
  <c r="N58" i="4"/>
  <c r="L58" i="4"/>
  <c r="K58" i="4"/>
  <c r="J58" i="4"/>
  <c r="I58" i="4"/>
  <c r="G58" i="4"/>
  <c r="H58" i="4"/>
  <c r="F58" i="4"/>
  <c r="E58" i="4"/>
  <c r="D58" i="4"/>
  <c r="T57" i="4"/>
  <c r="R57" i="4"/>
  <c r="S57" i="4"/>
  <c r="Q57" i="4"/>
  <c r="P57" i="4"/>
  <c r="O57" i="4"/>
  <c r="M57" i="4"/>
  <c r="N57" i="4"/>
  <c r="L57" i="4"/>
  <c r="K57" i="4"/>
  <c r="J57" i="4"/>
  <c r="I57" i="4"/>
  <c r="G57" i="4"/>
  <c r="H57" i="4"/>
  <c r="F57" i="4"/>
  <c r="E57" i="4"/>
  <c r="D57" i="4"/>
  <c r="T56" i="4"/>
  <c r="R56" i="4"/>
  <c r="S56" i="4"/>
  <c r="Q56" i="4"/>
  <c r="P56" i="4"/>
  <c r="O56" i="4"/>
  <c r="M56" i="4"/>
  <c r="N56" i="4"/>
  <c r="L56" i="4"/>
  <c r="K56" i="4"/>
  <c r="J56" i="4"/>
  <c r="I56" i="4"/>
  <c r="G56" i="4"/>
  <c r="H56" i="4"/>
  <c r="F56" i="4"/>
  <c r="E56" i="4"/>
  <c r="D56" i="4"/>
  <c r="T55" i="4"/>
  <c r="R55" i="4"/>
  <c r="S55" i="4"/>
  <c r="Q55" i="4"/>
  <c r="P55" i="4"/>
  <c r="O55" i="4"/>
  <c r="M55" i="4"/>
  <c r="N55" i="4"/>
  <c r="L55" i="4"/>
  <c r="K55" i="4"/>
  <c r="J55" i="4"/>
  <c r="I55" i="4"/>
  <c r="G55" i="4"/>
  <c r="H55" i="4"/>
  <c r="F55" i="4"/>
  <c r="E55" i="4"/>
  <c r="D55" i="4"/>
  <c r="T54" i="4"/>
  <c r="R54" i="4"/>
  <c r="S54" i="4"/>
  <c r="Q54" i="4"/>
  <c r="P54" i="4"/>
  <c r="O54" i="4"/>
  <c r="M54" i="4"/>
  <c r="N54" i="4"/>
  <c r="L54" i="4"/>
  <c r="K54" i="4"/>
  <c r="J54" i="4"/>
  <c r="I54" i="4"/>
  <c r="G54" i="4"/>
  <c r="H54" i="4"/>
  <c r="F54" i="4"/>
  <c r="E54" i="4"/>
  <c r="D54" i="4"/>
  <c r="T53" i="4"/>
  <c r="R53" i="4"/>
  <c r="S53" i="4"/>
  <c r="Q53" i="4"/>
  <c r="P53" i="4"/>
  <c r="O53" i="4"/>
  <c r="M53" i="4"/>
  <c r="N53" i="4"/>
  <c r="L53" i="4"/>
  <c r="K53" i="4"/>
  <c r="J53" i="4"/>
  <c r="I53" i="4"/>
  <c r="G53" i="4"/>
  <c r="H53" i="4"/>
  <c r="F53" i="4"/>
  <c r="E53" i="4"/>
  <c r="D53" i="4"/>
  <c r="T52" i="4"/>
  <c r="R52" i="4"/>
  <c r="S52" i="4"/>
  <c r="Q52" i="4"/>
  <c r="P52" i="4"/>
  <c r="O52" i="4"/>
  <c r="M52" i="4"/>
  <c r="N52" i="4"/>
  <c r="L52" i="4"/>
  <c r="K52" i="4"/>
  <c r="J52" i="4"/>
  <c r="I52" i="4"/>
  <c r="G52" i="4"/>
  <c r="H52" i="4"/>
  <c r="F52" i="4"/>
  <c r="E52" i="4"/>
  <c r="D52" i="4"/>
  <c r="T51" i="4"/>
  <c r="R51" i="4"/>
  <c r="S51" i="4"/>
  <c r="Q51" i="4"/>
  <c r="P51" i="4"/>
  <c r="O51" i="4"/>
  <c r="M51" i="4"/>
  <c r="N51" i="4"/>
  <c r="L51" i="4"/>
  <c r="K51" i="4"/>
  <c r="J51" i="4"/>
  <c r="I51" i="4"/>
  <c r="G51" i="4"/>
  <c r="H51" i="4"/>
  <c r="F51" i="4"/>
  <c r="E51" i="4"/>
  <c r="D51" i="4"/>
  <c r="T50" i="4"/>
  <c r="R50" i="4"/>
  <c r="S50" i="4"/>
  <c r="Q50" i="4"/>
  <c r="P50" i="4"/>
  <c r="O50" i="4"/>
  <c r="M50" i="4"/>
  <c r="N50" i="4"/>
  <c r="L50" i="4"/>
  <c r="K50" i="4"/>
  <c r="J50" i="4"/>
  <c r="I50" i="4"/>
  <c r="G50" i="4"/>
  <c r="H50" i="4"/>
  <c r="F50" i="4"/>
  <c r="E50" i="4"/>
  <c r="D50" i="4"/>
  <c r="T49" i="4"/>
  <c r="R49" i="4"/>
  <c r="S49" i="4"/>
  <c r="Q49" i="4"/>
  <c r="P49" i="4"/>
  <c r="O49" i="4"/>
  <c r="M49" i="4"/>
  <c r="N49" i="4"/>
  <c r="L49" i="4"/>
  <c r="K49" i="4"/>
  <c r="J49" i="4"/>
  <c r="I49" i="4"/>
  <c r="G49" i="4"/>
  <c r="H49" i="4"/>
  <c r="F49" i="4"/>
  <c r="E49" i="4"/>
  <c r="D49" i="4"/>
  <c r="T48" i="4"/>
  <c r="R48" i="4"/>
  <c r="S48" i="4"/>
  <c r="Q48" i="4"/>
  <c r="P48" i="4"/>
  <c r="O48" i="4"/>
  <c r="M48" i="4"/>
  <c r="N48" i="4"/>
  <c r="L48" i="4"/>
  <c r="K48" i="4"/>
  <c r="J48" i="4"/>
  <c r="I48" i="4"/>
  <c r="G48" i="4"/>
  <c r="H48" i="4"/>
  <c r="F48" i="4"/>
  <c r="E48" i="4"/>
  <c r="D48" i="4"/>
  <c r="T47" i="4"/>
  <c r="R47" i="4"/>
  <c r="S47" i="4"/>
  <c r="Q47" i="4"/>
  <c r="P47" i="4"/>
  <c r="O47" i="4"/>
  <c r="M47" i="4"/>
  <c r="N47" i="4"/>
  <c r="L47" i="4"/>
  <c r="K47" i="4"/>
  <c r="J47" i="4"/>
  <c r="I47" i="4"/>
  <c r="G47" i="4"/>
  <c r="H47" i="4"/>
  <c r="F47" i="4"/>
  <c r="E47" i="4"/>
  <c r="D47" i="4"/>
  <c r="T46" i="4"/>
  <c r="R46" i="4"/>
  <c r="S46" i="4"/>
  <c r="Q46" i="4"/>
  <c r="P46" i="4"/>
  <c r="O46" i="4"/>
  <c r="M46" i="4"/>
  <c r="N46" i="4"/>
  <c r="L46" i="4"/>
  <c r="K46" i="4"/>
  <c r="J46" i="4"/>
  <c r="I46" i="4"/>
  <c r="G46" i="4"/>
  <c r="H46" i="4"/>
  <c r="F46" i="4"/>
  <c r="E46" i="4"/>
  <c r="D46" i="4"/>
  <c r="T45" i="4"/>
  <c r="R45" i="4"/>
  <c r="S45" i="4"/>
  <c r="Q45" i="4"/>
  <c r="P45" i="4"/>
  <c r="O45" i="4"/>
  <c r="M45" i="4"/>
  <c r="N45" i="4"/>
  <c r="L45" i="4"/>
  <c r="K45" i="4"/>
  <c r="J45" i="4"/>
  <c r="I45" i="4"/>
  <c r="G45" i="4"/>
  <c r="H45" i="4"/>
  <c r="F45" i="4"/>
  <c r="E45" i="4"/>
  <c r="D45" i="4"/>
  <c r="T44" i="4"/>
  <c r="R44" i="4"/>
  <c r="Q44" i="4"/>
  <c r="S44" i="4"/>
  <c r="P44" i="4"/>
  <c r="O44" i="4"/>
  <c r="M44" i="4"/>
  <c r="L44" i="4"/>
  <c r="N44" i="4"/>
  <c r="K44" i="4"/>
  <c r="J44" i="4"/>
  <c r="I44" i="4"/>
  <c r="G44" i="4"/>
  <c r="F44" i="4"/>
  <c r="H44" i="4"/>
  <c r="E44" i="4"/>
  <c r="D44" i="4"/>
  <c r="T43" i="4"/>
  <c r="R43" i="4"/>
  <c r="Q43" i="4"/>
  <c r="S43" i="4"/>
  <c r="P43" i="4"/>
  <c r="O43" i="4"/>
  <c r="M43" i="4"/>
  <c r="L43" i="4"/>
  <c r="N43" i="4"/>
  <c r="K43" i="4"/>
  <c r="J43" i="4"/>
  <c r="I43" i="4"/>
  <c r="G43" i="4"/>
  <c r="F43" i="4"/>
  <c r="H43" i="4"/>
  <c r="E43" i="4"/>
  <c r="D43" i="4"/>
  <c r="T42" i="4"/>
  <c r="R42" i="4"/>
  <c r="Q42" i="4"/>
  <c r="S42" i="4"/>
  <c r="P42" i="4"/>
  <c r="O42" i="4"/>
  <c r="M42" i="4"/>
  <c r="L42" i="4"/>
  <c r="N42" i="4"/>
  <c r="K42" i="4"/>
  <c r="J42" i="4"/>
  <c r="I42" i="4"/>
  <c r="G42" i="4"/>
  <c r="F42" i="4"/>
  <c r="H42" i="4"/>
  <c r="E42" i="4"/>
  <c r="D42" i="4"/>
  <c r="T41" i="4"/>
  <c r="R41" i="4"/>
  <c r="Q41" i="4"/>
  <c r="S41" i="4"/>
  <c r="P41" i="4"/>
  <c r="O41" i="4"/>
  <c r="M41" i="4"/>
  <c r="L41" i="4"/>
  <c r="N41" i="4"/>
  <c r="K41" i="4"/>
  <c r="J41" i="4"/>
  <c r="I41" i="4"/>
  <c r="G41" i="4"/>
  <c r="F41" i="4"/>
  <c r="H41" i="4"/>
  <c r="E41" i="4"/>
  <c r="D41" i="4"/>
  <c r="T40" i="4"/>
  <c r="R40" i="4"/>
  <c r="Q40" i="4"/>
  <c r="S40" i="4"/>
  <c r="P40" i="4"/>
  <c r="O40" i="4"/>
  <c r="M40" i="4"/>
  <c r="L40" i="4"/>
  <c r="N40" i="4"/>
  <c r="K40" i="4"/>
  <c r="J40" i="4"/>
  <c r="I40" i="4"/>
  <c r="G40" i="4"/>
  <c r="F40" i="4"/>
  <c r="H40" i="4"/>
  <c r="E40" i="4"/>
  <c r="D40" i="4"/>
  <c r="T39" i="4"/>
  <c r="R39" i="4"/>
  <c r="Q39" i="4"/>
  <c r="S39" i="4"/>
  <c r="P39" i="4"/>
  <c r="O39" i="4"/>
  <c r="M39" i="4"/>
  <c r="L39" i="4"/>
  <c r="N39" i="4"/>
  <c r="K39" i="4"/>
  <c r="J39" i="4"/>
  <c r="I39" i="4"/>
  <c r="G39" i="4"/>
  <c r="F39" i="4"/>
  <c r="H39" i="4"/>
  <c r="E39" i="4"/>
  <c r="D39" i="4"/>
  <c r="T38" i="4"/>
  <c r="R38" i="4"/>
  <c r="Q38" i="4"/>
  <c r="S38" i="4"/>
  <c r="P38" i="4"/>
  <c r="O38" i="4"/>
  <c r="M38" i="4"/>
  <c r="L38" i="4"/>
  <c r="N38" i="4"/>
  <c r="K38" i="4"/>
  <c r="J38" i="4"/>
  <c r="I38" i="4"/>
  <c r="G38" i="4"/>
  <c r="F38" i="4"/>
  <c r="H38" i="4"/>
  <c r="E38" i="4"/>
  <c r="D38" i="4"/>
  <c r="T37" i="4"/>
  <c r="R37" i="4"/>
  <c r="Q37" i="4"/>
  <c r="S37" i="4"/>
  <c r="P37" i="4"/>
  <c r="O37" i="4"/>
  <c r="M37" i="4"/>
  <c r="L37" i="4"/>
  <c r="N37" i="4"/>
  <c r="K37" i="4"/>
  <c r="J37" i="4"/>
  <c r="I37" i="4"/>
  <c r="G37" i="4"/>
  <c r="F37" i="4"/>
  <c r="H37" i="4"/>
  <c r="E37" i="4"/>
  <c r="D37" i="4"/>
  <c r="T36" i="4"/>
  <c r="R36" i="4"/>
  <c r="Q36" i="4"/>
  <c r="S36" i="4"/>
  <c r="P36" i="4"/>
  <c r="O36" i="4"/>
  <c r="M36" i="4"/>
  <c r="L36" i="4"/>
  <c r="N36" i="4"/>
  <c r="K36" i="4"/>
  <c r="J36" i="4"/>
  <c r="I36" i="4"/>
  <c r="G36" i="4"/>
  <c r="F36" i="4"/>
  <c r="H36" i="4"/>
  <c r="E36" i="4"/>
  <c r="D36" i="4"/>
  <c r="R35" i="4"/>
  <c r="Q35" i="4"/>
  <c r="S35" i="4"/>
  <c r="P35" i="4"/>
  <c r="O35" i="4"/>
  <c r="M35" i="4"/>
  <c r="L35" i="4"/>
  <c r="N35" i="4"/>
  <c r="K35" i="4"/>
  <c r="J35" i="4"/>
  <c r="I35" i="4"/>
  <c r="G35" i="4"/>
  <c r="F35" i="4"/>
  <c r="H35" i="4"/>
  <c r="E35" i="4"/>
  <c r="D35" i="4"/>
  <c r="B32" i="4"/>
  <c r="D30" i="4"/>
  <c r="D29" i="4"/>
  <c r="D28" i="4"/>
  <c r="D27" i="4"/>
  <c r="B10" i="4"/>
  <c r="C10" i="4"/>
  <c r="B23" i="4"/>
  <c r="B25" i="4"/>
  <c r="B24" i="4"/>
  <c r="B9" i="4"/>
  <c r="C9" i="4"/>
  <c r="B22" i="4"/>
  <c r="B21" i="4"/>
  <c r="H20" i="4"/>
  <c r="G20" i="4"/>
  <c r="B8" i="4"/>
  <c r="B20" i="4"/>
  <c r="G18" i="4"/>
  <c r="B18" i="4"/>
  <c r="G17" i="4"/>
  <c r="B17" i="4"/>
  <c r="G16" i="4"/>
  <c r="B16" i="4"/>
  <c r="B14" i="4"/>
  <c r="C14" i="4"/>
  <c r="B13" i="4"/>
  <c r="C13" i="4"/>
  <c r="B12" i="4"/>
  <c r="C12" i="4"/>
  <c r="B11" i="4"/>
  <c r="C11" i="4"/>
  <c r="G7" i="4"/>
  <c r="N2" i="4"/>
  <c r="O2" i="4"/>
  <c r="B7" i="4"/>
  <c r="B6" i="4"/>
  <c r="D28" i="3"/>
  <c r="D29" i="3"/>
  <c r="D30" i="3"/>
  <c r="G7" i="3"/>
  <c r="G17" i="3"/>
  <c r="B17" i="3"/>
  <c r="G18" i="3"/>
  <c r="B18" i="3"/>
  <c r="G16" i="3"/>
  <c r="B16" i="3"/>
  <c r="O2" i="3"/>
  <c r="N2" i="3"/>
  <c r="D27" i="3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C5" i="7"/>
  <c r="E31" i="7"/>
  <c r="A31" i="7"/>
  <c r="C11" i="3"/>
  <c r="C12" i="3"/>
  <c r="C13" i="3"/>
  <c r="C1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36" i="3"/>
  <c r="I37" i="3"/>
  <c r="I39" i="3"/>
  <c r="I40" i="3"/>
  <c r="I41" i="3"/>
  <c r="I42" i="3"/>
  <c r="I43" i="3"/>
  <c r="I44" i="3"/>
  <c r="I35" i="3"/>
  <c r="D45" i="3"/>
  <c r="E45" i="3"/>
  <c r="F45" i="3"/>
  <c r="G45" i="3"/>
  <c r="H45" i="3"/>
  <c r="J45" i="3"/>
  <c r="K45" i="3"/>
  <c r="L45" i="3"/>
  <c r="M45" i="3"/>
  <c r="N45" i="3"/>
  <c r="O45" i="3"/>
  <c r="P45" i="3"/>
  <c r="Q45" i="3"/>
  <c r="R45" i="3"/>
  <c r="S45" i="3"/>
  <c r="T45" i="3"/>
  <c r="D46" i="3"/>
  <c r="E46" i="3"/>
  <c r="F46" i="3"/>
  <c r="G46" i="3"/>
  <c r="H46" i="3"/>
  <c r="J46" i="3"/>
  <c r="K46" i="3"/>
  <c r="L46" i="3"/>
  <c r="M46" i="3"/>
  <c r="N46" i="3"/>
  <c r="O46" i="3"/>
  <c r="P46" i="3"/>
  <c r="Q46" i="3"/>
  <c r="R46" i="3"/>
  <c r="S46" i="3"/>
  <c r="T46" i="3"/>
  <c r="D47" i="3"/>
  <c r="E47" i="3"/>
  <c r="F47" i="3"/>
  <c r="G47" i="3"/>
  <c r="H47" i="3"/>
  <c r="J47" i="3"/>
  <c r="K47" i="3"/>
  <c r="L47" i="3"/>
  <c r="M47" i="3"/>
  <c r="N47" i="3"/>
  <c r="O47" i="3"/>
  <c r="P47" i="3"/>
  <c r="Q47" i="3"/>
  <c r="R47" i="3"/>
  <c r="S47" i="3"/>
  <c r="T47" i="3"/>
  <c r="D48" i="3"/>
  <c r="E48" i="3"/>
  <c r="F48" i="3"/>
  <c r="G48" i="3"/>
  <c r="H48" i="3"/>
  <c r="J48" i="3"/>
  <c r="K48" i="3"/>
  <c r="L48" i="3"/>
  <c r="M48" i="3"/>
  <c r="N48" i="3"/>
  <c r="O48" i="3"/>
  <c r="P48" i="3"/>
  <c r="Q48" i="3"/>
  <c r="R48" i="3"/>
  <c r="S48" i="3"/>
  <c r="T48" i="3"/>
  <c r="D49" i="3"/>
  <c r="E49" i="3"/>
  <c r="F49" i="3"/>
  <c r="G49" i="3"/>
  <c r="H49" i="3"/>
  <c r="J49" i="3"/>
  <c r="K49" i="3"/>
  <c r="L49" i="3"/>
  <c r="M49" i="3"/>
  <c r="N49" i="3"/>
  <c r="O49" i="3"/>
  <c r="P49" i="3"/>
  <c r="Q49" i="3"/>
  <c r="R49" i="3"/>
  <c r="S49" i="3"/>
  <c r="T49" i="3"/>
  <c r="D50" i="3"/>
  <c r="E50" i="3"/>
  <c r="F50" i="3"/>
  <c r="G50" i="3"/>
  <c r="H50" i="3"/>
  <c r="J50" i="3"/>
  <c r="K50" i="3"/>
  <c r="L50" i="3"/>
  <c r="M50" i="3"/>
  <c r="N50" i="3"/>
  <c r="O50" i="3"/>
  <c r="P50" i="3"/>
  <c r="Q50" i="3"/>
  <c r="R50" i="3"/>
  <c r="S50" i="3"/>
  <c r="T50" i="3"/>
  <c r="D51" i="3"/>
  <c r="E51" i="3"/>
  <c r="F51" i="3"/>
  <c r="G51" i="3"/>
  <c r="H51" i="3"/>
  <c r="J51" i="3"/>
  <c r="K51" i="3"/>
  <c r="L51" i="3"/>
  <c r="M51" i="3"/>
  <c r="N51" i="3"/>
  <c r="O51" i="3"/>
  <c r="P51" i="3"/>
  <c r="Q51" i="3"/>
  <c r="R51" i="3"/>
  <c r="S51" i="3"/>
  <c r="T51" i="3"/>
  <c r="D52" i="3"/>
  <c r="E52" i="3"/>
  <c r="F52" i="3"/>
  <c r="G52" i="3"/>
  <c r="H52" i="3"/>
  <c r="J52" i="3"/>
  <c r="K52" i="3"/>
  <c r="L52" i="3"/>
  <c r="M52" i="3"/>
  <c r="N52" i="3"/>
  <c r="O52" i="3"/>
  <c r="P52" i="3"/>
  <c r="Q52" i="3"/>
  <c r="R52" i="3"/>
  <c r="S52" i="3"/>
  <c r="T52" i="3"/>
  <c r="D53" i="3"/>
  <c r="E53" i="3"/>
  <c r="F53" i="3"/>
  <c r="G53" i="3"/>
  <c r="H53" i="3"/>
  <c r="J53" i="3"/>
  <c r="K53" i="3"/>
  <c r="L53" i="3"/>
  <c r="M53" i="3"/>
  <c r="N53" i="3"/>
  <c r="O53" i="3"/>
  <c r="P53" i="3"/>
  <c r="Q53" i="3"/>
  <c r="R53" i="3"/>
  <c r="S53" i="3"/>
  <c r="T53" i="3"/>
  <c r="D54" i="3"/>
  <c r="E54" i="3"/>
  <c r="F54" i="3"/>
  <c r="G54" i="3"/>
  <c r="H54" i="3"/>
  <c r="J54" i="3"/>
  <c r="K54" i="3"/>
  <c r="L54" i="3"/>
  <c r="M54" i="3"/>
  <c r="N54" i="3"/>
  <c r="O54" i="3"/>
  <c r="P54" i="3"/>
  <c r="Q54" i="3"/>
  <c r="R54" i="3"/>
  <c r="S54" i="3"/>
  <c r="T54" i="3"/>
  <c r="D55" i="3"/>
  <c r="E55" i="3"/>
  <c r="F55" i="3"/>
  <c r="G55" i="3"/>
  <c r="H55" i="3"/>
  <c r="J55" i="3"/>
  <c r="K55" i="3"/>
  <c r="L55" i="3"/>
  <c r="M55" i="3"/>
  <c r="N55" i="3"/>
  <c r="O55" i="3"/>
  <c r="P55" i="3"/>
  <c r="Q55" i="3"/>
  <c r="R55" i="3"/>
  <c r="S55" i="3"/>
  <c r="T55" i="3"/>
  <c r="D56" i="3"/>
  <c r="E56" i="3"/>
  <c r="F56" i="3"/>
  <c r="G56" i="3"/>
  <c r="H56" i="3"/>
  <c r="J56" i="3"/>
  <c r="K56" i="3"/>
  <c r="L56" i="3"/>
  <c r="M56" i="3"/>
  <c r="N56" i="3"/>
  <c r="O56" i="3"/>
  <c r="P56" i="3"/>
  <c r="Q56" i="3"/>
  <c r="R56" i="3"/>
  <c r="S56" i="3"/>
  <c r="T56" i="3"/>
  <c r="D57" i="3"/>
  <c r="E57" i="3"/>
  <c r="F57" i="3"/>
  <c r="G57" i="3"/>
  <c r="H57" i="3"/>
  <c r="J57" i="3"/>
  <c r="K57" i="3"/>
  <c r="L57" i="3"/>
  <c r="M57" i="3"/>
  <c r="N57" i="3"/>
  <c r="O57" i="3"/>
  <c r="P57" i="3"/>
  <c r="Q57" i="3"/>
  <c r="R57" i="3"/>
  <c r="S57" i="3"/>
  <c r="T57" i="3"/>
  <c r="D58" i="3"/>
  <c r="E58" i="3"/>
  <c r="F58" i="3"/>
  <c r="G58" i="3"/>
  <c r="H58" i="3"/>
  <c r="J58" i="3"/>
  <c r="K58" i="3"/>
  <c r="L58" i="3"/>
  <c r="M58" i="3"/>
  <c r="N58" i="3"/>
  <c r="O58" i="3"/>
  <c r="P58" i="3"/>
  <c r="Q58" i="3"/>
  <c r="R58" i="3"/>
  <c r="S58" i="3"/>
  <c r="T58" i="3"/>
  <c r="B32" i="3"/>
  <c r="D44" i="3"/>
  <c r="E44" i="3"/>
  <c r="F44" i="3"/>
  <c r="G44" i="3"/>
  <c r="H44" i="3"/>
  <c r="J44" i="3"/>
  <c r="K44" i="3"/>
  <c r="L44" i="3"/>
  <c r="M44" i="3"/>
  <c r="N44" i="3"/>
  <c r="O44" i="3"/>
  <c r="P44" i="3"/>
  <c r="Q44" i="3"/>
  <c r="R44" i="3"/>
  <c r="S44" i="3"/>
  <c r="T44" i="3"/>
  <c r="M35" i="3"/>
  <c r="L35" i="3"/>
  <c r="N35" i="3"/>
  <c r="R40" i="3"/>
  <c r="Q40" i="3"/>
  <c r="S40" i="3"/>
  <c r="R36" i="3"/>
  <c r="Q36" i="3"/>
  <c r="S36" i="3"/>
  <c r="R37" i="3"/>
  <c r="Q37" i="3"/>
  <c r="S37" i="3"/>
  <c r="R38" i="3"/>
  <c r="Q38" i="3"/>
  <c r="S38" i="3"/>
  <c r="R39" i="3"/>
  <c r="Q39" i="3"/>
  <c r="S39" i="3"/>
  <c r="R41" i="3"/>
  <c r="Q41" i="3"/>
  <c r="S41" i="3"/>
  <c r="R42" i="3"/>
  <c r="Q42" i="3"/>
  <c r="S42" i="3"/>
  <c r="R43" i="3"/>
  <c r="Q43" i="3"/>
  <c r="S43" i="3"/>
  <c r="R35" i="3"/>
  <c r="Q35" i="3"/>
  <c r="S35" i="3"/>
  <c r="M36" i="3"/>
  <c r="L36" i="3"/>
  <c r="N36" i="3"/>
  <c r="M37" i="3"/>
  <c r="L37" i="3"/>
  <c r="N37" i="3"/>
  <c r="M38" i="3"/>
  <c r="L38" i="3"/>
  <c r="N38" i="3"/>
  <c r="M39" i="3"/>
  <c r="L39" i="3"/>
  <c r="N39" i="3"/>
  <c r="M40" i="3"/>
  <c r="L40" i="3"/>
  <c r="N40" i="3"/>
  <c r="M41" i="3"/>
  <c r="L41" i="3"/>
  <c r="N41" i="3"/>
  <c r="M42" i="3"/>
  <c r="L42" i="3"/>
  <c r="N42" i="3"/>
  <c r="M43" i="3"/>
  <c r="L43" i="3"/>
  <c r="N43" i="3"/>
  <c r="F36" i="3"/>
  <c r="H36" i="3"/>
  <c r="F37" i="3"/>
  <c r="H37" i="3"/>
  <c r="G38" i="3"/>
  <c r="F38" i="3"/>
  <c r="H38" i="3"/>
  <c r="G39" i="3"/>
  <c r="F39" i="3"/>
  <c r="H39" i="3"/>
  <c r="G40" i="3"/>
  <c r="F40" i="3"/>
  <c r="H40" i="3"/>
  <c r="G41" i="3"/>
  <c r="F41" i="3"/>
  <c r="H41" i="3"/>
  <c r="G42" i="3"/>
  <c r="F42" i="3"/>
  <c r="H42" i="3"/>
  <c r="G43" i="3"/>
  <c r="F43" i="3"/>
  <c r="H43" i="3"/>
  <c r="T36" i="3"/>
  <c r="T37" i="3"/>
  <c r="T38" i="3"/>
  <c r="T39" i="3"/>
  <c r="T40" i="3"/>
  <c r="T41" i="3"/>
  <c r="T42" i="3"/>
  <c r="T43" i="3"/>
  <c r="P35" i="3"/>
  <c r="D36" i="3"/>
  <c r="O36" i="3"/>
  <c r="O37" i="3"/>
  <c r="O38" i="3"/>
  <c r="O39" i="3"/>
  <c r="O40" i="3"/>
  <c r="O41" i="3"/>
  <c r="O42" i="3"/>
  <c r="O43" i="3"/>
  <c r="P36" i="3"/>
  <c r="P37" i="3"/>
  <c r="P38" i="3"/>
  <c r="P39" i="3"/>
  <c r="P40" i="3"/>
  <c r="P41" i="3"/>
  <c r="P42" i="3"/>
  <c r="P43" i="3"/>
  <c r="O35" i="3"/>
  <c r="J35" i="3"/>
  <c r="D35" i="3"/>
  <c r="D37" i="3"/>
  <c r="D38" i="3"/>
  <c r="D39" i="3"/>
  <c r="D40" i="3"/>
  <c r="D41" i="3"/>
  <c r="D42" i="3"/>
  <c r="D43" i="3"/>
  <c r="E38" i="3"/>
  <c r="J38" i="3"/>
  <c r="K38" i="3"/>
  <c r="J41" i="3"/>
  <c r="J42" i="3"/>
  <c r="J43" i="3"/>
  <c r="J37" i="3"/>
  <c r="J40" i="3"/>
  <c r="J39" i="3"/>
  <c r="J36" i="3"/>
  <c r="E36" i="3"/>
  <c r="K41" i="3"/>
  <c r="K42" i="3"/>
  <c r="K43" i="3"/>
  <c r="K37" i="3"/>
  <c r="K40" i="3"/>
  <c r="K39" i="3"/>
  <c r="K35" i="3"/>
  <c r="K36" i="3"/>
  <c r="E41" i="3"/>
  <c r="E42" i="3"/>
  <c r="E43" i="3"/>
  <c r="E37" i="3"/>
  <c r="E40" i="3"/>
  <c r="E39" i="3"/>
  <c r="E35" i="3"/>
  <c r="P7" i="7"/>
  <c r="P6" i="7"/>
  <c r="E7" i="6"/>
  <c r="E15" i="6"/>
  <c r="E16" i="6"/>
  <c r="E14" i="6"/>
  <c r="E8" i="6"/>
  <c r="E12" i="6"/>
  <c r="E18" i="6"/>
  <c r="E11" i="6"/>
  <c r="E6" i="6"/>
  <c r="E21" i="6"/>
  <c r="E19" i="6"/>
  <c r="E9" i="6"/>
  <c r="E22" i="6"/>
  <c r="E13" i="6"/>
  <c r="E10" i="6"/>
  <c r="E17" i="6"/>
  <c r="E20" i="6"/>
  <c r="C4" i="7"/>
  <c r="K5" i="7"/>
  <c r="K16" i="7"/>
  <c r="K15" i="7"/>
  <c r="K22" i="7"/>
  <c r="K6" i="7"/>
  <c r="K7" i="7"/>
  <c r="K11" i="7"/>
  <c r="K12" i="7"/>
  <c r="K8" i="7"/>
  <c r="K9" i="7"/>
  <c r="K13" i="7"/>
  <c r="K10" i="7"/>
  <c r="K14" i="7"/>
  <c r="K18" i="7"/>
  <c r="K23" i="7"/>
  <c r="K17" i="7"/>
  <c r="K20" i="7"/>
  <c r="K19" i="7"/>
  <c r="K27" i="7"/>
  <c r="K28" i="7"/>
  <c r="K21" i="7"/>
  <c r="K29" i="7"/>
  <c r="K24" i="7"/>
  <c r="K25" i="7"/>
  <c r="K26" i="7"/>
  <c r="I5" i="7"/>
  <c r="I4" i="7"/>
</calcChain>
</file>

<file path=xl/sharedStrings.xml><?xml version="1.0" encoding="utf-8"?>
<sst xmlns="http://schemas.openxmlformats.org/spreadsheetml/2006/main" count="592" uniqueCount="145">
  <si>
    <t>MODIFIERS</t>
  </si>
  <si>
    <t xml:space="preserve">Ability Modifier </t>
  </si>
  <si>
    <t xml:space="preserve">Alchemical Bonus </t>
  </si>
  <si>
    <t xml:space="preserve">Armor Bonus </t>
  </si>
  <si>
    <t xml:space="preserve">Circumstance Modifier </t>
  </si>
  <si>
    <t xml:space="preserve">Competence Modifier </t>
  </si>
  <si>
    <t xml:space="preserve">Deflection Bonus </t>
  </si>
  <si>
    <t xml:space="preserve">Dodge Bonus </t>
  </si>
  <si>
    <t>Enhancement Shield Bonus</t>
  </si>
  <si>
    <t xml:space="preserve">Enhancement Armor Bonus </t>
  </si>
  <si>
    <t xml:space="preserve">Insight Bonus </t>
  </si>
  <si>
    <t xml:space="preserve">Luck Modifier </t>
  </si>
  <si>
    <t xml:space="preserve">Morale Modifier </t>
  </si>
  <si>
    <t xml:space="preserve">Natural Armor Bonus </t>
  </si>
  <si>
    <t>Enhancement to Natural Armor Bonus</t>
  </si>
  <si>
    <t xml:space="preserve">Profane Modifier </t>
  </si>
  <si>
    <t xml:space="preserve">Racial Bonus </t>
  </si>
  <si>
    <t xml:space="preserve">Resistance Bonus </t>
  </si>
  <si>
    <t>Sacred Modifier</t>
  </si>
  <si>
    <t xml:space="preserve">Shield Bonus </t>
  </si>
  <si>
    <t xml:space="preserve">Size Modifier </t>
  </si>
  <si>
    <t>Epic Bonus</t>
  </si>
  <si>
    <t>Divine Bonus</t>
  </si>
  <si>
    <t>(Ability Drain)</t>
  </si>
  <si>
    <t>(Temporary HP and Damage Absorption Shield-e.g Protection from Elements)</t>
  </si>
  <si>
    <t>Untyped</t>
  </si>
  <si>
    <t>HP</t>
  </si>
  <si>
    <t>INITIATIVE</t>
  </si>
  <si>
    <t>AC</t>
  </si>
  <si>
    <t>FORT</t>
  </si>
  <si>
    <t>REF</t>
  </si>
  <si>
    <t>WILL</t>
  </si>
  <si>
    <t>Number1</t>
  </si>
  <si>
    <t>Number4</t>
  </si>
  <si>
    <t>Number5</t>
  </si>
  <si>
    <t>Number6</t>
  </si>
  <si>
    <t>Number7</t>
  </si>
  <si>
    <t>Number8</t>
  </si>
  <si>
    <t>Number9</t>
  </si>
  <si>
    <t>Number10</t>
  </si>
  <si>
    <t>Number11</t>
  </si>
  <si>
    <t>Number12</t>
  </si>
  <si>
    <t>Number13</t>
  </si>
  <si>
    <t>Number14</t>
  </si>
  <si>
    <t>Number15</t>
  </si>
  <si>
    <t>Number16</t>
  </si>
  <si>
    <t>Number17</t>
  </si>
  <si>
    <t>NN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</si>
  <si>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</si>
  <si>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</si>
  <si>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</si>
  <si>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</si>
  <si>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</si>
  <si>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</si>
  <si>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</si>
  <si>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</si>
  <si>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</si>
  <si>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</si>
  <si>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</si>
  <si>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NAME</t>
  </si>
  <si>
    <t>initiative</t>
  </si>
  <si>
    <t>Characters</t>
  </si>
  <si>
    <t>NAMES</t>
  </si>
  <si>
    <t>BUFFS</t>
  </si>
  <si>
    <t>Bless</t>
  </si>
  <si>
    <t>TYPE</t>
  </si>
  <si>
    <t>Types</t>
  </si>
  <si>
    <t>TYPES</t>
  </si>
  <si>
    <t>attack</t>
  </si>
  <si>
    <t>TYPE2</t>
  </si>
  <si>
    <t>TYPE3</t>
  </si>
  <si>
    <t>TYPE1</t>
  </si>
  <si>
    <t>MODIFIER</t>
  </si>
  <si>
    <t>MOD</t>
  </si>
  <si>
    <t>LISTS</t>
  </si>
  <si>
    <t>SEARCH MODIFIER</t>
  </si>
  <si>
    <t>Shield of fath</t>
  </si>
  <si>
    <t>SEARCH BUFF</t>
  </si>
  <si>
    <t>Caster level</t>
  </si>
  <si>
    <t>CASTER</t>
  </si>
  <si>
    <t>Magic Weapon, Greater</t>
  </si>
  <si>
    <t>Enhancement Damage</t>
  </si>
  <si>
    <t>Caster MOD</t>
  </si>
  <si>
    <t>SUM MOD</t>
  </si>
  <si>
    <t>Magic Vestment Shield</t>
  </si>
  <si>
    <t>Magic Vestment Armor</t>
  </si>
  <si>
    <t>SUM</t>
  </si>
  <si>
    <t>ΝΙΚΟΣ</t>
  </si>
  <si>
    <t>ΑΚΓΣ</t>
  </si>
  <si>
    <t>HASTE</t>
  </si>
  <si>
    <t>Reflex</t>
  </si>
  <si>
    <t>LEVEL SPELL</t>
  </si>
  <si>
    <t>SPELL LEVEL</t>
  </si>
  <si>
    <t>Other</t>
  </si>
  <si>
    <t>Buffs counter</t>
  </si>
  <si>
    <t>Test buff initiative</t>
  </si>
  <si>
    <t>Test buff ability modifier</t>
  </si>
  <si>
    <t>MAX CASTER</t>
  </si>
  <si>
    <t>MAX CASTER LEVEL</t>
  </si>
  <si>
    <t>Attack 1</t>
  </si>
  <si>
    <t>Attack 2</t>
  </si>
  <si>
    <t>Attack 3</t>
  </si>
  <si>
    <t>Attack 4</t>
  </si>
  <si>
    <t>BASE</t>
  </si>
  <si>
    <t>DURATION</t>
  </si>
  <si>
    <t>Temporary EXTRA</t>
  </si>
  <si>
    <t>damage</t>
  </si>
  <si>
    <t>Bab</t>
  </si>
  <si>
    <t>intelligence</t>
  </si>
  <si>
    <t>Strength</t>
  </si>
  <si>
    <t>Wisdom</t>
  </si>
  <si>
    <t>Charisma</t>
  </si>
  <si>
    <t>Constitution</t>
  </si>
  <si>
    <t>Dexterity</t>
  </si>
  <si>
    <t>Grapple</t>
  </si>
  <si>
    <t>Touch AC</t>
  </si>
  <si>
    <t>Flatfooded AC</t>
  </si>
  <si>
    <t>Name</t>
  </si>
  <si>
    <t>Μεγαλη</t>
  </si>
  <si>
    <t>1d8</t>
  </si>
  <si>
    <t>Power Attack</t>
  </si>
  <si>
    <t>Attack Roll</t>
  </si>
  <si>
    <t>Damage</t>
  </si>
  <si>
    <t>Negative Levels What</t>
  </si>
  <si>
    <t>Dice</t>
  </si>
  <si>
    <t>Extra</t>
  </si>
  <si>
    <t>NEGATIVE LEVELS</t>
  </si>
  <si>
    <t>EXTRA HD full BAB</t>
  </si>
  <si>
    <t>CONDITIONS</t>
  </si>
  <si>
    <t>No Dexterity</t>
  </si>
  <si>
    <t>Conditions</t>
  </si>
  <si>
    <t>Invisible</t>
  </si>
  <si>
    <t>Prone</t>
  </si>
  <si>
    <t>Dazzled</t>
  </si>
  <si>
    <t>Temporary Hitpoints</t>
  </si>
  <si>
    <t>SIZE</t>
  </si>
  <si>
    <t>Pernament EXTRA</t>
  </si>
  <si>
    <t>Fight Def</t>
  </si>
  <si>
    <t>Enhancement</t>
  </si>
  <si>
    <t>NOTHING</t>
  </si>
  <si>
    <t>MAX DEX MODIFIER</t>
  </si>
  <si>
    <t>ARMOR BONUS</t>
  </si>
  <si>
    <t>ARMOR SHIELD BONUS</t>
  </si>
  <si>
    <t>CLOAK OF RESISTANT</t>
  </si>
  <si>
    <t>enh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</si>
</sst>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6"/>
      <color rgb="FF9C0006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/>
    <xf numFmtId="0" fontId="3" fillId="0" borderId="1" xfId="0" applyFont="1" applyBorder="1"/>
    <xf numFmtId="0" fontId="6" fillId="2" borderId="1" xfId="1" applyFont="1" applyBorder="1"/>
    <xf numFmtId="0" fontId="7" fillId="2" borderId="1" xfId="1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5" fillId="0" borderId="3" xfId="0" applyFont="1" applyBorder="1" applyAlignment="1">
      <alignment horizontal="center"/>
    </xf>
    <xf numFmtId="0" fontId="8" fillId="0" borderId="2" xfId="0" applyFont="1" applyBorder="1"/>
    <xf numFmtId="0" fontId="8" fillId="0" borderId="0" xfId="0" applyFont="1" applyBorder="1"/>
    <xf numFmtId="0" fontId="9" fillId="0" borderId="0" xfId="0" applyFont="1"/>
    <xf numFmtId="0" fontId="1" fillId="2" borderId="0" xfId="1"/>
    <xf numFmtId="0" fontId="0" fillId="0" borderId="8" xfId="0" applyBorder="1"/>
    <xf numFmtId="0" fontId="2" fillId="0" borderId="7" xfId="0" applyFont="1" applyBorder="1"/>
    <xf numFmtId="0" fontId="5" fillId="0" borderId="7" xfId="0" applyFont="1" applyFill="1" applyBorder="1"/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2" fillId="0" borderId="4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2" fillId="0" borderId="3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0" xfId="0" applyProtection="1">
      <protection hidden="1"/>
    </xf>
    <xf numFmtId="0" fontId="10" fillId="3" borderId="9" xfId="0" applyNumberFormat="1" applyFont="1" applyFill="1" applyBorder="1"/>
    <xf numFmtId="0" fontId="10" fillId="3" borderId="10" xfId="0" applyNumberFormat="1" applyFont="1" applyFill="1" applyBorder="1"/>
    <xf numFmtId="0" fontId="10" fillId="3" borderId="11" xfId="0" applyNumberFormat="1" applyFont="1" applyFill="1" applyBorder="1"/>
    <xf numFmtId="0" fontId="2" fillId="0" borderId="5" xfId="0" applyFont="1" applyBorder="1"/>
    <xf numFmtId="0" fontId="5" fillId="0" borderId="6" xfId="0" applyFont="1" applyBorder="1" applyProtection="1">
      <protection hidden="1"/>
    </xf>
    <xf numFmtId="0" fontId="5" fillId="0" borderId="5" xfId="0" applyFont="1" applyBorder="1" applyProtection="1">
      <protection hidden="1"/>
    </xf>
    <xf numFmtId="0" fontId="8" fillId="0" borderId="9" xfId="0" applyFont="1" applyBorder="1"/>
    <xf numFmtId="0" fontId="0" fillId="0" borderId="10" xfId="0" applyBorder="1"/>
    <xf numFmtId="0" fontId="8" fillId="0" borderId="11" xfId="0" applyFont="1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2" fillId="5" borderId="0" xfId="3"/>
    <xf numFmtId="0" fontId="11" fillId="4" borderId="0" xfId="2" applyAlignment="1">
      <alignment horizontal="center"/>
    </xf>
    <xf numFmtId="0" fontId="12" fillId="5" borderId="0" xfId="3" applyAlignment="1">
      <alignment horizontal="center"/>
    </xf>
    <xf numFmtId="0" fontId="11" fillId="4" borderId="9" xfId="2" applyBorder="1" applyAlignment="1">
      <alignment horizontal="center"/>
    </xf>
    <xf numFmtId="0" fontId="11" fillId="4" borderId="10" xfId="2" applyBorder="1" applyAlignment="1">
      <alignment horizontal="center"/>
    </xf>
    <xf numFmtId="0" fontId="13" fillId="4" borderId="9" xfId="2" applyFont="1" applyBorder="1" applyAlignment="1">
      <alignment horizontal="center"/>
    </xf>
    <xf numFmtId="0" fontId="1" fillId="2" borderId="0" xfId="1" applyAlignment="1">
      <alignment horizontal="center"/>
    </xf>
    <xf numFmtId="0" fontId="11" fillId="4" borderId="10" xfId="2" applyFont="1" applyBorder="1" applyAlignment="1">
      <alignment horizontal="center"/>
    </xf>
    <xf numFmtId="0" fontId="14" fillId="0" borderId="0" xfId="0" applyFont="1"/>
    <xf numFmtId="0" fontId="0" fillId="3" borderId="0" xfId="0" applyFill="1" applyAlignment="1"/>
    <xf numFmtId="0" fontId="1" fillId="2" borderId="9" xfId="1" applyBorder="1"/>
    <xf numFmtId="0" fontId="1" fillId="2" borderId="11" xfId="1" applyBorder="1"/>
    <xf numFmtId="0" fontId="7" fillId="2" borderId="7" xfId="1" applyFont="1" applyBorder="1" applyAlignment="1">
      <alignment horizontal="center"/>
    </xf>
    <xf numFmtId="0" fontId="1" fillId="2" borderId="12" xfId="1" applyBorder="1" applyAlignment="1">
      <alignment horizontal="center"/>
    </xf>
    <xf numFmtId="0" fontId="10" fillId="3" borderId="2" xfId="0" applyFont="1" applyFill="1" applyBorder="1" applyAlignment="1" applyProtection="1">
      <alignment horizontal="center"/>
      <protection hidden="1"/>
    </xf>
    <xf numFmtId="0" fontId="10" fillId="3" borderId="0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2" xfId="0" applyFont="1" applyFill="1" applyBorder="1" applyProtection="1">
      <protection hidden="1"/>
    </xf>
    <xf numFmtId="0" fontId="10" fillId="3" borderId="2" xfId="0" applyFont="1" applyFill="1" applyBorder="1"/>
    <xf numFmtId="0" fontId="10" fillId="3" borderId="0" xfId="0" applyFont="1" applyFill="1" applyBorder="1"/>
    <xf numFmtId="0" fontId="10" fillId="3" borderId="6" xfId="0" applyFont="1" applyFill="1" applyBorder="1" applyProtection="1">
      <protection hidden="1"/>
    </xf>
    <xf numFmtId="0" fontId="10" fillId="3" borderId="8" xfId="0" applyFont="1" applyFill="1" applyBorder="1" applyProtection="1">
      <protection hidden="1"/>
    </xf>
    <xf numFmtId="0" fontId="10" fillId="3" borderId="0" xfId="0" applyFont="1" applyFill="1" applyProtection="1">
      <protection hidden="1"/>
    </xf>
    <xf numFmtId="0" fontId="10" fillId="3" borderId="0" xfId="0" applyFont="1" applyFill="1"/>
    <xf numFmtId="0" fontId="0" fillId="0" borderId="0" xfId="0" applyFill="1"/>
    <xf numFmtId="0" fontId="15" fillId="0" borderId="0" xfId="0" applyFont="1" applyFill="1"/>
    <xf numFmtId="0" fontId="16" fillId="0" borderId="0" xfId="0" applyFont="1" applyFill="1"/>
    <xf numFmtId="0" fontId="15" fillId="0" borderId="1" xfId="1" applyFont="1" applyFill="1" applyBorder="1" applyProtection="1"/>
    <xf numFmtId="0" fontId="17" fillId="0" borderId="0" xfId="0" applyFont="1" applyFill="1"/>
    <xf numFmtId="0" fontId="5" fillId="0" borderId="2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6" xfId="0" applyFont="1" applyBorder="1"/>
    <xf numFmtId="0" fontId="2" fillId="0" borderId="4" xfId="0" applyFont="1" applyBorder="1"/>
    <xf numFmtId="0" fontId="3" fillId="0" borderId="0" xfId="0" applyFont="1" applyAlignment="1">
      <alignment horizontal="left"/>
    </xf>
    <xf numFmtId="0" fontId="7" fillId="2" borderId="2" xfId="1" applyFont="1" applyBorder="1" applyAlignment="1">
      <alignment horizontal="center"/>
    </xf>
    <xf numFmtId="0" fontId="7" fillId="2" borderId="0" xfId="1" applyFont="1" applyBorder="1" applyAlignment="1">
      <alignment horizontal="center"/>
    </xf>
    <xf numFmtId="0" fontId="12" fillId="5" borderId="0" xfId="3" applyAlignment="1">
      <alignment horizontal="center"/>
    </xf>
    <xf numFmtId="0" fontId="11" fillId="4" borderId="0" xfId="2" applyAlignment="1">
      <alignment horizontal="center"/>
    </xf>
    <xf numFmtId="0" fontId="11" fillId="4" borderId="10" xfId="2" applyBorder="1" applyAlignment="1">
      <alignment horizontal="center"/>
    </xf>
    <xf numFmtId="0" fontId="11" fillId="4" borderId="11" xfId="2" applyBorder="1" applyAlignment="1">
      <alignment horizontal="center"/>
    </xf>
    <xf numFmtId="0" fontId="1" fillId="2" borderId="0" xfId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S22"/>
  <sheetViews>
    <sheetView workbookViewId="0">
      <selection activeCell="I17" sqref="I17"/>
    </sheetView>
  </sheetViews>
  <sheetFormatPr defaultRowHeight="15" x14ac:dyDescent="0.25"/>
  <cols>
    <col min="1" max="1" width="18.28515625" customWidth="1"/>
    <col min="2" max="2" width="6.28515625" customWidth="1"/>
    <col min="3" max="3" width="10.28515625" bestFit="1" customWidth="1"/>
  </cols>
  <sheetData>
    <row r="3" spans="1:19" ht="19.5" x14ac:dyDescent="0.3">
      <c r="A3" s="84" t="s">
        <v>61</v>
      </c>
      <c r="B3" s="84"/>
      <c r="C3" s="84"/>
    </row>
    <row r="5" spans="1:19" x14ac:dyDescent="0.25">
      <c r="A5" s="1" t="s">
        <v>62</v>
      </c>
      <c r="B5" s="2" t="s">
        <v>47</v>
      </c>
      <c r="C5" s="1" t="s">
        <v>27</v>
      </c>
      <c r="D5" s="1" t="s">
        <v>26</v>
      </c>
      <c r="E5" s="1" t="s">
        <v>28</v>
      </c>
      <c r="F5" s="1" t="s">
        <v>29</v>
      </c>
      <c r="G5" s="1" t="s">
        <v>30</v>
      </c>
      <c r="H5" s="1" t="s">
        <v>31</v>
      </c>
      <c r="I5" s="1" t="s">
        <v>48</v>
      </c>
      <c r="J5" s="1" t="s">
        <v>49</v>
      </c>
      <c r="K5" s="1" t="s">
        <v>50</v>
      </c>
      <c r="L5" s="1" t="s">
        <v>51</v>
      </c>
      <c r="M5" s="1" t="s">
        <v>52</v>
      </c>
      <c r="N5" s="1" t="s">
        <v>53</v>
      </c>
      <c r="O5" s="1" t="s">
        <v>54</v>
      </c>
      <c r="P5" s="1" t="s">
        <v>55</v>
      </c>
      <c r="Q5" s="1" t="s">
        <v>56</v>
      </c>
      <c r="R5" s="1" t="s">
        <v>57</v>
      </c>
      <c r="S5" s="1" t="s">
        <v>58</v>
      </c>
    </row>
    <row r="6" spans="1:19" x14ac:dyDescent="0.25">
      <c r="A6" t="s">
        <v>32</v>
      </c>
      <c r="B6" s="2">
        <v>1</v>
      </c>
      <c r="C6">
        <f>'NUM1'!$B$6</f>
        <v>0</v>
      </c>
      <c r="D6">
        <f>'NUM1'!$C$6</f>
        <v>0</v>
      </c>
      <c r="E6">
        <f>'NUM1'!$B$20</f>
        <v>8</v>
      </c>
    </row>
    <row r="7" spans="1:19" x14ac:dyDescent="0.25">
      <c r="A7" t="s">
        <v>87</v>
      </c>
      <c r="B7" s="2">
        <v>2</v>
      </c>
      <c r="C7">
        <f>'NUM2'!$B$6</f>
        <v>12</v>
      </c>
      <c r="D7" t="str">
        <f>'NUM2'!$B$7</f>
        <v>35+20</v>
      </c>
      <c r="E7">
        <f>'NUM2'!$B$20</f>
        <v>3</v>
      </c>
    </row>
    <row r="8" spans="1:19" x14ac:dyDescent="0.25">
      <c r="A8" t="s">
        <v>88</v>
      </c>
      <c r="B8" s="2">
        <v>3</v>
      </c>
      <c r="C8">
        <f>'NUM3'!$B$6</f>
        <v>12</v>
      </c>
      <c r="D8" t="str">
        <f>'NUM3'!$B$7</f>
        <v>35+20</v>
      </c>
      <c r="E8">
        <f>'NUM1'!$B$20</f>
        <v>8</v>
      </c>
    </row>
    <row r="9" spans="1:19" x14ac:dyDescent="0.25">
      <c r="A9" t="s">
        <v>33</v>
      </c>
      <c r="B9" s="2">
        <v>4</v>
      </c>
      <c r="C9">
        <f>'NUM4'!$B$6</f>
        <v>12</v>
      </c>
      <c r="D9" t="str">
        <f>'NUM4'!$B$7</f>
        <v>35+20</v>
      </c>
      <c r="E9">
        <f>'NUM1'!$B$20</f>
        <v>8</v>
      </c>
    </row>
    <row r="10" spans="1:19" x14ac:dyDescent="0.25">
      <c r="A10" t="s">
        <v>34</v>
      </c>
      <c r="B10" s="2">
        <v>5</v>
      </c>
      <c r="C10">
        <f>'NUM5'!$B$6</f>
        <v>0</v>
      </c>
      <c r="D10">
        <f>'NUM5'!$B$7</f>
        <v>0</v>
      </c>
      <c r="E10">
        <f>'NUM1'!$B$20</f>
        <v>8</v>
      </c>
    </row>
    <row r="11" spans="1:19" x14ac:dyDescent="0.25">
      <c r="A11" t="s">
        <v>35</v>
      </c>
      <c r="B11" s="2">
        <v>6</v>
      </c>
      <c r="C11">
        <f>'NUM6'!$B$6</f>
        <v>0</v>
      </c>
      <c r="D11">
        <f>'NUM6'!$B$7</f>
        <v>0</v>
      </c>
      <c r="E11">
        <f>'NUM1'!$B$20</f>
        <v>8</v>
      </c>
    </row>
    <row r="12" spans="1:19" x14ac:dyDescent="0.25">
      <c r="A12" t="s">
        <v>36</v>
      </c>
      <c r="B12" s="2">
        <v>7</v>
      </c>
      <c r="C12">
        <f>'NUM7'!$B$6</f>
        <v>0</v>
      </c>
      <c r="D12">
        <f>'NUM7'!$B$7</f>
        <v>0</v>
      </c>
      <c r="E12">
        <f>'NUM1'!$B$20</f>
        <v>8</v>
      </c>
    </row>
    <row r="13" spans="1:19" x14ac:dyDescent="0.25">
      <c r="A13" t="s">
        <v>37</v>
      </c>
      <c r="B13" s="2">
        <v>8</v>
      </c>
      <c r="C13">
        <f>'NUM8'!$B$6</f>
        <v>0</v>
      </c>
      <c r="D13">
        <f>'NUM8'!$B$7</f>
        <v>0</v>
      </c>
      <c r="E13">
        <f>'NUM1'!$B$20</f>
        <v>8</v>
      </c>
    </row>
    <row r="14" spans="1:19" x14ac:dyDescent="0.25">
      <c r="A14" t="s">
        <v>38</v>
      </c>
      <c r="B14" s="2">
        <v>9</v>
      </c>
      <c r="C14">
        <f>'NUM9'!$B$6</f>
        <v>0</v>
      </c>
      <c r="D14">
        <f>'NUM9'!$B$7</f>
        <v>0</v>
      </c>
      <c r="E14">
        <f>'NUM1'!$B$20</f>
        <v>8</v>
      </c>
    </row>
    <row r="15" spans="1:19" x14ac:dyDescent="0.25">
      <c r="A15" t="s">
        <v>39</v>
      </c>
      <c r="B15" s="2">
        <v>10</v>
      </c>
      <c r="C15">
        <f>'NUM10'!$B$6</f>
        <v>0</v>
      </c>
      <c r="D15">
        <f>'NUM10'!$B$7</f>
        <v>0</v>
      </c>
      <c r="E15">
        <f>'NUM1'!$B$20</f>
        <v>8</v>
      </c>
    </row>
    <row r="16" spans="1:19" x14ac:dyDescent="0.25">
      <c r="A16" t="s">
        <v>40</v>
      </c>
      <c r="B16" s="2">
        <v>11</v>
      </c>
      <c r="C16">
        <f>'NUM11'!$B$6</f>
        <v>0</v>
      </c>
      <c r="D16">
        <f>'NUM11'!$B$7</f>
        <v>0</v>
      </c>
      <c r="E16">
        <f>'NUM1'!$B$20</f>
        <v>8</v>
      </c>
    </row>
    <row r="17" spans="1:5" x14ac:dyDescent="0.25">
      <c r="A17" t="s">
        <v>41</v>
      </c>
      <c r="B17" s="2">
        <v>12</v>
      </c>
      <c r="E17">
        <f>'NUM1'!$B$20</f>
        <v>8</v>
      </c>
    </row>
    <row r="18" spans="1:5" x14ac:dyDescent="0.25">
      <c r="A18" t="s">
        <v>42</v>
      </c>
      <c r="B18" s="2">
        <v>13</v>
      </c>
      <c r="E18">
        <f>'NUM1'!$B$20</f>
        <v>8</v>
      </c>
    </row>
    <row r="19" spans="1:5" x14ac:dyDescent="0.25">
      <c r="A19" t="s">
        <v>43</v>
      </c>
      <c r="B19" s="2">
        <v>14</v>
      </c>
      <c r="E19">
        <f>'NUM1'!$B$20</f>
        <v>8</v>
      </c>
    </row>
    <row r="20" spans="1:5" x14ac:dyDescent="0.25">
      <c r="A20" t="s">
        <v>44</v>
      </c>
      <c r="B20" s="2">
        <v>15</v>
      </c>
      <c r="E20">
        <f>'NUM1'!$B$20</f>
        <v>8</v>
      </c>
    </row>
    <row r="21" spans="1:5" x14ac:dyDescent="0.25">
      <c r="A21" t="s">
        <v>45</v>
      </c>
      <c r="B21" s="2">
        <v>16</v>
      </c>
      <c r="E21">
        <f>'NUM1'!$B$20</f>
        <v>8</v>
      </c>
    </row>
    <row r="22" spans="1:5" x14ac:dyDescent="0.25">
      <c r="A22" t="s">
        <v>46</v>
      </c>
      <c r="B22" s="2">
        <v>17</v>
      </c>
      <c r="E22">
        <f>'NUM1'!$B$20</f>
        <v>8</v>
      </c>
    </row>
  </sheetData>
  <mergeCells count="1">
    <mergeCell ref="A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202"/>
  <sheetViews>
    <sheetView workbookViewId="0">
      <selection activeCell="K19" sqref="K19"/>
    </sheetView>
  </sheetViews>
  <sheetFormatPr defaultRowHeight="15" x14ac:dyDescent="0.25"/>
  <cols>
    <col min="1" max="1" width="5.42578125" bestFit="1" customWidth="1"/>
    <col min="2" max="2" width="71.140625" hidden="1" customWidth="1"/>
    <col min="3" max="3" width="8.5703125" hidden="1" customWidth="1"/>
    <col min="4" max="4" width="0" hidden="1" customWidth="1"/>
    <col min="5" max="5" width="17.85546875" hidden="1" customWidth="1"/>
    <col min="6" max="6" width="11.5703125" hidden="1" customWidth="1"/>
    <col min="7" max="7" width="25.85546875" customWidth="1"/>
    <col min="8" max="8" width="27.5703125" style="4" customWidth="1"/>
    <col min="9" max="9" width="0" style="36" hidden="1" customWidth="1"/>
    <col min="10" max="10" width="0" style="37" hidden="1" customWidth="1"/>
    <col min="11" max="11" width="15.5703125" style="38" bestFit="1" customWidth="1"/>
    <col min="12" max="12" width="15.5703125" bestFit="1" customWidth="1"/>
    <col min="13" max="13" width="33.42578125" bestFit="1" customWidth="1"/>
    <col min="15" max="15" width="14.7109375" bestFit="1" customWidth="1"/>
    <col min="16" max="16" width="9.85546875" bestFit="1" customWidth="1"/>
    <col min="17" max="17" width="12.5703125" customWidth="1"/>
    <col min="18" max="18" width="20" bestFit="1" customWidth="1"/>
    <col min="19" max="19" width="7.28515625" bestFit="1" customWidth="1"/>
    <col min="20" max="20" width="7.5703125" customWidth="1"/>
    <col min="22" max="22" width="13.7109375" bestFit="1" customWidth="1"/>
    <col min="23" max="23" width="13.28515625" customWidth="1"/>
    <col min="24" max="24" width="9.140625" customWidth="1"/>
    <col min="25" max="25" width="14.7109375" customWidth="1"/>
    <col min="26" max="26" width="9.85546875" bestFit="1" customWidth="1"/>
    <col min="27" max="27" width="16.140625" bestFit="1" customWidth="1"/>
    <col min="28" max="28" width="15.7109375" bestFit="1" customWidth="1"/>
    <col min="30" max="30" width="12.5703125" bestFit="1" customWidth="1"/>
    <col min="31" max="31" width="13.5703125" bestFit="1" customWidth="1"/>
    <col min="32" max="32" width="71.140625" bestFit="1" customWidth="1"/>
    <col min="33" max="33" width="8.5703125" bestFit="1" customWidth="1"/>
  </cols>
  <sheetData>
    <row r="1" spans="1:28" ht="18.75" x14ac:dyDescent="0.3">
      <c r="A1" s="72" t="s">
        <v>74</v>
      </c>
      <c r="B1" s="72"/>
      <c r="C1" s="72"/>
      <c r="D1" s="72"/>
      <c r="E1" s="72"/>
      <c r="F1" s="72"/>
      <c r="G1" s="7" t="s">
        <v>77</v>
      </c>
      <c r="K1" s="85" t="s">
        <v>75</v>
      </c>
      <c r="L1" s="86"/>
    </row>
    <row r="2" spans="1:28" ht="19.5" x14ac:dyDescent="0.3">
      <c r="A2" s="72"/>
      <c r="B2" s="73" t="s">
        <v>0</v>
      </c>
      <c r="C2" s="72"/>
      <c r="D2" s="72"/>
      <c r="E2" s="72"/>
      <c r="F2" s="72"/>
      <c r="G2" s="6"/>
      <c r="H2" s="5" t="s">
        <v>63</v>
      </c>
      <c r="K2" s="85" t="s">
        <v>144</v>
      </c>
      <c r="L2" s="86"/>
    </row>
    <row r="3" spans="1:28" x14ac:dyDescent="0.25">
      <c r="A3" s="72"/>
      <c r="B3" s="72"/>
      <c r="C3" s="72"/>
      <c r="D3" s="72"/>
      <c r="E3" s="72"/>
      <c r="F3" s="72"/>
    </row>
    <row r="4" spans="1:28" ht="18.75" x14ac:dyDescent="0.3">
      <c r="A4" s="72"/>
      <c r="B4" s="72"/>
      <c r="C4" s="72">
        <f>COUNTIF(E5:E30,"?*")</f>
        <v>4</v>
      </c>
      <c r="D4" s="72"/>
      <c r="E4" s="72"/>
      <c r="F4" s="72"/>
      <c r="I4" s="36">
        <f>COUNTIF(K5:K29,"?*")</f>
        <v>11</v>
      </c>
      <c r="L4" s="9" t="s">
        <v>71</v>
      </c>
      <c r="M4" s="9" t="s">
        <v>72</v>
      </c>
      <c r="N4" s="9" t="s">
        <v>73</v>
      </c>
      <c r="O4" s="9" t="s">
        <v>91</v>
      </c>
      <c r="P4" s="9" t="s">
        <v>79</v>
      </c>
      <c r="Q4" s="14" t="s">
        <v>69</v>
      </c>
      <c r="R4" s="9" t="s">
        <v>72</v>
      </c>
      <c r="S4" s="9" t="s">
        <v>73</v>
      </c>
      <c r="T4" s="9" t="s">
        <v>91</v>
      </c>
      <c r="U4" s="10" t="s">
        <v>79</v>
      </c>
      <c r="V4" s="14" t="s">
        <v>70</v>
      </c>
      <c r="W4" s="9" t="s">
        <v>72</v>
      </c>
      <c r="X4" s="9" t="s">
        <v>73</v>
      </c>
      <c r="Y4" s="9" t="s">
        <v>92</v>
      </c>
      <c r="Z4" s="10" t="s">
        <v>79</v>
      </c>
      <c r="AA4" s="8" t="s">
        <v>97</v>
      </c>
      <c r="AB4" s="21" t="s">
        <v>104</v>
      </c>
    </row>
    <row r="5" spans="1:28" ht="18.75" x14ac:dyDescent="0.3">
      <c r="A5" s="72">
        <f>IF(ISNUMBER(SEARCH($K$2,B5)),MAX(A$4:$A4)+1,0)</f>
        <v>0</v>
      </c>
      <c r="B5" s="72" t="s">
        <v>1</v>
      </c>
      <c r="C5" s="72" t="str">
        <f ca="1">OFFSET($E$5,,,COUNTIF($E$5:$E$30,"?*"))</f>
        <v>Enhancement Shield Bonus</v>
      </c>
      <c r="D5" s="72"/>
      <c r="E5" s="72" t="str">
        <f>IFERROR(VLOOKUP(ROWS(E$4:$E4),$A$5:$B$30,2,0),"")</f>
        <v>Enhancement Shield Bonus</v>
      </c>
      <c r="F5" s="72"/>
      <c r="G5">
        <f>IF(ISNUMBER(SEARCH($G$2,H5)),MAX($G$4:G4)+1,0)</f>
        <v>1</v>
      </c>
      <c r="H5" s="4" t="s">
        <v>64</v>
      </c>
      <c r="I5" s="36" t="str">
        <f ca="1">OFFSET($K$5,,,COUNTIF($K$5:$K$200,"?*"))</f>
        <v>Bless</v>
      </c>
      <c r="K5" s="38" t="str">
        <f>IFERROR(VLOOKUP(ROWS($K$4:K4),$G$5:$I$29,2,0),"")</f>
        <v>Bless</v>
      </c>
      <c r="L5" s="80" t="s">
        <v>110</v>
      </c>
      <c r="M5" s="81" t="s">
        <v>12</v>
      </c>
      <c r="N5" s="9">
        <v>1</v>
      </c>
      <c r="O5" s="9">
        <v>1</v>
      </c>
      <c r="P5" s="10">
        <v>0</v>
      </c>
      <c r="Q5" s="8" t="s">
        <v>68</v>
      </c>
      <c r="R5" s="9" t="s">
        <v>12</v>
      </c>
      <c r="S5" s="83">
        <v>1</v>
      </c>
      <c r="T5" s="83"/>
      <c r="U5" s="39">
        <v>0</v>
      </c>
      <c r="V5" s="8"/>
      <c r="W5" s="9"/>
      <c r="X5" s="83"/>
      <c r="Y5" s="83"/>
      <c r="Z5" s="39"/>
      <c r="AA5" s="12">
        <v>20</v>
      </c>
      <c r="AB5" s="19"/>
    </row>
    <row r="6" spans="1:28" ht="18.75" x14ac:dyDescent="0.3">
      <c r="A6" s="72">
        <f>IF(ISNUMBER(SEARCH($K$2,B6)),MAX(A$4:$A5)+1,0)</f>
        <v>0</v>
      </c>
      <c r="B6" s="72" t="s">
        <v>2</v>
      </c>
      <c r="C6" s="72"/>
      <c r="D6" s="72"/>
      <c r="E6" s="72" t="str">
        <f>IFERROR(VLOOKUP(ROWS(E$4:$E5),$A$5:$B$30,2,0),"")</f>
        <v xml:space="preserve">Enhancement Armor Bonus </v>
      </c>
      <c r="F6" s="72"/>
      <c r="G6">
        <f>IF(ISNUMBER(SEARCH($G$2,H6)),MAX($G$4:G5)+1,0)</f>
        <v>2</v>
      </c>
      <c r="H6" s="4" t="s">
        <v>76</v>
      </c>
      <c r="K6" s="38" t="str">
        <f>IFERROR(VLOOKUP(ROWS($K$4:K5),$G$5:$I$29,2,0),"")</f>
        <v>Shield of fath</v>
      </c>
      <c r="L6" s="15" t="s">
        <v>28</v>
      </c>
      <c r="M6" s="16" t="s">
        <v>6</v>
      </c>
      <c r="N6" s="16">
        <v>2</v>
      </c>
      <c r="O6" s="16">
        <v>1</v>
      </c>
      <c r="P6" s="82">
        <f>1/6</f>
        <v>0.16666666666666666</v>
      </c>
      <c r="Q6" s="15"/>
      <c r="R6" s="16"/>
      <c r="S6" s="16"/>
      <c r="T6" s="16"/>
      <c r="U6" s="82"/>
      <c r="V6" s="15"/>
      <c r="W6" s="16"/>
      <c r="X6" s="16"/>
      <c r="Y6" s="16"/>
      <c r="Z6" s="82"/>
      <c r="AA6" s="12">
        <v>20</v>
      </c>
      <c r="AB6" s="19"/>
    </row>
    <row r="7" spans="1:28" ht="18.75" x14ac:dyDescent="0.3">
      <c r="A7" s="72">
        <f>IF(ISNUMBER(SEARCH($K$2,B7)),MAX(A$4:$A6)+1,0)</f>
        <v>0</v>
      </c>
      <c r="B7" s="72" t="s">
        <v>3</v>
      </c>
      <c r="C7" s="72"/>
      <c r="D7" s="72"/>
      <c r="E7" s="72" t="str">
        <f>IFERROR(VLOOKUP(ROWS(E$4:$E6),$A$5:$B$30,2,0),"")</f>
        <v>Enhancement to Natural Armor Bonus</v>
      </c>
      <c r="F7" s="74" t="s">
        <v>66</v>
      </c>
      <c r="G7">
        <f>IF(ISNUMBER(SEARCH($G$2,H7)),MAX($G$4:G6)+1,0)</f>
        <v>3</v>
      </c>
      <c r="H7" s="4" t="s">
        <v>80</v>
      </c>
      <c r="K7" s="38" t="str">
        <f>IFERROR(VLOOKUP(ROWS($K$4:K6),$G$5:$I$29,2,0),"")</f>
        <v>Magic Weapon, Greater</v>
      </c>
      <c r="L7" s="15" t="s">
        <v>106</v>
      </c>
      <c r="M7" s="16" t="s">
        <v>138</v>
      </c>
      <c r="N7" s="16">
        <v>0</v>
      </c>
      <c r="O7" s="16">
        <v>3</v>
      </c>
      <c r="P7" s="82">
        <f>1/4</f>
        <v>0.25</v>
      </c>
      <c r="Q7" s="15"/>
      <c r="R7" s="16"/>
      <c r="S7" s="16"/>
      <c r="T7" s="16"/>
      <c r="U7" s="82"/>
      <c r="V7" s="15"/>
      <c r="W7" s="16"/>
      <c r="X7" s="16"/>
      <c r="Y7" s="16"/>
      <c r="Z7" s="82"/>
      <c r="AA7" s="12">
        <v>20</v>
      </c>
      <c r="AB7" s="19"/>
    </row>
    <row r="8" spans="1:28" ht="18.75" x14ac:dyDescent="0.3">
      <c r="A8" s="72">
        <f>IF(ISNUMBER(SEARCH($K$2,B8)),MAX(A$4:$A7)+1,0)</f>
        <v>0</v>
      </c>
      <c r="B8" s="72" t="s">
        <v>4</v>
      </c>
      <c r="C8" s="72"/>
      <c r="D8" s="72"/>
      <c r="E8" s="72" t="str">
        <f>IFERROR(VLOOKUP(ROWS(E$4:$E7),$A$5:$B$30,2,0),"")</f>
        <v>Enhancement</v>
      </c>
      <c r="F8" s="75" t="s">
        <v>60</v>
      </c>
      <c r="G8">
        <f>IF(ISNUMBER(SEARCH($G$2,H8)),MAX($G$4:G7)+1,0)</f>
        <v>4</v>
      </c>
      <c r="H8" s="4" t="s">
        <v>84</v>
      </c>
      <c r="K8" s="38" t="str">
        <f>IFERROR(VLOOKUP(ROWS($K$4:K7),$G$5:$I$29,2,0),"")</f>
        <v>Magic Vestment Shield</v>
      </c>
      <c r="L8" s="15" t="s">
        <v>28</v>
      </c>
      <c r="M8" s="16" t="s">
        <v>8</v>
      </c>
      <c r="N8" s="16">
        <v>0</v>
      </c>
      <c r="O8" s="16">
        <v>3</v>
      </c>
      <c r="P8" s="82">
        <v>0.25</v>
      </c>
      <c r="Q8" s="15"/>
      <c r="R8" s="16"/>
      <c r="S8" s="16"/>
      <c r="T8" s="16"/>
      <c r="U8" s="82"/>
      <c r="V8" s="15"/>
      <c r="W8" s="16"/>
      <c r="X8" s="16"/>
      <c r="Y8" s="16"/>
      <c r="Z8" s="82"/>
      <c r="AA8" s="12">
        <v>20</v>
      </c>
      <c r="AB8" s="19"/>
    </row>
    <row r="9" spans="1:28" ht="18.75" x14ac:dyDescent="0.3">
      <c r="A9" s="72">
        <f>IF(ISNUMBER(SEARCH($K$2,B9)),MAX(A$4:$A8)+1,0)</f>
        <v>0</v>
      </c>
      <c r="B9" s="72" t="s">
        <v>5</v>
      </c>
      <c r="C9" s="72"/>
      <c r="D9" s="72"/>
      <c r="E9" s="72" t="str">
        <f>IFERROR(VLOOKUP(ROWS(E$4:$E8),$A$5:$B$30,2,0),"")</f>
        <v/>
      </c>
      <c r="F9" s="75" t="s">
        <v>26</v>
      </c>
      <c r="G9">
        <f>IF(ISNUMBER(SEARCH($G$2,H9)),MAX($G$4:G8)+1,0)</f>
        <v>5</v>
      </c>
      <c r="H9" s="4" t="s">
        <v>85</v>
      </c>
      <c r="K9" s="38" t="str">
        <f>IFERROR(VLOOKUP(ROWS($K$4:K8),$G$5:$I$29,2,0),"")</f>
        <v>Magic Vestment Armor</v>
      </c>
      <c r="L9" s="15" t="s">
        <v>28</v>
      </c>
      <c r="M9" s="16" t="s">
        <v>9</v>
      </c>
      <c r="N9" s="16">
        <v>0</v>
      </c>
      <c r="O9" s="16">
        <v>3</v>
      </c>
      <c r="P9" s="82">
        <v>0.25</v>
      </c>
      <c r="Q9" s="15"/>
      <c r="R9" s="16"/>
      <c r="S9" s="16"/>
      <c r="T9" s="16"/>
      <c r="U9" s="82"/>
      <c r="V9" s="15"/>
      <c r="W9" s="16"/>
      <c r="X9" s="16"/>
      <c r="Y9" s="16"/>
      <c r="Z9" s="82"/>
      <c r="AA9" s="12">
        <v>20</v>
      </c>
      <c r="AB9" s="19"/>
    </row>
    <row r="10" spans="1:28" ht="18.75" x14ac:dyDescent="0.3">
      <c r="A10" s="72">
        <f>IF(ISNUMBER(SEARCH($K$2,B10)),MAX(A$4:$A9)+1,0)</f>
        <v>0</v>
      </c>
      <c r="B10" s="72" t="s">
        <v>6</v>
      </c>
      <c r="C10" s="72"/>
      <c r="D10" s="72"/>
      <c r="E10" s="72" t="str">
        <f>IFERROR(VLOOKUP(ROWS(E$4:$E9),$A$5:$B$30,2,0),"")</f>
        <v/>
      </c>
      <c r="F10" s="75" t="s">
        <v>107</v>
      </c>
      <c r="G10">
        <f>IF(ISNUMBER(SEARCH($G$2,H10)),MAX($G$4:G9)+1,0)</f>
        <v>6</v>
      </c>
      <c r="H10" s="4" t="s">
        <v>89</v>
      </c>
      <c r="K10" s="38" t="str">
        <f>IFERROR(VLOOKUP(ROWS($K$4:K9),$G$5:$I$29,2,0),"")</f>
        <v>HASTE</v>
      </c>
      <c r="L10" s="15" t="s">
        <v>28</v>
      </c>
      <c r="M10" s="16" t="s">
        <v>7</v>
      </c>
      <c r="N10" s="16">
        <v>1</v>
      </c>
      <c r="O10" s="16">
        <v>3</v>
      </c>
      <c r="P10" s="82">
        <v>0</v>
      </c>
      <c r="Q10" s="15" t="s">
        <v>90</v>
      </c>
      <c r="R10" s="16" t="s">
        <v>7</v>
      </c>
      <c r="S10" s="16">
        <v>1</v>
      </c>
      <c r="T10" s="16"/>
      <c r="U10" s="82"/>
      <c r="V10" s="15" t="s">
        <v>109</v>
      </c>
      <c r="W10" s="16" t="s">
        <v>6</v>
      </c>
      <c r="X10" s="16">
        <v>5</v>
      </c>
      <c r="Y10" s="16">
        <v>5</v>
      </c>
      <c r="Z10" s="82">
        <v>5</v>
      </c>
      <c r="AA10" s="12">
        <v>20</v>
      </c>
      <c r="AB10" s="19"/>
    </row>
    <row r="11" spans="1:28" ht="18.75" x14ac:dyDescent="0.3">
      <c r="A11" s="72">
        <f>IF(ISNUMBER(SEARCH($K$2,B11)),MAX(A$4:$A10)+1,0)</f>
        <v>0</v>
      </c>
      <c r="B11" s="72" t="s">
        <v>7</v>
      </c>
      <c r="C11" s="72"/>
      <c r="D11" s="72"/>
      <c r="E11" s="72" t="str">
        <f>IFERROR(VLOOKUP(ROWS(E$4:$E10),$A$5:$B$30,2,0),"")</f>
        <v/>
      </c>
      <c r="F11" s="75" t="s">
        <v>109</v>
      </c>
      <c r="G11">
        <f>IF(ISNUMBER(SEARCH($G$2,H11)),MAX($G$4:G10)+1,0)</f>
        <v>7</v>
      </c>
      <c r="H11" s="4" t="s">
        <v>95</v>
      </c>
      <c r="K11" s="38" t="str">
        <f>IFERROR(VLOOKUP(ROWS($K$4:K10),$G$5:$I$29,2,0),"")</f>
        <v>Test buff initiative</v>
      </c>
      <c r="L11" s="15" t="s">
        <v>60</v>
      </c>
      <c r="M11" s="16" t="s">
        <v>5</v>
      </c>
      <c r="N11" s="16">
        <v>1</v>
      </c>
      <c r="O11" s="16">
        <v>3</v>
      </c>
      <c r="P11" s="82">
        <v>0.25</v>
      </c>
      <c r="Q11" s="15" t="s">
        <v>114</v>
      </c>
      <c r="R11" s="16" t="s">
        <v>1</v>
      </c>
      <c r="S11" s="16">
        <v>5</v>
      </c>
      <c r="T11" s="16">
        <v>5</v>
      </c>
      <c r="U11" s="82">
        <v>0.2</v>
      </c>
      <c r="V11" s="15" t="s">
        <v>108</v>
      </c>
      <c r="W11" s="16" t="s">
        <v>2</v>
      </c>
      <c r="X11" s="16">
        <v>4</v>
      </c>
      <c r="Y11" s="16">
        <v>3</v>
      </c>
      <c r="Z11" s="82">
        <v>0.2</v>
      </c>
      <c r="AA11" s="12">
        <v>20</v>
      </c>
      <c r="AB11" s="19"/>
    </row>
    <row r="12" spans="1:28" ht="18.75" x14ac:dyDescent="0.3">
      <c r="A12" s="72">
        <f>IF(ISNUMBER(SEARCH($K$2,B12)),MAX(A$4:$A11)+1,0)</f>
        <v>1</v>
      </c>
      <c r="B12" s="72" t="s">
        <v>8</v>
      </c>
      <c r="C12" s="72"/>
      <c r="D12" s="72"/>
      <c r="E12" s="72" t="str">
        <f>IFERROR(VLOOKUP(ROWS(E$4:$E11),$A$5:$B$30,2,0),"")</f>
        <v/>
      </c>
      <c r="F12" s="75" t="s">
        <v>113</v>
      </c>
      <c r="G12">
        <f>IF(ISNUMBER(SEARCH($G$2,H12)),MAX($G$4:G11)+1,0)</f>
        <v>8</v>
      </c>
      <c r="H12" s="4" t="s">
        <v>96</v>
      </c>
      <c r="K12" s="38" t="str">
        <f>IFERROR(VLOOKUP(ROWS($K$4:K11),$G$5:$I$29,2,0),"")</f>
        <v>Test buff ability modifier</v>
      </c>
      <c r="L12" s="15" t="s">
        <v>109</v>
      </c>
      <c r="M12" s="16" t="s">
        <v>1</v>
      </c>
      <c r="N12" s="16">
        <v>10</v>
      </c>
      <c r="O12" s="16">
        <v>2</v>
      </c>
      <c r="P12" s="82">
        <v>0.25</v>
      </c>
      <c r="Q12" s="15" t="s">
        <v>111</v>
      </c>
      <c r="R12" s="16" t="s">
        <v>23</v>
      </c>
      <c r="S12" s="16">
        <v>6</v>
      </c>
      <c r="T12" s="16">
        <v>6</v>
      </c>
      <c r="U12" s="82">
        <v>0.1</v>
      </c>
      <c r="V12" s="15" t="s">
        <v>110</v>
      </c>
      <c r="W12" s="16" t="s">
        <v>14</v>
      </c>
      <c r="X12" s="16">
        <v>96</v>
      </c>
      <c r="Y12" s="16">
        <v>6</v>
      </c>
      <c r="Z12" s="82">
        <v>0.1</v>
      </c>
      <c r="AA12" s="12">
        <v>20</v>
      </c>
      <c r="AB12" s="19"/>
    </row>
    <row r="13" spans="1:28" ht="18.75" x14ac:dyDescent="0.3">
      <c r="A13" s="72">
        <f>IF(ISNUMBER(SEARCH($K$2,B13)),MAX(A$4:$A12)+1,0)</f>
        <v>2</v>
      </c>
      <c r="B13" s="72" t="s">
        <v>9</v>
      </c>
      <c r="C13" s="72"/>
      <c r="D13" s="72"/>
      <c r="E13" s="72" t="str">
        <f>IFERROR(VLOOKUP(ROWS(E$4:$E12),$A$5:$B$30,2,0),"")</f>
        <v/>
      </c>
      <c r="F13" s="75" t="s">
        <v>112</v>
      </c>
      <c r="G13">
        <f>IF(ISNUMBER(SEARCH($G$2,H13)),MAX($G$4:G12)+1,0)</f>
        <v>9</v>
      </c>
      <c r="H13" s="4" t="s">
        <v>141</v>
      </c>
      <c r="K13" s="38" t="str">
        <f>IFERROR(VLOOKUP(ROWS($K$4:K12),$G$5:$I$29,2,0),"")</f>
        <v>ARMOR BONUS</v>
      </c>
      <c r="L13" s="15" t="s">
        <v>28</v>
      </c>
      <c r="M13" s="16" t="s">
        <v>3</v>
      </c>
      <c r="N13" s="16">
        <v>0</v>
      </c>
      <c r="O13" s="16">
        <v>0</v>
      </c>
      <c r="P13" s="82">
        <v>1</v>
      </c>
      <c r="Q13" s="15"/>
      <c r="R13" s="16"/>
      <c r="S13" s="16"/>
      <c r="T13" s="16"/>
      <c r="U13" s="82"/>
      <c r="V13" s="15"/>
      <c r="W13" s="16"/>
      <c r="X13" s="16"/>
      <c r="Y13" s="16"/>
      <c r="Z13" s="82"/>
      <c r="AA13" s="12">
        <v>100</v>
      </c>
      <c r="AB13" s="19"/>
    </row>
    <row r="14" spans="1:28" ht="18.75" x14ac:dyDescent="0.3">
      <c r="A14" s="72">
        <f>IF(ISNUMBER(SEARCH($K$2,B14)),MAX(A$4:$A13)+1,0)</f>
        <v>0</v>
      </c>
      <c r="B14" s="72" t="s">
        <v>10</v>
      </c>
      <c r="C14" s="72"/>
      <c r="D14" s="72"/>
      <c r="E14" s="72" t="str">
        <f>IFERROR(VLOOKUP(ROWS(E$4:$E13),$A$5:$B$30,2,0),"")</f>
        <v/>
      </c>
      <c r="F14" s="75" t="s">
        <v>110</v>
      </c>
      <c r="G14">
        <f>IF(ISNUMBER(SEARCH($G$2,H14)),MAX($G$4:G13)+1,0)</f>
        <v>10</v>
      </c>
      <c r="H14" s="4" t="s">
        <v>142</v>
      </c>
      <c r="K14" s="38" t="str">
        <f>IFERROR(VLOOKUP(ROWS($K$4:K13),$G$5:$I$29,2,0),"")</f>
        <v>ARMOR SHIELD BONUS</v>
      </c>
      <c r="L14" s="15" t="s">
        <v>28</v>
      </c>
      <c r="M14" s="16" t="s">
        <v>19</v>
      </c>
      <c r="N14" s="16">
        <v>0</v>
      </c>
      <c r="O14" s="16">
        <v>0</v>
      </c>
      <c r="P14" s="82">
        <v>1</v>
      </c>
      <c r="Q14" s="15"/>
      <c r="R14" s="16"/>
      <c r="S14" s="16"/>
      <c r="T14" s="16"/>
      <c r="U14" s="82"/>
      <c r="V14" s="15"/>
      <c r="W14" s="16"/>
      <c r="X14" s="16"/>
      <c r="Y14" s="16"/>
      <c r="Z14" s="82"/>
      <c r="AA14" s="12">
        <v>100</v>
      </c>
      <c r="AB14" s="19"/>
    </row>
    <row r="15" spans="1:28" ht="18.75" x14ac:dyDescent="0.3">
      <c r="A15" s="72">
        <f>IF(ISNUMBER(SEARCH($K$2,B15)),MAX(A$4:$A14)+1,0)</f>
        <v>0</v>
      </c>
      <c r="B15" s="72" t="s">
        <v>11</v>
      </c>
      <c r="C15" s="72"/>
      <c r="D15" s="72"/>
      <c r="E15" s="72" t="str">
        <f>IFERROR(VLOOKUP(ROWS(E$4:$E14),$A$5:$B$30,2,0),"")</f>
        <v/>
      </c>
      <c r="F15" s="75" t="s">
        <v>108</v>
      </c>
      <c r="G15">
        <f>IF(ISNUMBER(SEARCH($G$2,H15)),MAX($G$4:G14)+1,0)</f>
        <v>11</v>
      </c>
      <c r="H15" s="4" t="s">
        <v>143</v>
      </c>
      <c r="K15" s="38" t="str">
        <f>IFERROR(VLOOKUP(ROWS($K$4:K14),$G$5:$I$29,2,0),"")</f>
        <v>CLOAK OF RESISTANT</v>
      </c>
      <c r="L15" s="15" t="s">
        <v>29</v>
      </c>
      <c r="M15" s="16" t="s">
        <v>138</v>
      </c>
      <c r="N15" s="16">
        <v>0</v>
      </c>
      <c r="O15" s="16">
        <v>0</v>
      </c>
      <c r="P15" s="82">
        <v>1</v>
      </c>
      <c r="Q15" s="15" t="s">
        <v>30</v>
      </c>
      <c r="R15" s="16" t="s">
        <v>138</v>
      </c>
      <c r="S15" s="16">
        <v>0</v>
      </c>
      <c r="T15" s="16">
        <v>0</v>
      </c>
      <c r="U15" s="82">
        <v>1</v>
      </c>
      <c r="V15" s="15" t="s">
        <v>31</v>
      </c>
      <c r="W15" s="16" t="s">
        <v>138</v>
      </c>
      <c r="X15" s="16">
        <v>0</v>
      </c>
      <c r="Y15" s="16">
        <v>0</v>
      </c>
      <c r="Z15" s="82">
        <v>1</v>
      </c>
      <c r="AA15" s="12">
        <v>100</v>
      </c>
      <c r="AB15" s="19"/>
    </row>
    <row r="16" spans="1:28" ht="18.75" x14ac:dyDescent="0.3">
      <c r="A16" s="72">
        <f>IF(ISNUMBER(SEARCH($K$2,B16)),MAX(A$4:$A15)+1,0)</f>
        <v>0</v>
      </c>
      <c r="B16" s="72" t="s">
        <v>12</v>
      </c>
      <c r="C16" s="72"/>
      <c r="D16" s="72"/>
      <c r="E16" s="72" t="str">
        <f>IFERROR(VLOOKUP(ROWS(E$4:$E15),$A$5:$B$30,2,0),"")</f>
        <v/>
      </c>
      <c r="F16" s="75" t="s">
        <v>111</v>
      </c>
      <c r="G16">
        <f>IF(ISNUMBER(SEARCH($G$2,H16)),MAX($G$4:G15)+1,0)</f>
        <v>0</v>
      </c>
      <c r="K16" s="38" t="str">
        <f>IFERROR(VLOOKUP(ROWS($K$4:K15),$G$5:$I$29,2,0),"")</f>
        <v/>
      </c>
      <c r="L16" s="76"/>
      <c r="M16" s="16"/>
      <c r="N16" s="16"/>
      <c r="O16" s="16"/>
      <c r="P16" s="82"/>
      <c r="Q16" s="15"/>
      <c r="R16" s="16"/>
      <c r="S16" s="16"/>
      <c r="T16" s="16"/>
      <c r="U16" s="82"/>
      <c r="V16" s="15"/>
      <c r="W16" s="16"/>
      <c r="X16" s="16"/>
      <c r="Y16" s="16"/>
      <c r="Z16" s="82"/>
      <c r="AA16" s="12"/>
      <c r="AB16" s="19"/>
    </row>
    <row r="17" spans="1:28" ht="18.75" x14ac:dyDescent="0.3">
      <c r="A17" s="72">
        <f>IF(ISNUMBER(SEARCH($K$2,B17)),MAX(A$4:$A16)+1,0)</f>
        <v>0</v>
      </c>
      <c r="B17" s="72" t="s">
        <v>13</v>
      </c>
      <c r="C17" s="72"/>
      <c r="D17" s="72"/>
      <c r="E17" s="72" t="str">
        <f>IFERROR(VLOOKUP(ROWS(E$4:$E16),$A$5:$B$30,2,0),"")</f>
        <v/>
      </c>
      <c r="F17" s="75" t="s">
        <v>29</v>
      </c>
      <c r="G17">
        <f>IF(ISNUMBER(SEARCH($G$2,H17)),MAX($G$4:G16)+1,0)</f>
        <v>0</v>
      </c>
      <c r="K17" s="38" t="str">
        <f>IFERROR(VLOOKUP(ROWS($K$4:K16),$G$5:$I$29,2,0),"")</f>
        <v/>
      </c>
      <c r="L17" s="76"/>
      <c r="M17" s="16"/>
      <c r="N17" s="16"/>
      <c r="O17" s="16"/>
      <c r="P17" s="82"/>
      <c r="Q17" s="15"/>
      <c r="R17" s="16"/>
      <c r="S17" s="16"/>
      <c r="T17" s="16"/>
      <c r="U17" s="82"/>
      <c r="V17" s="15"/>
      <c r="W17" s="16"/>
      <c r="X17" s="16"/>
      <c r="Y17" s="16"/>
      <c r="Z17" s="82"/>
      <c r="AA17" s="12"/>
      <c r="AB17" s="19"/>
    </row>
    <row r="18" spans="1:28" ht="18.75" x14ac:dyDescent="0.3">
      <c r="A18" s="72">
        <f>IF(ISNUMBER(SEARCH($K$2,B18)),MAX(A$4:$A17)+1,0)</f>
        <v>3</v>
      </c>
      <c r="B18" s="72" t="s">
        <v>14</v>
      </c>
      <c r="C18" s="72"/>
      <c r="D18" s="72"/>
      <c r="E18" s="72" t="str">
        <f>IFERROR(VLOOKUP(ROWS(E$4:$E17),$A$5:$B$30,2,0),"")</f>
        <v/>
      </c>
      <c r="F18" s="75" t="s">
        <v>30</v>
      </c>
      <c r="G18">
        <f>IF(ISNUMBER(SEARCH($G$2,H18)),MAX($G$4:G17)+1,0)</f>
        <v>0</v>
      </c>
      <c r="K18" s="38" t="str">
        <f>IFERROR(VLOOKUP(ROWS($K$4:K17),$G$5:$I$29,2,0),"")</f>
        <v/>
      </c>
      <c r="L18" s="76"/>
      <c r="M18" s="16"/>
      <c r="N18" s="16"/>
      <c r="O18" s="16"/>
      <c r="P18" s="82"/>
      <c r="Q18" s="15"/>
      <c r="R18" s="16"/>
      <c r="S18" s="16"/>
      <c r="T18" s="16"/>
      <c r="U18" s="82"/>
      <c r="V18" s="15"/>
      <c r="W18" s="16"/>
      <c r="X18" s="16"/>
      <c r="Y18" s="16"/>
      <c r="Z18" s="82"/>
      <c r="AA18" s="12"/>
      <c r="AB18" s="19"/>
    </row>
    <row r="19" spans="1:28" ht="18.75" x14ac:dyDescent="0.3">
      <c r="A19" s="72">
        <f>IF(ISNUMBER(SEARCH($K$2,B19)),MAX(A$4:$A18)+1,0)</f>
        <v>0</v>
      </c>
      <c r="B19" s="72" t="s">
        <v>15</v>
      </c>
      <c r="C19" s="72"/>
      <c r="D19" s="72"/>
      <c r="E19" s="72" t="str">
        <f>IFERROR(VLOOKUP(ROWS(E$4:$E18),$A$5:$B$30,2,0),"")</f>
        <v/>
      </c>
      <c r="F19" s="75" t="s">
        <v>31</v>
      </c>
      <c r="G19">
        <f>IF(ISNUMBER(SEARCH($G$2,H19)),MAX($G$4:G18)+1,0)</f>
        <v>0</v>
      </c>
      <c r="K19" s="38" t="str">
        <f>IFERROR(VLOOKUP(ROWS($K$4:K18),$G$5:$I$29,2,0),"")</f>
        <v/>
      </c>
      <c r="L19" s="11"/>
      <c r="M19" s="16"/>
      <c r="N19" s="16"/>
      <c r="O19" s="16"/>
      <c r="P19" s="82"/>
      <c r="Q19" s="15"/>
      <c r="R19" s="16"/>
      <c r="S19" s="16"/>
      <c r="T19" s="16"/>
      <c r="U19" s="82"/>
      <c r="V19" s="15"/>
      <c r="W19" s="16"/>
      <c r="X19" s="16"/>
      <c r="Y19" s="16"/>
      <c r="Z19" s="82"/>
      <c r="AA19" s="12"/>
      <c r="AB19" s="19"/>
    </row>
    <row r="20" spans="1:28" ht="18.75" x14ac:dyDescent="0.3">
      <c r="A20" s="72">
        <f>IF(ISNUMBER(SEARCH($K$2,B20)),MAX(A$4:$A19)+1,0)</f>
        <v>0</v>
      </c>
      <c r="B20" s="72" t="s">
        <v>16</v>
      </c>
      <c r="C20" s="72"/>
      <c r="D20" s="72"/>
      <c r="E20" s="72" t="str">
        <f>IFERROR(VLOOKUP(ROWS(E$4:$E19),$A$5:$B$30,2,0),"")</f>
        <v/>
      </c>
      <c r="F20" s="75" t="s">
        <v>68</v>
      </c>
      <c r="G20">
        <f>IF(ISNUMBER(SEARCH($G$2,H20)),MAX($G$4:G19)+1,0)</f>
        <v>0</v>
      </c>
      <c r="K20" s="38" t="str">
        <f>IFERROR(VLOOKUP(ROWS($K$4:K19),$G$5:$I$29,2,0),"")</f>
        <v/>
      </c>
      <c r="L20" s="11"/>
      <c r="M20" s="16"/>
      <c r="N20" s="16"/>
      <c r="O20" s="16"/>
      <c r="P20" s="82"/>
      <c r="Q20" s="15"/>
      <c r="R20" s="16"/>
      <c r="S20" s="16"/>
      <c r="T20" s="16"/>
      <c r="U20" s="82"/>
      <c r="V20" s="15"/>
      <c r="W20" s="16"/>
      <c r="X20" s="16"/>
      <c r="Y20" s="16"/>
      <c r="Z20" s="82"/>
      <c r="AA20" s="12"/>
      <c r="AB20" s="19"/>
    </row>
    <row r="21" spans="1:28" ht="18.75" x14ac:dyDescent="0.3">
      <c r="A21" s="72">
        <f>IF(ISNUMBER(SEARCH($K$2,B21)),MAX(A$4:$A20)+1,0)</f>
        <v>0</v>
      </c>
      <c r="B21" s="72" t="s">
        <v>17</v>
      </c>
      <c r="C21" s="72"/>
      <c r="D21" s="72"/>
      <c r="E21" s="72" t="str">
        <f>IFERROR(VLOOKUP(ROWS(E$4:$E20),$A$5:$B$30,2,0),"")</f>
        <v/>
      </c>
      <c r="F21" s="75" t="s">
        <v>106</v>
      </c>
      <c r="G21">
        <f>IF(ISNUMBER(SEARCH($G$2,H21)),MAX($G$4:G20)+1,0)</f>
        <v>0</v>
      </c>
      <c r="K21" s="38" t="str">
        <f>IFERROR(VLOOKUP(ROWS($K$4:K20),$G$5:$I$29,2,0),"")</f>
        <v/>
      </c>
      <c r="L21" s="11"/>
      <c r="M21" s="16"/>
      <c r="N21" s="16"/>
      <c r="O21" s="16"/>
      <c r="P21" s="82"/>
      <c r="Q21" s="15"/>
      <c r="R21" s="16"/>
      <c r="S21" s="16"/>
      <c r="T21" s="16"/>
      <c r="U21" s="82"/>
      <c r="V21" s="15"/>
      <c r="W21" s="16"/>
      <c r="X21" s="16"/>
      <c r="Y21" s="16"/>
      <c r="Z21" s="82"/>
      <c r="AA21" s="12"/>
      <c r="AB21" s="19"/>
    </row>
    <row r="22" spans="1:28" ht="18.75" x14ac:dyDescent="0.3">
      <c r="A22" s="72">
        <f>IF(ISNUMBER(SEARCH($K$2,B22)),MAX(A$4:$A21)+1,0)</f>
        <v>0</v>
      </c>
      <c r="B22" s="72" t="s">
        <v>18</v>
      </c>
      <c r="C22" s="72"/>
      <c r="D22" s="72"/>
      <c r="E22" s="72" t="str">
        <f>IFERROR(VLOOKUP(ROWS(E$4:$E21),$A$5:$B$30,2,0),"")</f>
        <v/>
      </c>
      <c r="F22" s="75" t="s">
        <v>114</v>
      </c>
      <c r="G22">
        <f>IF(ISNUMBER(SEARCH($G$2,H22)),MAX($G$4:G21)+1,0)</f>
        <v>0</v>
      </c>
      <c r="K22" s="38" t="str">
        <f>IFERROR(VLOOKUP(ROWS($K$4:K21),$G$5:$I$29,2,0),"")</f>
        <v/>
      </c>
      <c r="L22" s="11"/>
      <c r="M22" s="16"/>
      <c r="N22" s="16"/>
      <c r="O22" s="16"/>
      <c r="P22" s="82"/>
      <c r="Q22" s="15"/>
      <c r="R22" s="16"/>
      <c r="S22" s="16"/>
      <c r="T22" s="16"/>
      <c r="U22" s="82"/>
      <c r="V22" s="15"/>
      <c r="W22" s="16"/>
      <c r="X22" s="16"/>
      <c r="Y22" s="16"/>
      <c r="Z22" s="82"/>
      <c r="AA22" s="12"/>
      <c r="AB22" s="19"/>
    </row>
    <row r="23" spans="1:28" ht="18.75" x14ac:dyDescent="0.3">
      <c r="A23" s="72">
        <f>IF(ISNUMBER(SEARCH($K$2,B23)),MAX(A$4:$A22)+1,0)</f>
        <v>0</v>
      </c>
      <c r="B23" s="72" t="s">
        <v>19</v>
      </c>
      <c r="C23" s="72"/>
      <c r="D23" s="72"/>
      <c r="E23" s="72" t="str">
        <f>IFERROR(VLOOKUP(ROWS(E$4:$E22),$A$5:$B$30,2,0),"")</f>
        <v/>
      </c>
      <c r="F23" s="75" t="s">
        <v>28</v>
      </c>
      <c r="G23">
        <f>IF(ISNUMBER(SEARCH($G$2,H23)),MAX($G$4:G22)+1,0)</f>
        <v>0</v>
      </c>
      <c r="K23" s="38" t="str">
        <f>IFERROR(VLOOKUP(ROWS($K$4:K22),$G$5:$I$29,2,0),"")</f>
        <v/>
      </c>
      <c r="L23" s="11"/>
      <c r="M23" s="16"/>
      <c r="N23" s="16"/>
      <c r="O23" s="16"/>
      <c r="P23" s="82"/>
      <c r="Q23" s="15"/>
      <c r="R23" s="16"/>
      <c r="S23" s="16"/>
      <c r="T23" s="16"/>
      <c r="U23" s="82"/>
      <c r="V23" s="15"/>
      <c r="W23" s="16"/>
      <c r="X23" s="16"/>
      <c r="Y23" s="16"/>
      <c r="Z23" s="82"/>
      <c r="AA23" s="12"/>
      <c r="AB23" s="19"/>
    </row>
    <row r="24" spans="1:28" ht="18.75" x14ac:dyDescent="0.3">
      <c r="A24" s="72">
        <f>IF(ISNUMBER(SEARCH($K$2,B24)),MAX(A$4:$A23)+1,0)</f>
        <v>0</v>
      </c>
      <c r="B24" s="72" t="s">
        <v>20</v>
      </c>
      <c r="C24" s="72"/>
      <c r="D24" s="72"/>
      <c r="E24" s="72" t="str">
        <f>IFERROR(VLOOKUP(ROWS(E$4:$E23),$A$5:$B$30,2,0),"")</f>
        <v/>
      </c>
      <c r="F24" s="75" t="s">
        <v>115</v>
      </c>
      <c r="G24">
        <f>IF(ISNUMBER(SEARCH($G$2,H24)),MAX($G$4:G23)+1,0)</f>
        <v>0</v>
      </c>
      <c r="K24" s="38" t="str">
        <f>IFERROR(VLOOKUP(ROWS($K$4:K23),$G$5:$I$29,2,0),"")</f>
        <v/>
      </c>
      <c r="L24" s="11"/>
      <c r="M24" s="16"/>
      <c r="N24" s="16"/>
      <c r="O24" s="16"/>
      <c r="P24" s="82"/>
      <c r="Q24" s="15"/>
      <c r="R24" s="16"/>
      <c r="S24" s="16"/>
      <c r="T24" s="16"/>
      <c r="U24" s="82"/>
      <c r="V24" s="15"/>
      <c r="W24" s="16"/>
      <c r="X24" s="16"/>
      <c r="Y24" s="16"/>
      <c r="Z24" s="82"/>
      <c r="AA24" s="12"/>
      <c r="AB24" s="19"/>
    </row>
    <row r="25" spans="1:28" ht="18.75" x14ac:dyDescent="0.3">
      <c r="A25" s="72">
        <f>IF(ISNUMBER(SEARCH($K$2,B25)),MAX(A$4:$A24)+1,0)</f>
        <v>0</v>
      </c>
      <c r="B25" s="72" t="s">
        <v>21</v>
      </c>
      <c r="C25" s="72"/>
      <c r="D25" s="72"/>
      <c r="E25" s="72" t="str">
        <f>IFERROR(VLOOKUP(ROWS(E$4:$E24),$A$5:$B$30,2,0),"")</f>
        <v/>
      </c>
      <c r="F25" s="75" t="s">
        <v>116</v>
      </c>
      <c r="G25">
        <f>IF(ISNUMBER(SEARCH($G$2,H25)),MAX($G$4:G24)+1,0)</f>
        <v>0</v>
      </c>
      <c r="K25" s="38" t="str">
        <f>IFERROR(VLOOKUP(ROWS($K$4:K24),$G$5:$I$29,2,0),"")</f>
        <v/>
      </c>
      <c r="L25" s="11"/>
      <c r="M25" s="16"/>
      <c r="N25" s="16"/>
      <c r="O25" s="16"/>
      <c r="P25" s="82"/>
      <c r="Q25" s="15"/>
      <c r="R25" s="16"/>
      <c r="S25" s="16"/>
      <c r="T25" s="16"/>
      <c r="U25" s="82"/>
      <c r="V25" s="15"/>
      <c r="W25" s="16"/>
      <c r="X25" s="16"/>
      <c r="Y25" s="16"/>
      <c r="Z25" s="82"/>
      <c r="AA25" s="12"/>
      <c r="AB25" s="19"/>
    </row>
    <row r="26" spans="1:28" ht="18.75" x14ac:dyDescent="0.3">
      <c r="A26" s="72">
        <f>IF(ISNUMBER(SEARCH($K$2,B26)),MAX(A$4:$A25)+1,0)</f>
        <v>0</v>
      </c>
      <c r="B26" s="72" t="s">
        <v>22</v>
      </c>
      <c r="C26" s="72"/>
      <c r="D26" s="72"/>
      <c r="E26" s="72" t="str">
        <f>IFERROR(VLOOKUP(ROWS(E$4:$E25),$A$5:$B$30,2,0),"")</f>
        <v/>
      </c>
      <c r="F26" s="72"/>
      <c r="G26">
        <f>IF(ISNUMBER(SEARCH($G$2,H26)),MAX($G$4:G25)+1,0)</f>
        <v>0</v>
      </c>
      <c r="K26" s="38" t="str">
        <f>IFERROR(VLOOKUP(ROWS($K$4:K25),$G$5:$I$29,2,0),"")</f>
        <v/>
      </c>
      <c r="L26" s="11"/>
      <c r="M26" s="16"/>
      <c r="N26" s="16"/>
      <c r="O26" s="16"/>
      <c r="P26" s="82"/>
      <c r="Q26" s="15"/>
      <c r="R26" s="16"/>
      <c r="S26" s="16"/>
      <c r="T26" s="16"/>
      <c r="U26" s="82"/>
      <c r="V26" s="15"/>
      <c r="W26" s="16"/>
      <c r="X26" s="16"/>
      <c r="Y26" s="16"/>
      <c r="Z26" s="82"/>
      <c r="AB26" s="19"/>
    </row>
    <row r="27" spans="1:28" ht="18.75" x14ac:dyDescent="0.3">
      <c r="A27" s="72">
        <f>IF(ISNUMBER(SEARCH($K$2,B27)),MAX(A$4:$A26)+1,0)</f>
        <v>0</v>
      </c>
      <c r="B27" s="72" t="s">
        <v>23</v>
      </c>
      <c r="C27" s="72"/>
      <c r="D27" s="72"/>
      <c r="E27" s="72" t="str">
        <f>IFERROR(VLOOKUP(ROWS(E$4:$E26),$A$5:$B$30,2,0),"")</f>
        <v/>
      </c>
      <c r="F27" s="72"/>
      <c r="G27">
        <f>IF(ISNUMBER(SEARCH($G$2,H27)),MAX($G$4:G26)+1,0)</f>
        <v>0</v>
      </c>
      <c r="K27" s="38" t="str">
        <f>IFERROR(VLOOKUP(ROWS($K$4:K26),$G$5:$I$29,2,0),"")</f>
        <v/>
      </c>
      <c r="L27" s="11"/>
      <c r="M27" s="16"/>
      <c r="N27" s="16"/>
      <c r="O27" s="16"/>
      <c r="P27" s="82"/>
      <c r="Q27" s="15"/>
      <c r="R27" s="16"/>
      <c r="S27" s="16"/>
      <c r="T27" s="16"/>
      <c r="U27" s="82"/>
      <c r="V27" s="15"/>
      <c r="W27" s="16"/>
      <c r="X27" s="16"/>
      <c r="Y27" s="16"/>
      <c r="Z27" s="82"/>
      <c r="AB27" s="19"/>
    </row>
    <row r="28" spans="1:28" ht="18.75" x14ac:dyDescent="0.3">
      <c r="A28" s="72">
        <f>IF(ISNUMBER(SEARCH($K$2,B28)),MAX(A$4:$A27)+1,0)</f>
        <v>0</v>
      </c>
      <c r="B28" s="72" t="s">
        <v>24</v>
      </c>
      <c r="C28" s="72"/>
      <c r="D28" s="72"/>
      <c r="E28" s="72" t="str">
        <f>IFERROR(VLOOKUP(ROWS(E$4:$E27),$A$5:$B$30,2,0),"")</f>
        <v/>
      </c>
      <c r="F28" s="72"/>
      <c r="G28">
        <f>IF(ISNUMBER(SEARCH($G$2,H28)),MAX($G$4:G27)+1,0)</f>
        <v>0</v>
      </c>
      <c r="K28" s="38" t="str">
        <f>IFERROR(VLOOKUP(ROWS($K$4:K27),$G$5:$I$29,2,0),"")</f>
        <v/>
      </c>
      <c r="L28" s="11"/>
      <c r="M28" s="16"/>
      <c r="N28" s="16"/>
      <c r="O28" s="16"/>
      <c r="P28" s="82"/>
      <c r="Q28" s="15"/>
      <c r="R28" s="16"/>
      <c r="S28" s="16"/>
      <c r="T28" s="16"/>
      <c r="U28" s="82"/>
      <c r="V28" s="15"/>
      <c r="W28" s="16"/>
      <c r="X28" s="16"/>
      <c r="Y28" s="16"/>
      <c r="Z28" s="82"/>
      <c r="AB28" s="19"/>
    </row>
    <row r="29" spans="1:28" ht="18.75" x14ac:dyDescent="0.3">
      <c r="A29" s="72">
        <f>IF(ISNUMBER(SEARCH($K$2,B29)),MAX(A$4:$A28)+1,0)</f>
        <v>0</v>
      </c>
      <c r="B29" s="72" t="s">
        <v>25</v>
      </c>
      <c r="C29" s="72"/>
      <c r="D29" s="72"/>
      <c r="E29" s="72" t="str">
        <f>IFERROR(VLOOKUP(ROWS(E$4:$E28),$A$5:$B$30,2,0),"")</f>
        <v/>
      </c>
      <c r="F29" s="72"/>
      <c r="G29">
        <f>IF(ISNUMBER(SEARCH($G$2,H29)),MAX($G$4:G28)+1,0)</f>
        <v>0</v>
      </c>
      <c r="K29" s="38" t="str">
        <f>IFERROR(VLOOKUP(ROWS($K$4:K28),$G$5:$I$29,2,0),"")</f>
        <v/>
      </c>
      <c r="L29" s="11"/>
      <c r="M29" s="16"/>
      <c r="N29" s="16"/>
      <c r="O29" s="16"/>
      <c r="P29" s="82"/>
      <c r="Q29" s="15"/>
      <c r="R29" s="16"/>
      <c r="S29" s="16"/>
      <c r="T29" s="16"/>
      <c r="U29" s="82"/>
      <c r="V29" s="15"/>
      <c r="W29" s="16"/>
      <c r="X29" s="16"/>
      <c r="Y29" s="16"/>
      <c r="Z29" s="82"/>
      <c r="AB29" s="19"/>
    </row>
    <row r="30" spans="1:28" x14ac:dyDescent="0.25">
      <c r="A30" s="72">
        <f>IF(ISNUMBER(SEARCH($K$2,B30)),MAX(A$4:$A29)+1,0)</f>
        <v>4</v>
      </c>
      <c r="B30" s="72" t="s">
        <v>138</v>
      </c>
      <c r="C30" s="72"/>
      <c r="D30" s="72"/>
      <c r="E30" s="72" t="str">
        <f>IFERROR(VLOOKUP(ROWS(E$4:$E29),$A$5:$B$30,2,0),"")</f>
        <v/>
      </c>
      <c r="F30" s="72"/>
      <c r="G30">
        <f>IF(ISNUMBER(SEARCH($G$2,H30)),MAX($G$4:G29)+1,0)</f>
        <v>0</v>
      </c>
      <c r="L30" s="11"/>
      <c r="M30" s="12"/>
      <c r="N30" s="12"/>
      <c r="O30" s="12"/>
      <c r="P30" s="13"/>
      <c r="Q30" s="79"/>
      <c r="R30" s="77"/>
      <c r="S30" s="77"/>
      <c r="T30" s="77"/>
      <c r="U30" s="78"/>
      <c r="V30" s="79"/>
      <c r="W30" s="77"/>
      <c r="X30" s="77"/>
      <c r="Y30" s="77"/>
      <c r="Z30" s="78"/>
    </row>
    <row r="31" spans="1:28" x14ac:dyDescent="0.25">
      <c r="A31" s="72">
        <f>IF(ISNUMBER(SEARCH($K$2,B31)),MAX(A$4:$A30)+1,0)</f>
        <v>0</v>
      </c>
      <c r="B31" s="72"/>
      <c r="C31" s="72"/>
      <c r="D31" s="72"/>
      <c r="E31" s="72" t="str">
        <f>IFERROR(VLOOKUP(ROWS(E$4:$E30),$A$5:$B$30,2,0),"")</f>
        <v/>
      </c>
      <c r="F31" s="72"/>
      <c r="G31">
        <f>IF(ISNUMBER(SEARCH($G$2,H31)),MAX($G$4:G30)+1,0)</f>
        <v>0</v>
      </c>
      <c r="L31" s="11"/>
      <c r="M31" s="12"/>
      <c r="N31" s="12"/>
      <c r="O31" s="12"/>
      <c r="P31" s="13"/>
      <c r="Q31" s="79"/>
      <c r="R31" s="77"/>
      <c r="S31" s="77"/>
      <c r="T31" s="77"/>
      <c r="U31" s="78"/>
      <c r="V31" s="79"/>
      <c r="W31" s="77"/>
      <c r="X31" s="77"/>
      <c r="Y31" s="77"/>
      <c r="Z31" s="78"/>
    </row>
    <row r="32" spans="1:28" x14ac:dyDescent="0.25">
      <c r="A32" s="72"/>
      <c r="B32" s="72"/>
      <c r="C32" s="72"/>
      <c r="D32" s="72"/>
      <c r="E32" s="72"/>
      <c r="F32" s="72"/>
      <c r="G32">
        <f>IF(ISNUMBER(SEARCH($G$2,H32)),MAX($G$4:G31)+1,0)</f>
        <v>0</v>
      </c>
      <c r="L32" s="11"/>
      <c r="M32" s="12"/>
      <c r="N32" s="12"/>
      <c r="O32" s="12"/>
      <c r="P32" s="13"/>
      <c r="Q32" s="79"/>
      <c r="R32" s="77"/>
      <c r="S32" s="77"/>
      <c r="T32" s="77"/>
      <c r="U32" s="78"/>
      <c r="V32" s="79"/>
      <c r="W32" s="77"/>
      <c r="X32" s="77"/>
      <c r="Y32" s="77"/>
      <c r="Z32" s="78"/>
    </row>
    <row r="33" spans="1:26" x14ac:dyDescent="0.25">
      <c r="A33" s="72"/>
      <c r="B33" s="72"/>
      <c r="C33" s="72"/>
      <c r="D33" s="72"/>
      <c r="E33" s="72"/>
      <c r="F33" s="72"/>
      <c r="G33">
        <f>IF(ISNUMBER(SEARCH($G$2,H33)),MAX($G$4:G32)+1,0)</f>
        <v>0</v>
      </c>
      <c r="L33" s="11"/>
      <c r="M33" s="12"/>
      <c r="N33" s="12"/>
      <c r="O33" s="12"/>
      <c r="P33" s="13"/>
      <c r="Q33" s="79"/>
      <c r="R33" s="77"/>
      <c r="S33" s="77"/>
      <c r="T33" s="77"/>
      <c r="U33" s="78"/>
      <c r="V33" s="79"/>
      <c r="W33" s="77"/>
      <c r="X33" s="77"/>
      <c r="Y33" s="77"/>
      <c r="Z33" s="78"/>
    </row>
    <row r="34" spans="1:26" x14ac:dyDescent="0.25">
      <c r="A34" s="72"/>
      <c r="B34" s="72"/>
      <c r="C34" s="72"/>
      <c r="D34" s="72"/>
      <c r="E34" s="72"/>
      <c r="F34" s="72"/>
      <c r="G34">
        <f>IF(ISNUMBER(SEARCH($G$2,H34)),MAX($G$4:G33)+1,0)</f>
        <v>0</v>
      </c>
      <c r="L34" s="11"/>
      <c r="M34" s="12"/>
      <c r="N34" s="12"/>
      <c r="O34" s="12"/>
      <c r="P34" s="13"/>
      <c r="Q34" s="79"/>
      <c r="R34" s="77"/>
      <c r="S34" s="77"/>
      <c r="T34" s="77"/>
      <c r="U34" s="78"/>
      <c r="V34" s="79"/>
      <c r="W34" s="77"/>
      <c r="X34" s="77"/>
      <c r="Y34" s="77"/>
      <c r="Z34" s="78"/>
    </row>
    <row r="35" spans="1:26" x14ac:dyDescent="0.25">
      <c r="A35" s="72"/>
      <c r="B35" s="72"/>
      <c r="C35" s="72"/>
      <c r="D35" s="72"/>
      <c r="E35" s="72"/>
      <c r="F35" s="72"/>
      <c r="G35">
        <f>IF(ISNUMBER(SEARCH($G$2,H35)),MAX($G$4:G34)+1,0)</f>
        <v>0</v>
      </c>
      <c r="L35" s="11"/>
      <c r="M35" s="12"/>
      <c r="N35" s="12"/>
      <c r="O35" s="12"/>
      <c r="P35" s="13"/>
      <c r="Q35" s="79"/>
      <c r="R35" s="77"/>
      <c r="S35" s="77"/>
      <c r="T35" s="77"/>
      <c r="U35" s="78"/>
      <c r="V35" s="79"/>
      <c r="W35" s="77"/>
      <c r="X35" s="77"/>
      <c r="Y35" s="77"/>
      <c r="Z35" s="78"/>
    </row>
    <row r="36" spans="1:26" x14ac:dyDescent="0.25">
      <c r="A36" s="72"/>
      <c r="B36" s="72"/>
      <c r="C36" s="72"/>
      <c r="D36" s="72"/>
      <c r="E36" s="72"/>
      <c r="F36" s="72"/>
      <c r="G36">
        <f>IF(ISNUMBER(SEARCH($G$2,H36)),MAX($G$4:G35)+1,0)</f>
        <v>0</v>
      </c>
      <c r="L36" s="11"/>
      <c r="M36" s="12"/>
      <c r="N36" s="12"/>
      <c r="O36" s="12"/>
      <c r="P36" s="13"/>
      <c r="Q36" s="79"/>
      <c r="R36" s="77"/>
      <c r="S36" s="77"/>
      <c r="T36" s="77"/>
      <c r="U36" s="78"/>
      <c r="V36" s="79"/>
      <c r="W36" s="77"/>
      <c r="X36" s="77"/>
      <c r="Y36" s="77"/>
      <c r="Z36" s="78"/>
    </row>
    <row r="37" spans="1:26" x14ac:dyDescent="0.25">
      <c r="A37" s="72"/>
      <c r="B37" s="72"/>
      <c r="C37" s="72"/>
      <c r="D37" s="72"/>
      <c r="E37" s="72"/>
      <c r="F37" s="72"/>
      <c r="G37">
        <f>IF(ISNUMBER(SEARCH($G$2,H37)),MAX($G$4:G36)+1,0)</f>
        <v>0</v>
      </c>
      <c r="L37" s="11"/>
      <c r="M37" s="12"/>
      <c r="N37" s="12"/>
      <c r="O37" s="12"/>
      <c r="P37" s="13"/>
      <c r="Q37" s="79"/>
      <c r="R37" s="77"/>
      <c r="S37" s="77"/>
      <c r="T37" s="77"/>
      <c r="U37" s="78"/>
      <c r="V37" s="79"/>
      <c r="W37" s="77"/>
      <c r="X37" s="77"/>
      <c r="Y37" s="77"/>
      <c r="Z37" s="78"/>
    </row>
    <row r="38" spans="1:26" x14ac:dyDescent="0.25">
      <c r="A38" s="72"/>
      <c r="B38" s="72"/>
      <c r="C38" s="72"/>
      <c r="D38" s="72"/>
      <c r="E38" s="72"/>
      <c r="F38" s="72"/>
      <c r="G38">
        <f>IF(ISNUMBER(SEARCH($G$2,H38)),MAX($G$4:G37)+1,0)</f>
        <v>0</v>
      </c>
      <c r="L38" s="11"/>
      <c r="M38" s="12"/>
      <c r="N38" s="12"/>
      <c r="O38" s="12"/>
      <c r="P38" s="13"/>
      <c r="Q38" s="79"/>
      <c r="R38" s="77"/>
      <c r="S38" s="77"/>
      <c r="T38" s="77"/>
      <c r="U38" s="78"/>
      <c r="V38" s="79"/>
      <c r="W38" s="77"/>
      <c r="X38" s="77"/>
      <c r="Y38" s="77"/>
      <c r="Z38" s="78"/>
    </row>
    <row r="39" spans="1:26" x14ac:dyDescent="0.25">
      <c r="A39" s="72"/>
      <c r="B39" s="72"/>
      <c r="C39" s="72"/>
      <c r="D39" s="72"/>
      <c r="E39" s="72"/>
      <c r="F39" s="72"/>
      <c r="G39">
        <f>IF(ISNUMBER(SEARCH($G$2,H39)),MAX($G$4:G38)+1,0)</f>
        <v>0</v>
      </c>
      <c r="L39" s="11"/>
      <c r="M39" s="12"/>
      <c r="N39" s="12"/>
      <c r="O39" s="12"/>
      <c r="P39" s="13"/>
      <c r="Q39" s="11"/>
      <c r="R39" s="12"/>
      <c r="S39" s="12"/>
      <c r="T39" s="12"/>
      <c r="U39" s="13"/>
      <c r="V39" s="11"/>
      <c r="W39" s="12"/>
      <c r="X39" s="12"/>
      <c r="Y39" s="12"/>
      <c r="Z39" s="13"/>
    </row>
    <row r="40" spans="1:26" x14ac:dyDescent="0.25">
      <c r="A40" s="72"/>
      <c r="B40" s="72"/>
      <c r="C40" s="72"/>
      <c r="D40" s="72"/>
      <c r="E40" s="72"/>
      <c r="F40" s="72"/>
      <c r="G40">
        <f>IF(ISNUMBER(SEARCH($G$2,H40)),MAX($G$4:G39)+1,0)</f>
        <v>0</v>
      </c>
      <c r="L40" s="11"/>
      <c r="M40" s="12"/>
      <c r="N40" s="12"/>
      <c r="O40" s="12"/>
      <c r="P40" s="13"/>
      <c r="Q40" s="11"/>
      <c r="R40" s="12"/>
      <c r="S40" s="12"/>
      <c r="T40" s="12"/>
      <c r="U40" s="13"/>
      <c r="V40" s="11"/>
      <c r="W40" s="12"/>
      <c r="X40" s="12"/>
      <c r="Y40" s="12"/>
      <c r="Z40" s="13"/>
    </row>
    <row r="41" spans="1:26" x14ac:dyDescent="0.25">
      <c r="A41" s="72"/>
      <c r="B41" s="72"/>
      <c r="C41" s="72"/>
      <c r="D41" s="72"/>
      <c r="E41" s="72"/>
      <c r="F41" s="72"/>
      <c r="G41">
        <f>IF(ISNUMBER(SEARCH($G$2,H41)),MAX($G$4:G40)+1,0)</f>
        <v>0</v>
      </c>
      <c r="L41" s="11"/>
      <c r="M41" s="12"/>
      <c r="N41" s="12"/>
      <c r="O41" s="12"/>
      <c r="P41" s="13"/>
      <c r="Q41" s="11"/>
      <c r="R41" s="12"/>
      <c r="S41" s="12"/>
      <c r="T41" s="12"/>
      <c r="U41" s="13"/>
      <c r="V41" s="11"/>
      <c r="W41" s="12"/>
      <c r="X41" s="12"/>
      <c r="Y41" s="12"/>
      <c r="Z41" s="13"/>
    </row>
    <row r="42" spans="1:26" x14ac:dyDescent="0.25">
      <c r="A42" s="72"/>
      <c r="B42" s="72"/>
      <c r="C42" s="72"/>
      <c r="D42" s="72"/>
      <c r="E42" s="72"/>
      <c r="F42" s="72"/>
      <c r="G42">
        <f>IF(ISNUMBER(SEARCH($G$2,H42)),MAX($G$4:G41)+1,0)</f>
        <v>0</v>
      </c>
      <c r="L42" s="11"/>
      <c r="M42" s="12"/>
      <c r="N42" s="12"/>
      <c r="O42" s="12"/>
      <c r="P42" s="13"/>
      <c r="Q42" s="11"/>
      <c r="R42" s="12"/>
      <c r="S42" s="12"/>
      <c r="T42" s="12"/>
      <c r="U42" s="13"/>
      <c r="V42" s="11"/>
      <c r="W42" s="12"/>
      <c r="X42" s="12"/>
      <c r="Y42" s="12"/>
      <c r="Z42" s="13"/>
    </row>
    <row r="43" spans="1:26" x14ac:dyDescent="0.25">
      <c r="A43" s="72"/>
      <c r="B43" s="72"/>
      <c r="C43" s="72"/>
      <c r="D43" s="72"/>
      <c r="E43" s="72"/>
      <c r="F43" s="72"/>
      <c r="G43">
        <f>IF(ISNUMBER(SEARCH($G$2,H43)),MAX($G$4:G42)+1,0)</f>
        <v>0</v>
      </c>
      <c r="L43" s="11"/>
      <c r="M43" s="12"/>
      <c r="N43" s="12"/>
      <c r="O43" s="12"/>
      <c r="P43" s="13"/>
      <c r="Q43" s="11"/>
      <c r="R43" s="12"/>
      <c r="S43" s="12"/>
      <c r="T43" s="12"/>
      <c r="U43" s="13"/>
      <c r="V43" s="11"/>
      <c r="W43" s="12"/>
      <c r="X43" s="12"/>
      <c r="Y43" s="12"/>
      <c r="Z43" s="13"/>
    </row>
    <row r="44" spans="1:26" x14ac:dyDescent="0.25">
      <c r="A44" s="72"/>
      <c r="B44" s="72"/>
      <c r="C44" s="72"/>
      <c r="D44" s="72"/>
      <c r="E44" s="72"/>
      <c r="F44" s="72"/>
      <c r="G44">
        <f>IF(ISNUMBER(SEARCH($G$2,H44)),MAX($G$4:G43)+1,0)</f>
        <v>0</v>
      </c>
      <c r="L44" s="11"/>
      <c r="M44" s="12"/>
      <c r="N44" s="12"/>
      <c r="O44" s="12"/>
      <c r="P44" s="13"/>
      <c r="Q44" s="11"/>
      <c r="R44" s="12"/>
      <c r="S44" s="12"/>
      <c r="T44" s="12"/>
      <c r="U44" s="13"/>
      <c r="V44" s="11"/>
      <c r="W44" s="12"/>
      <c r="X44" s="12"/>
      <c r="Y44" s="12"/>
      <c r="Z44" s="13"/>
    </row>
    <row r="45" spans="1:26" x14ac:dyDescent="0.25">
      <c r="A45" s="72"/>
      <c r="B45" s="72"/>
      <c r="C45" s="72"/>
      <c r="D45" s="72"/>
      <c r="E45" s="72"/>
      <c r="F45" s="72"/>
      <c r="G45">
        <f>IF(ISNUMBER(SEARCH($G$2,H45)),MAX($G$4:G44)+1,0)</f>
        <v>0</v>
      </c>
      <c r="L45" s="11"/>
      <c r="M45" s="12"/>
      <c r="N45" s="12"/>
      <c r="O45" s="12"/>
      <c r="P45" s="13"/>
      <c r="Q45" s="11"/>
      <c r="R45" s="12"/>
      <c r="S45" s="12"/>
      <c r="T45" s="12"/>
      <c r="U45" s="13"/>
      <c r="V45" s="11"/>
      <c r="W45" s="12"/>
      <c r="X45" s="12"/>
      <c r="Y45" s="12"/>
      <c r="Z45" s="13"/>
    </row>
    <row r="46" spans="1:26" x14ac:dyDescent="0.25">
      <c r="A46" s="72"/>
      <c r="B46" s="72"/>
      <c r="C46" s="72"/>
      <c r="D46" s="72"/>
      <c r="E46" s="72"/>
      <c r="F46" s="72"/>
      <c r="G46">
        <f>IF(ISNUMBER(SEARCH($G$2,H46)),MAX($G$4:G45)+1,0)</f>
        <v>0</v>
      </c>
      <c r="L46" s="11"/>
      <c r="M46" s="12"/>
      <c r="N46" s="12"/>
      <c r="O46" s="12"/>
      <c r="P46" s="13"/>
      <c r="Q46" s="11"/>
      <c r="R46" s="12"/>
      <c r="S46" s="12"/>
      <c r="T46" s="12"/>
      <c r="U46" s="13"/>
      <c r="V46" s="11"/>
      <c r="W46" s="12"/>
      <c r="X46" s="12"/>
      <c r="Y46" s="12"/>
      <c r="Z46" s="13"/>
    </row>
    <row r="47" spans="1:26" x14ac:dyDescent="0.25">
      <c r="A47" s="72"/>
      <c r="B47" s="72"/>
      <c r="C47" s="72"/>
      <c r="D47" s="72"/>
      <c r="E47" s="72"/>
      <c r="F47" s="72"/>
      <c r="G47">
        <f>IF(ISNUMBER(SEARCH($G$2,H47)),MAX($G$4:G46)+1,0)</f>
        <v>0</v>
      </c>
      <c r="L47" s="11"/>
      <c r="M47" s="12"/>
      <c r="N47" s="12"/>
      <c r="O47" s="12"/>
      <c r="P47" s="13"/>
      <c r="Q47" s="11"/>
      <c r="R47" s="12"/>
      <c r="S47" s="12"/>
      <c r="T47" s="12"/>
      <c r="U47" s="13"/>
      <c r="V47" s="11"/>
      <c r="W47" s="12"/>
      <c r="X47" s="12"/>
      <c r="Y47" s="12"/>
      <c r="Z47" s="13"/>
    </row>
    <row r="48" spans="1:26" x14ac:dyDescent="0.25">
      <c r="A48" s="72"/>
      <c r="B48" s="72"/>
      <c r="C48" s="72"/>
      <c r="D48" s="72"/>
      <c r="E48" s="72"/>
      <c r="F48" s="72"/>
      <c r="G48">
        <f>IF(ISNUMBER(SEARCH($G$2,H48)),MAX($G$4:G47)+1,0)</f>
        <v>0</v>
      </c>
      <c r="L48" s="11"/>
      <c r="M48" s="12"/>
      <c r="N48" s="12"/>
      <c r="O48" s="12"/>
      <c r="P48" s="13"/>
      <c r="Q48" s="11"/>
      <c r="R48" s="12"/>
      <c r="S48" s="12"/>
      <c r="T48" s="12"/>
      <c r="U48" s="13"/>
      <c r="V48" s="11"/>
      <c r="W48" s="12"/>
      <c r="X48" s="12"/>
      <c r="Y48" s="12"/>
      <c r="Z48" s="13"/>
    </row>
    <row r="49" spans="1:26" x14ac:dyDescent="0.25">
      <c r="A49" s="72"/>
      <c r="B49" s="72"/>
      <c r="C49" s="72"/>
      <c r="D49" s="72"/>
      <c r="E49" s="72"/>
      <c r="F49" s="72"/>
      <c r="G49">
        <f>IF(ISNUMBER(SEARCH($G$2,H49)),MAX($G$4:G48)+1,0)</f>
        <v>0</v>
      </c>
      <c r="L49" s="11"/>
      <c r="M49" s="12"/>
      <c r="N49" s="12"/>
      <c r="O49" s="12"/>
      <c r="P49" s="13"/>
      <c r="Q49" s="11"/>
      <c r="R49" s="12"/>
      <c r="S49" s="12"/>
      <c r="T49" s="12"/>
      <c r="U49" s="13"/>
      <c r="V49" s="11"/>
      <c r="W49" s="12"/>
      <c r="X49" s="12"/>
      <c r="Y49" s="12"/>
      <c r="Z49" s="13"/>
    </row>
    <row r="50" spans="1:26" x14ac:dyDescent="0.25">
      <c r="A50" s="72"/>
      <c r="B50" s="72"/>
      <c r="C50" s="72"/>
      <c r="D50" s="72"/>
      <c r="E50" s="72"/>
      <c r="F50" s="72"/>
      <c r="G50">
        <f>IF(ISNUMBER(SEARCH($G$2,H50)),MAX($G$4:G49)+1,0)</f>
        <v>0</v>
      </c>
      <c r="L50" s="11"/>
      <c r="M50" s="12"/>
      <c r="N50" s="12"/>
      <c r="O50" s="12"/>
      <c r="P50" s="13"/>
      <c r="Q50" s="11"/>
      <c r="R50" s="12"/>
      <c r="S50" s="12"/>
      <c r="T50" s="12"/>
      <c r="U50" s="13"/>
      <c r="V50" s="11"/>
      <c r="W50" s="12"/>
      <c r="X50" s="12"/>
      <c r="Y50" s="12"/>
      <c r="Z50" s="13"/>
    </row>
    <row r="51" spans="1:26" x14ac:dyDescent="0.25">
      <c r="A51" s="72"/>
      <c r="B51" s="72"/>
      <c r="C51" s="72"/>
      <c r="D51" s="72"/>
      <c r="E51" s="72"/>
      <c r="F51" s="72"/>
      <c r="G51">
        <f>IF(ISNUMBER(SEARCH($G$2,H51)),MAX($G$4:G50)+1,0)</f>
        <v>0</v>
      </c>
      <c r="L51" s="11"/>
      <c r="M51" s="12"/>
      <c r="N51" s="12"/>
      <c r="O51" s="12"/>
      <c r="P51" s="13"/>
      <c r="Q51" s="11"/>
      <c r="R51" s="12"/>
      <c r="S51" s="12"/>
      <c r="T51" s="12"/>
      <c r="U51" s="13"/>
      <c r="V51" s="11"/>
      <c r="W51" s="12"/>
      <c r="X51" s="12"/>
      <c r="Y51" s="12"/>
      <c r="Z51" s="13"/>
    </row>
    <row r="52" spans="1:26" x14ac:dyDescent="0.25">
      <c r="A52" s="72"/>
      <c r="B52" s="72"/>
      <c r="C52" s="72"/>
      <c r="D52" s="72"/>
      <c r="E52" s="72"/>
      <c r="F52" s="72"/>
      <c r="G52">
        <f>IF(ISNUMBER(SEARCH($G$2,H52)),MAX($G$4:G51)+1,0)</f>
        <v>0</v>
      </c>
      <c r="L52" s="11"/>
      <c r="M52" s="12"/>
      <c r="N52" s="12"/>
      <c r="O52" s="12"/>
      <c r="P52" s="13"/>
      <c r="Q52" s="11"/>
      <c r="R52" s="12"/>
      <c r="S52" s="12"/>
      <c r="T52" s="12"/>
      <c r="U52" s="13"/>
      <c r="V52" s="11"/>
      <c r="W52" s="12"/>
      <c r="X52" s="12"/>
      <c r="Y52" s="12"/>
      <c r="Z52" s="13"/>
    </row>
    <row r="53" spans="1:26" x14ac:dyDescent="0.25">
      <c r="A53" s="72"/>
      <c r="B53" s="72"/>
      <c r="C53" s="72"/>
      <c r="D53" s="72"/>
      <c r="E53" s="72"/>
      <c r="F53" s="72"/>
      <c r="G53">
        <f>IF(ISNUMBER(SEARCH($G$2,H53)),MAX($G$4:G52)+1,0)</f>
        <v>0</v>
      </c>
      <c r="L53" s="11"/>
      <c r="M53" s="12"/>
      <c r="N53" s="12"/>
      <c r="O53" s="12"/>
      <c r="P53" s="13"/>
      <c r="Q53" s="11"/>
      <c r="R53" s="12"/>
      <c r="S53" s="12"/>
      <c r="T53" s="12"/>
      <c r="U53" s="13"/>
      <c r="V53" s="11"/>
      <c r="W53" s="12"/>
      <c r="X53" s="12"/>
      <c r="Y53" s="12"/>
      <c r="Z53" s="13"/>
    </row>
    <row r="54" spans="1:26" x14ac:dyDescent="0.25">
      <c r="A54" s="72"/>
      <c r="B54" s="72"/>
      <c r="C54" s="72"/>
      <c r="D54" s="72"/>
      <c r="E54" s="72"/>
      <c r="F54" s="72"/>
      <c r="G54">
        <f>IF(ISNUMBER(SEARCH($G$2,H54)),MAX($G$4:G53)+1,0)</f>
        <v>0</v>
      </c>
      <c r="L54" s="11"/>
      <c r="M54" s="12"/>
      <c r="N54" s="12"/>
      <c r="O54" s="12"/>
      <c r="P54" s="13"/>
      <c r="Q54" s="11"/>
      <c r="R54" s="12"/>
      <c r="S54" s="12"/>
      <c r="T54" s="12"/>
      <c r="U54" s="13"/>
      <c r="V54" s="11"/>
      <c r="W54" s="12"/>
      <c r="X54" s="12"/>
      <c r="Y54" s="12"/>
      <c r="Z54" s="13"/>
    </row>
    <row r="55" spans="1:26" x14ac:dyDescent="0.25">
      <c r="A55" s="72"/>
      <c r="B55" s="72"/>
      <c r="C55" s="72"/>
      <c r="D55" s="72"/>
      <c r="E55" s="72"/>
      <c r="F55" s="72"/>
      <c r="G55">
        <f>IF(ISNUMBER(SEARCH($G$2,H55)),MAX($G$4:G54)+1,0)</f>
        <v>0</v>
      </c>
      <c r="L55" s="11"/>
      <c r="M55" s="12"/>
      <c r="N55" s="12"/>
      <c r="O55" s="12"/>
      <c r="P55" s="13"/>
      <c r="Q55" s="11"/>
      <c r="R55" s="12"/>
      <c r="S55" s="12"/>
      <c r="T55" s="12"/>
      <c r="U55" s="13"/>
      <c r="V55" s="11"/>
      <c r="W55" s="12"/>
      <c r="X55" s="12"/>
      <c r="Y55" s="12"/>
      <c r="Z55" s="13"/>
    </row>
    <row r="56" spans="1:26" x14ac:dyDescent="0.25">
      <c r="A56" s="72"/>
      <c r="B56" s="72"/>
      <c r="C56" s="72"/>
      <c r="D56" s="72"/>
      <c r="E56" s="72"/>
      <c r="F56" s="72"/>
      <c r="G56">
        <f>IF(ISNUMBER(SEARCH($G$2,H56)),MAX($G$4:G55)+1,0)</f>
        <v>0</v>
      </c>
      <c r="L56" s="11"/>
      <c r="M56" s="12"/>
      <c r="N56" s="12"/>
      <c r="O56" s="12"/>
      <c r="P56" s="13"/>
      <c r="Q56" s="11"/>
      <c r="R56" s="12"/>
      <c r="S56" s="12"/>
      <c r="T56" s="12"/>
      <c r="U56" s="13"/>
      <c r="V56" s="11"/>
      <c r="W56" s="12"/>
      <c r="X56" s="12"/>
      <c r="Y56" s="12"/>
      <c r="Z56" s="13"/>
    </row>
    <row r="57" spans="1:26" x14ac:dyDescent="0.25">
      <c r="A57" s="72"/>
      <c r="B57" s="72"/>
      <c r="C57" s="72"/>
      <c r="D57" s="72"/>
      <c r="E57" s="72"/>
      <c r="F57" s="72"/>
      <c r="G57">
        <f>IF(ISNUMBER(SEARCH($G$2,H57)),MAX($G$4:G56)+1,0)</f>
        <v>0</v>
      </c>
      <c r="L57" s="11"/>
      <c r="M57" s="12"/>
      <c r="N57" s="12"/>
      <c r="O57" s="12"/>
      <c r="P57" s="13"/>
      <c r="Q57" s="11"/>
      <c r="R57" s="12"/>
      <c r="S57" s="12"/>
      <c r="T57" s="12"/>
      <c r="U57" s="13"/>
      <c r="V57" s="11"/>
      <c r="W57" s="12"/>
      <c r="X57" s="12"/>
      <c r="Y57" s="12"/>
      <c r="Z57" s="13"/>
    </row>
    <row r="58" spans="1:26" x14ac:dyDescent="0.25">
      <c r="A58" s="72"/>
      <c r="B58" s="72"/>
      <c r="C58" s="72"/>
      <c r="D58" s="72"/>
      <c r="E58" s="72"/>
      <c r="F58" s="72"/>
      <c r="G58">
        <f>IF(ISNUMBER(SEARCH($G$2,H58)),MAX($G$4:G57)+1,0)</f>
        <v>0</v>
      </c>
      <c r="L58" s="11"/>
      <c r="M58" s="12"/>
      <c r="N58" s="12"/>
      <c r="O58" s="12"/>
      <c r="P58" s="13"/>
      <c r="Q58" s="11"/>
      <c r="R58" s="12"/>
      <c r="S58" s="12"/>
      <c r="T58" s="12"/>
      <c r="U58" s="13"/>
      <c r="V58" s="11"/>
      <c r="W58" s="12"/>
      <c r="X58" s="12"/>
      <c r="Y58" s="12"/>
      <c r="Z58" s="13"/>
    </row>
    <row r="59" spans="1:26" x14ac:dyDescent="0.25">
      <c r="A59" s="72"/>
      <c r="B59" s="72"/>
      <c r="C59" s="72"/>
      <c r="D59" s="72"/>
      <c r="E59" s="72"/>
      <c r="F59" s="72"/>
      <c r="G59">
        <f>IF(ISNUMBER(SEARCH($G$2,H59)),MAX($G$4:G58)+1,0)</f>
        <v>0</v>
      </c>
      <c r="L59" s="11"/>
      <c r="M59" s="12"/>
      <c r="N59" s="12"/>
      <c r="O59" s="12"/>
      <c r="P59" s="13"/>
      <c r="Q59" s="11"/>
      <c r="R59" s="12"/>
      <c r="S59" s="12"/>
      <c r="T59" s="12"/>
      <c r="U59" s="13"/>
      <c r="V59" s="11"/>
      <c r="W59" s="12"/>
      <c r="X59" s="12"/>
      <c r="Y59" s="12"/>
      <c r="Z59" s="13"/>
    </row>
    <row r="60" spans="1:26" x14ac:dyDescent="0.25">
      <c r="A60" s="72"/>
      <c r="B60" s="72"/>
      <c r="C60" s="72"/>
      <c r="D60" s="72"/>
      <c r="E60" s="72"/>
      <c r="F60" s="72"/>
      <c r="G60">
        <f>IF(ISNUMBER(SEARCH($G$2,H60)),MAX($G$4:G59)+1,0)</f>
        <v>0</v>
      </c>
      <c r="L60" s="11"/>
      <c r="M60" s="12"/>
      <c r="N60" s="12"/>
      <c r="O60" s="12"/>
      <c r="P60" s="13"/>
      <c r="Q60" s="11"/>
      <c r="R60" s="12"/>
      <c r="S60" s="12"/>
      <c r="T60" s="12"/>
      <c r="U60" s="13"/>
      <c r="V60" s="11"/>
      <c r="W60" s="12"/>
      <c r="X60" s="12"/>
      <c r="Y60" s="12"/>
      <c r="Z60" s="13"/>
    </row>
    <row r="61" spans="1:26" x14ac:dyDescent="0.25">
      <c r="A61" s="72"/>
      <c r="B61" s="72"/>
      <c r="C61" s="72"/>
      <c r="D61" s="72"/>
      <c r="E61" s="72"/>
      <c r="F61" s="72"/>
      <c r="G61">
        <f>IF(ISNUMBER(SEARCH($G$2,H61)),MAX($G$4:G60)+1,0)</f>
        <v>0</v>
      </c>
      <c r="L61" s="11"/>
      <c r="M61" s="12"/>
      <c r="N61" s="12"/>
      <c r="O61" s="12"/>
      <c r="P61" s="13"/>
      <c r="Q61" s="11"/>
      <c r="R61" s="12"/>
      <c r="S61" s="12"/>
      <c r="T61" s="12"/>
      <c r="U61" s="13"/>
      <c r="V61" s="11"/>
      <c r="W61" s="12"/>
      <c r="X61" s="12"/>
      <c r="Y61" s="12"/>
      <c r="Z61" s="13"/>
    </row>
    <row r="62" spans="1:26" x14ac:dyDescent="0.25">
      <c r="A62" s="72"/>
      <c r="B62" s="72"/>
      <c r="C62" s="72"/>
      <c r="D62" s="72"/>
      <c r="E62" s="72"/>
      <c r="F62" s="72"/>
      <c r="G62">
        <f>IF(ISNUMBER(SEARCH($G$2,H62)),MAX($G$4:G61)+1,0)</f>
        <v>0</v>
      </c>
      <c r="L62" s="11"/>
      <c r="M62" s="12"/>
      <c r="N62" s="12"/>
      <c r="O62" s="12"/>
      <c r="P62" s="13"/>
      <c r="Q62" s="11"/>
      <c r="R62" s="12"/>
      <c r="S62" s="12"/>
      <c r="T62" s="12"/>
      <c r="U62" s="13"/>
      <c r="V62" s="11"/>
      <c r="W62" s="12"/>
      <c r="X62" s="12"/>
      <c r="Y62" s="12"/>
      <c r="Z62" s="13"/>
    </row>
    <row r="63" spans="1:26" x14ac:dyDescent="0.25">
      <c r="A63" s="72"/>
      <c r="B63" s="72"/>
      <c r="C63" s="72"/>
      <c r="D63" s="72"/>
      <c r="E63" s="72"/>
      <c r="F63" s="72"/>
      <c r="G63">
        <f>IF(ISNUMBER(SEARCH($G$2,H63)),MAX($G$4:G62)+1,0)</f>
        <v>0</v>
      </c>
      <c r="L63" s="11"/>
      <c r="M63" s="12"/>
      <c r="N63" s="12"/>
      <c r="O63" s="12"/>
      <c r="P63" s="13"/>
      <c r="Q63" s="11"/>
      <c r="R63" s="12"/>
      <c r="S63" s="12"/>
      <c r="T63" s="12"/>
      <c r="U63" s="13"/>
      <c r="V63" s="11"/>
      <c r="W63" s="12"/>
      <c r="X63" s="12"/>
      <c r="Y63" s="12"/>
      <c r="Z63" s="13"/>
    </row>
    <row r="64" spans="1:26" x14ac:dyDescent="0.25">
      <c r="A64" s="72"/>
      <c r="B64" s="72"/>
      <c r="C64" s="72"/>
      <c r="D64" s="72"/>
      <c r="E64" s="72"/>
      <c r="F64" s="72"/>
      <c r="G64">
        <f>IF(ISNUMBER(SEARCH($G$2,H64)),MAX($G$4:G63)+1,0)</f>
        <v>0</v>
      </c>
      <c r="L64" s="11"/>
      <c r="M64" s="12"/>
      <c r="N64" s="12"/>
      <c r="O64" s="12"/>
      <c r="P64" s="13"/>
      <c r="Q64" s="11"/>
      <c r="R64" s="12"/>
      <c r="S64" s="12"/>
      <c r="T64" s="12"/>
      <c r="U64" s="13"/>
      <c r="V64" s="11"/>
      <c r="W64" s="12"/>
      <c r="X64" s="12"/>
      <c r="Y64" s="12"/>
      <c r="Z64" s="13"/>
    </row>
    <row r="65" spans="1:26" x14ac:dyDescent="0.25">
      <c r="A65" s="72"/>
      <c r="B65" s="72"/>
      <c r="C65" s="72"/>
      <c r="D65" s="72"/>
      <c r="E65" s="72"/>
      <c r="F65" s="72"/>
      <c r="G65">
        <f>IF(ISNUMBER(SEARCH($G$2,H65)),MAX($G$4:G64)+1,0)</f>
        <v>0</v>
      </c>
      <c r="L65" s="11"/>
      <c r="M65" s="12"/>
      <c r="N65" s="12"/>
      <c r="O65" s="12"/>
      <c r="P65" s="13"/>
      <c r="Q65" s="11"/>
      <c r="R65" s="12"/>
      <c r="S65" s="12"/>
      <c r="T65" s="12"/>
      <c r="U65" s="13"/>
      <c r="V65" s="11"/>
      <c r="W65" s="12"/>
      <c r="X65" s="12"/>
      <c r="Y65" s="12"/>
      <c r="Z65" s="13"/>
    </row>
    <row r="66" spans="1:26" x14ac:dyDescent="0.25">
      <c r="A66" s="72"/>
      <c r="B66" s="72"/>
      <c r="C66" s="72"/>
      <c r="D66" s="72"/>
      <c r="E66" s="72"/>
      <c r="F66" s="72"/>
      <c r="G66">
        <f>IF(ISNUMBER(SEARCH($G$2,H66)),MAX($G$4:G65)+1,0)</f>
        <v>0</v>
      </c>
      <c r="L66" s="11"/>
      <c r="M66" s="12"/>
      <c r="N66" s="12"/>
      <c r="O66" s="12"/>
      <c r="P66" s="13"/>
      <c r="Q66" s="11"/>
      <c r="R66" s="12"/>
      <c r="S66" s="12"/>
      <c r="T66" s="12"/>
      <c r="U66" s="13"/>
      <c r="V66" s="11"/>
      <c r="W66" s="12"/>
      <c r="X66" s="12"/>
      <c r="Y66" s="12"/>
      <c r="Z66" s="13"/>
    </row>
    <row r="67" spans="1:26" x14ac:dyDescent="0.25">
      <c r="A67" s="72"/>
      <c r="B67" s="72"/>
      <c r="C67" s="72"/>
      <c r="D67" s="72"/>
      <c r="E67" s="72"/>
      <c r="F67" s="72"/>
      <c r="G67">
        <f>IF(ISNUMBER(SEARCH($G$2,H67)),MAX($G$4:G66)+1,0)</f>
        <v>0</v>
      </c>
      <c r="L67" s="11"/>
      <c r="M67" s="12"/>
      <c r="N67" s="12"/>
      <c r="O67" s="12"/>
      <c r="P67" s="13"/>
      <c r="Q67" s="11"/>
      <c r="R67" s="12"/>
      <c r="S67" s="12"/>
      <c r="T67" s="12"/>
      <c r="U67" s="13"/>
      <c r="V67" s="11"/>
      <c r="W67" s="12"/>
      <c r="X67" s="12"/>
      <c r="Y67" s="12"/>
      <c r="Z67" s="13"/>
    </row>
    <row r="68" spans="1:26" x14ac:dyDescent="0.25">
      <c r="A68" s="72"/>
      <c r="B68" s="72"/>
      <c r="C68" s="72"/>
      <c r="D68" s="72"/>
      <c r="E68" s="72"/>
      <c r="F68" s="72"/>
      <c r="G68">
        <f>IF(ISNUMBER(SEARCH($G$2,H68)),MAX($G$4:G67)+1,0)</f>
        <v>0</v>
      </c>
      <c r="L68" s="11"/>
      <c r="M68" s="12"/>
      <c r="N68" s="12"/>
      <c r="O68" s="12"/>
      <c r="P68" s="13"/>
      <c r="Q68" s="11"/>
      <c r="R68" s="12"/>
      <c r="S68" s="12"/>
      <c r="T68" s="12"/>
      <c r="U68" s="13"/>
      <c r="V68" s="11"/>
      <c r="W68" s="12"/>
      <c r="X68" s="12"/>
      <c r="Y68" s="12"/>
      <c r="Z68" s="13"/>
    </row>
    <row r="69" spans="1:26" x14ac:dyDescent="0.25">
      <c r="A69" s="72"/>
      <c r="B69" s="72"/>
      <c r="C69" s="72"/>
      <c r="D69" s="72"/>
      <c r="E69" s="72"/>
      <c r="F69" s="72"/>
      <c r="G69">
        <f>IF(ISNUMBER(SEARCH($G$2,H69)),MAX($G$4:G68)+1,0)</f>
        <v>0</v>
      </c>
      <c r="L69" s="11"/>
      <c r="M69" s="12"/>
      <c r="N69" s="12"/>
      <c r="O69" s="12"/>
      <c r="P69" s="13"/>
      <c r="Q69" s="11"/>
      <c r="R69" s="12"/>
      <c r="S69" s="12"/>
      <c r="T69" s="12"/>
      <c r="U69" s="13"/>
      <c r="V69" s="11"/>
      <c r="W69" s="12"/>
      <c r="X69" s="12"/>
      <c r="Y69" s="12"/>
      <c r="Z69" s="13"/>
    </row>
    <row r="70" spans="1:26" x14ac:dyDescent="0.25">
      <c r="A70" s="72"/>
      <c r="B70" s="72"/>
      <c r="C70" s="72"/>
      <c r="D70" s="72"/>
      <c r="E70" s="72"/>
      <c r="F70" s="72"/>
      <c r="G70">
        <f>IF(ISNUMBER(SEARCH($G$2,H70)),MAX($G$4:G69)+1,0)</f>
        <v>0</v>
      </c>
      <c r="L70" s="11"/>
      <c r="M70" s="12"/>
      <c r="N70" s="12"/>
      <c r="O70" s="12"/>
      <c r="P70" s="13"/>
      <c r="Q70" s="11"/>
      <c r="R70" s="12"/>
      <c r="S70" s="12"/>
      <c r="T70" s="12"/>
      <c r="U70" s="13"/>
      <c r="V70" s="11"/>
      <c r="W70" s="12"/>
      <c r="X70" s="12"/>
      <c r="Y70" s="12"/>
      <c r="Z70" s="13"/>
    </row>
    <row r="71" spans="1:26" x14ac:dyDescent="0.25">
      <c r="A71" s="72"/>
      <c r="B71" s="72"/>
      <c r="C71" s="72"/>
      <c r="D71" s="72"/>
      <c r="E71" s="72"/>
      <c r="F71" s="72"/>
      <c r="G71">
        <f>IF(ISNUMBER(SEARCH($G$2,H71)),MAX($G$4:G70)+1,0)</f>
        <v>0</v>
      </c>
      <c r="L71" s="11"/>
      <c r="M71" s="12"/>
      <c r="N71" s="12"/>
      <c r="O71" s="12"/>
      <c r="P71" s="13"/>
      <c r="Q71" s="11"/>
      <c r="R71" s="12"/>
      <c r="S71" s="12"/>
      <c r="T71" s="12"/>
      <c r="U71" s="13"/>
      <c r="V71" s="11"/>
      <c r="W71" s="12"/>
      <c r="X71" s="12"/>
      <c r="Y71" s="12"/>
      <c r="Z71" s="13"/>
    </row>
    <row r="72" spans="1:26" x14ac:dyDescent="0.25">
      <c r="A72" s="72"/>
      <c r="B72" s="72"/>
      <c r="C72" s="72"/>
      <c r="D72" s="72"/>
      <c r="E72" s="72"/>
      <c r="F72" s="72"/>
      <c r="G72">
        <f>IF(ISNUMBER(SEARCH($G$2,H72)),MAX($G$4:G71)+1,0)</f>
        <v>0</v>
      </c>
      <c r="L72" s="11"/>
      <c r="M72" s="12"/>
      <c r="N72" s="12"/>
      <c r="O72" s="12"/>
      <c r="P72" s="13"/>
      <c r="Q72" s="11"/>
      <c r="R72" s="12"/>
      <c r="S72" s="12"/>
      <c r="T72" s="12"/>
      <c r="U72" s="13"/>
      <c r="V72" s="11"/>
      <c r="W72" s="12"/>
      <c r="X72" s="12"/>
      <c r="Y72" s="12"/>
      <c r="Z72" s="13"/>
    </row>
    <row r="73" spans="1:26" x14ac:dyDescent="0.25">
      <c r="A73" s="72"/>
      <c r="B73" s="72"/>
      <c r="C73" s="72"/>
      <c r="D73" s="72"/>
      <c r="E73" s="72"/>
      <c r="F73" s="72"/>
      <c r="G73">
        <f>IF(ISNUMBER(SEARCH($G$2,H73)),MAX($G$4:G72)+1,0)</f>
        <v>0</v>
      </c>
      <c r="L73" s="11"/>
      <c r="M73" s="12"/>
      <c r="N73" s="12"/>
      <c r="O73" s="12"/>
      <c r="P73" s="13"/>
      <c r="Q73" s="11"/>
      <c r="R73" s="12"/>
      <c r="S73" s="12"/>
      <c r="T73" s="12"/>
      <c r="U73" s="13"/>
      <c r="V73" s="11"/>
      <c r="W73" s="12"/>
      <c r="X73" s="12"/>
      <c r="Y73" s="12"/>
      <c r="Z73" s="13"/>
    </row>
    <row r="74" spans="1:26" x14ac:dyDescent="0.25">
      <c r="A74" s="72"/>
      <c r="B74" s="72"/>
      <c r="C74" s="72"/>
      <c r="D74" s="72"/>
      <c r="E74" s="72"/>
      <c r="F74" s="72"/>
      <c r="G74">
        <f>IF(ISNUMBER(SEARCH($G$2,H74)),MAX($G$4:G73)+1,0)</f>
        <v>0</v>
      </c>
      <c r="L74" s="11"/>
      <c r="M74" s="12"/>
      <c r="N74" s="12"/>
      <c r="O74" s="12"/>
      <c r="P74" s="13"/>
      <c r="Q74" s="11"/>
      <c r="R74" s="12"/>
      <c r="S74" s="12"/>
      <c r="T74" s="12"/>
      <c r="U74" s="13"/>
      <c r="V74" s="11"/>
      <c r="W74" s="12"/>
      <c r="X74" s="12"/>
      <c r="Y74" s="12"/>
      <c r="Z74" s="13"/>
    </row>
    <row r="75" spans="1:26" x14ac:dyDescent="0.25">
      <c r="A75" s="72"/>
      <c r="B75" s="72"/>
      <c r="C75" s="72"/>
      <c r="D75" s="72"/>
      <c r="E75" s="72"/>
      <c r="F75" s="72"/>
      <c r="G75">
        <f>IF(ISNUMBER(SEARCH($G$2,H75)),MAX($G$4:G74)+1,0)</f>
        <v>0</v>
      </c>
      <c r="L75" s="11"/>
      <c r="M75" s="12"/>
      <c r="N75" s="12"/>
      <c r="O75" s="12"/>
      <c r="P75" s="13"/>
      <c r="Q75" s="11"/>
      <c r="R75" s="12"/>
      <c r="S75" s="12"/>
      <c r="T75" s="12"/>
      <c r="U75" s="13"/>
      <c r="V75" s="11"/>
      <c r="W75" s="12"/>
      <c r="X75" s="12"/>
      <c r="Y75" s="12"/>
      <c r="Z75" s="13"/>
    </row>
    <row r="76" spans="1:26" x14ac:dyDescent="0.25">
      <c r="A76" s="72"/>
      <c r="B76" s="72"/>
      <c r="C76" s="72"/>
      <c r="D76" s="72"/>
      <c r="E76" s="72"/>
      <c r="F76" s="72"/>
      <c r="G76">
        <f>IF(ISNUMBER(SEARCH($G$2,H76)),MAX($G$4:G75)+1,0)</f>
        <v>0</v>
      </c>
      <c r="L76" s="11"/>
      <c r="M76" s="12"/>
      <c r="N76" s="12"/>
      <c r="O76" s="12"/>
      <c r="P76" s="13"/>
      <c r="Q76" s="11"/>
      <c r="R76" s="12"/>
      <c r="S76" s="12"/>
      <c r="T76" s="12"/>
      <c r="U76" s="13"/>
      <c r="V76" s="11"/>
      <c r="W76" s="12"/>
      <c r="X76" s="12"/>
      <c r="Y76" s="12"/>
      <c r="Z76" s="13"/>
    </row>
    <row r="77" spans="1:26" x14ac:dyDescent="0.25">
      <c r="A77" s="72"/>
      <c r="B77" s="72"/>
      <c r="C77" s="72"/>
      <c r="D77" s="72"/>
      <c r="E77" s="72"/>
      <c r="F77" s="72"/>
      <c r="G77">
        <f>IF(ISNUMBER(SEARCH($G$2,H77)),MAX($G$4:G76)+1,0)</f>
        <v>0</v>
      </c>
      <c r="L77" s="11"/>
      <c r="M77" s="12"/>
      <c r="N77" s="12"/>
      <c r="O77" s="12"/>
      <c r="P77" s="13"/>
      <c r="Q77" s="11"/>
      <c r="R77" s="12"/>
      <c r="S77" s="12"/>
      <c r="T77" s="12"/>
      <c r="U77" s="13"/>
      <c r="V77" s="11"/>
      <c r="W77" s="12"/>
      <c r="X77" s="12"/>
      <c r="Y77" s="12"/>
      <c r="Z77" s="13"/>
    </row>
    <row r="78" spans="1:26" x14ac:dyDescent="0.25">
      <c r="A78" s="72"/>
      <c r="B78" s="72"/>
      <c r="C78" s="72"/>
      <c r="D78" s="72"/>
      <c r="E78" s="72"/>
      <c r="F78" s="72"/>
      <c r="G78">
        <f>IF(ISNUMBER(SEARCH($G$2,H78)),MAX($G$4:G77)+1,0)</f>
        <v>0</v>
      </c>
      <c r="L78" s="11"/>
      <c r="M78" s="12"/>
      <c r="N78" s="12"/>
      <c r="O78" s="12"/>
      <c r="P78" s="13"/>
      <c r="Q78" s="11"/>
      <c r="R78" s="12"/>
      <c r="S78" s="12"/>
      <c r="T78" s="12"/>
      <c r="U78" s="13"/>
      <c r="V78" s="11"/>
      <c r="W78" s="12"/>
      <c r="X78" s="12"/>
      <c r="Y78" s="12"/>
      <c r="Z78" s="13"/>
    </row>
    <row r="79" spans="1:26" x14ac:dyDescent="0.25">
      <c r="A79" s="72"/>
      <c r="B79" s="72"/>
      <c r="C79" s="72"/>
      <c r="D79" s="72"/>
      <c r="E79" s="72"/>
      <c r="F79" s="72"/>
      <c r="G79">
        <f>IF(ISNUMBER(SEARCH($G$2,H79)),MAX($G$4:G78)+1,0)</f>
        <v>0</v>
      </c>
      <c r="L79" s="11"/>
      <c r="M79" s="12"/>
      <c r="N79" s="12"/>
      <c r="O79" s="12"/>
      <c r="P79" s="13"/>
      <c r="Q79" s="11"/>
      <c r="R79" s="12"/>
      <c r="S79" s="12"/>
      <c r="T79" s="12"/>
      <c r="U79" s="13"/>
      <c r="V79" s="11"/>
      <c r="W79" s="12"/>
      <c r="X79" s="12"/>
      <c r="Y79" s="12"/>
      <c r="Z79" s="13"/>
    </row>
    <row r="80" spans="1:26" x14ac:dyDescent="0.25">
      <c r="A80" s="72"/>
      <c r="B80" s="72"/>
      <c r="C80" s="72"/>
      <c r="D80" s="72"/>
      <c r="E80" s="72"/>
      <c r="F80" s="72"/>
      <c r="G80">
        <f>IF(ISNUMBER(SEARCH($G$2,H80)),MAX($G$4:G79)+1,0)</f>
        <v>0</v>
      </c>
      <c r="L80" s="11"/>
      <c r="M80" s="12"/>
      <c r="N80" s="12"/>
      <c r="O80" s="12"/>
      <c r="P80" s="13"/>
      <c r="Q80" s="11"/>
      <c r="R80" s="12"/>
      <c r="S80" s="12"/>
      <c r="T80" s="12"/>
      <c r="U80" s="13"/>
      <c r="V80" s="11"/>
      <c r="W80" s="12"/>
      <c r="X80" s="12"/>
      <c r="Y80" s="12"/>
      <c r="Z80" s="13"/>
    </row>
    <row r="81" spans="1:26" x14ac:dyDescent="0.25">
      <c r="A81" s="72"/>
      <c r="B81" s="72"/>
      <c r="C81" s="72"/>
      <c r="D81" s="72"/>
      <c r="E81" s="72"/>
      <c r="F81" s="72"/>
      <c r="G81">
        <f>IF(ISNUMBER(SEARCH($G$2,H81)),MAX($G$4:G80)+1,0)</f>
        <v>0</v>
      </c>
      <c r="L81" s="11"/>
      <c r="M81" s="12"/>
      <c r="N81" s="12"/>
      <c r="O81" s="12"/>
      <c r="P81" s="13"/>
      <c r="Q81" s="11"/>
      <c r="R81" s="12"/>
      <c r="S81" s="12"/>
      <c r="T81" s="12"/>
      <c r="U81" s="13"/>
      <c r="V81" s="11"/>
      <c r="W81" s="12"/>
      <c r="X81" s="12"/>
      <c r="Y81" s="12"/>
      <c r="Z81" s="13"/>
    </row>
    <row r="82" spans="1:26" x14ac:dyDescent="0.25">
      <c r="A82" s="72"/>
      <c r="B82" s="72"/>
      <c r="C82" s="72"/>
      <c r="D82" s="72"/>
      <c r="E82" s="72"/>
      <c r="F82" s="72"/>
      <c r="G82">
        <f>IF(ISNUMBER(SEARCH($G$2,H82)),MAX($G$4:G81)+1,0)</f>
        <v>0</v>
      </c>
      <c r="L82" s="11"/>
      <c r="M82" s="12"/>
      <c r="N82" s="12"/>
      <c r="O82" s="12"/>
      <c r="P82" s="13"/>
      <c r="Q82" s="11"/>
      <c r="R82" s="12"/>
      <c r="S82" s="12"/>
      <c r="T82" s="12"/>
      <c r="U82" s="13"/>
      <c r="V82" s="11"/>
      <c r="W82" s="12"/>
      <c r="X82" s="12"/>
      <c r="Y82" s="12"/>
      <c r="Z82" s="13"/>
    </row>
    <row r="83" spans="1:26" x14ac:dyDescent="0.25">
      <c r="A83" s="72"/>
      <c r="B83" s="72"/>
      <c r="C83" s="72"/>
      <c r="D83" s="72"/>
      <c r="E83" s="72"/>
      <c r="F83" s="72"/>
      <c r="G83">
        <f>IF(ISNUMBER(SEARCH($G$2,H83)),MAX($G$4:G82)+1,0)</f>
        <v>0</v>
      </c>
      <c r="L83" s="11"/>
      <c r="M83" s="12"/>
      <c r="N83" s="12"/>
      <c r="O83" s="12"/>
      <c r="P83" s="13"/>
      <c r="Q83" s="11"/>
      <c r="R83" s="12"/>
      <c r="S83" s="12"/>
      <c r="T83" s="12"/>
      <c r="U83" s="13"/>
      <c r="V83" s="11"/>
      <c r="W83" s="12"/>
      <c r="X83" s="12"/>
      <c r="Y83" s="12"/>
      <c r="Z83" s="13"/>
    </row>
    <row r="84" spans="1:26" x14ac:dyDescent="0.25">
      <c r="A84" s="72"/>
      <c r="B84" s="72"/>
      <c r="C84" s="72"/>
      <c r="D84" s="72"/>
      <c r="E84" s="72"/>
      <c r="F84" s="72"/>
      <c r="G84">
        <f>IF(ISNUMBER(SEARCH($G$2,H84)),MAX($G$4:G83)+1,0)</f>
        <v>0</v>
      </c>
      <c r="L84" s="11"/>
      <c r="M84" s="12"/>
      <c r="N84" s="12"/>
      <c r="O84" s="12"/>
      <c r="P84" s="13"/>
      <c r="Q84" s="11"/>
      <c r="R84" s="12"/>
      <c r="S84" s="12"/>
      <c r="T84" s="12"/>
      <c r="U84" s="13"/>
      <c r="V84" s="11"/>
      <c r="W84" s="12"/>
      <c r="X84" s="12"/>
      <c r="Y84" s="12"/>
      <c r="Z84" s="13"/>
    </row>
    <row r="85" spans="1:26" x14ac:dyDescent="0.25">
      <c r="A85" s="72"/>
      <c r="B85" s="72"/>
      <c r="C85" s="72"/>
      <c r="D85" s="72"/>
      <c r="E85" s="72"/>
      <c r="F85" s="72"/>
      <c r="G85">
        <f>IF(ISNUMBER(SEARCH($G$2,H85)),MAX($G$4:G84)+1,0)</f>
        <v>0</v>
      </c>
      <c r="L85" s="11"/>
      <c r="M85" s="12"/>
      <c r="N85" s="12"/>
      <c r="O85" s="12"/>
      <c r="P85" s="13"/>
      <c r="Q85" s="11"/>
      <c r="R85" s="12"/>
      <c r="S85" s="12"/>
      <c r="T85" s="12"/>
      <c r="U85" s="13"/>
      <c r="V85" s="11"/>
      <c r="W85" s="12"/>
      <c r="X85" s="12"/>
      <c r="Y85" s="12"/>
      <c r="Z85" s="13"/>
    </row>
    <row r="86" spans="1:26" x14ac:dyDescent="0.25">
      <c r="A86" s="72"/>
      <c r="B86" s="72"/>
      <c r="C86" s="72"/>
      <c r="D86" s="72"/>
      <c r="E86" s="72"/>
      <c r="F86" s="72"/>
      <c r="G86">
        <f>IF(ISNUMBER(SEARCH($G$2,H86)),MAX($G$4:G85)+1,0)</f>
        <v>0</v>
      </c>
      <c r="L86" s="11"/>
      <c r="M86" s="12"/>
      <c r="N86" s="12"/>
      <c r="O86" s="12"/>
      <c r="P86" s="13"/>
      <c r="Q86" s="11"/>
      <c r="R86" s="12"/>
      <c r="S86" s="12"/>
      <c r="T86" s="12"/>
      <c r="U86" s="13"/>
      <c r="V86" s="11"/>
      <c r="W86" s="12"/>
      <c r="X86" s="12"/>
      <c r="Y86" s="12"/>
      <c r="Z86" s="13"/>
    </row>
    <row r="87" spans="1:26" x14ac:dyDescent="0.25">
      <c r="A87" s="72"/>
      <c r="B87" s="72"/>
      <c r="C87" s="72"/>
      <c r="D87" s="72"/>
      <c r="E87" s="72"/>
      <c r="F87" s="72"/>
      <c r="G87">
        <f>IF(ISNUMBER(SEARCH($G$2,H87)),MAX($G$4:G86)+1,0)</f>
        <v>0</v>
      </c>
      <c r="L87" s="11"/>
      <c r="M87" s="12"/>
      <c r="N87" s="12"/>
      <c r="O87" s="12"/>
      <c r="P87" s="13"/>
      <c r="Q87" s="11"/>
      <c r="R87" s="12"/>
      <c r="S87" s="12"/>
      <c r="T87" s="12"/>
      <c r="U87" s="13"/>
      <c r="V87" s="11"/>
      <c r="W87" s="12"/>
      <c r="X87" s="12"/>
      <c r="Y87" s="12"/>
      <c r="Z87" s="13"/>
    </row>
    <row r="88" spans="1:26" x14ac:dyDescent="0.25">
      <c r="A88" s="72"/>
      <c r="B88" s="72"/>
      <c r="C88" s="72"/>
      <c r="D88" s="72"/>
      <c r="E88" s="72"/>
      <c r="F88" s="72"/>
      <c r="G88">
        <f>IF(ISNUMBER(SEARCH($G$2,H88)),MAX($G$4:G87)+1,0)</f>
        <v>0</v>
      </c>
      <c r="L88" s="11"/>
      <c r="M88" s="12"/>
      <c r="N88" s="12"/>
      <c r="O88" s="12"/>
      <c r="P88" s="13"/>
      <c r="Q88" s="11"/>
      <c r="R88" s="12"/>
      <c r="S88" s="12"/>
      <c r="T88" s="12"/>
      <c r="U88" s="13"/>
      <c r="V88" s="11"/>
      <c r="W88" s="12"/>
      <c r="X88" s="12"/>
      <c r="Y88" s="12"/>
      <c r="Z88" s="13"/>
    </row>
    <row r="89" spans="1:26" x14ac:dyDescent="0.25">
      <c r="A89" s="72"/>
      <c r="B89" s="72"/>
      <c r="C89" s="72"/>
      <c r="D89" s="72"/>
      <c r="E89" s="72"/>
      <c r="F89" s="72"/>
      <c r="G89">
        <f>IF(ISNUMBER(SEARCH($G$2,H89)),MAX($G$4:G88)+1,0)</f>
        <v>0</v>
      </c>
      <c r="L89" s="11"/>
      <c r="M89" s="12"/>
      <c r="N89" s="12"/>
      <c r="O89" s="12"/>
      <c r="P89" s="13"/>
      <c r="Q89" s="11"/>
      <c r="R89" s="12"/>
      <c r="S89" s="12"/>
      <c r="T89" s="12"/>
      <c r="U89" s="13"/>
      <c r="V89" s="11"/>
      <c r="W89" s="12"/>
      <c r="X89" s="12"/>
      <c r="Y89" s="12"/>
      <c r="Z89" s="13"/>
    </row>
    <row r="90" spans="1:26" x14ac:dyDescent="0.25">
      <c r="A90" s="72"/>
      <c r="B90" s="72"/>
      <c r="C90" s="72"/>
      <c r="D90" s="72"/>
      <c r="E90" s="72"/>
      <c r="F90" s="72"/>
      <c r="G90">
        <f>IF(ISNUMBER(SEARCH($G$2,H90)),MAX($G$4:G89)+1,0)</f>
        <v>0</v>
      </c>
      <c r="L90" s="11"/>
      <c r="M90" s="12"/>
      <c r="N90" s="12"/>
      <c r="O90" s="12"/>
      <c r="P90" s="13"/>
      <c r="Q90" s="11"/>
      <c r="R90" s="12"/>
      <c r="S90" s="12"/>
      <c r="T90" s="12"/>
      <c r="U90" s="13"/>
      <c r="V90" s="11"/>
      <c r="W90" s="12"/>
      <c r="X90" s="12"/>
      <c r="Y90" s="12"/>
      <c r="Z90" s="13"/>
    </row>
    <row r="91" spans="1:26" x14ac:dyDescent="0.25">
      <c r="A91" s="72"/>
      <c r="B91" s="72"/>
      <c r="C91" s="72"/>
      <c r="D91" s="72"/>
      <c r="E91" s="72"/>
      <c r="F91" s="72"/>
      <c r="G91">
        <f>IF(ISNUMBER(SEARCH($G$2,H91)),MAX($G$4:G90)+1,0)</f>
        <v>0</v>
      </c>
      <c r="L91" s="11"/>
      <c r="M91" s="12"/>
      <c r="N91" s="12"/>
      <c r="O91" s="12"/>
      <c r="P91" s="13"/>
      <c r="Q91" s="11"/>
      <c r="R91" s="12"/>
      <c r="S91" s="12"/>
      <c r="T91" s="12"/>
      <c r="U91" s="13"/>
      <c r="V91" s="11"/>
      <c r="W91" s="12"/>
      <c r="X91" s="12"/>
      <c r="Y91" s="12"/>
      <c r="Z91" s="13"/>
    </row>
    <row r="92" spans="1:26" x14ac:dyDescent="0.25">
      <c r="A92" s="72"/>
      <c r="B92" s="72"/>
      <c r="C92" s="72"/>
      <c r="D92" s="72"/>
      <c r="E92" s="72"/>
      <c r="F92" s="72"/>
      <c r="G92">
        <f>IF(ISNUMBER(SEARCH($G$2,H92)),MAX($G$4:G91)+1,0)</f>
        <v>0</v>
      </c>
      <c r="L92" s="11"/>
      <c r="M92" s="12"/>
      <c r="N92" s="12"/>
      <c r="O92" s="12"/>
      <c r="P92" s="13"/>
      <c r="Q92" s="11"/>
      <c r="R92" s="12"/>
      <c r="S92" s="12"/>
      <c r="T92" s="12"/>
      <c r="U92" s="13"/>
      <c r="V92" s="11"/>
      <c r="W92" s="12"/>
      <c r="X92" s="12"/>
      <c r="Y92" s="12"/>
      <c r="Z92" s="13"/>
    </row>
    <row r="93" spans="1:26" x14ac:dyDescent="0.25">
      <c r="A93" s="72"/>
      <c r="B93" s="72"/>
      <c r="C93" s="72"/>
      <c r="D93" s="72"/>
      <c r="E93" s="72"/>
      <c r="F93" s="72"/>
      <c r="G93">
        <f>IF(ISNUMBER(SEARCH($G$2,H93)),MAX($G$4:G92)+1,0)</f>
        <v>0</v>
      </c>
      <c r="L93" s="11"/>
      <c r="M93" s="12"/>
      <c r="N93" s="12"/>
      <c r="O93" s="12"/>
      <c r="P93" s="13"/>
      <c r="Q93" s="11"/>
      <c r="R93" s="12"/>
      <c r="S93" s="12"/>
      <c r="T93" s="12"/>
      <c r="U93" s="13"/>
      <c r="V93" s="11"/>
      <c r="W93" s="12"/>
      <c r="X93" s="12"/>
      <c r="Y93" s="12"/>
      <c r="Z93" s="13"/>
    </row>
    <row r="94" spans="1:26" x14ac:dyDescent="0.25">
      <c r="A94" s="72"/>
      <c r="B94" s="72"/>
      <c r="C94" s="72"/>
      <c r="D94" s="72"/>
      <c r="E94" s="72"/>
      <c r="F94" s="72"/>
      <c r="G94">
        <f>IF(ISNUMBER(SEARCH($G$2,H94)),MAX($G$4:G93)+1,0)</f>
        <v>0</v>
      </c>
      <c r="L94" s="11"/>
      <c r="M94" s="12"/>
      <c r="N94" s="12"/>
      <c r="O94" s="12"/>
      <c r="P94" s="13"/>
      <c r="Q94" s="11"/>
      <c r="R94" s="12"/>
      <c r="S94" s="12"/>
      <c r="T94" s="12"/>
      <c r="U94" s="13"/>
      <c r="V94" s="11"/>
      <c r="W94" s="12"/>
      <c r="X94" s="12"/>
      <c r="Y94" s="12"/>
      <c r="Z94" s="13"/>
    </row>
    <row r="95" spans="1:26" x14ac:dyDescent="0.25">
      <c r="A95" s="72"/>
      <c r="B95" s="72"/>
      <c r="C95" s="72"/>
      <c r="D95" s="72"/>
      <c r="E95" s="72"/>
      <c r="F95" s="72"/>
      <c r="G95">
        <f>IF(ISNUMBER(SEARCH($G$2,H95)),MAX($G$4:G94)+1,0)</f>
        <v>0</v>
      </c>
      <c r="L95" s="11"/>
      <c r="M95" s="12"/>
      <c r="N95" s="12"/>
      <c r="O95" s="12"/>
      <c r="P95" s="13"/>
      <c r="Q95" s="11"/>
      <c r="R95" s="12"/>
      <c r="S95" s="12"/>
      <c r="T95" s="12"/>
      <c r="U95" s="13"/>
      <c r="V95" s="11"/>
      <c r="W95" s="12"/>
      <c r="X95" s="12"/>
      <c r="Y95" s="12"/>
      <c r="Z95" s="13"/>
    </row>
    <row r="96" spans="1:26" x14ac:dyDescent="0.25">
      <c r="A96" s="72"/>
      <c r="B96" s="72"/>
      <c r="C96" s="72"/>
      <c r="D96" s="72"/>
      <c r="E96" s="72"/>
      <c r="F96" s="72"/>
      <c r="G96">
        <f>IF(ISNUMBER(SEARCH($G$2,H96)),MAX($G$4:G95)+1,0)</f>
        <v>0</v>
      </c>
      <c r="L96" s="11"/>
      <c r="M96" s="12"/>
      <c r="N96" s="12"/>
      <c r="O96" s="12"/>
      <c r="P96" s="13"/>
      <c r="Q96" s="11"/>
      <c r="R96" s="12"/>
      <c r="S96" s="12"/>
      <c r="T96" s="12"/>
      <c r="U96" s="13"/>
      <c r="V96" s="11"/>
      <c r="W96" s="12"/>
      <c r="X96" s="12"/>
      <c r="Y96" s="12"/>
      <c r="Z96" s="13"/>
    </row>
    <row r="97" spans="1:26" x14ac:dyDescent="0.25">
      <c r="A97" s="72"/>
      <c r="B97" s="72"/>
      <c r="C97" s="72"/>
      <c r="D97" s="72"/>
      <c r="E97" s="72"/>
      <c r="F97" s="72"/>
      <c r="G97">
        <f>IF(ISNUMBER(SEARCH($G$2,H97)),MAX($G$4:G96)+1,0)</f>
        <v>0</v>
      </c>
      <c r="L97" s="11"/>
      <c r="M97" s="12"/>
      <c r="N97" s="12"/>
      <c r="O97" s="12"/>
      <c r="P97" s="13"/>
      <c r="Q97" s="11"/>
      <c r="R97" s="12"/>
      <c r="S97" s="12"/>
      <c r="T97" s="12"/>
      <c r="U97" s="13"/>
      <c r="V97" s="11"/>
      <c r="W97" s="12"/>
      <c r="X97" s="12"/>
      <c r="Y97" s="12"/>
      <c r="Z97" s="13"/>
    </row>
    <row r="98" spans="1:26" x14ac:dyDescent="0.25">
      <c r="A98" s="72"/>
      <c r="B98" s="72"/>
      <c r="C98" s="72"/>
      <c r="D98" s="72"/>
      <c r="E98" s="72"/>
      <c r="F98" s="72"/>
      <c r="G98">
        <f>IF(ISNUMBER(SEARCH($G$2,H98)),MAX($G$4:G97)+1,0)</f>
        <v>0</v>
      </c>
      <c r="L98" s="11"/>
      <c r="M98" s="12"/>
      <c r="N98" s="12"/>
      <c r="O98" s="12"/>
      <c r="P98" s="13"/>
      <c r="Q98" s="11"/>
      <c r="R98" s="12"/>
      <c r="S98" s="12"/>
      <c r="T98" s="12"/>
      <c r="U98" s="13"/>
      <c r="V98" s="11"/>
      <c r="W98" s="12"/>
      <c r="X98" s="12"/>
      <c r="Y98" s="12"/>
      <c r="Z98" s="13"/>
    </row>
    <row r="99" spans="1:26" x14ac:dyDescent="0.25">
      <c r="A99" s="72"/>
      <c r="B99" s="72"/>
      <c r="C99" s="72"/>
      <c r="D99" s="72"/>
      <c r="E99" s="72"/>
      <c r="F99" s="72"/>
      <c r="G99">
        <f>IF(ISNUMBER(SEARCH($G$2,H99)),MAX($G$4:G98)+1,0)</f>
        <v>0</v>
      </c>
      <c r="L99" s="11"/>
      <c r="M99" s="12"/>
      <c r="N99" s="12"/>
      <c r="O99" s="12"/>
      <c r="P99" s="13"/>
      <c r="Q99" s="11"/>
      <c r="R99" s="12"/>
      <c r="S99" s="12"/>
      <c r="T99" s="12"/>
      <c r="U99" s="13"/>
      <c r="V99" s="11"/>
      <c r="W99" s="12"/>
      <c r="X99" s="12"/>
      <c r="Y99" s="12"/>
      <c r="Z99" s="13"/>
    </row>
    <row r="100" spans="1:26" x14ac:dyDescent="0.25">
      <c r="A100" s="72"/>
      <c r="B100" s="72"/>
      <c r="C100" s="72"/>
      <c r="D100" s="72"/>
      <c r="E100" s="72"/>
      <c r="F100" s="72"/>
      <c r="G100">
        <f>IF(ISNUMBER(SEARCH($G$2,H100)),MAX($G$4:G99)+1,0)</f>
        <v>0</v>
      </c>
      <c r="L100" s="11"/>
      <c r="M100" s="12"/>
      <c r="N100" s="12"/>
      <c r="O100" s="12"/>
      <c r="P100" s="13"/>
      <c r="Q100" s="11"/>
      <c r="R100" s="12"/>
      <c r="S100" s="12"/>
      <c r="T100" s="12"/>
      <c r="U100" s="13"/>
      <c r="V100" s="11"/>
      <c r="W100" s="12"/>
      <c r="X100" s="12"/>
      <c r="Y100" s="12"/>
      <c r="Z100" s="13"/>
    </row>
    <row r="101" spans="1:26" x14ac:dyDescent="0.25">
      <c r="A101" s="72"/>
      <c r="B101" s="72"/>
      <c r="C101" s="72"/>
      <c r="D101" s="72"/>
      <c r="E101" s="72"/>
      <c r="F101" s="72"/>
      <c r="G101">
        <f>IF(ISNUMBER(SEARCH($G$2,H101)),MAX($G$4:G100)+1,0)</f>
        <v>0</v>
      </c>
      <c r="L101" s="11"/>
      <c r="M101" s="12"/>
      <c r="N101" s="12"/>
      <c r="O101" s="12"/>
      <c r="P101" s="13"/>
      <c r="Q101" s="11"/>
      <c r="R101" s="12"/>
      <c r="S101" s="12"/>
      <c r="T101" s="12"/>
      <c r="U101" s="13"/>
      <c r="V101" s="11"/>
      <c r="W101" s="12"/>
      <c r="X101" s="12"/>
      <c r="Y101" s="12"/>
      <c r="Z101" s="13"/>
    </row>
    <row r="102" spans="1:26" x14ac:dyDescent="0.25">
      <c r="A102" s="72"/>
      <c r="B102" s="72"/>
      <c r="C102" s="72"/>
      <c r="D102" s="72"/>
      <c r="E102" s="72"/>
      <c r="F102" s="72"/>
      <c r="G102">
        <f>IF(ISNUMBER(SEARCH($G$2,H102)),MAX($G$4:G101)+1,0)</f>
        <v>0</v>
      </c>
      <c r="L102" s="11"/>
      <c r="M102" s="12"/>
      <c r="N102" s="12"/>
      <c r="O102" s="12"/>
      <c r="P102" s="13"/>
      <c r="Q102" s="11"/>
      <c r="R102" s="12"/>
      <c r="S102" s="12"/>
      <c r="T102" s="12"/>
      <c r="U102" s="13"/>
      <c r="V102" s="11"/>
      <c r="W102" s="12"/>
      <c r="X102" s="12"/>
      <c r="Y102" s="12"/>
      <c r="Z102" s="13"/>
    </row>
    <row r="103" spans="1:26" x14ac:dyDescent="0.25">
      <c r="A103" s="72"/>
      <c r="B103" s="72"/>
      <c r="C103" s="72"/>
      <c r="D103" s="72"/>
      <c r="E103" s="72"/>
      <c r="F103" s="72"/>
      <c r="G103">
        <f>IF(ISNUMBER(SEARCH($G$2,H103)),MAX($G$4:G102)+1,0)</f>
        <v>0</v>
      </c>
      <c r="L103" s="11"/>
      <c r="M103" s="12"/>
      <c r="N103" s="12"/>
      <c r="O103" s="12"/>
      <c r="P103" s="13"/>
      <c r="Q103" s="11"/>
      <c r="R103" s="12"/>
      <c r="S103" s="12"/>
      <c r="T103" s="12"/>
      <c r="U103" s="13"/>
      <c r="V103" s="11"/>
      <c r="W103" s="12"/>
      <c r="X103" s="12"/>
      <c r="Y103" s="12"/>
      <c r="Z103" s="13"/>
    </row>
    <row r="104" spans="1:26" x14ac:dyDescent="0.25">
      <c r="A104" s="72"/>
      <c r="B104" s="72"/>
      <c r="C104" s="72"/>
      <c r="D104" s="72"/>
      <c r="E104" s="72"/>
      <c r="F104" s="72"/>
      <c r="G104">
        <f>IF(ISNUMBER(SEARCH($G$2,H104)),MAX($G$4:G103)+1,0)</f>
        <v>0</v>
      </c>
      <c r="L104" s="11"/>
      <c r="M104" s="12"/>
      <c r="N104" s="12"/>
      <c r="O104" s="12"/>
      <c r="P104" s="13"/>
      <c r="Q104" s="11"/>
      <c r="R104" s="12"/>
      <c r="S104" s="12"/>
      <c r="T104" s="12"/>
      <c r="U104" s="13"/>
      <c r="V104" s="11"/>
      <c r="W104" s="12"/>
      <c r="X104" s="12"/>
      <c r="Y104" s="12"/>
      <c r="Z104" s="13"/>
    </row>
    <row r="105" spans="1:26" x14ac:dyDescent="0.25">
      <c r="A105" s="72"/>
      <c r="B105" s="72"/>
      <c r="C105" s="72"/>
      <c r="D105" s="72"/>
      <c r="E105" s="72"/>
      <c r="F105" s="72"/>
      <c r="G105">
        <f>IF(ISNUMBER(SEARCH($G$2,H105)),MAX($G$4:G104)+1,0)</f>
        <v>0</v>
      </c>
      <c r="L105" s="11"/>
      <c r="M105" s="12"/>
      <c r="N105" s="12"/>
      <c r="O105" s="12"/>
      <c r="P105" s="13"/>
      <c r="Q105" s="11"/>
      <c r="R105" s="12"/>
      <c r="S105" s="12"/>
      <c r="T105" s="12"/>
      <c r="U105" s="13"/>
      <c r="V105" s="11"/>
      <c r="W105" s="12"/>
      <c r="X105" s="12"/>
      <c r="Y105" s="12"/>
      <c r="Z105" s="13"/>
    </row>
    <row r="106" spans="1:26" x14ac:dyDescent="0.25">
      <c r="A106" s="72"/>
      <c r="B106" s="72"/>
      <c r="C106" s="72"/>
      <c r="D106" s="72"/>
      <c r="E106" s="72"/>
      <c r="F106" s="72"/>
      <c r="G106">
        <f>IF(ISNUMBER(SEARCH($G$2,H106)),MAX($G$4:G105)+1,0)</f>
        <v>0</v>
      </c>
      <c r="L106" s="11"/>
      <c r="M106" s="12"/>
      <c r="N106" s="12"/>
      <c r="O106" s="12"/>
      <c r="P106" s="13"/>
      <c r="Q106" s="11"/>
      <c r="R106" s="12"/>
      <c r="S106" s="12"/>
      <c r="T106" s="12"/>
      <c r="U106" s="13"/>
      <c r="V106" s="11"/>
      <c r="W106" s="12"/>
      <c r="X106" s="12"/>
      <c r="Y106" s="12"/>
      <c r="Z106" s="13"/>
    </row>
    <row r="107" spans="1:26" x14ac:dyDescent="0.25">
      <c r="A107" s="72"/>
      <c r="B107" s="72"/>
      <c r="C107" s="72"/>
      <c r="D107" s="72"/>
      <c r="E107" s="72"/>
      <c r="F107" s="72"/>
      <c r="G107">
        <f>IF(ISNUMBER(SEARCH($G$2,H107)),MAX($G$4:G106)+1,0)</f>
        <v>0</v>
      </c>
      <c r="L107" s="11"/>
      <c r="M107" s="12"/>
      <c r="N107" s="12"/>
      <c r="O107" s="12"/>
      <c r="P107" s="13"/>
      <c r="Q107" s="11"/>
      <c r="R107" s="12"/>
      <c r="S107" s="12"/>
      <c r="T107" s="12"/>
      <c r="U107" s="13"/>
      <c r="V107" s="11"/>
      <c r="W107" s="12"/>
      <c r="X107" s="12"/>
      <c r="Y107" s="12"/>
      <c r="Z107" s="13"/>
    </row>
    <row r="108" spans="1:26" x14ac:dyDescent="0.25">
      <c r="A108" s="72"/>
      <c r="B108" s="72"/>
      <c r="C108" s="72"/>
      <c r="D108" s="72"/>
      <c r="E108" s="72"/>
      <c r="F108" s="72"/>
      <c r="G108">
        <f>IF(ISNUMBER(SEARCH($G$2,H108)),MAX($G$4:G107)+1,0)</f>
        <v>0</v>
      </c>
      <c r="L108" s="11"/>
      <c r="M108" s="12"/>
      <c r="N108" s="12"/>
      <c r="O108" s="12"/>
      <c r="P108" s="13"/>
      <c r="Q108" s="11"/>
      <c r="R108" s="12"/>
      <c r="S108" s="12"/>
      <c r="T108" s="12"/>
      <c r="U108" s="13"/>
      <c r="V108" s="11"/>
      <c r="W108" s="12"/>
      <c r="X108" s="12"/>
      <c r="Y108" s="12"/>
      <c r="Z108" s="13"/>
    </row>
    <row r="109" spans="1:26" x14ac:dyDescent="0.25">
      <c r="A109" s="72"/>
      <c r="B109" s="72"/>
      <c r="C109" s="72"/>
      <c r="D109" s="72"/>
      <c r="E109" s="72"/>
      <c r="F109" s="72"/>
      <c r="G109">
        <f>IF(ISNUMBER(SEARCH($G$2,H109)),MAX($G$4:G108)+1,0)</f>
        <v>0</v>
      </c>
      <c r="L109" s="11"/>
      <c r="M109" s="12"/>
      <c r="N109" s="12"/>
      <c r="O109" s="12"/>
      <c r="P109" s="13"/>
      <c r="Q109" s="11"/>
      <c r="R109" s="12"/>
      <c r="S109" s="12"/>
      <c r="T109" s="12"/>
      <c r="U109" s="13"/>
      <c r="V109" s="11"/>
      <c r="W109" s="12"/>
      <c r="X109" s="12"/>
      <c r="Y109" s="12"/>
      <c r="Z109" s="13"/>
    </row>
    <row r="110" spans="1:26" x14ac:dyDescent="0.25">
      <c r="A110" s="72"/>
      <c r="B110" s="72"/>
      <c r="C110" s="72"/>
      <c r="D110" s="72"/>
      <c r="E110" s="72"/>
      <c r="F110" s="72"/>
      <c r="G110">
        <f>IF(ISNUMBER(SEARCH($G$2,H110)),MAX($G$4:G109)+1,0)</f>
        <v>0</v>
      </c>
      <c r="L110" s="11"/>
      <c r="M110" s="12"/>
      <c r="N110" s="12"/>
      <c r="O110" s="12"/>
      <c r="P110" s="13"/>
      <c r="Q110" s="11"/>
      <c r="R110" s="12"/>
      <c r="S110" s="12"/>
      <c r="T110" s="12"/>
      <c r="U110" s="13"/>
      <c r="V110" s="11"/>
      <c r="W110" s="12"/>
      <c r="X110" s="12"/>
      <c r="Y110" s="12"/>
      <c r="Z110" s="13"/>
    </row>
    <row r="111" spans="1:26" x14ac:dyDescent="0.25">
      <c r="A111" s="72"/>
      <c r="B111" s="72"/>
      <c r="C111" s="72"/>
      <c r="D111" s="72"/>
      <c r="E111" s="72"/>
      <c r="F111" s="72"/>
      <c r="G111">
        <f>IF(ISNUMBER(SEARCH($G$2,H111)),MAX($G$4:G110)+1,0)</f>
        <v>0</v>
      </c>
      <c r="L111" s="11"/>
      <c r="M111" s="12"/>
      <c r="N111" s="12"/>
      <c r="O111" s="12"/>
      <c r="P111" s="13"/>
      <c r="Q111" s="11"/>
      <c r="R111" s="12"/>
      <c r="S111" s="12"/>
      <c r="T111" s="12"/>
      <c r="U111" s="13"/>
      <c r="V111" s="11"/>
      <c r="W111" s="12"/>
      <c r="X111" s="12"/>
      <c r="Y111" s="12"/>
      <c r="Z111" s="13"/>
    </row>
    <row r="112" spans="1:26" x14ac:dyDescent="0.25">
      <c r="A112" s="72"/>
      <c r="B112" s="72"/>
      <c r="C112" s="72"/>
      <c r="D112" s="72"/>
      <c r="E112" s="72"/>
      <c r="F112" s="72"/>
      <c r="G112">
        <f>IF(ISNUMBER(SEARCH($G$2,H112)),MAX($G$4:G111)+1,0)</f>
        <v>0</v>
      </c>
      <c r="L112" s="11"/>
      <c r="M112" s="12"/>
      <c r="N112" s="12"/>
      <c r="O112" s="12"/>
      <c r="P112" s="13"/>
      <c r="Q112" s="11"/>
      <c r="R112" s="12"/>
      <c r="S112" s="12"/>
      <c r="T112" s="12"/>
      <c r="U112" s="13"/>
      <c r="V112" s="11"/>
      <c r="W112" s="12"/>
      <c r="X112" s="12"/>
      <c r="Y112" s="12"/>
      <c r="Z112" s="13"/>
    </row>
    <row r="113" spans="1:26" x14ac:dyDescent="0.25">
      <c r="A113" s="72"/>
      <c r="B113" s="72"/>
      <c r="C113" s="72"/>
      <c r="D113" s="72"/>
      <c r="E113" s="72"/>
      <c r="F113" s="72"/>
      <c r="G113">
        <f>IF(ISNUMBER(SEARCH($G$2,H113)),MAX($G$4:G112)+1,0)</f>
        <v>0</v>
      </c>
      <c r="L113" s="11"/>
      <c r="M113" s="12"/>
      <c r="N113" s="12"/>
      <c r="O113" s="12"/>
      <c r="P113" s="13"/>
      <c r="Q113" s="11"/>
      <c r="R113" s="12"/>
      <c r="S113" s="12"/>
      <c r="T113" s="12"/>
      <c r="U113" s="13"/>
      <c r="V113" s="11"/>
      <c r="W113" s="12"/>
      <c r="X113" s="12"/>
      <c r="Y113" s="12"/>
      <c r="Z113" s="13"/>
    </row>
    <row r="114" spans="1:26" x14ac:dyDescent="0.25">
      <c r="A114" s="72"/>
      <c r="B114" s="72"/>
      <c r="C114" s="72"/>
      <c r="D114" s="72"/>
      <c r="E114" s="72"/>
      <c r="F114" s="72"/>
      <c r="G114">
        <f>IF(ISNUMBER(SEARCH($G$2,H114)),MAX($G$4:G113)+1,0)</f>
        <v>0</v>
      </c>
      <c r="L114" s="11"/>
      <c r="M114" s="12"/>
      <c r="N114" s="12"/>
      <c r="O114" s="12"/>
      <c r="P114" s="13"/>
      <c r="Q114" s="11"/>
      <c r="R114" s="12"/>
      <c r="S114" s="12"/>
      <c r="T114" s="12"/>
      <c r="U114" s="13"/>
      <c r="V114" s="11"/>
      <c r="W114" s="12"/>
      <c r="X114" s="12"/>
      <c r="Y114" s="12"/>
      <c r="Z114" s="13"/>
    </row>
    <row r="115" spans="1:26" x14ac:dyDescent="0.25">
      <c r="A115" s="72"/>
      <c r="B115" s="72"/>
      <c r="C115" s="72"/>
      <c r="D115" s="72"/>
      <c r="E115" s="72"/>
      <c r="F115" s="72"/>
      <c r="G115">
        <f>IF(ISNUMBER(SEARCH($G$2,H115)),MAX($G$4:G114)+1,0)</f>
        <v>0</v>
      </c>
      <c r="L115" s="11"/>
      <c r="M115" s="12"/>
      <c r="N115" s="12"/>
      <c r="O115" s="12"/>
      <c r="P115" s="13"/>
      <c r="Q115" s="11"/>
      <c r="R115" s="12"/>
      <c r="S115" s="12"/>
      <c r="T115" s="12"/>
      <c r="U115" s="13"/>
      <c r="V115" s="11"/>
      <c r="W115" s="12"/>
      <c r="X115" s="12"/>
      <c r="Y115" s="12"/>
      <c r="Z115" s="13"/>
    </row>
    <row r="116" spans="1:26" x14ac:dyDescent="0.25">
      <c r="A116" s="72"/>
      <c r="B116" s="72"/>
      <c r="C116" s="72"/>
      <c r="D116" s="72"/>
      <c r="E116" s="72"/>
      <c r="F116" s="72"/>
      <c r="G116">
        <f>IF(ISNUMBER(SEARCH($G$2,H116)),MAX($G$4:G115)+1,0)</f>
        <v>0</v>
      </c>
      <c r="L116" s="11"/>
      <c r="M116" s="12"/>
      <c r="N116" s="12"/>
      <c r="O116" s="12"/>
      <c r="P116" s="13"/>
      <c r="Q116" s="11"/>
      <c r="R116" s="12"/>
      <c r="S116" s="12"/>
      <c r="T116" s="12"/>
      <c r="U116" s="13"/>
      <c r="V116" s="11"/>
      <c r="W116" s="12"/>
      <c r="X116" s="12"/>
      <c r="Y116" s="12"/>
      <c r="Z116" s="13"/>
    </row>
    <row r="117" spans="1:26" x14ac:dyDescent="0.25">
      <c r="A117" s="72"/>
      <c r="B117" s="72"/>
      <c r="C117" s="72"/>
      <c r="D117" s="72"/>
      <c r="E117" s="72"/>
      <c r="F117" s="72"/>
      <c r="G117">
        <f>IF(ISNUMBER(SEARCH($G$2,H117)),MAX($G$4:G116)+1,0)</f>
        <v>0</v>
      </c>
      <c r="L117" s="11"/>
      <c r="M117" s="12"/>
      <c r="N117" s="12"/>
      <c r="O117" s="12"/>
      <c r="P117" s="13"/>
      <c r="Q117" s="11"/>
      <c r="R117" s="12"/>
      <c r="S117" s="12"/>
      <c r="T117" s="12"/>
      <c r="U117" s="13"/>
      <c r="V117" s="11"/>
      <c r="W117" s="12"/>
      <c r="X117" s="12"/>
      <c r="Y117" s="12"/>
      <c r="Z117" s="13"/>
    </row>
    <row r="118" spans="1:26" x14ac:dyDescent="0.25">
      <c r="A118" s="72"/>
      <c r="B118" s="72"/>
      <c r="C118" s="72"/>
      <c r="D118" s="72"/>
      <c r="E118" s="72"/>
      <c r="F118" s="72"/>
      <c r="G118">
        <f>IF(ISNUMBER(SEARCH($G$2,H118)),MAX($G$4:G117)+1,0)</f>
        <v>0</v>
      </c>
      <c r="L118" s="11"/>
      <c r="M118" s="12"/>
      <c r="N118" s="12"/>
      <c r="O118" s="12"/>
      <c r="P118" s="13"/>
      <c r="Q118" s="11"/>
      <c r="R118" s="12"/>
      <c r="S118" s="12"/>
      <c r="T118" s="12"/>
      <c r="U118" s="13"/>
      <c r="V118" s="11"/>
      <c r="W118" s="12"/>
      <c r="X118" s="12"/>
      <c r="Y118" s="12"/>
      <c r="Z118" s="13"/>
    </row>
    <row r="119" spans="1:26" x14ac:dyDescent="0.25">
      <c r="A119" s="72"/>
      <c r="B119" s="72"/>
      <c r="C119" s="72"/>
      <c r="D119" s="72"/>
      <c r="E119" s="72"/>
      <c r="F119" s="72"/>
      <c r="G119">
        <f>IF(ISNUMBER(SEARCH($G$2,H119)),MAX($G$4:G118)+1,0)</f>
        <v>0</v>
      </c>
      <c r="L119" s="11"/>
      <c r="M119" s="12"/>
      <c r="N119" s="12"/>
      <c r="O119" s="12"/>
      <c r="P119" s="13"/>
      <c r="Q119" s="11"/>
      <c r="R119" s="12"/>
      <c r="S119" s="12"/>
      <c r="T119" s="12"/>
      <c r="U119" s="13"/>
      <c r="V119" s="11"/>
      <c r="W119" s="12"/>
      <c r="X119" s="12"/>
      <c r="Y119" s="12"/>
      <c r="Z119" s="13"/>
    </row>
    <row r="120" spans="1:26" x14ac:dyDescent="0.25">
      <c r="A120" s="72"/>
      <c r="B120" s="72"/>
      <c r="C120" s="72"/>
      <c r="D120" s="72"/>
      <c r="E120" s="72"/>
      <c r="F120" s="72"/>
      <c r="G120">
        <f>IF(ISNUMBER(SEARCH($G$2,H120)),MAX($G$4:G119)+1,0)</f>
        <v>0</v>
      </c>
      <c r="L120" s="11"/>
      <c r="M120" s="12"/>
      <c r="N120" s="12"/>
      <c r="O120" s="12"/>
      <c r="P120" s="13"/>
      <c r="Q120" s="11"/>
      <c r="R120" s="12"/>
      <c r="S120" s="12"/>
      <c r="T120" s="12"/>
      <c r="U120" s="13"/>
      <c r="V120" s="11"/>
      <c r="W120" s="12"/>
      <c r="X120" s="12"/>
      <c r="Y120" s="12"/>
      <c r="Z120" s="13"/>
    </row>
    <row r="121" spans="1:26" x14ac:dyDescent="0.25">
      <c r="A121" s="72"/>
      <c r="B121" s="72"/>
      <c r="C121" s="72"/>
      <c r="D121" s="72"/>
      <c r="E121" s="72"/>
      <c r="F121" s="72"/>
      <c r="G121">
        <f>IF(ISNUMBER(SEARCH($G$2,H121)),MAX($G$4:G120)+1,0)</f>
        <v>0</v>
      </c>
      <c r="L121" s="11"/>
      <c r="M121" s="12"/>
      <c r="N121" s="12"/>
      <c r="O121" s="12"/>
      <c r="P121" s="13"/>
      <c r="Q121" s="11"/>
      <c r="R121" s="12"/>
      <c r="S121" s="12"/>
      <c r="T121" s="12"/>
      <c r="U121" s="13"/>
      <c r="V121" s="11"/>
      <c r="W121" s="12"/>
      <c r="X121" s="12"/>
      <c r="Y121" s="12"/>
      <c r="Z121" s="13"/>
    </row>
    <row r="122" spans="1:26" x14ac:dyDescent="0.25">
      <c r="A122" s="72"/>
      <c r="B122" s="72"/>
      <c r="C122" s="72"/>
      <c r="D122" s="72"/>
      <c r="E122" s="72"/>
      <c r="F122" s="72"/>
      <c r="G122">
        <f>IF(ISNUMBER(SEARCH($G$2,H122)),MAX($G$4:G121)+1,0)</f>
        <v>0</v>
      </c>
      <c r="L122" s="11"/>
      <c r="M122" s="12"/>
      <c r="N122" s="12"/>
      <c r="O122" s="12"/>
      <c r="P122" s="13"/>
      <c r="Q122" s="11"/>
      <c r="R122" s="12"/>
      <c r="S122" s="12"/>
      <c r="T122" s="12"/>
      <c r="U122" s="13"/>
      <c r="V122" s="11"/>
      <c r="W122" s="12"/>
      <c r="X122" s="12"/>
      <c r="Y122" s="12"/>
      <c r="Z122" s="13"/>
    </row>
    <row r="123" spans="1:26" x14ac:dyDescent="0.25">
      <c r="A123" s="72"/>
      <c r="B123" s="72"/>
      <c r="C123" s="72"/>
      <c r="D123" s="72"/>
      <c r="E123" s="72"/>
      <c r="F123" s="72"/>
      <c r="G123">
        <f>IF(ISNUMBER(SEARCH($G$2,H123)),MAX($G$4:G122)+1,0)</f>
        <v>0</v>
      </c>
      <c r="L123" s="11"/>
      <c r="M123" s="12"/>
      <c r="N123" s="12"/>
      <c r="O123" s="12"/>
      <c r="P123" s="13"/>
      <c r="Q123" s="11"/>
      <c r="R123" s="12"/>
      <c r="S123" s="12"/>
      <c r="T123" s="12"/>
      <c r="U123" s="13"/>
      <c r="V123" s="11"/>
      <c r="W123" s="12"/>
      <c r="X123" s="12"/>
      <c r="Y123" s="12"/>
      <c r="Z123" s="13"/>
    </row>
    <row r="124" spans="1:26" x14ac:dyDescent="0.25">
      <c r="A124" s="72"/>
      <c r="B124" s="72"/>
      <c r="C124" s="72"/>
      <c r="D124" s="72"/>
      <c r="E124" s="72"/>
      <c r="F124" s="72"/>
      <c r="G124">
        <f>IF(ISNUMBER(SEARCH($G$2,H124)),MAX($G$4:G123)+1,0)</f>
        <v>0</v>
      </c>
      <c r="L124" s="11"/>
      <c r="M124" s="12"/>
      <c r="N124" s="12"/>
      <c r="O124" s="12"/>
      <c r="P124" s="13"/>
      <c r="Q124" s="11"/>
      <c r="R124" s="12"/>
      <c r="S124" s="12"/>
      <c r="T124" s="12"/>
      <c r="U124" s="13"/>
      <c r="V124" s="11"/>
      <c r="W124" s="12"/>
      <c r="X124" s="12"/>
      <c r="Y124" s="12"/>
      <c r="Z124" s="13"/>
    </row>
    <row r="125" spans="1:26" x14ac:dyDescent="0.25">
      <c r="A125" s="72"/>
      <c r="B125" s="72"/>
      <c r="C125" s="72"/>
      <c r="D125" s="72"/>
      <c r="E125" s="72"/>
      <c r="F125" s="72"/>
      <c r="G125">
        <f>IF(ISNUMBER(SEARCH($G$2,H125)),MAX($G$4:G124)+1,0)</f>
        <v>0</v>
      </c>
      <c r="L125" s="11"/>
      <c r="M125" s="12"/>
      <c r="N125" s="12"/>
      <c r="O125" s="12"/>
      <c r="P125" s="13"/>
      <c r="Q125" s="11"/>
      <c r="R125" s="12"/>
      <c r="S125" s="12"/>
      <c r="T125" s="12"/>
      <c r="U125" s="13"/>
      <c r="V125" s="11"/>
      <c r="W125" s="12"/>
      <c r="X125" s="12"/>
      <c r="Y125" s="12"/>
      <c r="Z125" s="13"/>
    </row>
    <row r="126" spans="1:26" x14ac:dyDescent="0.25">
      <c r="A126" s="72"/>
      <c r="B126" s="72"/>
      <c r="C126" s="72"/>
      <c r="D126" s="72"/>
      <c r="E126" s="72"/>
      <c r="F126" s="72"/>
      <c r="G126">
        <f>IF(ISNUMBER(SEARCH($G$2,H126)),MAX($G$4:G125)+1,0)</f>
        <v>0</v>
      </c>
      <c r="L126" s="11"/>
      <c r="M126" s="12"/>
      <c r="N126" s="12"/>
      <c r="O126" s="12"/>
      <c r="P126" s="13"/>
      <c r="Q126" s="11"/>
      <c r="R126" s="12"/>
      <c r="S126" s="12"/>
      <c r="T126" s="12"/>
      <c r="U126" s="13"/>
      <c r="V126" s="11"/>
      <c r="W126" s="12"/>
      <c r="X126" s="12"/>
      <c r="Y126" s="12"/>
      <c r="Z126" s="13"/>
    </row>
    <row r="127" spans="1:26" x14ac:dyDescent="0.25">
      <c r="A127" s="72"/>
      <c r="B127" s="72"/>
      <c r="C127" s="72"/>
      <c r="D127" s="72"/>
      <c r="E127" s="72"/>
      <c r="F127" s="72"/>
      <c r="G127">
        <f>IF(ISNUMBER(SEARCH($G$2,H127)),MAX($G$4:G126)+1,0)</f>
        <v>0</v>
      </c>
      <c r="L127" s="11"/>
      <c r="M127" s="12"/>
      <c r="N127" s="12"/>
      <c r="O127" s="12"/>
      <c r="P127" s="13"/>
      <c r="Q127" s="11"/>
      <c r="R127" s="12"/>
      <c r="S127" s="12"/>
      <c r="T127" s="12"/>
      <c r="U127" s="13"/>
      <c r="V127" s="11"/>
      <c r="W127" s="12"/>
      <c r="X127" s="12"/>
      <c r="Y127" s="12"/>
      <c r="Z127" s="13"/>
    </row>
    <row r="128" spans="1:26" x14ac:dyDescent="0.25">
      <c r="A128" s="72"/>
      <c r="B128" s="72"/>
      <c r="C128" s="72"/>
      <c r="D128" s="72"/>
      <c r="E128" s="72"/>
      <c r="F128" s="72"/>
      <c r="G128">
        <f>IF(ISNUMBER(SEARCH($G$2,H128)),MAX($G$4:G127)+1,0)</f>
        <v>0</v>
      </c>
      <c r="L128" s="11"/>
      <c r="M128" s="12"/>
      <c r="N128" s="12"/>
      <c r="O128" s="12"/>
      <c r="P128" s="13"/>
      <c r="Q128" s="11"/>
      <c r="R128" s="12"/>
      <c r="S128" s="12"/>
      <c r="T128" s="12"/>
      <c r="U128" s="13"/>
      <c r="V128" s="11"/>
      <c r="W128" s="12"/>
      <c r="X128" s="12"/>
      <c r="Y128" s="12"/>
      <c r="Z128" s="13"/>
    </row>
    <row r="129" spans="1:26" x14ac:dyDescent="0.25">
      <c r="A129" s="72"/>
      <c r="B129" s="72"/>
      <c r="C129" s="72"/>
      <c r="D129" s="72"/>
      <c r="E129" s="72"/>
      <c r="F129" s="72"/>
      <c r="G129">
        <f>IF(ISNUMBER(SEARCH($G$2,H129)),MAX($G$4:G128)+1,0)</f>
        <v>0</v>
      </c>
      <c r="L129" s="11"/>
      <c r="M129" s="12"/>
      <c r="N129" s="12"/>
      <c r="O129" s="12"/>
      <c r="P129" s="13"/>
      <c r="Q129" s="11"/>
      <c r="R129" s="12"/>
      <c r="S129" s="12"/>
      <c r="T129" s="12"/>
      <c r="U129" s="13"/>
      <c r="V129" s="11"/>
      <c r="W129" s="12"/>
      <c r="X129" s="12"/>
      <c r="Y129" s="12"/>
      <c r="Z129" s="13"/>
    </row>
    <row r="130" spans="1:26" x14ac:dyDescent="0.25">
      <c r="A130" s="72"/>
      <c r="B130" s="72"/>
      <c r="C130" s="72"/>
      <c r="D130" s="72"/>
      <c r="E130" s="72"/>
      <c r="F130" s="72"/>
      <c r="G130">
        <f>IF(ISNUMBER(SEARCH($G$2,H130)),MAX($G$4:G129)+1,0)</f>
        <v>0</v>
      </c>
      <c r="L130" s="11"/>
      <c r="M130" s="12"/>
      <c r="N130" s="12"/>
      <c r="O130" s="12"/>
      <c r="P130" s="13"/>
      <c r="Q130" s="11"/>
      <c r="R130" s="12"/>
      <c r="S130" s="12"/>
      <c r="T130" s="12"/>
      <c r="U130" s="13"/>
      <c r="V130" s="11"/>
      <c r="W130" s="12"/>
      <c r="X130" s="12"/>
      <c r="Y130" s="12"/>
      <c r="Z130" s="13"/>
    </row>
    <row r="131" spans="1:26" x14ac:dyDescent="0.25">
      <c r="A131" s="72"/>
      <c r="B131" s="72"/>
      <c r="C131" s="72"/>
      <c r="D131" s="72"/>
      <c r="E131" s="72"/>
      <c r="F131" s="72"/>
      <c r="G131">
        <f>IF(ISNUMBER(SEARCH($G$2,H131)),MAX($G$4:G130)+1,0)</f>
        <v>0</v>
      </c>
      <c r="L131" s="11"/>
      <c r="M131" s="12"/>
      <c r="N131" s="12"/>
      <c r="O131" s="12"/>
      <c r="P131" s="13"/>
      <c r="Q131" s="11"/>
      <c r="R131" s="12"/>
      <c r="S131" s="12"/>
      <c r="T131" s="12"/>
      <c r="U131" s="13"/>
      <c r="V131" s="11"/>
      <c r="W131" s="12"/>
      <c r="X131" s="12"/>
      <c r="Y131" s="12"/>
      <c r="Z131" s="13"/>
    </row>
    <row r="132" spans="1:26" x14ac:dyDescent="0.25">
      <c r="A132" s="72"/>
      <c r="B132" s="72"/>
      <c r="C132" s="72"/>
      <c r="D132" s="72"/>
      <c r="E132" s="72"/>
      <c r="F132" s="72"/>
      <c r="G132">
        <f>IF(ISNUMBER(SEARCH($G$2,H132)),MAX($G$4:G131)+1,0)</f>
        <v>0</v>
      </c>
      <c r="L132" s="11"/>
      <c r="M132" s="12"/>
      <c r="N132" s="12"/>
      <c r="O132" s="12"/>
      <c r="P132" s="13"/>
      <c r="Q132" s="11"/>
      <c r="R132" s="12"/>
      <c r="S132" s="12"/>
      <c r="T132" s="12"/>
      <c r="U132" s="13"/>
      <c r="V132" s="11"/>
      <c r="W132" s="12"/>
      <c r="X132" s="12"/>
      <c r="Y132" s="12"/>
      <c r="Z132" s="13"/>
    </row>
    <row r="133" spans="1:26" x14ac:dyDescent="0.25">
      <c r="A133" s="72"/>
      <c r="B133" s="72"/>
      <c r="C133" s="72"/>
      <c r="D133" s="72"/>
      <c r="E133" s="72"/>
      <c r="F133" s="72"/>
      <c r="G133">
        <f>IF(ISNUMBER(SEARCH($G$2,H133)),MAX($G$4:G132)+1,0)</f>
        <v>0</v>
      </c>
      <c r="L133" s="11"/>
      <c r="M133" s="12"/>
      <c r="N133" s="12"/>
      <c r="O133" s="12"/>
      <c r="P133" s="13"/>
      <c r="Q133" s="11"/>
      <c r="R133" s="12"/>
      <c r="S133" s="12"/>
      <c r="T133" s="12"/>
      <c r="U133" s="13"/>
      <c r="V133" s="11"/>
      <c r="W133" s="12"/>
      <c r="X133" s="12"/>
      <c r="Y133" s="12"/>
      <c r="Z133" s="13"/>
    </row>
    <row r="134" spans="1:26" x14ac:dyDescent="0.25">
      <c r="A134" s="72"/>
      <c r="B134" s="72"/>
      <c r="C134" s="72"/>
      <c r="D134" s="72"/>
      <c r="E134" s="72"/>
      <c r="F134" s="72"/>
      <c r="G134">
        <f>IF(ISNUMBER(SEARCH($G$2,H134)),MAX($G$4:G133)+1,0)</f>
        <v>0</v>
      </c>
      <c r="L134" s="11"/>
      <c r="M134" s="12"/>
      <c r="N134" s="12"/>
      <c r="O134" s="12"/>
      <c r="P134" s="13"/>
      <c r="Q134" s="11"/>
      <c r="R134" s="12"/>
      <c r="S134" s="12"/>
      <c r="T134" s="12"/>
      <c r="U134" s="13"/>
      <c r="V134" s="11"/>
      <c r="W134" s="12"/>
      <c r="X134" s="12"/>
      <c r="Y134" s="12"/>
      <c r="Z134" s="13"/>
    </row>
    <row r="135" spans="1:26" x14ac:dyDescent="0.25">
      <c r="A135" s="72"/>
      <c r="B135" s="72"/>
      <c r="C135" s="72"/>
      <c r="D135" s="72"/>
      <c r="E135" s="72"/>
      <c r="F135" s="72"/>
      <c r="G135">
        <f>IF(ISNUMBER(SEARCH($G$2,H135)),MAX($G$4:G134)+1,0)</f>
        <v>0</v>
      </c>
      <c r="L135" s="11"/>
      <c r="M135" s="12"/>
      <c r="N135" s="12"/>
      <c r="O135" s="12"/>
      <c r="P135" s="13"/>
      <c r="Q135" s="11"/>
      <c r="R135" s="12"/>
      <c r="S135" s="12"/>
      <c r="T135" s="12"/>
      <c r="U135" s="13"/>
      <c r="V135" s="11"/>
      <c r="W135" s="12"/>
      <c r="X135" s="12"/>
      <c r="Y135" s="12"/>
      <c r="Z135" s="13"/>
    </row>
    <row r="136" spans="1:26" x14ac:dyDescent="0.25">
      <c r="A136" s="72"/>
      <c r="B136" s="72"/>
      <c r="C136" s="72"/>
      <c r="D136" s="72"/>
      <c r="E136" s="72"/>
      <c r="F136" s="72"/>
      <c r="G136">
        <f>IF(ISNUMBER(SEARCH($G$2,H136)),MAX($G$4:G135)+1,0)</f>
        <v>0</v>
      </c>
      <c r="L136" s="11"/>
      <c r="M136" s="12"/>
      <c r="N136" s="12"/>
      <c r="O136" s="12"/>
      <c r="P136" s="13"/>
      <c r="Q136" s="11"/>
      <c r="R136" s="12"/>
      <c r="S136" s="12"/>
      <c r="T136" s="12"/>
      <c r="U136" s="13"/>
      <c r="V136" s="11"/>
      <c r="W136" s="12"/>
      <c r="X136" s="12"/>
      <c r="Y136" s="12"/>
      <c r="Z136" s="13"/>
    </row>
    <row r="137" spans="1:26" x14ac:dyDescent="0.25">
      <c r="A137" s="71"/>
      <c r="B137" s="71"/>
      <c r="C137" s="71"/>
      <c r="D137" s="71"/>
      <c r="E137" s="71"/>
      <c r="F137" s="71"/>
      <c r="G137">
        <f>IF(ISNUMBER(SEARCH($G$2,H137)),MAX($G$4:G136)+1,0)</f>
        <v>0</v>
      </c>
      <c r="L137" s="11"/>
      <c r="M137" s="12"/>
      <c r="N137" s="12"/>
      <c r="O137" s="12"/>
      <c r="P137" s="13"/>
      <c r="Q137" s="11"/>
      <c r="R137" s="12"/>
      <c r="S137" s="12"/>
      <c r="T137" s="12"/>
      <c r="U137" s="13"/>
      <c r="V137" s="11"/>
      <c r="W137" s="12"/>
      <c r="X137" s="12"/>
      <c r="Y137" s="12"/>
      <c r="Z137" s="13"/>
    </row>
    <row r="138" spans="1:26" x14ac:dyDescent="0.25">
      <c r="G138">
        <f>IF(ISNUMBER(SEARCH($G$2,H138)),MAX($G$4:G137)+1,0)</f>
        <v>0</v>
      </c>
      <c r="L138" s="11"/>
      <c r="M138" s="12"/>
      <c r="N138" s="12"/>
      <c r="O138" s="12"/>
      <c r="P138" s="13"/>
      <c r="Q138" s="11"/>
      <c r="R138" s="12"/>
      <c r="S138" s="12"/>
      <c r="T138" s="12"/>
      <c r="U138" s="13"/>
      <c r="V138" s="11"/>
      <c r="W138" s="12"/>
      <c r="X138" s="12"/>
      <c r="Y138" s="12"/>
      <c r="Z138" s="13"/>
    </row>
    <row r="139" spans="1:26" x14ac:dyDescent="0.25">
      <c r="G139">
        <f>IF(ISNUMBER(SEARCH($G$2,H139)),MAX($G$4:G138)+1,0)</f>
        <v>0</v>
      </c>
      <c r="L139" s="11"/>
      <c r="M139" s="12"/>
      <c r="N139" s="12"/>
      <c r="O139" s="12"/>
      <c r="P139" s="13"/>
      <c r="Q139" s="11"/>
      <c r="R139" s="12"/>
      <c r="S139" s="12"/>
      <c r="T139" s="12"/>
      <c r="U139" s="13"/>
      <c r="V139" s="11"/>
      <c r="W139" s="12"/>
      <c r="X139" s="12"/>
      <c r="Y139" s="12"/>
      <c r="Z139" s="13"/>
    </row>
    <row r="140" spans="1:26" x14ac:dyDescent="0.25">
      <c r="G140">
        <f>IF(ISNUMBER(SEARCH($G$2,H140)),MAX($G$4:G139)+1,0)</f>
        <v>0</v>
      </c>
      <c r="L140" s="11"/>
      <c r="M140" s="12"/>
      <c r="N140" s="12"/>
      <c r="O140" s="12"/>
      <c r="P140" s="13"/>
      <c r="Q140" s="11"/>
      <c r="R140" s="12"/>
      <c r="S140" s="12"/>
      <c r="T140" s="12"/>
      <c r="U140" s="13"/>
      <c r="V140" s="11"/>
      <c r="W140" s="12"/>
      <c r="X140" s="12"/>
      <c r="Y140" s="12"/>
      <c r="Z140" s="13"/>
    </row>
    <row r="141" spans="1:26" x14ac:dyDescent="0.25">
      <c r="G141">
        <f>IF(ISNUMBER(SEARCH($G$2,H141)),MAX($G$4:G140)+1,0)</f>
        <v>0</v>
      </c>
      <c r="L141" s="11"/>
      <c r="M141" s="12"/>
      <c r="N141" s="12"/>
      <c r="O141" s="12"/>
      <c r="P141" s="13"/>
      <c r="Q141" s="11"/>
      <c r="R141" s="12"/>
      <c r="S141" s="12"/>
      <c r="T141" s="12"/>
      <c r="U141" s="13"/>
      <c r="V141" s="11"/>
      <c r="W141" s="12"/>
      <c r="X141" s="12"/>
      <c r="Y141" s="12"/>
      <c r="Z141" s="13"/>
    </row>
    <row r="142" spans="1:26" x14ac:dyDescent="0.25">
      <c r="G142">
        <f>IF(ISNUMBER(SEARCH($G$2,H142)),MAX($G$4:G141)+1,0)</f>
        <v>0</v>
      </c>
      <c r="L142" s="11"/>
      <c r="M142" s="12"/>
      <c r="N142" s="12"/>
      <c r="O142" s="12"/>
      <c r="P142" s="13"/>
      <c r="Q142" s="11"/>
      <c r="R142" s="12"/>
      <c r="S142" s="12"/>
      <c r="T142" s="12"/>
      <c r="U142" s="13"/>
      <c r="V142" s="11"/>
      <c r="W142" s="12"/>
      <c r="X142" s="12"/>
      <c r="Y142" s="12"/>
      <c r="Z142" s="13"/>
    </row>
    <row r="143" spans="1:26" x14ac:dyDescent="0.25">
      <c r="G143">
        <f>IF(ISNUMBER(SEARCH($G$2,H143)),MAX($G$4:G142)+1,0)</f>
        <v>0</v>
      </c>
      <c r="L143" s="11"/>
      <c r="M143" s="12"/>
      <c r="N143" s="12"/>
      <c r="O143" s="12"/>
      <c r="P143" s="13"/>
      <c r="Q143" s="11"/>
      <c r="R143" s="12"/>
      <c r="S143" s="12"/>
      <c r="T143" s="12"/>
      <c r="U143" s="13"/>
      <c r="V143" s="11"/>
      <c r="W143" s="12"/>
      <c r="X143" s="12"/>
      <c r="Y143" s="12"/>
      <c r="Z143" s="13"/>
    </row>
    <row r="144" spans="1:26" x14ac:dyDescent="0.25">
      <c r="G144">
        <f>IF(ISNUMBER(SEARCH($G$2,H144)),MAX($G$4:G143)+1,0)</f>
        <v>0</v>
      </c>
      <c r="L144" s="11"/>
      <c r="M144" s="12"/>
      <c r="N144" s="12"/>
      <c r="O144" s="12"/>
      <c r="P144" s="13"/>
      <c r="Q144" s="11"/>
      <c r="R144" s="12"/>
      <c r="S144" s="12"/>
      <c r="T144" s="12"/>
      <c r="U144" s="13"/>
      <c r="V144" s="11"/>
      <c r="W144" s="12"/>
      <c r="X144" s="12"/>
      <c r="Y144" s="12"/>
      <c r="Z144" s="13"/>
    </row>
    <row r="145" spans="7:26" x14ac:dyDescent="0.25">
      <c r="G145">
        <f>IF(ISNUMBER(SEARCH($G$2,H145)),MAX($G$4:G144)+1,0)</f>
        <v>0</v>
      </c>
      <c r="L145" s="11"/>
      <c r="M145" s="12"/>
      <c r="N145" s="12"/>
      <c r="O145" s="12"/>
      <c r="P145" s="13"/>
      <c r="Q145" s="11"/>
      <c r="R145" s="12"/>
      <c r="S145" s="12"/>
      <c r="T145" s="12"/>
      <c r="U145" s="13"/>
      <c r="V145" s="11"/>
      <c r="W145" s="12"/>
      <c r="X145" s="12"/>
      <c r="Y145" s="12"/>
      <c r="Z145" s="13"/>
    </row>
    <row r="146" spans="7:26" x14ac:dyDescent="0.25">
      <c r="G146">
        <f>IF(ISNUMBER(SEARCH($G$2,H146)),MAX($G$4:G145)+1,0)</f>
        <v>0</v>
      </c>
      <c r="L146" s="11"/>
      <c r="M146" s="12"/>
      <c r="N146" s="12"/>
      <c r="O146" s="12"/>
      <c r="P146" s="13"/>
      <c r="Q146" s="11"/>
      <c r="R146" s="12"/>
      <c r="S146" s="12"/>
      <c r="T146" s="12"/>
      <c r="U146" s="13"/>
      <c r="V146" s="11"/>
      <c r="W146" s="12"/>
      <c r="X146" s="12"/>
      <c r="Y146" s="12"/>
      <c r="Z146" s="13"/>
    </row>
    <row r="147" spans="7:26" x14ac:dyDescent="0.25">
      <c r="G147">
        <f>IF(ISNUMBER(SEARCH($G$2,H147)),MAX($G$4:G146)+1,0)</f>
        <v>0</v>
      </c>
      <c r="L147" s="11"/>
      <c r="M147" s="12"/>
      <c r="N147" s="12"/>
      <c r="O147" s="12"/>
      <c r="P147" s="13"/>
      <c r="Q147" s="11"/>
      <c r="R147" s="12"/>
      <c r="S147" s="12"/>
      <c r="T147" s="12"/>
      <c r="U147" s="13"/>
      <c r="V147" s="11"/>
      <c r="W147" s="12"/>
      <c r="X147" s="12"/>
      <c r="Y147" s="12"/>
      <c r="Z147" s="13"/>
    </row>
    <row r="148" spans="7:26" x14ac:dyDescent="0.25">
      <c r="G148">
        <f>IF(ISNUMBER(SEARCH($G$2,H148)),MAX($G$4:G147)+1,0)</f>
        <v>0</v>
      </c>
      <c r="L148" s="11"/>
      <c r="M148" s="12"/>
      <c r="N148" s="12"/>
      <c r="O148" s="12"/>
      <c r="P148" s="13"/>
      <c r="Q148" s="11"/>
      <c r="R148" s="12"/>
      <c r="S148" s="12"/>
      <c r="T148" s="12"/>
      <c r="U148" s="13"/>
      <c r="V148" s="11"/>
      <c r="W148" s="12"/>
      <c r="X148" s="12"/>
      <c r="Y148" s="12"/>
      <c r="Z148" s="13"/>
    </row>
    <row r="149" spans="7:26" x14ac:dyDescent="0.25">
      <c r="G149">
        <f>IF(ISNUMBER(SEARCH($G$2,H149)),MAX($G$4:G148)+1,0)</f>
        <v>0</v>
      </c>
      <c r="L149" s="11"/>
      <c r="M149" s="12"/>
      <c r="N149" s="12"/>
      <c r="O149" s="12"/>
      <c r="P149" s="13"/>
      <c r="Q149" s="11"/>
      <c r="R149" s="12"/>
      <c r="S149" s="12"/>
      <c r="T149" s="12"/>
      <c r="U149" s="13"/>
      <c r="V149" s="11"/>
      <c r="W149" s="12"/>
      <c r="X149" s="12"/>
      <c r="Y149" s="12"/>
      <c r="Z149" s="13"/>
    </row>
    <row r="150" spans="7:26" x14ac:dyDescent="0.25">
      <c r="G150">
        <f>IF(ISNUMBER(SEARCH($G$2,H150)),MAX($G$4:G149)+1,0)</f>
        <v>0</v>
      </c>
      <c r="L150" s="11"/>
      <c r="M150" s="12"/>
      <c r="N150" s="12"/>
      <c r="O150" s="12"/>
      <c r="P150" s="13"/>
      <c r="Q150" s="11"/>
      <c r="R150" s="12"/>
      <c r="S150" s="12"/>
      <c r="T150" s="12"/>
      <c r="U150" s="13"/>
      <c r="V150" s="11"/>
      <c r="W150" s="12"/>
      <c r="X150" s="12"/>
      <c r="Y150" s="12"/>
      <c r="Z150" s="13"/>
    </row>
    <row r="151" spans="7:26" x14ac:dyDescent="0.25">
      <c r="G151">
        <f>IF(ISNUMBER(SEARCH($G$2,H151)),MAX($G$4:G150)+1,0)</f>
        <v>0</v>
      </c>
      <c r="L151" s="11"/>
      <c r="M151" s="12"/>
      <c r="N151" s="12"/>
      <c r="O151" s="12"/>
      <c r="P151" s="13"/>
      <c r="Q151" s="11"/>
      <c r="R151" s="12"/>
      <c r="S151" s="12"/>
      <c r="T151" s="12"/>
      <c r="U151" s="13"/>
      <c r="V151" s="11"/>
      <c r="W151" s="12"/>
      <c r="X151" s="12"/>
      <c r="Y151" s="12"/>
      <c r="Z151" s="13"/>
    </row>
    <row r="152" spans="7:26" x14ac:dyDescent="0.25">
      <c r="G152">
        <f>IF(ISNUMBER(SEARCH($G$2,H152)),MAX($G$4:G151)+1,0)</f>
        <v>0</v>
      </c>
      <c r="L152" s="11"/>
      <c r="M152" s="12"/>
      <c r="N152" s="12"/>
      <c r="O152" s="12"/>
      <c r="P152" s="13"/>
      <c r="Q152" s="11"/>
      <c r="R152" s="12"/>
      <c r="S152" s="12"/>
      <c r="T152" s="12"/>
      <c r="U152" s="13"/>
      <c r="V152" s="11"/>
      <c r="W152" s="12"/>
      <c r="X152" s="12"/>
      <c r="Y152" s="12"/>
      <c r="Z152" s="13"/>
    </row>
    <row r="153" spans="7:26" x14ac:dyDescent="0.25">
      <c r="G153">
        <f>IF(ISNUMBER(SEARCH($G$2,H153)),MAX($G$4:G152)+1,0)</f>
        <v>0</v>
      </c>
      <c r="L153" s="11"/>
      <c r="M153" s="12"/>
      <c r="N153" s="12"/>
      <c r="O153" s="12"/>
      <c r="P153" s="13"/>
      <c r="Q153" s="11"/>
      <c r="R153" s="12"/>
      <c r="S153" s="12"/>
      <c r="T153" s="12"/>
      <c r="U153" s="13"/>
      <c r="V153" s="11"/>
      <c r="W153" s="12"/>
      <c r="X153" s="12"/>
      <c r="Y153" s="12"/>
      <c r="Z153" s="13"/>
    </row>
    <row r="154" spans="7:26" x14ac:dyDescent="0.25">
      <c r="G154">
        <f>IF(ISNUMBER(SEARCH($G$2,H154)),MAX($G$4:G153)+1,0)</f>
        <v>0</v>
      </c>
      <c r="L154" s="11"/>
      <c r="M154" s="12"/>
      <c r="N154" s="12"/>
      <c r="O154" s="12"/>
      <c r="P154" s="13"/>
      <c r="Q154" s="11"/>
      <c r="R154" s="12"/>
      <c r="S154" s="12"/>
      <c r="T154" s="12"/>
      <c r="U154" s="13"/>
      <c r="V154" s="11"/>
      <c r="W154" s="12"/>
      <c r="X154" s="12"/>
      <c r="Y154" s="12"/>
      <c r="Z154" s="13"/>
    </row>
    <row r="155" spans="7:26" x14ac:dyDescent="0.25">
      <c r="G155">
        <f>IF(ISNUMBER(SEARCH($G$2,H155)),MAX($G$4:G154)+1,0)</f>
        <v>0</v>
      </c>
      <c r="L155" s="11"/>
      <c r="M155" s="12"/>
      <c r="N155" s="12"/>
      <c r="O155" s="12"/>
      <c r="P155" s="13"/>
      <c r="Q155" s="11"/>
      <c r="R155" s="12"/>
      <c r="S155" s="12"/>
      <c r="T155" s="12"/>
      <c r="U155" s="13"/>
      <c r="V155" s="11"/>
      <c r="W155" s="12"/>
      <c r="X155" s="12"/>
      <c r="Y155" s="12"/>
      <c r="Z155" s="13"/>
    </row>
    <row r="156" spans="7:26" x14ac:dyDescent="0.25">
      <c r="G156">
        <f>IF(ISNUMBER(SEARCH($G$2,H156)),MAX($G$4:G155)+1,0)</f>
        <v>0</v>
      </c>
      <c r="L156" s="11"/>
      <c r="M156" s="12"/>
      <c r="N156" s="12"/>
      <c r="O156" s="12"/>
      <c r="P156" s="13"/>
      <c r="Q156" s="11"/>
      <c r="R156" s="12"/>
      <c r="S156" s="12"/>
      <c r="T156" s="12"/>
      <c r="U156" s="13"/>
      <c r="V156" s="11"/>
      <c r="W156" s="12"/>
      <c r="X156" s="12"/>
      <c r="Y156" s="12"/>
      <c r="Z156" s="13"/>
    </row>
    <row r="157" spans="7:26" x14ac:dyDescent="0.25">
      <c r="G157">
        <f>IF(ISNUMBER(SEARCH($G$2,H157)),MAX($G$4:G156)+1,0)</f>
        <v>0</v>
      </c>
      <c r="L157" s="11"/>
      <c r="M157" s="12"/>
      <c r="N157" s="12"/>
      <c r="O157" s="12"/>
      <c r="P157" s="13"/>
      <c r="Q157" s="11"/>
      <c r="R157" s="12"/>
      <c r="S157" s="12"/>
      <c r="T157" s="12"/>
      <c r="U157" s="13"/>
      <c r="V157" s="11"/>
      <c r="W157" s="12"/>
      <c r="X157" s="12"/>
      <c r="Y157" s="12"/>
      <c r="Z157" s="13"/>
    </row>
    <row r="158" spans="7:26" x14ac:dyDescent="0.25">
      <c r="G158">
        <f>IF(ISNUMBER(SEARCH($G$2,H158)),MAX($G$4:G157)+1,0)</f>
        <v>0</v>
      </c>
      <c r="L158" s="11"/>
      <c r="M158" s="12"/>
      <c r="N158" s="12"/>
      <c r="O158" s="12"/>
      <c r="P158" s="13"/>
      <c r="Q158" s="11"/>
      <c r="R158" s="12"/>
      <c r="S158" s="12"/>
      <c r="T158" s="12"/>
      <c r="U158" s="13"/>
      <c r="V158" s="11"/>
      <c r="W158" s="12"/>
      <c r="X158" s="12"/>
      <c r="Y158" s="12"/>
      <c r="Z158" s="13"/>
    </row>
    <row r="159" spans="7:26" x14ac:dyDescent="0.25">
      <c r="G159">
        <f>IF(ISNUMBER(SEARCH($G$2,H159)),MAX($G$4:G158)+1,0)</f>
        <v>0</v>
      </c>
      <c r="L159" s="11"/>
      <c r="M159" s="12"/>
      <c r="N159" s="12"/>
      <c r="O159" s="12"/>
      <c r="P159" s="13"/>
      <c r="Q159" s="11"/>
      <c r="R159" s="12"/>
      <c r="S159" s="12"/>
      <c r="T159" s="12"/>
      <c r="U159" s="13"/>
      <c r="V159" s="11"/>
      <c r="W159" s="12"/>
      <c r="X159" s="12"/>
      <c r="Y159" s="12"/>
      <c r="Z159" s="13"/>
    </row>
    <row r="160" spans="7:26" x14ac:dyDescent="0.25">
      <c r="G160">
        <f>IF(ISNUMBER(SEARCH($G$2,H160)),MAX($G$4:G159)+1,0)</f>
        <v>0</v>
      </c>
      <c r="L160" s="11"/>
      <c r="M160" s="12"/>
      <c r="N160" s="12"/>
      <c r="O160" s="12"/>
      <c r="P160" s="13"/>
      <c r="Q160" s="11"/>
      <c r="R160" s="12"/>
      <c r="S160" s="12"/>
      <c r="T160" s="12"/>
      <c r="U160" s="13"/>
      <c r="V160" s="11"/>
      <c r="W160" s="12"/>
      <c r="X160" s="12"/>
      <c r="Y160" s="12"/>
      <c r="Z160" s="13"/>
    </row>
    <row r="161" spans="7:26" x14ac:dyDescent="0.25">
      <c r="G161">
        <f>IF(ISNUMBER(SEARCH($G$2,H161)),MAX($G$4:G160)+1,0)</f>
        <v>0</v>
      </c>
      <c r="L161" s="11"/>
      <c r="M161" s="12"/>
      <c r="N161" s="12"/>
      <c r="O161" s="12"/>
      <c r="P161" s="13"/>
      <c r="Q161" s="11"/>
      <c r="R161" s="12"/>
      <c r="S161" s="12"/>
      <c r="T161" s="12"/>
      <c r="U161" s="13"/>
      <c r="V161" s="11"/>
      <c r="W161" s="12"/>
      <c r="X161" s="12"/>
      <c r="Y161" s="12"/>
      <c r="Z161" s="13"/>
    </row>
    <row r="162" spans="7:26" x14ac:dyDescent="0.25">
      <c r="G162">
        <f>IF(ISNUMBER(SEARCH($G$2,H162)),MAX($G$4:G161)+1,0)</f>
        <v>0</v>
      </c>
      <c r="L162" s="11"/>
      <c r="M162" s="12"/>
      <c r="N162" s="12"/>
      <c r="O162" s="12"/>
      <c r="P162" s="13"/>
      <c r="Q162" s="11"/>
      <c r="R162" s="12"/>
      <c r="S162" s="12"/>
      <c r="T162" s="12"/>
      <c r="U162" s="13"/>
      <c r="V162" s="11"/>
      <c r="W162" s="12"/>
      <c r="X162" s="12"/>
      <c r="Y162" s="12"/>
      <c r="Z162" s="13"/>
    </row>
    <row r="163" spans="7:26" x14ac:dyDescent="0.25">
      <c r="G163">
        <f>IF(ISNUMBER(SEARCH($G$2,H163)),MAX($G$4:G162)+1,0)</f>
        <v>0</v>
      </c>
      <c r="L163" s="11"/>
      <c r="M163" s="12"/>
      <c r="N163" s="12"/>
      <c r="O163" s="12"/>
      <c r="P163" s="13"/>
      <c r="Q163" s="11"/>
      <c r="R163" s="12"/>
      <c r="S163" s="12"/>
      <c r="T163" s="12"/>
      <c r="U163" s="13"/>
      <c r="V163" s="11"/>
      <c r="W163" s="12"/>
      <c r="X163" s="12"/>
      <c r="Y163" s="12"/>
      <c r="Z163" s="13"/>
    </row>
    <row r="164" spans="7:26" x14ac:dyDescent="0.25">
      <c r="G164">
        <f>IF(ISNUMBER(SEARCH($G$2,H164)),MAX($G$4:G163)+1,0)</f>
        <v>0</v>
      </c>
      <c r="L164" s="11"/>
      <c r="M164" s="12"/>
      <c r="N164" s="12"/>
      <c r="O164" s="12"/>
      <c r="P164" s="13"/>
      <c r="Q164" s="11"/>
      <c r="R164" s="12"/>
      <c r="S164" s="12"/>
      <c r="T164" s="12"/>
      <c r="U164" s="13"/>
      <c r="V164" s="11"/>
      <c r="W164" s="12"/>
      <c r="X164" s="12"/>
      <c r="Y164" s="12"/>
      <c r="Z164" s="13"/>
    </row>
    <row r="165" spans="7:26" x14ac:dyDescent="0.25">
      <c r="G165">
        <f>IF(ISNUMBER(SEARCH($G$2,H165)),MAX($G$4:G164)+1,0)</f>
        <v>0</v>
      </c>
      <c r="L165" s="11"/>
      <c r="M165" s="12"/>
      <c r="N165" s="12"/>
      <c r="O165" s="12"/>
      <c r="P165" s="13"/>
      <c r="Q165" s="11"/>
      <c r="R165" s="12"/>
      <c r="S165" s="12"/>
      <c r="T165" s="12"/>
      <c r="U165" s="13"/>
      <c r="V165" s="11"/>
      <c r="W165" s="12"/>
      <c r="X165" s="12"/>
      <c r="Y165" s="12"/>
      <c r="Z165" s="13"/>
    </row>
    <row r="166" spans="7:26" x14ac:dyDescent="0.25">
      <c r="G166">
        <f>IF(ISNUMBER(SEARCH($G$2,H166)),MAX($G$4:G165)+1,0)</f>
        <v>0</v>
      </c>
      <c r="L166" s="11"/>
      <c r="M166" s="12"/>
      <c r="N166" s="12"/>
      <c r="O166" s="12"/>
      <c r="P166" s="13"/>
      <c r="Q166" s="11"/>
      <c r="R166" s="12"/>
      <c r="S166" s="12"/>
      <c r="T166" s="12"/>
      <c r="U166" s="13"/>
      <c r="V166" s="11"/>
      <c r="W166" s="12"/>
      <c r="X166" s="12"/>
      <c r="Y166" s="12"/>
      <c r="Z166" s="13"/>
    </row>
    <row r="167" spans="7:26" x14ac:dyDescent="0.25">
      <c r="G167">
        <f>IF(ISNUMBER(SEARCH($G$2,H167)),MAX($G$4:G166)+1,0)</f>
        <v>0</v>
      </c>
      <c r="L167" s="11"/>
      <c r="M167" s="12"/>
      <c r="N167" s="12"/>
      <c r="O167" s="12"/>
      <c r="P167" s="13"/>
      <c r="Q167" s="11"/>
      <c r="R167" s="12"/>
      <c r="S167" s="12"/>
      <c r="T167" s="12"/>
      <c r="U167" s="13"/>
      <c r="V167" s="11"/>
      <c r="W167" s="12"/>
      <c r="X167" s="12"/>
      <c r="Y167" s="12"/>
      <c r="Z167" s="13"/>
    </row>
    <row r="168" spans="7:26" x14ac:dyDescent="0.25">
      <c r="G168">
        <f>IF(ISNUMBER(SEARCH($G$2,H168)),MAX($G$4:G167)+1,0)</f>
        <v>0</v>
      </c>
      <c r="L168" s="11"/>
      <c r="M168" s="12"/>
      <c r="N168" s="12"/>
      <c r="O168" s="12"/>
      <c r="P168" s="13"/>
      <c r="Q168" s="11"/>
      <c r="R168" s="12"/>
      <c r="S168" s="12"/>
      <c r="T168" s="12"/>
      <c r="U168" s="13"/>
      <c r="V168" s="11"/>
      <c r="W168" s="12"/>
      <c r="X168" s="12"/>
      <c r="Y168" s="12"/>
      <c r="Z168" s="13"/>
    </row>
    <row r="169" spans="7:26" x14ac:dyDescent="0.25">
      <c r="G169">
        <f>IF(ISNUMBER(SEARCH($G$2,H169)),MAX($G$4:G168)+1,0)</f>
        <v>0</v>
      </c>
      <c r="L169" s="11"/>
      <c r="M169" s="12"/>
      <c r="N169" s="12"/>
      <c r="O169" s="12"/>
      <c r="P169" s="13"/>
      <c r="Q169" s="11"/>
      <c r="R169" s="12"/>
      <c r="S169" s="12"/>
      <c r="T169" s="12"/>
      <c r="U169" s="13"/>
      <c r="V169" s="11"/>
      <c r="W169" s="12"/>
      <c r="X169" s="12"/>
      <c r="Y169" s="12"/>
      <c r="Z169" s="13"/>
    </row>
    <row r="170" spans="7:26" x14ac:dyDescent="0.25">
      <c r="G170">
        <f>IF(ISNUMBER(SEARCH($G$2,H170)),MAX($G$4:G169)+1,0)</f>
        <v>0</v>
      </c>
      <c r="L170" s="11"/>
      <c r="M170" s="12"/>
      <c r="N170" s="12"/>
      <c r="O170" s="12"/>
      <c r="P170" s="13"/>
      <c r="Q170" s="11"/>
      <c r="R170" s="12"/>
      <c r="S170" s="12"/>
      <c r="T170" s="12"/>
      <c r="U170" s="13"/>
      <c r="V170" s="11"/>
      <c r="W170" s="12"/>
      <c r="X170" s="12"/>
      <c r="Y170" s="12"/>
      <c r="Z170" s="13"/>
    </row>
    <row r="171" spans="7:26" x14ac:dyDescent="0.25">
      <c r="G171">
        <f>IF(ISNUMBER(SEARCH($G$2,H171)),MAX($G$4:G170)+1,0)</f>
        <v>0</v>
      </c>
      <c r="L171" s="11"/>
      <c r="M171" s="12"/>
      <c r="N171" s="12"/>
      <c r="O171" s="12"/>
      <c r="P171" s="13"/>
      <c r="Q171" s="11"/>
      <c r="R171" s="12"/>
      <c r="S171" s="12"/>
      <c r="T171" s="12"/>
      <c r="U171" s="13"/>
      <c r="V171" s="11"/>
      <c r="W171" s="12"/>
      <c r="X171" s="12"/>
      <c r="Y171" s="12"/>
      <c r="Z171" s="13"/>
    </row>
    <row r="172" spans="7:26" x14ac:dyDescent="0.25">
      <c r="G172">
        <f>IF(ISNUMBER(SEARCH($G$2,H172)),MAX($G$4:G171)+1,0)</f>
        <v>0</v>
      </c>
      <c r="L172" s="11"/>
      <c r="M172" s="12"/>
      <c r="N172" s="12"/>
      <c r="O172" s="12"/>
      <c r="P172" s="13"/>
      <c r="Q172" s="11"/>
      <c r="R172" s="12"/>
      <c r="S172" s="12"/>
      <c r="T172" s="12"/>
      <c r="U172" s="13"/>
      <c r="V172" s="11"/>
      <c r="W172" s="12"/>
      <c r="X172" s="12"/>
      <c r="Y172" s="12"/>
      <c r="Z172" s="13"/>
    </row>
    <row r="173" spans="7:26" x14ac:dyDescent="0.25">
      <c r="G173">
        <f>IF(ISNUMBER(SEARCH($G$2,H173)),MAX($G$4:G172)+1,0)</f>
        <v>0</v>
      </c>
      <c r="L173" s="11"/>
      <c r="M173" s="12"/>
      <c r="N173" s="12"/>
      <c r="O173" s="12"/>
      <c r="P173" s="13"/>
      <c r="Q173" s="11"/>
      <c r="R173" s="12"/>
      <c r="S173" s="12"/>
      <c r="T173" s="12"/>
      <c r="U173" s="13"/>
      <c r="V173" s="11"/>
      <c r="W173" s="12"/>
      <c r="X173" s="12"/>
      <c r="Y173" s="12"/>
      <c r="Z173" s="13"/>
    </row>
    <row r="174" spans="7:26" x14ac:dyDescent="0.25">
      <c r="G174">
        <f>IF(ISNUMBER(SEARCH($G$2,H174)),MAX($G$4:G173)+1,0)</f>
        <v>0</v>
      </c>
      <c r="L174" s="11"/>
      <c r="M174" s="12"/>
      <c r="N174" s="12"/>
      <c r="O174" s="12"/>
      <c r="P174" s="13"/>
      <c r="Q174" s="11"/>
      <c r="R174" s="12"/>
      <c r="S174" s="12"/>
      <c r="T174" s="12"/>
      <c r="U174" s="13"/>
      <c r="V174" s="11"/>
      <c r="W174" s="12"/>
      <c r="X174" s="12"/>
      <c r="Y174" s="12"/>
      <c r="Z174" s="13"/>
    </row>
    <row r="175" spans="7:26" x14ac:dyDescent="0.25">
      <c r="G175">
        <f>IF(ISNUMBER(SEARCH($G$2,H175)),MAX($G$4:G174)+1,0)</f>
        <v>0</v>
      </c>
      <c r="L175" s="11"/>
      <c r="M175" s="12"/>
      <c r="N175" s="12"/>
      <c r="O175" s="12"/>
      <c r="P175" s="13"/>
      <c r="Q175" s="11"/>
      <c r="R175" s="12"/>
      <c r="S175" s="12"/>
      <c r="T175" s="12"/>
      <c r="U175" s="13"/>
      <c r="V175" s="11"/>
      <c r="W175" s="12"/>
      <c r="X175" s="12"/>
      <c r="Y175" s="12"/>
      <c r="Z175" s="13"/>
    </row>
    <row r="176" spans="7:26" x14ac:dyDescent="0.25">
      <c r="G176">
        <f>IF(ISNUMBER(SEARCH($G$2,H176)),MAX($G$4:G175)+1,0)</f>
        <v>0</v>
      </c>
      <c r="L176" s="11"/>
      <c r="M176" s="12"/>
      <c r="N176" s="12"/>
      <c r="O176" s="12"/>
      <c r="P176" s="13"/>
      <c r="Q176" s="11"/>
      <c r="R176" s="12"/>
      <c r="S176" s="12"/>
      <c r="T176" s="12"/>
      <c r="U176" s="13"/>
      <c r="V176" s="11"/>
      <c r="W176" s="12"/>
      <c r="X176" s="12"/>
      <c r="Y176" s="12"/>
      <c r="Z176" s="13"/>
    </row>
    <row r="177" spans="7:26" x14ac:dyDescent="0.25">
      <c r="G177">
        <f>IF(ISNUMBER(SEARCH($G$2,H177)),MAX($G$4:G176)+1,0)</f>
        <v>0</v>
      </c>
      <c r="L177" s="11"/>
      <c r="M177" s="12"/>
      <c r="N177" s="12"/>
      <c r="O177" s="12"/>
      <c r="P177" s="13"/>
      <c r="Q177" s="11"/>
      <c r="R177" s="12"/>
      <c r="S177" s="12"/>
      <c r="T177" s="12"/>
      <c r="U177" s="13"/>
      <c r="V177" s="11"/>
      <c r="W177" s="12"/>
      <c r="X177" s="12"/>
      <c r="Y177" s="12"/>
      <c r="Z177" s="13"/>
    </row>
    <row r="178" spans="7:26" x14ac:dyDescent="0.25">
      <c r="G178">
        <f>IF(ISNUMBER(SEARCH($G$2,H178)),MAX($G$4:G177)+1,0)</f>
        <v>0</v>
      </c>
      <c r="L178" s="11"/>
      <c r="M178" s="12"/>
      <c r="N178" s="12"/>
      <c r="O178" s="12"/>
      <c r="P178" s="13"/>
      <c r="Q178" s="11"/>
      <c r="R178" s="12"/>
      <c r="S178" s="12"/>
      <c r="T178" s="12"/>
      <c r="U178" s="13"/>
      <c r="V178" s="11"/>
      <c r="W178" s="12"/>
      <c r="X178" s="12"/>
      <c r="Y178" s="12"/>
      <c r="Z178" s="13"/>
    </row>
    <row r="179" spans="7:26" x14ac:dyDescent="0.25">
      <c r="G179">
        <f>IF(ISNUMBER(SEARCH($G$2,H179)),MAX($G$4:G178)+1,0)</f>
        <v>0</v>
      </c>
      <c r="L179" s="11"/>
      <c r="M179" s="12"/>
      <c r="N179" s="12"/>
      <c r="O179" s="12"/>
      <c r="P179" s="13"/>
      <c r="Q179" s="11"/>
      <c r="R179" s="12"/>
      <c r="S179" s="12"/>
      <c r="T179" s="12"/>
      <c r="U179" s="13"/>
      <c r="V179" s="11"/>
      <c r="W179" s="12"/>
      <c r="X179" s="12"/>
      <c r="Y179" s="12"/>
      <c r="Z179" s="13"/>
    </row>
    <row r="180" spans="7:26" x14ac:dyDescent="0.25">
      <c r="G180">
        <f>IF(ISNUMBER(SEARCH($G$2,H180)),MAX($G$4:G179)+1,0)</f>
        <v>0</v>
      </c>
      <c r="L180" s="11"/>
      <c r="M180" s="12"/>
      <c r="N180" s="12"/>
      <c r="O180" s="12"/>
      <c r="P180" s="13"/>
      <c r="Q180" s="11"/>
      <c r="R180" s="12"/>
      <c r="S180" s="12"/>
      <c r="T180" s="12"/>
      <c r="U180" s="13"/>
      <c r="V180" s="11"/>
      <c r="W180" s="12"/>
      <c r="X180" s="12"/>
      <c r="Y180" s="12"/>
      <c r="Z180" s="13"/>
    </row>
    <row r="181" spans="7:26" x14ac:dyDescent="0.25">
      <c r="G181">
        <f>IF(ISNUMBER(SEARCH($G$2,H181)),MAX($G$4:G180)+1,0)</f>
        <v>0</v>
      </c>
      <c r="L181" s="11"/>
      <c r="M181" s="12"/>
      <c r="N181" s="12"/>
      <c r="O181" s="12"/>
      <c r="P181" s="13"/>
      <c r="Q181" s="11"/>
      <c r="R181" s="12"/>
      <c r="S181" s="12"/>
      <c r="T181" s="12"/>
      <c r="U181" s="13"/>
      <c r="V181" s="11"/>
      <c r="W181" s="12"/>
      <c r="X181" s="12"/>
      <c r="Y181" s="12"/>
      <c r="Z181" s="13"/>
    </row>
    <row r="182" spans="7:26" x14ac:dyDescent="0.25">
      <c r="G182">
        <f>IF(ISNUMBER(SEARCH($G$2,H182)),MAX($G$4:G181)+1,0)</f>
        <v>0</v>
      </c>
      <c r="L182" s="11"/>
      <c r="M182" s="12"/>
      <c r="N182" s="12"/>
      <c r="O182" s="12"/>
      <c r="P182" s="13"/>
      <c r="Q182" s="11"/>
      <c r="R182" s="12"/>
      <c r="S182" s="12"/>
      <c r="T182" s="12"/>
      <c r="U182" s="13"/>
      <c r="V182" s="11"/>
      <c r="W182" s="12"/>
      <c r="X182" s="12"/>
      <c r="Y182" s="12"/>
      <c r="Z182" s="13"/>
    </row>
    <row r="183" spans="7:26" x14ac:dyDescent="0.25">
      <c r="G183">
        <f>IF(ISNUMBER(SEARCH($G$2,H183)),MAX($G$4:G182)+1,0)</f>
        <v>0</v>
      </c>
      <c r="L183" s="11"/>
      <c r="M183" s="12"/>
      <c r="N183" s="12"/>
      <c r="O183" s="12"/>
      <c r="P183" s="13"/>
      <c r="Q183" s="11"/>
      <c r="R183" s="12"/>
      <c r="S183" s="12"/>
      <c r="T183" s="12"/>
      <c r="U183" s="13"/>
      <c r="V183" s="11"/>
      <c r="W183" s="12"/>
      <c r="X183" s="12"/>
      <c r="Y183" s="12"/>
      <c r="Z183" s="13"/>
    </row>
    <row r="184" spans="7:26" x14ac:dyDescent="0.25">
      <c r="G184">
        <f>IF(ISNUMBER(SEARCH($G$2,H184)),MAX($G$4:G183)+1,0)</f>
        <v>0</v>
      </c>
      <c r="L184" s="11"/>
      <c r="M184" s="12"/>
      <c r="N184" s="12"/>
      <c r="O184" s="12"/>
      <c r="P184" s="13"/>
      <c r="Q184" s="11"/>
      <c r="R184" s="12"/>
      <c r="S184" s="12"/>
      <c r="T184" s="12"/>
      <c r="U184" s="13"/>
      <c r="V184" s="11"/>
      <c r="W184" s="12"/>
      <c r="X184" s="12"/>
      <c r="Y184" s="12"/>
      <c r="Z184" s="13"/>
    </row>
    <row r="185" spans="7:26" x14ac:dyDescent="0.25">
      <c r="G185">
        <f>IF(ISNUMBER(SEARCH($G$2,H185)),MAX($G$4:G184)+1,0)</f>
        <v>0</v>
      </c>
      <c r="L185" s="11"/>
      <c r="M185" s="12"/>
      <c r="N185" s="12"/>
      <c r="O185" s="12"/>
      <c r="P185" s="13"/>
      <c r="Q185" s="11"/>
      <c r="R185" s="12"/>
      <c r="S185" s="12"/>
      <c r="T185" s="12"/>
      <c r="U185" s="13"/>
      <c r="V185" s="11"/>
      <c r="W185" s="12"/>
      <c r="X185" s="12"/>
      <c r="Y185" s="12"/>
      <c r="Z185" s="13"/>
    </row>
    <row r="186" spans="7:26" x14ac:dyDescent="0.25">
      <c r="G186">
        <f>IF(ISNUMBER(SEARCH($G$2,H186)),MAX($G$4:G185)+1,0)</f>
        <v>0</v>
      </c>
      <c r="L186" s="11"/>
      <c r="M186" s="12"/>
      <c r="N186" s="12"/>
      <c r="O186" s="12"/>
      <c r="P186" s="13"/>
      <c r="Q186" s="11"/>
      <c r="R186" s="12"/>
      <c r="S186" s="12"/>
      <c r="T186" s="12"/>
      <c r="U186" s="13"/>
      <c r="V186" s="11"/>
      <c r="W186" s="12"/>
      <c r="X186" s="12"/>
      <c r="Y186" s="12"/>
      <c r="Z186" s="13"/>
    </row>
    <row r="187" spans="7:26" x14ac:dyDescent="0.25">
      <c r="G187">
        <f>IF(ISNUMBER(SEARCH($G$2,H187)),MAX($G$4:G186)+1,0)</f>
        <v>0</v>
      </c>
      <c r="L187" s="11"/>
      <c r="M187" s="12"/>
      <c r="N187" s="12"/>
      <c r="O187" s="12"/>
      <c r="P187" s="13"/>
      <c r="Q187" s="11"/>
      <c r="R187" s="12"/>
      <c r="S187" s="12"/>
      <c r="T187" s="12"/>
      <c r="U187" s="13"/>
      <c r="V187" s="11"/>
      <c r="W187" s="12"/>
      <c r="X187" s="12"/>
      <c r="Y187" s="12"/>
      <c r="Z187" s="13"/>
    </row>
    <row r="188" spans="7:26" x14ac:dyDescent="0.25">
      <c r="G188">
        <f>IF(ISNUMBER(SEARCH($G$2,H188)),MAX($G$4:G187)+1,0)</f>
        <v>0</v>
      </c>
      <c r="L188" s="11"/>
      <c r="M188" s="12"/>
      <c r="N188" s="12"/>
      <c r="O188" s="12"/>
      <c r="P188" s="13"/>
      <c r="Q188" s="11"/>
      <c r="R188" s="12"/>
      <c r="S188" s="12"/>
      <c r="T188" s="12"/>
      <c r="U188" s="13"/>
      <c r="V188" s="11"/>
      <c r="W188" s="12"/>
      <c r="X188" s="12"/>
      <c r="Y188" s="12"/>
      <c r="Z188" s="13"/>
    </row>
    <row r="189" spans="7:26" x14ac:dyDescent="0.25">
      <c r="G189">
        <f>IF(ISNUMBER(SEARCH($G$2,H189)),MAX($G$4:G188)+1,0)</f>
        <v>0</v>
      </c>
      <c r="L189" s="11"/>
      <c r="M189" s="12"/>
      <c r="N189" s="12"/>
      <c r="O189" s="12"/>
      <c r="P189" s="13"/>
      <c r="Q189" s="11"/>
      <c r="R189" s="12"/>
      <c r="S189" s="12"/>
      <c r="T189" s="12"/>
      <c r="U189" s="13"/>
      <c r="V189" s="11"/>
      <c r="W189" s="12"/>
      <c r="X189" s="12"/>
      <c r="Y189" s="12"/>
      <c r="Z189" s="13"/>
    </row>
    <row r="190" spans="7:26" x14ac:dyDescent="0.25">
      <c r="G190">
        <f>IF(ISNUMBER(SEARCH($G$2,H190)),MAX($G$4:G189)+1,0)</f>
        <v>0</v>
      </c>
      <c r="L190" s="11"/>
      <c r="M190" s="12"/>
      <c r="N190" s="12"/>
      <c r="O190" s="12"/>
      <c r="P190" s="13"/>
      <c r="Q190" s="11"/>
      <c r="R190" s="12"/>
      <c r="S190" s="12"/>
      <c r="T190" s="12"/>
      <c r="U190" s="13"/>
      <c r="V190" s="11"/>
      <c r="W190" s="12"/>
      <c r="X190" s="12"/>
      <c r="Y190" s="12"/>
      <c r="Z190" s="13"/>
    </row>
    <row r="191" spans="7:26" x14ac:dyDescent="0.25">
      <c r="G191">
        <f>IF(ISNUMBER(SEARCH($G$2,H191)),MAX($G$4:G190)+1,0)</f>
        <v>0</v>
      </c>
      <c r="L191" s="11"/>
      <c r="M191" s="12"/>
      <c r="N191" s="12"/>
      <c r="O191" s="12"/>
      <c r="P191" s="13"/>
      <c r="Q191" s="11"/>
      <c r="R191" s="12"/>
      <c r="S191" s="12"/>
      <c r="T191" s="12"/>
      <c r="U191" s="13"/>
      <c r="V191" s="11"/>
      <c r="W191" s="12"/>
      <c r="X191" s="12"/>
      <c r="Y191" s="12"/>
      <c r="Z191" s="13"/>
    </row>
    <row r="192" spans="7:26" x14ac:dyDescent="0.25">
      <c r="G192">
        <f>IF(ISNUMBER(SEARCH($G$2,H192)),MAX($G$4:G191)+1,0)</f>
        <v>0</v>
      </c>
      <c r="L192" s="11"/>
      <c r="M192" s="12"/>
      <c r="N192" s="12"/>
      <c r="O192" s="12"/>
      <c r="P192" s="13"/>
      <c r="Q192" s="11"/>
      <c r="R192" s="12"/>
      <c r="S192" s="12"/>
      <c r="T192" s="12"/>
      <c r="U192" s="13"/>
      <c r="V192" s="11"/>
      <c r="W192" s="12"/>
      <c r="X192" s="12"/>
      <c r="Y192" s="12"/>
      <c r="Z192" s="13"/>
    </row>
    <row r="193" spans="7:26" x14ac:dyDescent="0.25">
      <c r="G193">
        <f>IF(ISNUMBER(SEARCH($G$2,H193)),MAX($G$4:G192)+1,0)</f>
        <v>0</v>
      </c>
      <c r="L193" s="11"/>
      <c r="M193" s="12"/>
      <c r="N193" s="12"/>
      <c r="O193" s="12"/>
      <c r="P193" s="13"/>
      <c r="Q193" s="11"/>
      <c r="R193" s="12"/>
      <c r="S193" s="12"/>
      <c r="T193" s="12"/>
      <c r="U193" s="13"/>
      <c r="V193" s="11"/>
      <c r="W193" s="12"/>
      <c r="X193" s="12"/>
      <c r="Y193" s="12"/>
      <c r="Z193" s="13"/>
    </row>
    <row r="194" spans="7:26" x14ac:dyDescent="0.25">
      <c r="G194">
        <f>IF(ISNUMBER(SEARCH($G$2,H194)),MAX($G$4:G193)+1,0)</f>
        <v>0</v>
      </c>
      <c r="L194" s="11"/>
      <c r="M194" s="12"/>
      <c r="N194" s="12"/>
      <c r="O194" s="12"/>
      <c r="P194" s="13"/>
      <c r="Q194" s="11"/>
      <c r="R194" s="12"/>
      <c r="S194" s="12"/>
      <c r="T194" s="12"/>
      <c r="U194" s="13"/>
      <c r="V194" s="11"/>
      <c r="W194" s="12"/>
      <c r="X194" s="12"/>
      <c r="Y194" s="12"/>
      <c r="Z194" s="13"/>
    </row>
    <row r="195" spans="7:26" x14ac:dyDescent="0.25">
      <c r="G195">
        <f>IF(ISNUMBER(SEARCH($G$2,H195)),MAX($G$4:G194)+1,0)</f>
        <v>0</v>
      </c>
      <c r="L195" s="11"/>
      <c r="M195" s="12"/>
      <c r="N195" s="12"/>
      <c r="O195" s="12"/>
      <c r="P195" s="13"/>
      <c r="Q195" s="11"/>
      <c r="R195" s="12"/>
      <c r="S195" s="12"/>
      <c r="T195" s="12"/>
      <c r="U195" s="13"/>
      <c r="V195" s="11"/>
      <c r="W195" s="12"/>
      <c r="X195" s="12"/>
      <c r="Y195" s="12"/>
      <c r="Z195" s="13"/>
    </row>
    <row r="196" spans="7:26" x14ac:dyDescent="0.25">
      <c r="G196">
        <f>IF(ISNUMBER(SEARCH($G$2,H196)),MAX($G$4:G195)+1,0)</f>
        <v>0</v>
      </c>
      <c r="L196" s="11"/>
      <c r="M196" s="12"/>
      <c r="N196" s="12"/>
      <c r="O196" s="12"/>
      <c r="P196" s="13"/>
      <c r="Q196" s="11"/>
      <c r="R196" s="12"/>
      <c r="S196" s="12"/>
      <c r="T196" s="12"/>
      <c r="U196" s="13"/>
      <c r="V196" s="11"/>
      <c r="W196" s="12"/>
      <c r="X196" s="12"/>
      <c r="Y196" s="12"/>
      <c r="Z196" s="13"/>
    </row>
    <row r="197" spans="7:26" x14ac:dyDescent="0.25">
      <c r="G197">
        <f>IF(ISNUMBER(SEARCH($G$2,H197)),MAX($G$4:G196)+1,0)</f>
        <v>0</v>
      </c>
      <c r="L197" s="11"/>
      <c r="M197" s="12"/>
      <c r="N197" s="12"/>
      <c r="O197" s="12"/>
      <c r="P197" s="13"/>
      <c r="Q197" s="11"/>
      <c r="R197" s="12"/>
      <c r="S197" s="12"/>
      <c r="T197" s="12"/>
      <c r="U197" s="13"/>
      <c r="V197" s="11"/>
      <c r="W197" s="12"/>
      <c r="X197" s="12"/>
      <c r="Y197" s="12"/>
      <c r="Z197" s="13"/>
    </row>
    <row r="198" spans="7:26" x14ac:dyDescent="0.25">
      <c r="G198">
        <f>IF(ISNUMBER(SEARCH($G$2,H198)),MAX($G$4:G197)+1,0)</f>
        <v>0</v>
      </c>
      <c r="L198" s="11"/>
      <c r="M198" s="12"/>
      <c r="N198" s="12"/>
      <c r="O198" s="12"/>
      <c r="P198" s="13"/>
      <c r="Q198" s="11"/>
      <c r="R198" s="12"/>
      <c r="S198" s="12"/>
      <c r="T198" s="12"/>
      <c r="U198" s="13"/>
      <c r="V198" s="11"/>
      <c r="W198" s="12"/>
      <c r="X198" s="12"/>
      <c r="Y198" s="12"/>
      <c r="Z198" s="13"/>
    </row>
    <row r="199" spans="7:26" x14ac:dyDescent="0.25">
      <c r="G199">
        <f>IF(ISNUMBER(SEARCH($G$2,H199)),MAX($G$4:G198)+1,0)</f>
        <v>0</v>
      </c>
      <c r="L199" s="11"/>
      <c r="M199" s="12"/>
      <c r="N199" s="12"/>
      <c r="O199" s="12"/>
      <c r="P199" s="13"/>
      <c r="Q199" s="11"/>
      <c r="R199" s="12"/>
      <c r="S199" s="12"/>
      <c r="T199" s="12"/>
      <c r="U199" s="13"/>
      <c r="V199" s="11"/>
      <c r="W199" s="12"/>
      <c r="X199" s="12"/>
      <c r="Y199" s="12"/>
      <c r="Z199" s="13"/>
    </row>
    <row r="200" spans="7:26" x14ac:dyDescent="0.25">
      <c r="G200">
        <f>IF(ISNUMBER(SEARCH($G$2,H200)),MAX($G$4:G199)+1,0)</f>
        <v>0</v>
      </c>
      <c r="L200" s="11"/>
      <c r="M200" s="12"/>
      <c r="N200" s="12"/>
      <c r="O200" s="12"/>
      <c r="P200" s="13"/>
      <c r="Q200" s="11"/>
      <c r="R200" s="12"/>
      <c r="S200" s="12"/>
      <c r="T200" s="12"/>
      <c r="U200" s="13"/>
      <c r="V200" s="11"/>
      <c r="W200" s="12"/>
      <c r="X200" s="12"/>
      <c r="Y200" s="12"/>
      <c r="Z200" s="13"/>
    </row>
    <row r="201" spans="7:26" x14ac:dyDescent="0.25">
      <c r="L201" s="11"/>
      <c r="M201" s="12"/>
      <c r="N201" s="12"/>
      <c r="O201" s="12"/>
      <c r="P201" s="13"/>
      <c r="Q201" s="11"/>
      <c r="R201" s="12"/>
      <c r="S201" s="12"/>
      <c r="T201" s="12"/>
      <c r="U201" s="13"/>
      <c r="V201" s="11"/>
      <c r="W201" s="12"/>
      <c r="X201" s="12"/>
      <c r="Y201" s="12"/>
      <c r="Z201" s="13"/>
    </row>
    <row r="202" spans="7:26" x14ac:dyDescent="0.25">
      <c r="L202" s="11"/>
      <c r="M202" s="12"/>
      <c r="N202" s="12"/>
      <c r="O202" s="12"/>
      <c r="P202" s="13"/>
      <c r="Q202" s="11"/>
      <c r="R202" s="12"/>
      <c r="S202" s="12"/>
      <c r="T202" s="12"/>
      <c r="U202" s="13"/>
      <c r="V202" s="11"/>
      <c r="W202" s="12"/>
      <c r="X202" s="12"/>
      <c r="Y202" s="12"/>
      <c r="Z202" s="13"/>
    </row>
  </sheetData>
  <mergeCells count="2">
    <mergeCell ref="K1:L1"/>
    <mergeCell ref="K2:L2"/>
  </mergeCells>
  <dataValidations count="5">
    <dataValidation type="list" allowBlank="1" showInputMessage="1" sqref="A2 M5:M29">
      <formula1>Modifiers_List</formula1>
    </dataValidation>
    <dataValidation type="list" allowBlank="1" showInputMessage="1" showErrorMessage="1" sqref="B5:B29">
      <formula1>$A$5:$A$34</formula1>
    </dataValidation>
    <dataValidation type="list" allowBlank="1" showInputMessage="1" sqref="G2">
      <formula1>BUFFS</formula1>
    </dataValidation>
    <dataValidation type="list" allowBlank="1" showInputMessage="1" showErrorMessage="1" sqref="L5:L263 Q5:Q254 V5:V12 V15:V21">
      <formula1>Types</formula1>
    </dataValidation>
    <dataValidation type="list" allowBlank="1" showInputMessage="1" showErrorMessage="1" sqref="R5:R262 W5:W12 W15:W21">
      <formula1>Modifiers_List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99"/>
  <sheetViews>
    <sheetView tabSelected="1" topLeftCell="A7" zoomScale="85" zoomScaleNormal="85" workbookViewId="0">
      <selection activeCell="F24" sqref="F24"/>
    </sheetView>
  </sheetViews>
  <sheetFormatPr defaultRowHeight="18.75" x14ac:dyDescent="0.3"/>
  <cols>
    <col min="1" max="1" width="25.28515625" style="3" bestFit="1" customWidth="1"/>
    <col min="2" max="2" width="11.42578125" bestFit="1" customWidth="1"/>
    <col min="3" max="3" width="11.140625" customWidth="1"/>
    <col min="4" max="4" width="13.5703125" customWidth="1"/>
    <col min="5" max="5" width="20.42578125" customWidth="1"/>
    <col min="6" max="6" width="15.7109375" customWidth="1"/>
    <col min="7" max="7" width="15" customWidth="1"/>
    <col min="8" max="8" width="11" bestFit="1" customWidth="1"/>
    <col min="9" max="9" width="17.85546875" bestFit="1" customWidth="1"/>
    <col min="10" max="10" width="20.85546875" customWidth="1"/>
    <col min="11" max="11" width="15.5703125" customWidth="1"/>
    <col min="12" max="12" width="13.42578125" bestFit="1" customWidth="1"/>
    <col min="13" max="13" width="13.5703125" bestFit="1" customWidth="1"/>
    <col min="14" max="14" width="21.85546875" bestFit="1" customWidth="1"/>
    <col min="15" max="15" width="20.140625" bestFit="1" customWidth="1"/>
    <col min="16" max="16" width="14.140625" bestFit="1" customWidth="1"/>
    <col min="17" max="17" width="26.85546875" customWidth="1"/>
    <col min="18" max="18" width="26.85546875" bestFit="1" customWidth="1"/>
    <col min="19" max="19" width="14.42578125" bestFit="1" customWidth="1"/>
    <col min="20" max="20" width="18" bestFit="1" customWidth="1"/>
    <col min="21" max="21" width="16.7109375" bestFit="1" customWidth="1"/>
    <col min="22" max="22" width="12.5703125" customWidth="1"/>
    <col min="23" max="23" width="25.7109375" customWidth="1"/>
    <col min="24" max="24" width="17.28515625" bestFit="1" customWidth="1"/>
  </cols>
  <sheetData>
    <row r="1" spans="1:38" ht="21" x14ac:dyDescent="0.35">
      <c r="A1" s="3" t="s">
        <v>59</v>
      </c>
      <c r="B1" s="88" t="s">
        <v>126</v>
      </c>
      <c r="C1" s="88"/>
      <c r="D1" s="48">
        <v>0</v>
      </c>
      <c r="E1" s="52" t="s">
        <v>128</v>
      </c>
      <c r="F1" s="50">
        <v>1</v>
      </c>
      <c r="G1" s="54" t="s">
        <v>129</v>
      </c>
      <c r="H1" s="50">
        <v>0</v>
      </c>
      <c r="I1" s="89"/>
      <c r="J1" s="90"/>
      <c r="K1" s="18">
        <v>0</v>
      </c>
      <c r="L1" s="91" t="s">
        <v>131</v>
      </c>
      <c r="M1" s="91"/>
      <c r="N1" s="57" t="s">
        <v>134</v>
      </c>
      <c r="O1" s="58">
        <v>20</v>
      </c>
    </row>
    <row r="2" spans="1:38" x14ac:dyDescent="0.3">
      <c r="B2" s="87" t="s">
        <v>127</v>
      </c>
      <c r="C2" s="87"/>
      <c r="D2" s="49">
        <v>2</v>
      </c>
      <c r="E2" s="59" t="s">
        <v>135</v>
      </c>
      <c r="F2" s="50">
        <v>0</v>
      </c>
      <c r="G2" s="51"/>
      <c r="H2" s="50">
        <v>0</v>
      </c>
      <c r="I2" s="89"/>
      <c r="J2" s="90"/>
      <c r="K2" s="18">
        <v>0</v>
      </c>
      <c r="L2" s="91"/>
      <c r="M2" s="91"/>
      <c r="N2" s="56" t="str">
        <f>IF(O1&lt;&gt;0,"+","")</f>
        <v>+</v>
      </c>
      <c r="O2" s="56">
        <f>IF(O1&lt;&gt;0,O1,"")</f>
        <v>20</v>
      </c>
    </row>
    <row r="3" spans="1:38" x14ac:dyDescent="0.3">
      <c r="B3" s="91" t="s">
        <v>120</v>
      </c>
      <c r="C3" s="91"/>
      <c r="D3" s="53">
        <v>0</v>
      </c>
      <c r="E3" s="60">
        <v>1</v>
      </c>
      <c r="F3" s="50">
        <v>0</v>
      </c>
      <c r="G3" s="51" t="s">
        <v>133</v>
      </c>
      <c r="H3" s="50">
        <v>0</v>
      </c>
      <c r="I3" s="89"/>
      <c r="J3" s="90"/>
      <c r="K3" s="18">
        <v>0</v>
      </c>
      <c r="L3" s="91"/>
      <c r="M3" s="91"/>
      <c r="N3" s="47" t="s">
        <v>140</v>
      </c>
      <c r="O3" s="47">
        <v>100</v>
      </c>
    </row>
    <row r="4" spans="1:38" x14ac:dyDescent="0.3">
      <c r="A4" s="3" t="s">
        <v>67</v>
      </c>
      <c r="B4" s="1" t="s">
        <v>86</v>
      </c>
      <c r="C4" t="s">
        <v>72</v>
      </c>
      <c r="D4" t="s">
        <v>103</v>
      </c>
      <c r="E4" t="s">
        <v>105</v>
      </c>
      <c r="F4" t="s">
        <v>93</v>
      </c>
      <c r="G4" t="s">
        <v>123</v>
      </c>
      <c r="H4" t="s">
        <v>130</v>
      </c>
      <c r="I4" t="s">
        <v>136</v>
      </c>
      <c r="J4" t="s">
        <v>1</v>
      </c>
      <c r="K4" t="s">
        <v>2</v>
      </c>
      <c r="L4" t="s">
        <v>3</v>
      </c>
      <c r="M4" t="s">
        <v>5</v>
      </c>
      <c r="N4" t="s">
        <v>139</v>
      </c>
      <c r="O4" t="s">
        <v>6</v>
      </c>
      <c r="P4" t="s">
        <v>81</v>
      </c>
      <c r="Q4" t="s">
        <v>8</v>
      </c>
      <c r="R4" t="s">
        <v>9</v>
      </c>
      <c r="S4" t="s">
        <v>10</v>
      </c>
      <c r="T4" t="s">
        <v>11</v>
      </c>
      <c r="U4" t="s">
        <v>12</v>
      </c>
      <c r="V4" t="s">
        <v>13</v>
      </c>
      <c r="W4" t="s">
        <v>14</v>
      </c>
      <c r="X4" t="s">
        <v>15</v>
      </c>
      <c r="Y4" t="s">
        <v>16</v>
      </c>
      <c r="Z4" t="s">
        <v>17</v>
      </c>
      <c r="AA4" t="s">
        <v>18</v>
      </c>
      <c r="AB4" t="s">
        <v>19</v>
      </c>
      <c r="AC4" t="s">
        <v>20</v>
      </c>
      <c r="AD4" t="s">
        <v>21</v>
      </c>
      <c r="AE4" t="s">
        <v>22</v>
      </c>
      <c r="AF4" t="s">
        <v>23</v>
      </c>
      <c r="AG4" t="s">
        <v>24</v>
      </c>
      <c r="AH4" t="s">
        <v>25</v>
      </c>
      <c r="AI4" t="s">
        <v>7</v>
      </c>
      <c r="AJ4" t="s">
        <v>4</v>
      </c>
    </row>
    <row r="6" spans="1:38" x14ac:dyDescent="0.3">
      <c r="A6" s="3" t="s">
        <v>60</v>
      </c>
      <c r="B6">
        <f>SUM(D6:AH6)</f>
        <v>0</v>
      </c>
      <c r="J6" s="18">
        <v>0</v>
      </c>
      <c r="K6" s="18">
        <v>0</v>
      </c>
      <c r="L6" s="18">
        <v>0</v>
      </c>
      <c r="M6" s="18">
        <v>0</v>
      </c>
      <c r="N6" s="18">
        <v>0</v>
      </c>
      <c r="O6" s="18">
        <v>0</v>
      </c>
      <c r="P6" s="18">
        <v>0</v>
      </c>
      <c r="Q6" s="18">
        <v>0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0</v>
      </c>
      <c r="AF6" s="18">
        <v>0</v>
      </c>
      <c r="AG6" s="18">
        <v>0</v>
      </c>
      <c r="AH6" s="18">
        <v>0</v>
      </c>
      <c r="AI6" s="18">
        <v>0</v>
      </c>
      <c r="AJ6" s="18">
        <v>0</v>
      </c>
      <c r="AK6" s="18"/>
      <c r="AL6" s="18"/>
    </row>
    <row r="7" spans="1:38" ht="21" x14ac:dyDescent="0.35">
      <c r="A7" s="3" t="s">
        <v>26</v>
      </c>
      <c r="B7" s="55" t="str">
        <f>CONCATENATE(SUM(D7,G7,I7),N2,O2)</f>
        <v>50+20</v>
      </c>
      <c r="D7">
        <v>50</v>
      </c>
      <c r="G7" s="18">
        <f>D1*(-5)</f>
        <v>0</v>
      </c>
      <c r="I7" s="18"/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18">
        <v>0</v>
      </c>
      <c r="P7" s="18">
        <v>0</v>
      </c>
      <c r="Q7" s="18">
        <v>0</v>
      </c>
      <c r="R7" s="18">
        <v>0</v>
      </c>
      <c r="S7" s="18">
        <v>0</v>
      </c>
      <c r="T7" s="18">
        <v>0</v>
      </c>
      <c r="U7" s="18">
        <v>0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8">
        <v>0</v>
      </c>
      <c r="AB7" s="18">
        <v>0</v>
      </c>
      <c r="AC7" s="18">
        <v>0</v>
      </c>
      <c r="AD7" s="18">
        <v>0</v>
      </c>
      <c r="AE7" s="18">
        <v>0</v>
      </c>
      <c r="AF7" s="18">
        <v>0</v>
      </c>
      <c r="AG7" s="18">
        <v>0</v>
      </c>
      <c r="AH7" s="18">
        <v>0</v>
      </c>
      <c r="AI7" s="18">
        <v>0</v>
      </c>
      <c r="AJ7" s="18">
        <v>0</v>
      </c>
      <c r="AK7" s="18"/>
      <c r="AL7" s="18"/>
    </row>
    <row r="8" spans="1:38" x14ac:dyDescent="0.3">
      <c r="A8" s="3" t="s">
        <v>107</v>
      </c>
      <c r="B8">
        <f>SUM(D8:AJ8,D2)</f>
        <v>7</v>
      </c>
      <c r="D8">
        <v>5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8">
        <v>0</v>
      </c>
      <c r="AB8" s="18">
        <v>0</v>
      </c>
      <c r="AC8" s="18">
        <v>0</v>
      </c>
      <c r="AD8" s="18">
        <v>0</v>
      </c>
      <c r="AE8" s="18">
        <v>0</v>
      </c>
      <c r="AF8" s="18">
        <v>0</v>
      </c>
      <c r="AG8" s="18">
        <v>0</v>
      </c>
      <c r="AH8" s="18">
        <v>0</v>
      </c>
      <c r="AI8" s="18">
        <v>0</v>
      </c>
      <c r="AJ8" s="18">
        <v>0</v>
      </c>
      <c r="AK8" s="18"/>
      <c r="AL8" s="18"/>
    </row>
    <row r="9" spans="1:38" x14ac:dyDescent="0.3">
      <c r="A9" s="3" t="s">
        <v>109</v>
      </c>
      <c r="B9">
        <f>SUM(D9:F9,I9,J9:AJ9)</f>
        <v>123</v>
      </c>
      <c r="C9">
        <f>ROUNDDOWN(B9/2,0)</f>
        <v>61</v>
      </c>
      <c r="D9">
        <v>18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105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18">
        <v>0</v>
      </c>
      <c r="AG9" s="18">
        <v>0</v>
      </c>
      <c r="AH9" s="18">
        <v>0</v>
      </c>
      <c r="AI9" s="18">
        <v>0</v>
      </c>
      <c r="AJ9" s="18">
        <v>0</v>
      </c>
      <c r="AK9" s="18"/>
      <c r="AL9" s="18"/>
    </row>
    <row r="10" spans="1:38" x14ac:dyDescent="0.3">
      <c r="A10" s="3" t="s">
        <v>113</v>
      </c>
      <c r="B10">
        <f>SUM(D10:F10,I10,J10:AJ10)</f>
        <v>18</v>
      </c>
      <c r="C10">
        <f t="shared" ref="C10:C14" si="0">ROUNDDOWN(B10/2,0)</f>
        <v>9</v>
      </c>
      <c r="D10">
        <v>18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  <c r="AD10" s="18">
        <v>0</v>
      </c>
      <c r="AE10" s="18">
        <v>0</v>
      </c>
      <c r="AF10" s="18">
        <v>0</v>
      </c>
      <c r="AG10" s="18">
        <v>0</v>
      </c>
      <c r="AH10" s="18">
        <v>0</v>
      </c>
      <c r="AI10" s="18">
        <v>0</v>
      </c>
      <c r="AJ10" s="18">
        <v>0</v>
      </c>
      <c r="AK10" s="18"/>
      <c r="AL10" s="18"/>
    </row>
    <row r="11" spans="1:38" x14ac:dyDescent="0.3">
      <c r="A11" s="3" t="s">
        <v>112</v>
      </c>
      <c r="B11">
        <f t="shared" ref="B11:B14" si="1">SUM(D11:F11,I11,J11:AJ11)</f>
        <v>18</v>
      </c>
      <c r="C11">
        <f t="shared" si="0"/>
        <v>9</v>
      </c>
      <c r="D11">
        <v>18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0</v>
      </c>
      <c r="AD11" s="18">
        <v>0</v>
      </c>
      <c r="AE11" s="18">
        <v>0</v>
      </c>
      <c r="AF11" s="18">
        <v>0</v>
      </c>
      <c r="AG11" s="18">
        <v>0</v>
      </c>
      <c r="AH11" s="18">
        <v>0</v>
      </c>
      <c r="AI11" s="18">
        <v>0</v>
      </c>
      <c r="AJ11" s="18">
        <v>0</v>
      </c>
      <c r="AK11" s="18"/>
      <c r="AL11" s="18"/>
    </row>
    <row r="12" spans="1:38" x14ac:dyDescent="0.3">
      <c r="A12" s="3" t="s">
        <v>110</v>
      </c>
      <c r="B12">
        <f t="shared" si="1"/>
        <v>16</v>
      </c>
      <c r="C12">
        <f t="shared" si="0"/>
        <v>8</v>
      </c>
      <c r="D12">
        <v>16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  <c r="O12" s="18">
        <v>0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18">
        <v>0</v>
      </c>
      <c r="AB12" s="18">
        <v>0</v>
      </c>
      <c r="AC12" s="18">
        <v>0</v>
      </c>
      <c r="AD12" s="18">
        <v>0</v>
      </c>
      <c r="AE12" s="18">
        <v>0</v>
      </c>
      <c r="AF12" s="18">
        <v>0</v>
      </c>
      <c r="AG12" s="18">
        <v>0</v>
      </c>
      <c r="AH12" s="18">
        <v>0</v>
      </c>
      <c r="AI12" s="18">
        <v>0</v>
      </c>
      <c r="AJ12" s="18">
        <v>0</v>
      </c>
      <c r="AK12" s="18"/>
      <c r="AL12" s="18"/>
    </row>
    <row r="13" spans="1:38" x14ac:dyDescent="0.3">
      <c r="A13" s="3" t="s">
        <v>108</v>
      </c>
      <c r="B13">
        <f t="shared" si="1"/>
        <v>15</v>
      </c>
      <c r="C13">
        <f t="shared" si="0"/>
        <v>7</v>
      </c>
      <c r="D13">
        <v>15</v>
      </c>
      <c r="J13" s="18">
        <v>0</v>
      </c>
      <c r="K13" s="18">
        <v>0</v>
      </c>
      <c r="L13" s="18">
        <v>0</v>
      </c>
      <c r="M13" s="18">
        <v>0</v>
      </c>
      <c r="N13" s="18">
        <v>0</v>
      </c>
      <c r="O13" s="18">
        <v>0</v>
      </c>
      <c r="P13" s="18">
        <v>0</v>
      </c>
      <c r="Q13" s="18">
        <v>0</v>
      </c>
      <c r="R13" s="18">
        <v>0</v>
      </c>
      <c r="S13" s="18">
        <v>0</v>
      </c>
      <c r="T13" s="18">
        <v>0</v>
      </c>
      <c r="U13" s="18">
        <v>0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18">
        <v>0</v>
      </c>
      <c r="AG13" s="18">
        <v>0</v>
      </c>
      <c r="AH13" s="18">
        <v>0</v>
      </c>
      <c r="AI13" s="18">
        <v>0</v>
      </c>
      <c r="AJ13" s="18">
        <v>0</v>
      </c>
      <c r="AK13" s="18"/>
      <c r="AL13" s="18"/>
    </row>
    <row r="14" spans="1:38" x14ac:dyDescent="0.3">
      <c r="A14" s="3" t="s">
        <v>111</v>
      </c>
      <c r="B14">
        <f t="shared" si="1"/>
        <v>14</v>
      </c>
      <c r="C14">
        <f t="shared" si="0"/>
        <v>7</v>
      </c>
      <c r="D14">
        <v>14</v>
      </c>
      <c r="J14" s="18">
        <v>0</v>
      </c>
      <c r="K14" s="18">
        <v>0</v>
      </c>
      <c r="L14" s="18">
        <v>0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18">
        <v>0</v>
      </c>
      <c r="AB14" s="18">
        <v>0</v>
      </c>
      <c r="AC14" s="18">
        <v>0</v>
      </c>
      <c r="AD14" s="18">
        <v>0</v>
      </c>
      <c r="AE14" s="18">
        <v>0</v>
      </c>
      <c r="AF14" s="18">
        <v>0</v>
      </c>
      <c r="AG14" s="18">
        <v>0</v>
      </c>
      <c r="AH14" s="18">
        <v>0</v>
      </c>
      <c r="AI14" s="18">
        <v>0</v>
      </c>
      <c r="AJ14" s="18">
        <v>0</v>
      </c>
      <c r="AK14" s="18"/>
      <c r="AL14" s="18"/>
    </row>
    <row r="15" spans="1:38" x14ac:dyDescent="0.3"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8">
        <v>0</v>
      </c>
      <c r="S15" s="18">
        <v>0</v>
      </c>
      <c r="T15" s="18">
        <v>0</v>
      </c>
      <c r="U15" s="18">
        <v>0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0</v>
      </c>
      <c r="AF15" s="18">
        <v>0</v>
      </c>
      <c r="AG15" s="18">
        <v>0</v>
      </c>
      <c r="AH15" s="18">
        <v>0</v>
      </c>
      <c r="AI15" s="18">
        <v>0</v>
      </c>
      <c r="AJ15" s="18">
        <v>0</v>
      </c>
      <c r="AK15" s="18"/>
      <c r="AL15" s="18"/>
    </row>
    <row r="16" spans="1:38" x14ac:dyDescent="0.3">
      <c r="A16" s="3" t="s">
        <v>29</v>
      </c>
      <c r="B16">
        <f>SUM(D16:AH16)</f>
        <v>8</v>
      </c>
      <c r="D16">
        <v>8</v>
      </c>
      <c r="G16">
        <f>$D$1*(-1)</f>
        <v>0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8">
        <v>0</v>
      </c>
      <c r="S16" s="18">
        <v>0</v>
      </c>
      <c r="T16" s="18">
        <v>0</v>
      </c>
      <c r="U16" s="18">
        <v>0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18">
        <v>0</v>
      </c>
      <c r="AB16" s="18">
        <v>0</v>
      </c>
      <c r="AC16" s="18">
        <v>0</v>
      </c>
      <c r="AD16" s="18">
        <v>0</v>
      </c>
      <c r="AE16" s="18">
        <v>0</v>
      </c>
      <c r="AF16" s="18">
        <v>0</v>
      </c>
      <c r="AG16" s="18">
        <v>0</v>
      </c>
      <c r="AH16" s="18">
        <v>0</v>
      </c>
      <c r="AI16" s="18">
        <v>0</v>
      </c>
      <c r="AJ16" s="18">
        <v>0</v>
      </c>
      <c r="AK16" s="18"/>
      <c r="AL16" s="18"/>
    </row>
    <row r="17" spans="1:38" x14ac:dyDescent="0.3">
      <c r="A17" s="3" t="s">
        <v>30</v>
      </c>
      <c r="B17">
        <f>SUM(D17:AH17)</f>
        <v>5</v>
      </c>
      <c r="D17">
        <v>5</v>
      </c>
      <c r="G17">
        <f t="shared" ref="G17:G20" si="2">$D$1*(-1)</f>
        <v>0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8">
        <v>0</v>
      </c>
      <c r="S17" s="18">
        <v>0</v>
      </c>
      <c r="T17" s="18">
        <v>0</v>
      </c>
      <c r="U17" s="18">
        <v>0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18">
        <v>0</v>
      </c>
      <c r="AB17" s="18">
        <v>0</v>
      </c>
      <c r="AC17" s="18">
        <v>0</v>
      </c>
      <c r="AD17" s="18">
        <v>0</v>
      </c>
      <c r="AE17" s="18">
        <v>0</v>
      </c>
      <c r="AF17" s="18">
        <v>0</v>
      </c>
      <c r="AG17" s="18">
        <v>0</v>
      </c>
      <c r="AH17" s="18">
        <v>0</v>
      </c>
      <c r="AI17" s="18">
        <v>0</v>
      </c>
      <c r="AJ17" s="18">
        <v>0</v>
      </c>
      <c r="AK17" s="18"/>
      <c r="AL17" s="18"/>
    </row>
    <row r="18" spans="1:38" x14ac:dyDescent="0.3">
      <c r="A18" s="3" t="s">
        <v>31</v>
      </c>
      <c r="B18">
        <f>SUM(D18:AH18)</f>
        <v>5</v>
      </c>
      <c r="D18">
        <v>5</v>
      </c>
      <c r="G18">
        <f t="shared" si="2"/>
        <v>0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0</v>
      </c>
      <c r="U18" s="18">
        <v>0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18">
        <v>0</v>
      </c>
      <c r="AB18" s="18">
        <v>0</v>
      </c>
      <c r="AC18" s="18">
        <v>0</v>
      </c>
      <c r="AD18" s="18">
        <v>0</v>
      </c>
      <c r="AE18" s="18">
        <v>0</v>
      </c>
      <c r="AF18" s="18">
        <v>0</v>
      </c>
      <c r="AG18" s="18">
        <v>0</v>
      </c>
      <c r="AH18" s="18">
        <v>0</v>
      </c>
      <c r="AI18" s="18">
        <v>0</v>
      </c>
      <c r="AJ18" s="18">
        <v>0</v>
      </c>
      <c r="AK18" s="18"/>
      <c r="AL18" s="18"/>
    </row>
    <row r="19" spans="1:38" x14ac:dyDescent="0.3"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0</v>
      </c>
      <c r="P19" s="18">
        <v>0</v>
      </c>
      <c r="Q19" s="18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8">
        <v>0</v>
      </c>
      <c r="AB19" s="18">
        <v>0</v>
      </c>
      <c r="AC19" s="18">
        <v>0</v>
      </c>
      <c r="AD19" s="18">
        <v>0</v>
      </c>
      <c r="AE19" s="18">
        <v>0</v>
      </c>
      <c r="AF19" s="18">
        <v>0</v>
      </c>
      <c r="AG19" s="18">
        <v>0</v>
      </c>
      <c r="AH19" s="18">
        <v>0</v>
      </c>
      <c r="AI19" s="18">
        <v>0</v>
      </c>
      <c r="AJ19" s="18">
        <v>0</v>
      </c>
      <c r="AK19" s="18"/>
      <c r="AL19" s="18"/>
    </row>
    <row r="20" spans="1:38" x14ac:dyDescent="0.3">
      <c r="A20" s="3" t="s">
        <v>68</v>
      </c>
      <c r="B20">
        <f>SUM(D20:AH20,B8,D3*(-1),D2,E3*(-1))</f>
        <v>8</v>
      </c>
      <c r="G20">
        <f t="shared" si="2"/>
        <v>0</v>
      </c>
      <c r="H20">
        <f>SUM(K1*2,F3*(-1))</f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18">
        <v>0</v>
      </c>
      <c r="AB20" s="18">
        <v>0</v>
      </c>
      <c r="AC20" s="18">
        <v>0</v>
      </c>
      <c r="AD20" s="18">
        <v>0</v>
      </c>
      <c r="AE20" s="18">
        <v>0</v>
      </c>
      <c r="AF20" s="18">
        <v>0</v>
      </c>
      <c r="AG20" s="18">
        <v>0</v>
      </c>
      <c r="AH20" s="18">
        <v>0</v>
      </c>
      <c r="AI20" s="18">
        <v>0</v>
      </c>
      <c r="AJ20" s="18">
        <v>0</v>
      </c>
      <c r="AK20" s="18"/>
      <c r="AL20" s="18"/>
    </row>
    <row r="21" spans="1:38" x14ac:dyDescent="0.3">
      <c r="A21" s="3" t="s">
        <v>106</v>
      </c>
      <c r="B21">
        <f>SUM(D21:AJ21,D3*(2))</f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8">
        <v>0</v>
      </c>
      <c r="AG21" s="18">
        <v>0</v>
      </c>
      <c r="AH21" s="18">
        <v>0</v>
      </c>
      <c r="AI21" s="18">
        <v>0</v>
      </c>
      <c r="AJ21" s="18">
        <v>0</v>
      </c>
      <c r="AK21" s="18"/>
      <c r="AL21" s="18"/>
    </row>
    <row r="22" spans="1:38" x14ac:dyDescent="0.3">
      <c r="A22" s="3" t="s">
        <v>114</v>
      </c>
      <c r="B22">
        <f>SUM(C9,D22:AJ22,E3*(4))</f>
        <v>65</v>
      </c>
      <c r="J22" s="18">
        <v>0</v>
      </c>
      <c r="K22" s="18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8">
        <v>0</v>
      </c>
      <c r="AA22" s="18">
        <v>0</v>
      </c>
      <c r="AB22" s="18">
        <v>0</v>
      </c>
      <c r="AC22" s="18">
        <v>0</v>
      </c>
      <c r="AD22" s="18">
        <v>0</v>
      </c>
      <c r="AE22" s="18">
        <v>0</v>
      </c>
      <c r="AF22" s="18">
        <v>0</v>
      </c>
      <c r="AG22" s="18">
        <v>0</v>
      </c>
      <c r="AH22" s="18">
        <v>0</v>
      </c>
      <c r="AI22" s="18">
        <v>0</v>
      </c>
      <c r="AJ22" s="18">
        <v>0</v>
      </c>
      <c r="AK22" s="18"/>
      <c r="AL22" s="18"/>
    </row>
    <row r="23" spans="1:38" x14ac:dyDescent="0.3">
      <c r="A23" s="3" t="s">
        <v>28</v>
      </c>
      <c r="B23">
        <f>SUM(D23:F23,K23:AH23,IF(F1=0,MIN(C10,O3),0),H23:I23)</f>
        <v>27</v>
      </c>
      <c r="J23" s="18">
        <v>0</v>
      </c>
      <c r="K23" s="18">
        <v>0</v>
      </c>
      <c r="L23" s="18">
        <v>8</v>
      </c>
      <c r="M23" s="18">
        <v>0</v>
      </c>
      <c r="N23" s="18">
        <v>0</v>
      </c>
      <c r="O23" s="18">
        <v>5</v>
      </c>
      <c r="P23" s="18">
        <v>0</v>
      </c>
      <c r="Q23" s="18">
        <v>5</v>
      </c>
      <c r="R23" s="18">
        <v>5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>
        <v>0</v>
      </c>
      <c r="Y23" s="18">
        <v>0</v>
      </c>
      <c r="Z23" s="18">
        <v>0</v>
      </c>
      <c r="AA23" s="18">
        <v>0</v>
      </c>
      <c r="AB23" s="18">
        <v>4</v>
      </c>
      <c r="AC23" s="18">
        <v>0</v>
      </c>
      <c r="AD23" s="18">
        <v>0</v>
      </c>
      <c r="AE23" s="18">
        <v>0</v>
      </c>
      <c r="AF23" s="18">
        <v>0</v>
      </c>
      <c r="AG23" s="18">
        <v>0</v>
      </c>
      <c r="AH23" s="18">
        <v>0</v>
      </c>
      <c r="AI23" s="18">
        <v>2</v>
      </c>
      <c r="AJ23" s="18">
        <v>0</v>
      </c>
      <c r="AK23" s="18"/>
      <c r="AL23" s="18"/>
    </row>
    <row r="24" spans="1:38" x14ac:dyDescent="0.3">
      <c r="A24" s="3" t="s">
        <v>115</v>
      </c>
      <c r="B24">
        <f>B23-L23-AB23-V23-Q23-R23-W23</f>
        <v>5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8">
        <v>0</v>
      </c>
      <c r="AG24" s="18">
        <v>0</v>
      </c>
      <c r="AH24" s="18">
        <v>0</v>
      </c>
      <c r="AI24" s="18">
        <v>0</v>
      </c>
      <c r="AJ24" s="18">
        <v>0</v>
      </c>
      <c r="AK24" s="18"/>
      <c r="AL24" s="18"/>
    </row>
    <row r="25" spans="1:38" x14ac:dyDescent="0.3">
      <c r="A25" s="3" t="s">
        <v>116</v>
      </c>
      <c r="B25">
        <f>IF(F1=1,B23,B23-C10)</f>
        <v>27</v>
      </c>
      <c r="J25" s="18">
        <v>0</v>
      </c>
      <c r="K25" s="18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8">
        <v>0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 s="18">
        <v>0</v>
      </c>
      <c r="AJ25" s="18">
        <v>0</v>
      </c>
      <c r="AK25" s="18"/>
      <c r="AL25" s="18"/>
    </row>
    <row r="26" spans="1:38" x14ac:dyDescent="0.3">
      <c r="B26" s="92" t="s">
        <v>117</v>
      </c>
      <c r="C26" s="92"/>
      <c r="G26" s="42" t="s">
        <v>121</v>
      </c>
      <c r="H26" s="43" t="s">
        <v>125</v>
      </c>
      <c r="I26" s="43" t="s">
        <v>122</v>
      </c>
      <c r="J26" s="43" t="s">
        <v>125</v>
      </c>
      <c r="K26" s="44" t="s">
        <v>124</v>
      </c>
      <c r="AI26">
        <v>0</v>
      </c>
      <c r="AJ26">
        <v>0</v>
      </c>
    </row>
    <row r="27" spans="1:38" x14ac:dyDescent="0.3">
      <c r="A27" s="3" t="s">
        <v>99</v>
      </c>
      <c r="B27" s="92" t="s">
        <v>118</v>
      </c>
      <c r="C27" s="92"/>
      <c r="D27" s="93" t="str">
        <f>CONCATENATE("Attack roll +",G27,"    Damage ",I27,"+",K27)</f>
        <v>Attack roll +50    Damage 25+1d8</v>
      </c>
      <c r="E27" s="93"/>
      <c r="F27" s="93"/>
      <c r="G27" s="45">
        <v>50</v>
      </c>
      <c r="H27" s="46"/>
      <c r="I27" s="45">
        <v>25</v>
      </c>
      <c r="J27" s="46"/>
      <c r="K27" s="4" t="s">
        <v>119</v>
      </c>
    </row>
    <row r="28" spans="1:38" x14ac:dyDescent="0.3">
      <c r="A28" s="3" t="s">
        <v>100</v>
      </c>
      <c r="B28" s="92"/>
      <c r="C28" s="92"/>
      <c r="D28" s="93" t="str">
        <f t="shared" ref="D28:D30" si="3">CONCATENATE("Attack roll +",G28,"    Damage ",I28,"+",K28)</f>
        <v>Attack roll +    Damage +</v>
      </c>
      <c r="E28" s="93"/>
      <c r="F28" s="93"/>
      <c r="G28" s="45"/>
      <c r="H28" s="46"/>
      <c r="I28" s="45"/>
      <c r="J28" s="46"/>
      <c r="K28" s="4"/>
    </row>
    <row r="29" spans="1:38" x14ac:dyDescent="0.3">
      <c r="A29" s="3" t="s">
        <v>101</v>
      </c>
      <c r="B29" s="92"/>
      <c r="C29" s="92"/>
      <c r="D29" s="93" t="str">
        <f t="shared" si="3"/>
        <v>Attack roll +    Damage +</v>
      </c>
      <c r="E29" s="93"/>
      <c r="F29" s="93"/>
    </row>
    <row r="30" spans="1:38" x14ac:dyDescent="0.3">
      <c r="A30" s="3" t="s">
        <v>102</v>
      </c>
      <c r="B30" s="92"/>
      <c r="C30" s="92"/>
      <c r="D30" s="93" t="str">
        <f t="shared" si="3"/>
        <v>Attack roll +    Damage +</v>
      </c>
      <c r="E30" s="93"/>
      <c r="F30" s="93"/>
    </row>
    <row r="31" spans="1:38" s="1" customFormat="1" x14ac:dyDescent="0.3">
      <c r="A31" s="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8" x14ac:dyDescent="0.3">
      <c r="A32" s="3" t="s">
        <v>94</v>
      </c>
      <c r="B32">
        <f>COUNTA(A35:A81)</f>
        <v>11</v>
      </c>
    </row>
    <row r="34" spans="1:27" x14ac:dyDescent="0.3">
      <c r="A34" s="3" t="s">
        <v>63</v>
      </c>
      <c r="B34" s="20" t="s">
        <v>78</v>
      </c>
      <c r="C34" s="39" t="s">
        <v>104</v>
      </c>
      <c r="D34" s="22" t="s">
        <v>65</v>
      </c>
      <c r="E34" s="23" t="s">
        <v>72</v>
      </c>
      <c r="F34" s="24" t="s">
        <v>73</v>
      </c>
      <c r="G34" s="25" t="s">
        <v>82</v>
      </c>
      <c r="H34" s="25" t="s">
        <v>83</v>
      </c>
      <c r="I34" s="41" t="s">
        <v>92</v>
      </c>
      <c r="J34" s="27" t="s">
        <v>69</v>
      </c>
      <c r="K34" s="23" t="s">
        <v>72</v>
      </c>
      <c r="L34" s="24" t="s">
        <v>73</v>
      </c>
      <c r="M34" s="25" t="s">
        <v>82</v>
      </c>
      <c r="N34" s="26" t="s">
        <v>83</v>
      </c>
      <c r="O34" s="27" t="s">
        <v>69</v>
      </c>
      <c r="P34" s="23" t="s">
        <v>72</v>
      </c>
      <c r="Q34" s="24" t="s">
        <v>73</v>
      </c>
      <c r="R34" s="25" t="s">
        <v>82</v>
      </c>
      <c r="S34" s="26" t="s">
        <v>83</v>
      </c>
      <c r="T34" s="28" t="s">
        <v>98</v>
      </c>
      <c r="U34" s="1"/>
      <c r="V34" s="1"/>
      <c r="W34" s="1"/>
      <c r="X34" s="1"/>
      <c r="Y34" s="1"/>
      <c r="Z34" s="1"/>
      <c r="AA34" s="1"/>
    </row>
    <row r="35" spans="1:27" x14ac:dyDescent="0.3">
      <c r="A35" s="17" t="s">
        <v>141</v>
      </c>
      <c r="B35" s="19">
        <v>8</v>
      </c>
      <c r="C35" s="13"/>
      <c r="D35" s="29" t="str">
        <f>VLOOKUP(A35,BUFFS!$H$5:$AF$195,5,)</f>
        <v>AC</v>
      </c>
      <c r="E35" s="30" t="str">
        <f>VLOOKUP(A35,BUFFS!$H$5:$AF$195,6,)</f>
        <v xml:space="preserve">Armor Bonus </v>
      </c>
      <c r="F35" s="31">
        <f>VLOOKUP(A35,BUFFS!$H$5:$AF$195,7,)</f>
        <v>0</v>
      </c>
      <c r="G35" s="30">
        <f>VLOOKUP(A35,BUFFS!$H$5:$AF$195,9,)</f>
        <v>1</v>
      </c>
      <c r="H35" s="31">
        <f>SUM(F35,ROUNDDOWN(MIN(B35,T$35)*G35,0))</f>
        <v>8</v>
      </c>
      <c r="I35" s="40">
        <f>IFERROR(VLOOKUP(A35,BUFFS!$H$5:$AF$195,8,),"")</f>
        <v>0</v>
      </c>
      <c r="J35" s="29">
        <f>VLOOKUP(A35,BUFFS!$H$5:$AF$195,10,)</f>
        <v>0</v>
      </c>
      <c r="K35" s="30">
        <f>VLOOKUP(A35,BUFFS!$H$5:$AF$195,11,)</f>
        <v>0</v>
      </c>
      <c r="L35" s="30">
        <f>VLOOKUP(A35,BUFFS!$H$5:$AF$195,12,)</f>
        <v>0</v>
      </c>
      <c r="M35" s="30">
        <f>VLOOKUP(A35,BUFFS!$H$5:$AF$195,14,)</f>
        <v>0</v>
      </c>
      <c r="N35" s="32">
        <f t="shared" ref="N35:N44" si="4">SUM(L35,ROUNDDOWN(MIN(B35,T$35)*M35,0))</f>
        <v>0</v>
      </c>
      <c r="O35" s="29">
        <f>VLOOKUP(A35,BUFFS!$H$5:$AF$195,15,)</f>
        <v>0</v>
      </c>
      <c r="P35" s="30">
        <f>VLOOKUP(A35,BUFFS!$H$5:$AF$195,16,)</f>
        <v>0</v>
      </c>
      <c r="Q35" s="30">
        <f>VLOOKUP(A35,BUFFS!$H$5:$AF$195,17,)</f>
        <v>0</v>
      </c>
      <c r="R35" s="30">
        <f>VLOOKUP(A35,BUFFS!$H$5:$AF$195,19,)</f>
        <v>0</v>
      </c>
      <c r="S35" s="32">
        <f t="shared" ref="S35:S44" si="5">SUM(Q35,ROUNDDOWN(MIN(B35,T$35)*R35,0))</f>
        <v>0</v>
      </c>
      <c r="T35" s="33">
        <f>VLOOKUP(A35,BUFFS!$H$5:$AF$195,20,)</f>
        <v>100</v>
      </c>
    </row>
    <row r="36" spans="1:27" x14ac:dyDescent="0.3">
      <c r="A36" s="17" t="s">
        <v>142</v>
      </c>
      <c r="B36" s="19">
        <v>4</v>
      </c>
      <c r="C36" s="13"/>
      <c r="D36" s="29" t="str">
        <f>VLOOKUP(A36,BUFFS!$H$5:$AF$195,5,)</f>
        <v>AC</v>
      </c>
      <c r="E36" s="30" t="str">
        <f>VLOOKUP(A36,BUFFS!$H$5:$AF$195,6,)</f>
        <v xml:space="preserve">Shield Bonus </v>
      </c>
      <c r="F36" s="31">
        <f>VLOOKUP(A36,BUFFS!$H$5:$AF$195,7,)</f>
        <v>0</v>
      </c>
      <c r="G36" s="30">
        <f>VLOOKUP(A36,BUFFS!$H$5:$AF$195,9,)</f>
        <v>1</v>
      </c>
      <c r="H36" s="31">
        <f t="shared" ref="H36:H44" si="6">SUM(F36,ROUNDDOWN(MIN(B36,T$35)*G36,0))</f>
        <v>4</v>
      </c>
      <c r="I36" s="40">
        <f>IFERROR(VLOOKUP(A36,BUFFS!$H$5:$AF$195,8,),"")</f>
        <v>0</v>
      </c>
      <c r="J36" s="29">
        <f>VLOOKUP(A36,BUFFS!$H$5:$AF$195,10,)</f>
        <v>0</v>
      </c>
      <c r="K36" s="30">
        <f>VLOOKUP(A36,BUFFS!$H$5:$AF$195,11,)</f>
        <v>0</v>
      </c>
      <c r="L36" s="30">
        <f>VLOOKUP(A36,BUFFS!$H$5:$AF$195,12,)</f>
        <v>0</v>
      </c>
      <c r="M36" s="30">
        <f>VLOOKUP(A36,BUFFS!$H$5:$AF$195,14,)</f>
        <v>0</v>
      </c>
      <c r="N36" s="32">
        <f t="shared" si="4"/>
        <v>0</v>
      </c>
      <c r="O36" s="29">
        <f>VLOOKUP(A36,BUFFS!$H$5:$AF$195,15,)</f>
        <v>0</v>
      </c>
      <c r="P36" s="30">
        <f>VLOOKUP(A36,BUFFS!$H$5:$AF$195,16,)</f>
        <v>0</v>
      </c>
      <c r="Q36" s="30">
        <f>VLOOKUP(A36,BUFFS!$H$5:$AF$195,17,)</f>
        <v>0</v>
      </c>
      <c r="R36" s="30">
        <f>VLOOKUP(A36,BUFFS!$H$5:$AF$195,19,)</f>
        <v>0</v>
      </c>
      <c r="S36" s="32">
        <f t="shared" si="5"/>
        <v>0</v>
      </c>
      <c r="T36" s="33">
        <f>VLOOKUP(A36,BUFFS!$H$5:$AF$195,20,)</f>
        <v>100</v>
      </c>
    </row>
    <row r="37" spans="1:27" x14ac:dyDescent="0.3">
      <c r="A37" s="17" t="s">
        <v>76</v>
      </c>
      <c r="B37" s="19">
        <v>20</v>
      </c>
      <c r="C37" s="13"/>
      <c r="D37" s="29" t="str">
        <f>VLOOKUP(A37,BUFFS!$H$5:$AF$195,5,)</f>
        <v>AC</v>
      </c>
      <c r="E37" s="30" t="str">
        <f>VLOOKUP(A37,BUFFS!$H$5:$AF$195,6,)</f>
        <v xml:space="preserve">Deflection Bonus </v>
      </c>
      <c r="F37" s="31">
        <f>VLOOKUP(A37,BUFFS!$H$5:$AF$195,7,)</f>
        <v>2</v>
      </c>
      <c r="G37" s="30">
        <f>VLOOKUP(A37,BUFFS!$H$5:$AF$195,9,)</f>
        <v>0.16666666666666666</v>
      </c>
      <c r="H37" s="31">
        <f t="shared" si="6"/>
        <v>5</v>
      </c>
      <c r="I37" s="40">
        <f>IFERROR(VLOOKUP(A37,BUFFS!$H$5:$AF$195,8,),"")</f>
        <v>1</v>
      </c>
      <c r="J37" s="29">
        <f>VLOOKUP(A37,BUFFS!$H$5:$AF$195,10,)</f>
        <v>0</v>
      </c>
      <c r="K37" s="30">
        <f>VLOOKUP(A37,BUFFS!$H$5:$AF$195,11,)</f>
        <v>0</v>
      </c>
      <c r="L37" s="30">
        <f>VLOOKUP(A37,BUFFS!$H$5:$AF$195,12,)</f>
        <v>0</v>
      </c>
      <c r="M37" s="30">
        <f>VLOOKUP(A37,BUFFS!$H$5:$AF$195,14,)</f>
        <v>0</v>
      </c>
      <c r="N37" s="32">
        <f t="shared" si="4"/>
        <v>0</v>
      </c>
      <c r="O37" s="29">
        <f>VLOOKUP(A37,BUFFS!$H$5:$AF$195,15,)</f>
        <v>0</v>
      </c>
      <c r="P37" s="30">
        <f>VLOOKUP(A37,BUFFS!$H$5:$AF$195,16,)</f>
        <v>0</v>
      </c>
      <c r="Q37" s="30">
        <f>VLOOKUP(A37,BUFFS!$H$5:$AF$195,17,)</f>
        <v>0</v>
      </c>
      <c r="R37" s="30">
        <f>VLOOKUP(A37,BUFFS!$H$5:$AF$195,19,)</f>
        <v>0</v>
      </c>
      <c r="S37" s="32">
        <f t="shared" si="5"/>
        <v>0</v>
      </c>
      <c r="T37" s="33">
        <f>VLOOKUP(A37,BUFFS!$H$5:$AF$195,20,)</f>
        <v>20</v>
      </c>
    </row>
    <row r="38" spans="1:27" x14ac:dyDescent="0.3">
      <c r="A38" s="17" t="s">
        <v>84</v>
      </c>
      <c r="B38" s="19">
        <v>20</v>
      </c>
      <c r="C38" s="13"/>
      <c r="D38" s="29" t="str">
        <f>VLOOKUP(A38,BUFFS!$H$5:$AF$195,5,)</f>
        <v>AC</v>
      </c>
      <c r="E38" s="30" t="str">
        <f>VLOOKUP(A38,BUFFS!$H$5:$AF$195,6,)</f>
        <v>Enhancement Shield Bonus</v>
      </c>
      <c r="F38" s="31">
        <f>VLOOKUP(A38,BUFFS!$H$5:$AF$195,7,)</f>
        <v>0</v>
      </c>
      <c r="G38" s="30">
        <f>VLOOKUP(A38,BUFFS!$H$5:$AF$195,9,)</f>
        <v>0.25</v>
      </c>
      <c r="H38" s="31">
        <f t="shared" si="6"/>
        <v>5</v>
      </c>
      <c r="I38" s="40">
        <f>IFERROR(VLOOKUP(A38,BUFFS!$H$5:$AF$195,8,),"")</f>
        <v>3</v>
      </c>
      <c r="J38" s="29">
        <f>VLOOKUP(A38,BUFFS!$H$5:$AF$195,10,)</f>
        <v>0</v>
      </c>
      <c r="K38" s="30">
        <f>VLOOKUP(A38,BUFFS!$H$5:$AF$195,11,)</f>
        <v>0</v>
      </c>
      <c r="L38" s="30">
        <f>VLOOKUP(A38,BUFFS!$H$5:$AF$195,12,)</f>
        <v>0</v>
      </c>
      <c r="M38" s="30">
        <f>VLOOKUP(A38,BUFFS!$H$5:$AF$195,14,)</f>
        <v>0</v>
      </c>
      <c r="N38" s="32">
        <f t="shared" si="4"/>
        <v>0</v>
      </c>
      <c r="O38" s="29">
        <f>VLOOKUP(A38,BUFFS!$H$5:$AF$195,15,)</f>
        <v>0</v>
      </c>
      <c r="P38" s="30">
        <f>VLOOKUP(A38,BUFFS!$H$5:$AF$195,16,)</f>
        <v>0</v>
      </c>
      <c r="Q38" s="30">
        <f>VLOOKUP(A38,BUFFS!$H$5:$AF$195,17,)</f>
        <v>0</v>
      </c>
      <c r="R38" s="30">
        <f>VLOOKUP(A38,BUFFS!$H$5:$AF$195,19,)</f>
        <v>0</v>
      </c>
      <c r="S38" s="32">
        <f t="shared" si="5"/>
        <v>0</v>
      </c>
      <c r="T38" s="33">
        <f>VLOOKUP(A38,BUFFS!$H$5:$AF$195,20,)</f>
        <v>20</v>
      </c>
    </row>
    <row r="39" spans="1:27" x14ac:dyDescent="0.3">
      <c r="A39" s="17" t="s">
        <v>85</v>
      </c>
      <c r="B39" s="19">
        <v>20</v>
      </c>
      <c r="C39" s="13"/>
      <c r="D39" s="29" t="str">
        <f>VLOOKUP(A39,BUFFS!$H$5:$AF$195,5,)</f>
        <v>AC</v>
      </c>
      <c r="E39" s="30" t="str">
        <f>VLOOKUP(A39,BUFFS!$H$5:$AF$195,6,)</f>
        <v xml:space="preserve">Enhancement Armor Bonus </v>
      </c>
      <c r="F39" s="31">
        <f>VLOOKUP(A39,BUFFS!$H$5:$AF$195,7,)</f>
        <v>0</v>
      </c>
      <c r="G39" s="30">
        <f>VLOOKUP(A39,BUFFS!$H$5:$AF$195,9,)</f>
        <v>0.25</v>
      </c>
      <c r="H39" s="31">
        <f t="shared" si="6"/>
        <v>5</v>
      </c>
      <c r="I39" s="40">
        <f>IFERROR(VLOOKUP(A39,BUFFS!$H$5:$AF$195,8,),"")</f>
        <v>3</v>
      </c>
      <c r="J39" s="29">
        <f>VLOOKUP(A39,BUFFS!$H$5:$AF$195,10,)</f>
        <v>0</v>
      </c>
      <c r="K39" s="30">
        <f>VLOOKUP(A39,BUFFS!$H$5:$AF$195,11,)</f>
        <v>0</v>
      </c>
      <c r="L39" s="30">
        <f>VLOOKUP(A39,BUFFS!$H$5:$AF$195,12,)</f>
        <v>0</v>
      </c>
      <c r="M39" s="30">
        <f>VLOOKUP(A39,BUFFS!$H$5:$AF$195,14,)</f>
        <v>0</v>
      </c>
      <c r="N39" s="32">
        <f t="shared" si="4"/>
        <v>0</v>
      </c>
      <c r="O39" s="29">
        <f>VLOOKUP(A39,BUFFS!$H$5:$AF$195,15,)</f>
        <v>0</v>
      </c>
      <c r="P39" s="30">
        <f>VLOOKUP(A39,BUFFS!$H$5:$AF$195,16,)</f>
        <v>0</v>
      </c>
      <c r="Q39" s="30">
        <f>VLOOKUP(A39,BUFFS!$H$5:$AF$195,17,)</f>
        <v>0</v>
      </c>
      <c r="R39" s="30">
        <f>VLOOKUP(A39,BUFFS!$H$5:$AF$195,19,)</f>
        <v>0</v>
      </c>
      <c r="S39" s="32">
        <f t="shared" si="5"/>
        <v>0</v>
      </c>
      <c r="T39" s="33">
        <f>VLOOKUP(A39,BUFFS!$H$5:$AF$195,20,)</f>
        <v>20</v>
      </c>
    </row>
    <row r="40" spans="1:27" x14ac:dyDescent="0.3">
      <c r="A40" s="17" t="s">
        <v>89</v>
      </c>
      <c r="B40" s="19">
        <v>20</v>
      </c>
      <c r="C40" s="13"/>
      <c r="D40" s="29" t="str">
        <f>VLOOKUP(A40,BUFFS!$H$5:$AF$195,5,)</f>
        <v>AC</v>
      </c>
      <c r="E40" s="30" t="str">
        <f>VLOOKUP(A40,BUFFS!$H$5:$AF$195,6,)</f>
        <v xml:space="preserve">Dodge Bonus </v>
      </c>
      <c r="F40" s="31">
        <f>VLOOKUP(A40,BUFFS!$H$5:$AF$195,7,)</f>
        <v>1</v>
      </c>
      <c r="G40" s="30">
        <f>VLOOKUP(A40,BUFFS!$H$5:$AF$195,9,)</f>
        <v>0</v>
      </c>
      <c r="H40" s="31">
        <f t="shared" si="6"/>
        <v>1</v>
      </c>
      <c r="I40" s="40">
        <f>IFERROR(VLOOKUP(A40,BUFFS!$H$5:$AF$195,8,),"")</f>
        <v>3</v>
      </c>
      <c r="J40" s="29" t="str">
        <f>VLOOKUP(A40,BUFFS!$H$5:$AF$195,10,)</f>
        <v>Reflex</v>
      </c>
      <c r="K40" s="30" t="str">
        <f>VLOOKUP(A40,BUFFS!$H$5:$AF$195,11,)</f>
        <v xml:space="preserve">Dodge Bonus </v>
      </c>
      <c r="L40" s="30">
        <f>VLOOKUP(A40,BUFFS!$H$5:$AF$195,12,)</f>
        <v>1</v>
      </c>
      <c r="M40" s="30">
        <f>VLOOKUP(A40,BUFFS!$H$5:$AF$195,14,)</f>
        <v>0</v>
      </c>
      <c r="N40" s="32">
        <f t="shared" si="4"/>
        <v>1</v>
      </c>
      <c r="O40" s="29" t="str">
        <f>VLOOKUP(A40,BUFFS!$H$5:$AF$195,15,)</f>
        <v>Strength</v>
      </c>
      <c r="P40" s="30" t="str">
        <f>VLOOKUP(A40,BUFFS!$H$5:$AF$195,16,)</f>
        <v xml:space="preserve">Deflection Bonus </v>
      </c>
      <c r="Q40" s="30">
        <f>VLOOKUP(A40,BUFFS!$H$5:$AF$195,17,)</f>
        <v>5</v>
      </c>
      <c r="R40" s="30">
        <f>VLOOKUP(A40,BUFFS!$H$5:$AF$195,19,)</f>
        <v>5</v>
      </c>
      <c r="S40" s="32">
        <f t="shared" si="5"/>
        <v>105</v>
      </c>
      <c r="T40" s="33">
        <f>VLOOKUP(A40,BUFFS!$H$5:$AF$195,20,)</f>
        <v>20</v>
      </c>
    </row>
    <row r="41" spans="1:27" x14ac:dyDescent="0.3">
      <c r="A41" s="17" t="s">
        <v>89</v>
      </c>
      <c r="B41" s="19">
        <v>20</v>
      </c>
      <c r="C41" s="13"/>
      <c r="D41" s="29" t="str">
        <f>VLOOKUP(A41,BUFFS!$H$5:$AF$195,5,)</f>
        <v>AC</v>
      </c>
      <c r="E41" s="30" t="str">
        <f>VLOOKUP(A41,BUFFS!$H$5:$AF$195,6,)</f>
        <v xml:space="preserve">Dodge Bonus </v>
      </c>
      <c r="F41" s="31">
        <f>VLOOKUP(A41,BUFFS!$H$5:$AF$195,7,)</f>
        <v>1</v>
      </c>
      <c r="G41" s="30">
        <f>VLOOKUP(A41,BUFFS!$H$5:$AF$195,9,)</f>
        <v>0</v>
      </c>
      <c r="H41" s="31">
        <f t="shared" si="6"/>
        <v>1</v>
      </c>
      <c r="I41" s="40">
        <f>IFERROR(VLOOKUP(A41,BUFFS!$H$5:$AF$195,8,),"")</f>
        <v>3</v>
      </c>
      <c r="J41" s="29" t="str">
        <f>VLOOKUP(A41,BUFFS!$H$5:$AF$195,10,)</f>
        <v>Reflex</v>
      </c>
      <c r="K41" s="30" t="str">
        <f>VLOOKUP(A41,BUFFS!$H$5:$AF$195,11,)</f>
        <v xml:space="preserve">Dodge Bonus </v>
      </c>
      <c r="L41" s="30">
        <f>VLOOKUP(A41,BUFFS!$H$5:$AF$195,12,)</f>
        <v>1</v>
      </c>
      <c r="M41" s="30">
        <f>VLOOKUP(A41,BUFFS!$H$5:$AF$195,14,)</f>
        <v>0</v>
      </c>
      <c r="N41" s="32">
        <f t="shared" si="4"/>
        <v>1</v>
      </c>
      <c r="O41" s="29" t="str">
        <f>VLOOKUP(A41,BUFFS!$H$5:$AF$195,15,)</f>
        <v>Strength</v>
      </c>
      <c r="P41" s="30" t="str">
        <f>VLOOKUP(A41,BUFFS!$H$5:$AF$195,16,)</f>
        <v xml:space="preserve">Deflection Bonus </v>
      </c>
      <c r="Q41" s="30">
        <f>VLOOKUP(A41,BUFFS!$H$5:$AF$195,17,)</f>
        <v>5</v>
      </c>
      <c r="R41" s="30">
        <f>VLOOKUP(A41,BUFFS!$H$5:$AF$195,19,)</f>
        <v>5</v>
      </c>
      <c r="S41" s="32">
        <f t="shared" si="5"/>
        <v>105</v>
      </c>
      <c r="T41" s="33">
        <f>VLOOKUP(A41,BUFFS!$H$5:$AF$195,20,)</f>
        <v>20</v>
      </c>
    </row>
    <row r="42" spans="1:27" x14ac:dyDescent="0.3">
      <c r="A42" s="17" t="s">
        <v>80</v>
      </c>
      <c r="B42" s="19">
        <v>20</v>
      </c>
      <c r="C42" s="13"/>
      <c r="D42" s="29" t="str">
        <f>VLOOKUP(A42,BUFFS!$H$5:$AF$195,5,)</f>
        <v>damage</v>
      </c>
      <c r="E42" s="30" t="str">
        <f>VLOOKUP(A42,BUFFS!$H$5:$AF$195,6,)</f>
        <v>Enhancement</v>
      </c>
      <c r="F42" s="31">
        <f>VLOOKUP(A42,BUFFS!$H$5:$AF$195,7,)</f>
        <v>0</v>
      </c>
      <c r="G42" s="30">
        <f>VLOOKUP(A42,BUFFS!$H$5:$AF$195,9,)</f>
        <v>0.25</v>
      </c>
      <c r="H42" s="31">
        <f t="shared" si="6"/>
        <v>5</v>
      </c>
      <c r="I42" s="40">
        <f>IFERROR(VLOOKUP(A42,BUFFS!$H$5:$AF$195,8,),"")</f>
        <v>3</v>
      </c>
      <c r="J42" s="29">
        <f>VLOOKUP(A42,BUFFS!$H$5:$AF$195,10,)</f>
        <v>0</v>
      </c>
      <c r="K42" s="30">
        <f>VLOOKUP(A42,BUFFS!$H$5:$AF$195,11,)</f>
        <v>0</v>
      </c>
      <c r="L42" s="30">
        <f>VLOOKUP(A42,BUFFS!$H$5:$AF$195,12,)</f>
        <v>0</v>
      </c>
      <c r="M42" s="30">
        <f>VLOOKUP(A42,BUFFS!$H$5:$AF$195,14,)</f>
        <v>0</v>
      </c>
      <c r="N42" s="32">
        <f t="shared" si="4"/>
        <v>0</v>
      </c>
      <c r="O42" s="29">
        <f>VLOOKUP(A42,BUFFS!$H$5:$AF$195,15,)</f>
        <v>0</v>
      </c>
      <c r="P42" s="30">
        <f>VLOOKUP(A42,BUFFS!$H$5:$AF$195,16,)</f>
        <v>0</v>
      </c>
      <c r="Q42" s="30">
        <f>VLOOKUP(A42,BUFFS!$H$5:$AF$195,17,)</f>
        <v>0</v>
      </c>
      <c r="R42" s="30">
        <f>VLOOKUP(A42,BUFFS!$H$5:$AF$195,19,)</f>
        <v>0</v>
      </c>
      <c r="S42" s="32">
        <f t="shared" si="5"/>
        <v>0</v>
      </c>
      <c r="T42" s="33">
        <f>VLOOKUP(A42,BUFFS!$H$5:$AF$195,20,)</f>
        <v>20</v>
      </c>
    </row>
    <row r="43" spans="1:27" x14ac:dyDescent="0.3">
      <c r="A43" s="17" t="s">
        <v>84</v>
      </c>
      <c r="B43" s="19">
        <v>20</v>
      </c>
      <c r="C43" s="13"/>
      <c r="D43" s="29" t="str">
        <f>VLOOKUP(A43,BUFFS!$H$5:$AF$195,5,)</f>
        <v>AC</v>
      </c>
      <c r="E43" s="30" t="str">
        <f>VLOOKUP(A43,BUFFS!$H$5:$AF$195,6,)</f>
        <v>Enhancement Shield Bonus</v>
      </c>
      <c r="F43" s="31">
        <f>VLOOKUP(A43,BUFFS!$H$5:$AF$195,7,)</f>
        <v>0</v>
      </c>
      <c r="G43" s="30">
        <f>VLOOKUP(A43,BUFFS!$H$5:$AF$195,9,)</f>
        <v>0.25</v>
      </c>
      <c r="H43" s="31">
        <f t="shared" si="6"/>
        <v>5</v>
      </c>
      <c r="I43" s="40">
        <f>IFERROR(VLOOKUP(A43,BUFFS!$H$5:$AF$195,8,),"")</f>
        <v>3</v>
      </c>
      <c r="J43" s="29">
        <f>VLOOKUP(A43,BUFFS!$H$5:$AF$195,10,)</f>
        <v>0</v>
      </c>
      <c r="K43" s="30">
        <f>VLOOKUP(A43,BUFFS!$H$5:$AF$195,11,)</f>
        <v>0</v>
      </c>
      <c r="L43" s="30">
        <f>VLOOKUP(A43,BUFFS!$H$5:$AF$195,12,)</f>
        <v>0</v>
      </c>
      <c r="M43" s="30">
        <f>VLOOKUP(A43,BUFFS!$H$5:$AF$195,14,)</f>
        <v>0</v>
      </c>
      <c r="N43" s="32">
        <f t="shared" si="4"/>
        <v>0</v>
      </c>
      <c r="O43" s="29">
        <f>VLOOKUP(A43,BUFFS!$H$5:$AF$195,15,)</f>
        <v>0</v>
      </c>
      <c r="P43" s="30">
        <f>VLOOKUP(A43,BUFFS!$H$5:$AF$195,16,)</f>
        <v>0</v>
      </c>
      <c r="Q43" s="30">
        <f>VLOOKUP(A43,BUFFS!$H$5:$AF$195,17,)</f>
        <v>0</v>
      </c>
      <c r="R43" s="30">
        <f>VLOOKUP(A43,BUFFS!$H$5:$AF$195,19,)</f>
        <v>0</v>
      </c>
      <c r="S43" s="32">
        <f t="shared" si="5"/>
        <v>0</v>
      </c>
      <c r="T43" s="33">
        <f>VLOOKUP(A43,BUFFS!$H$5:$AF$195,20,)</f>
        <v>20</v>
      </c>
    </row>
    <row r="44" spans="1:27" x14ac:dyDescent="0.3">
      <c r="A44" s="17" t="s">
        <v>84</v>
      </c>
      <c r="B44" s="19">
        <v>20</v>
      </c>
      <c r="C44" s="13"/>
      <c r="D44" s="29" t="str">
        <f>VLOOKUP(A44,BUFFS!$H$5:$AF$195,5,)</f>
        <v>AC</v>
      </c>
      <c r="E44" s="30" t="str">
        <f>VLOOKUP(A44,BUFFS!$H$5:$AF$195,6,)</f>
        <v>Enhancement Shield Bonus</v>
      </c>
      <c r="F44" s="31">
        <f>VLOOKUP(A44,BUFFS!$H$5:$AF$195,7,)</f>
        <v>0</v>
      </c>
      <c r="G44" s="30">
        <f>VLOOKUP(A44,BUFFS!$H$5:$AF$195,9,)</f>
        <v>0.25</v>
      </c>
      <c r="H44" s="31">
        <f t="shared" si="6"/>
        <v>5</v>
      </c>
      <c r="I44" s="40">
        <f>IFERROR(VLOOKUP(A44,BUFFS!$H$5:$AF$195,8,),"")</f>
        <v>3</v>
      </c>
      <c r="J44" s="29">
        <f>VLOOKUP(A44,BUFFS!$H$5:$AF$195,10,)</f>
        <v>0</v>
      </c>
      <c r="K44" s="30">
        <f>VLOOKUP(A44,BUFFS!$H$5:$AF$195,11,)</f>
        <v>0</v>
      </c>
      <c r="L44" s="30">
        <f>VLOOKUP(A44,BUFFS!$H$5:$AF$195,12,)</f>
        <v>0</v>
      </c>
      <c r="M44" s="30">
        <f>VLOOKUP(A44,BUFFS!$H$5:$AF$195,14,)</f>
        <v>0</v>
      </c>
      <c r="N44" s="32">
        <f t="shared" si="4"/>
        <v>0</v>
      </c>
      <c r="O44" s="29">
        <f>VLOOKUP(A44,BUFFS!$H$5:$AF$195,15,)</f>
        <v>0</v>
      </c>
      <c r="P44" s="30">
        <f>VLOOKUP(A44,BUFFS!$H$5:$AF$195,16,)</f>
        <v>0</v>
      </c>
      <c r="Q44" s="30">
        <f>VLOOKUP(A44,BUFFS!$H$5:$AF$195,17,)</f>
        <v>0</v>
      </c>
      <c r="R44" s="30">
        <f>VLOOKUP(A44,BUFFS!$H$5:$AF$195,19,)</f>
        <v>0</v>
      </c>
      <c r="S44" s="32">
        <f t="shared" si="5"/>
        <v>0</v>
      </c>
      <c r="T44" s="33">
        <f>VLOOKUP(A44,BUFFS!$H$5:$AF$195,20,)</f>
        <v>20</v>
      </c>
    </row>
    <row r="45" spans="1:27" x14ac:dyDescent="0.3">
      <c r="A45" s="17" t="s">
        <v>89</v>
      </c>
      <c r="B45" s="19">
        <v>10</v>
      </c>
      <c r="C45" s="13"/>
      <c r="D45" s="61" t="str">
        <f>VLOOKUP(A45,BUFFS!$H$5:$AF$195,5,)</f>
        <v>AC</v>
      </c>
      <c r="E45" s="62" t="str">
        <f>VLOOKUP(A45,BUFFS!$H$5:$AF$195,6,)</f>
        <v xml:space="preserve">Dodge Bonus </v>
      </c>
      <c r="F45" s="63">
        <f>VLOOKUP(A45,BUFFS!$H$5:$AF$195,7,)</f>
        <v>1</v>
      </c>
      <c r="G45" s="62">
        <f>VLOOKUP(A45,BUFFS!$H$5:$AF$195,9,)</f>
        <v>0</v>
      </c>
      <c r="H45" s="63">
        <f t="shared" ref="H45:H58" si="7">SUM(F45,ROUNDDOWN(MIN(B45,T$35)*G45,0))</f>
        <v>1</v>
      </c>
      <c r="I45" s="40">
        <f>IFERROR(VLOOKUP(A45,BUFFS!$H$5:$AF$195,8,),"")</f>
        <v>3</v>
      </c>
      <c r="J45" s="61" t="str">
        <f>VLOOKUP(A45,BUFFS!$H$5:$AF$195,10,)</f>
        <v>Reflex</v>
      </c>
      <c r="K45" s="62" t="str">
        <f>VLOOKUP(A45,BUFFS!$H$5:$AF$195,11,)</f>
        <v xml:space="preserve">Dodge Bonus </v>
      </c>
      <c r="L45" s="62">
        <f>VLOOKUP(A45,BUFFS!$H$5:$AF$195,12,)</f>
        <v>1</v>
      </c>
      <c r="M45" s="62">
        <f>VLOOKUP(A45,BUFFS!$H$5:$AF$195,14,)</f>
        <v>0</v>
      </c>
      <c r="N45" s="67">
        <f t="shared" ref="N45:N58" si="8">SUM(L45,ROUNDDOWN(MIN(B45,T$35)*M45,0))</f>
        <v>1</v>
      </c>
      <c r="O45" s="61" t="str">
        <f>VLOOKUP(A45,BUFFS!$H$5:$AF$195,15,)</f>
        <v>Strength</v>
      </c>
      <c r="P45" s="62" t="str">
        <f>VLOOKUP(A45,BUFFS!$H$5:$AF$195,16,)</f>
        <v xml:space="preserve">Deflection Bonus </v>
      </c>
      <c r="Q45" s="62">
        <f>VLOOKUP(A45,BUFFS!$H$5:$AF$195,17,)</f>
        <v>5</v>
      </c>
      <c r="R45" s="62">
        <f>VLOOKUP(A45,BUFFS!$H$5:$AF$195,19,)</f>
        <v>5</v>
      </c>
      <c r="S45" s="67">
        <f t="shared" ref="S45:S58" si="9">SUM(Q45,ROUNDDOWN(MIN(B45,T$35)*R45,0))</f>
        <v>55</v>
      </c>
      <c r="T45" s="68">
        <f>VLOOKUP(A45,BUFFS!$H$5:$AF$195,20,)</f>
        <v>20</v>
      </c>
    </row>
    <row r="46" spans="1:27" x14ac:dyDescent="0.3">
      <c r="A46" s="17"/>
      <c r="B46" s="19"/>
      <c r="C46" s="13"/>
      <c r="D46" s="61" t="e">
        <f>VLOOKUP(A46,BUFFS!$H$5:$AF$195,5,)</f>
        <v>#N/A</v>
      </c>
      <c r="E46" s="62" t="e">
        <f>VLOOKUP(A46,BUFFS!$H$5:$AF$195,6,)</f>
        <v>#N/A</v>
      </c>
      <c r="F46" s="63" t="e">
        <f>VLOOKUP(A46,BUFFS!$H$5:$AF$195,7,)</f>
        <v>#N/A</v>
      </c>
      <c r="G46" s="62" t="e">
        <f>VLOOKUP(A46,BUFFS!$H$5:$AF$195,9,)</f>
        <v>#N/A</v>
      </c>
      <c r="H46" s="63" t="e">
        <f t="shared" si="7"/>
        <v>#N/A</v>
      </c>
      <c r="I46" s="40" t="str">
        <f>IFERROR(VLOOKUP(A46,BUFFS!$H$5:$AF$195,8,),"")</f>
        <v/>
      </c>
      <c r="J46" s="61" t="e">
        <f>VLOOKUP(A46,BUFFS!$H$5:$AF$195,10,)</f>
        <v>#N/A</v>
      </c>
      <c r="K46" s="62" t="e">
        <f>VLOOKUP(A46,BUFFS!$H$5:$AF$195,11,)</f>
        <v>#N/A</v>
      </c>
      <c r="L46" s="62" t="e">
        <f>VLOOKUP(A46,BUFFS!$H$5:$AF$195,12,)</f>
        <v>#N/A</v>
      </c>
      <c r="M46" s="62" t="e">
        <f>VLOOKUP(A46,BUFFS!$H$5:$AF$195,14,)</f>
        <v>#N/A</v>
      </c>
      <c r="N46" s="67" t="e">
        <f t="shared" si="8"/>
        <v>#N/A</v>
      </c>
      <c r="O46" s="61" t="e">
        <f>VLOOKUP(A46,BUFFS!$H$5:$AF$195,15,)</f>
        <v>#N/A</v>
      </c>
      <c r="P46" s="62" t="e">
        <f>VLOOKUP(A46,BUFFS!$H$5:$AF$195,16,)</f>
        <v>#N/A</v>
      </c>
      <c r="Q46" s="62" t="e">
        <f>VLOOKUP(A46,BUFFS!$H$5:$AF$195,17,)</f>
        <v>#N/A</v>
      </c>
      <c r="R46" s="62" t="e">
        <f>VLOOKUP(A46,BUFFS!$H$5:$AF$195,19,)</f>
        <v>#N/A</v>
      </c>
      <c r="S46" s="67" t="e">
        <f t="shared" si="9"/>
        <v>#N/A</v>
      </c>
      <c r="T46" s="68" t="e">
        <f>VLOOKUP(A46,BUFFS!$H$5:$AF$195,20,)</f>
        <v>#N/A</v>
      </c>
    </row>
    <row r="47" spans="1:27" x14ac:dyDescent="0.3">
      <c r="A47" s="17"/>
      <c r="B47" s="19"/>
      <c r="C47" s="13"/>
      <c r="D47" s="61" t="e">
        <f>VLOOKUP(A47,BUFFS!$H$5:$AF$195,5,)</f>
        <v>#N/A</v>
      </c>
      <c r="E47" s="62" t="e">
        <f>VLOOKUP(A47,BUFFS!$H$5:$AF$195,6,)</f>
        <v>#N/A</v>
      </c>
      <c r="F47" s="63" t="e">
        <f>VLOOKUP(A47,BUFFS!$H$5:$AF$195,7,)</f>
        <v>#N/A</v>
      </c>
      <c r="G47" s="62" t="e">
        <f>VLOOKUP(A47,BUFFS!$H$5:$AF$195,9,)</f>
        <v>#N/A</v>
      </c>
      <c r="H47" s="63" t="e">
        <f t="shared" si="7"/>
        <v>#N/A</v>
      </c>
      <c r="I47" s="40" t="str">
        <f>IFERROR(VLOOKUP(A47,BUFFS!$H$5:$AF$195,8,),"")</f>
        <v/>
      </c>
      <c r="J47" s="61" t="e">
        <f>VLOOKUP(A47,BUFFS!$H$5:$AF$195,10,)</f>
        <v>#N/A</v>
      </c>
      <c r="K47" s="62" t="e">
        <f>VLOOKUP(A47,BUFFS!$H$5:$AF$195,11,)</f>
        <v>#N/A</v>
      </c>
      <c r="L47" s="62" t="e">
        <f>VLOOKUP(A47,BUFFS!$H$5:$AF$195,12,)</f>
        <v>#N/A</v>
      </c>
      <c r="M47" s="62" t="e">
        <f>VLOOKUP(A47,BUFFS!$H$5:$AF$195,14,)</f>
        <v>#N/A</v>
      </c>
      <c r="N47" s="67" t="e">
        <f t="shared" si="8"/>
        <v>#N/A</v>
      </c>
      <c r="O47" s="61" t="e">
        <f>VLOOKUP(A47,BUFFS!$H$5:$AF$195,15,)</f>
        <v>#N/A</v>
      </c>
      <c r="P47" s="62" t="e">
        <f>VLOOKUP(A47,BUFFS!$H$5:$AF$195,16,)</f>
        <v>#N/A</v>
      </c>
      <c r="Q47" s="62" t="e">
        <f>VLOOKUP(A47,BUFFS!$H$5:$AF$195,17,)</f>
        <v>#N/A</v>
      </c>
      <c r="R47" s="62" t="e">
        <f>VLOOKUP(A47,BUFFS!$H$5:$AF$195,19,)</f>
        <v>#N/A</v>
      </c>
      <c r="S47" s="67" t="e">
        <f t="shared" si="9"/>
        <v>#N/A</v>
      </c>
      <c r="T47" s="68" t="e">
        <f>VLOOKUP(A47,BUFFS!$H$5:$AF$195,20,)</f>
        <v>#N/A</v>
      </c>
    </row>
    <row r="48" spans="1:27" x14ac:dyDescent="0.3">
      <c r="A48" s="17"/>
      <c r="B48" s="19"/>
      <c r="C48" s="13"/>
      <c r="D48" s="61" t="e">
        <f>VLOOKUP(A48,BUFFS!$H$5:$AF$195,5,)</f>
        <v>#N/A</v>
      </c>
      <c r="E48" s="62" t="e">
        <f>VLOOKUP(A48,BUFFS!$H$5:$AF$195,6,)</f>
        <v>#N/A</v>
      </c>
      <c r="F48" s="63" t="e">
        <f>VLOOKUP(A48,BUFFS!$H$5:$AF$195,7,)</f>
        <v>#N/A</v>
      </c>
      <c r="G48" s="62" t="e">
        <f>VLOOKUP(A48,BUFFS!$H$5:$AF$195,9,)</f>
        <v>#N/A</v>
      </c>
      <c r="H48" s="63" t="e">
        <f t="shared" si="7"/>
        <v>#N/A</v>
      </c>
      <c r="I48" s="40" t="str">
        <f>IFERROR(VLOOKUP(A48,BUFFS!$H$5:$AF$195,8,),"")</f>
        <v/>
      </c>
      <c r="J48" s="61" t="e">
        <f>VLOOKUP(A48,BUFFS!$H$5:$AF$195,10,)</f>
        <v>#N/A</v>
      </c>
      <c r="K48" s="62" t="e">
        <f>VLOOKUP(A48,BUFFS!$H$5:$AF$195,11,)</f>
        <v>#N/A</v>
      </c>
      <c r="L48" s="62" t="e">
        <f>VLOOKUP(A48,BUFFS!$H$5:$AF$195,12,)</f>
        <v>#N/A</v>
      </c>
      <c r="M48" s="62" t="e">
        <f>VLOOKUP(A48,BUFFS!$H$5:$AF$195,14,)</f>
        <v>#N/A</v>
      </c>
      <c r="N48" s="67" t="e">
        <f t="shared" si="8"/>
        <v>#N/A</v>
      </c>
      <c r="O48" s="61" t="e">
        <f>VLOOKUP(A48,BUFFS!$H$5:$AF$195,15,)</f>
        <v>#N/A</v>
      </c>
      <c r="P48" s="62" t="e">
        <f>VLOOKUP(A48,BUFFS!$H$5:$AF$195,16,)</f>
        <v>#N/A</v>
      </c>
      <c r="Q48" s="62" t="e">
        <f>VLOOKUP(A48,BUFFS!$H$5:$AF$195,17,)</f>
        <v>#N/A</v>
      </c>
      <c r="R48" s="62" t="e">
        <f>VLOOKUP(A48,BUFFS!$H$5:$AF$195,19,)</f>
        <v>#N/A</v>
      </c>
      <c r="S48" s="67" t="e">
        <f t="shared" si="9"/>
        <v>#N/A</v>
      </c>
      <c r="T48" s="68" t="e">
        <f>VLOOKUP(A48,BUFFS!$H$5:$AF$195,20,)</f>
        <v>#N/A</v>
      </c>
    </row>
    <row r="49" spans="1:20" x14ac:dyDescent="0.3">
      <c r="A49" s="17"/>
      <c r="B49" s="19"/>
      <c r="C49" s="13"/>
      <c r="D49" s="61" t="e">
        <f>VLOOKUP(A49,BUFFS!$H$5:$AF$195,5,)</f>
        <v>#N/A</v>
      </c>
      <c r="E49" s="62" t="e">
        <f>VLOOKUP(A49,BUFFS!$H$5:$AF$195,6,)</f>
        <v>#N/A</v>
      </c>
      <c r="F49" s="63" t="e">
        <f>VLOOKUP(A49,BUFFS!$H$5:$AF$195,7,)</f>
        <v>#N/A</v>
      </c>
      <c r="G49" s="62" t="e">
        <f>VLOOKUP(A49,BUFFS!$H$5:$AF$195,9,)</f>
        <v>#N/A</v>
      </c>
      <c r="H49" s="63" t="e">
        <f t="shared" si="7"/>
        <v>#N/A</v>
      </c>
      <c r="I49" s="40" t="str">
        <f>IFERROR(VLOOKUP(A49,BUFFS!$H$5:$AF$195,8,),"")</f>
        <v/>
      </c>
      <c r="J49" s="61" t="e">
        <f>VLOOKUP(A49,BUFFS!$H$5:$AF$195,10,)</f>
        <v>#N/A</v>
      </c>
      <c r="K49" s="62" t="e">
        <f>VLOOKUP(A49,BUFFS!$H$5:$AF$195,11,)</f>
        <v>#N/A</v>
      </c>
      <c r="L49" s="62" t="e">
        <f>VLOOKUP(A49,BUFFS!$H$5:$AF$195,12,)</f>
        <v>#N/A</v>
      </c>
      <c r="M49" s="62" t="e">
        <f>VLOOKUP(A49,BUFFS!$H$5:$AF$195,14,)</f>
        <v>#N/A</v>
      </c>
      <c r="N49" s="67" t="e">
        <f t="shared" si="8"/>
        <v>#N/A</v>
      </c>
      <c r="O49" s="61" t="e">
        <f>VLOOKUP(A49,BUFFS!$H$5:$AF$195,15,)</f>
        <v>#N/A</v>
      </c>
      <c r="P49" s="62" t="e">
        <f>VLOOKUP(A49,BUFFS!$H$5:$AF$195,16,)</f>
        <v>#N/A</v>
      </c>
      <c r="Q49" s="62" t="e">
        <f>VLOOKUP(A49,BUFFS!$H$5:$AF$195,17,)</f>
        <v>#N/A</v>
      </c>
      <c r="R49" s="62" t="e">
        <f>VLOOKUP(A49,BUFFS!$H$5:$AF$195,19,)</f>
        <v>#N/A</v>
      </c>
      <c r="S49" s="67" t="e">
        <f t="shared" si="9"/>
        <v>#N/A</v>
      </c>
      <c r="T49" s="68" t="e">
        <f>VLOOKUP(A49,BUFFS!$H$5:$AF$195,20,)</f>
        <v>#N/A</v>
      </c>
    </row>
    <row r="50" spans="1:20" x14ac:dyDescent="0.3">
      <c r="A50" s="17"/>
      <c r="B50" s="19"/>
      <c r="C50" s="13"/>
      <c r="D50" s="61" t="e">
        <f>VLOOKUP(A50,BUFFS!$H$5:$AF$195,5,)</f>
        <v>#N/A</v>
      </c>
      <c r="E50" s="62" t="e">
        <f>VLOOKUP(A50,BUFFS!$H$5:$AF$195,6,)</f>
        <v>#N/A</v>
      </c>
      <c r="F50" s="63" t="e">
        <f>VLOOKUP(A50,BUFFS!$H$5:$AF$195,7,)</f>
        <v>#N/A</v>
      </c>
      <c r="G50" s="62" t="e">
        <f>VLOOKUP(A50,BUFFS!$H$5:$AF$195,9,)</f>
        <v>#N/A</v>
      </c>
      <c r="H50" s="63" t="e">
        <f t="shared" si="7"/>
        <v>#N/A</v>
      </c>
      <c r="I50" s="40" t="str">
        <f>IFERROR(VLOOKUP(A50,BUFFS!$H$5:$AF$195,8,),"")</f>
        <v/>
      </c>
      <c r="J50" s="61" t="e">
        <f>VLOOKUP(A50,BUFFS!$H$5:$AF$195,10,)</f>
        <v>#N/A</v>
      </c>
      <c r="K50" s="62" t="e">
        <f>VLOOKUP(A50,BUFFS!$H$5:$AF$195,11,)</f>
        <v>#N/A</v>
      </c>
      <c r="L50" s="62" t="e">
        <f>VLOOKUP(A50,BUFFS!$H$5:$AF$195,12,)</f>
        <v>#N/A</v>
      </c>
      <c r="M50" s="62" t="e">
        <f>VLOOKUP(A50,BUFFS!$H$5:$AF$195,14,)</f>
        <v>#N/A</v>
      </c>
      <c r="N50" s="67" t="e">
        <f t="shared" si="8"/>
        <v>#N/A</v>
      </c>
      <c r="O50" s="61" t="e">
        <f>VLOOKUP(A50,BUFFS!$H$5:$AF$195,15,)</f>
        <v>#N/A</v>
      </c>
      <c r="P50" s="62" t="e">
        <f>VLOOKUP(A50,BUFFS!$H$5:$AF$195,16,)</f>
        <v>#N/A</v>
      </c>
      <c r="Q50" s="62" t="e">
        <f>VLOOKUP(A50,BUFFS!$H$5:$AF$195,17,)</f>
        <v>#N/A</v>
      </c>
      <c r="R50" s="62" t="e">
        <f>VLOOKUP(A50,BUFFS!$H$5:$AF$195,19,)</f>
        <v>#N/A</v>
      </c>
      <c r="S50" s="67" t="e">
        <f t="shared" si="9"/>
        <v>#N/A</v>
      </c>
      <c r="T50" s="68" t="e">
        <f>VLOOKUP(A50,BUFFS!$H$5:$AF$195,20,)</f>
        <v>#N/A</v>
      </c>
    </row>
    <row r="51" spans="1:20" x14ac:dyDescent="0.3">
      <c r="A51" s="17"/>
      <c r="B51" s="19"/>
      <c r="C51" s="13"/>
      <c r="D51" s="61" t="e">
        <f>VLOOKUP(A51,BUFFS!$H$5:$AF$195,5,)</f>
        <v>#N/A</v>
      </c>
      <c r="E51" s="62" t="e">
        <f>VLOOKUP(A51,BUFFS!$H$5:$AF$195,6,)</f>
        <v>#N/A</v>
      </c>
      <c r="F51" s="63" t="e">
        <f>VLOOKUP(A51,BUFFS!$H$5:$AF$195,7,)</f>
        <v>#N/A</v>
      </c>
      <c r="G51" s="62" t="e">
        <f>VLOOKUP(A51,BUFFS!$H$5:$AF$195,9,)</f>
        <v>#N/A</v>
      </c>
      <c r="H51" s="63" t="e">
        <f t="shared" si="7"/>
        <v>#N/A</v>
      </c>
      <c r="I51" s="40" t="str">
        <f>IFERROR(VLOOKUP(A51,BUFFS!$H$5:$AF$195,8,),"")</f>
        <v/>
      </c>
      <c r="J51" s="61" t="e">
        <f>VLOOKUP(A51,BUFFS!$H$5:$AF$195,10,)</f>
        <v>#N/A</v>
      </c>
      <c r="K51" s="62" t="e">
        <f>VLOOKUP(A51,BUFFS!$H$5:$AF$195,11,)</f>
        <v>#N/A</v>
      </c>
      <c r="L51" s="62" t="e">
        <f>VLOOKUP(A51,BUFFS!$H$5:$AF$195,12,)</f>
        <v>#N/A</v>
      </c>
      <c r="M51" s="62" t="e">
        <f>VLOOKUP(A51,BUFFS!$H$5:$AF$195,14,)</f>
        <v>#N/A</v>
      </c>
      <c r="N51" s="67" t="e">
        <f t="shared" si="8"/>
        <v>#N/A</v>
      </c>
      <c r="O51" s="61" t="e">
        <f>VLOOKUP(A51,BUFFS!$H$5:$AF$195,15,)</f>
        <v>#N/A</v>
      </c>
      <c r="P51" s="62" t="e">
        <f>VLOOKUP(A51,BUFFS!$H$5:$AF$195,16,)</f>
        <v>#N/A</v>
      </c>
      <c r="Q51" s="62" t="e">
        <f>VLOOKUP(A51,BUFFS!$H$5:$AF$195,17,)</f>
        <v>#N/A</v>
      </c>
      <c r="R51" s="62" t="e">
        <f>VLOOKUP(A51,BUFFS!$H$5:$AF$195,19,)</f>
        <v>#N/A</v>
      </c>
      <c r="S51" s="67" t="e">
        <f t="shared" si="9"/>
        <v>#N/A</v>
      </c>
      <c r="T51" s="68" t="e">
        <f>VLOOKUP(A51,BUFFS!$H$5:$AF$195,20,)</f>
        <v>#N/A</v>
      </c>
    </row>
    <row r="52" spans="1:20" x14ac:dyDescent="0.3">
      <c r="A52" s="17"/>
      <c r="B52" s="19"/>
      <c r="C52" s="13"/>
      <c r="D52" s="61" t="e">
        <f>VLOOKUP(A52,BUFFS!$H$5:$AF$195,5,)</f>
        <v>#N/A</v>
      </c>
      <c r="E52" s="62" t="e">
        <f>VLOOKUP(A52,BUFFS!$H$5:$AF$195,6,)</f>
        <v>#N/A</v>
      </c>
      <c r="F52" s="63" t="e">
        <f>VLOOKUP(A52,BUFFS!$H$5:$AF$195,7,)</f>
        <v>#N/A</v>
      </c>
      <c r="G52" s="62" t="e">
        <f>VLOOKUP(A52,BUFFS!$H$5:$AF$195,9,)</f>
        <v>#N/A</v>
      </c>
      <c r="H52" s="63" t="e">
        <f t="shared" si="7"/>
        <v>#N/A</v>
      </c>
      <c r="I52" s="40" t="str">
        <f>IFERROR(VLOOKUP(A52,BUFFS!$H$5:$AF$195,8,),"")</f>
        <v/>
      </c>
      <c r="J52" s="61" t="e">
        <f>VLOOKUP(A52,BUFFS!$H$5:$AF$195,10,)</f>
        <v>#N/A</v>
      </c>
      <c r="K52" s="62" t="e">
        <f>VLOOKUP(A52,BUFFS!$H$5:$AF$195,11,)</f>
        <v>#N/A</v>
      </c>
      <c r="L52" s="62" t="e">
        <f>VLOOKUP(A52,BUFFS!$H$5:$AF$195,12,)</f>
        <v>#N/A</v>
      </c>
      <c r="M52" s="62" t="e">
        <f>VLOOKUP(A52,BUFFS!$H$5:$AF$195,14,)</f>
        <v>#N/A</v>
      </c>
      <c r="N52" s="67" t="e">
        <f t="shared" si="8"/>
        <v>#N/A</v>
      </c>
      <c r="O52" s="61" t="e">
        <f>VLOOKUP(A52,BUFFS!$H$5:$AF$195,15,)</f>
        <v>#N/A</v>
      </c>
      <c r="P52" s="62" t="e">
        <f>VLOOKUP(A52,BUFFS!$H$5:$AF$195,16,)</f>
        <v>#N/A</v>
      </c>
      <c r="Q52" s="62" t="e">
        <f>VLOOKUP(A52,BUFFS!$H$5:$AF$195,17,)</f>
        <v>#N/A</v>
      </c>
      <c r="R52" s="62" t="e">
        <f>VLOOKUP(A52,BUFFS!$H$5:$AF$195,19,)</f>
        <v>#N/A</v>
      </c>
      <c r="S52" s="67" t="e">
        <f t="shared" si="9"/>
        <v>#N/A</v>
      </c>
      <c r="T52" s="68" t="e">
        <f>VLOOKUP(A52,BUFFS!$H$5:$AF$195,20,)</f>
        <v>#N/A</v>
      </c>
    </row>
    <row r="53" spans="1:20" x14ac:dyDescent="0.3">
      <c r="A53" s="17"/>
      <c r="B53" s="19"/>
      <c r="C53" s="13"/>
      <c r="D53" s="61" t="e">
        <f>VLOOKUP(A53,BUFFS!$H$5:$AF$195,5,)</f>
        <v>#N/A</v>
      </c>
      <c r="E53" s="62" t="e">
        <f>VLOOKUP(A53,BUFFS!$H$5:$AF$195,6,)</f>
        <v>#N/A</v>
      </c>
      <c r="F53" s="63" t="e">
        <f>VLOOKUP(A53,BUFFS!$H$5:$AF$195,7,)</f>
        <v>#N/A</v>
      </c>
      <c r="G53" s="62" t="e">
        <f>VLOOKUP(A53,BUFFS!$H$5:$AF$195,9,)</f>
        <v>#N/A</v>
      </c>
      <c r="H53" s="63" t="e">
        <f t="shared" si="7"/>
        <v>#N/A</v>
      </c>
      <c r="I53" s="40" t="str">
        <f>IFERROR(VLOOKUP(A53,BUFFS!$H$5:$AF$195,8,),"")</f>
        <v/>
      </c>
      <c r="J53" s="61" t="e">
        <f>VLOOKUP(A53,BUFFS!$H$5:$AF$195,10,)</f>
        <v>#N/A</v>
      </c>
      <c r="K53" s="62" t="e">
        <f>VLOOKUP(A53,BUFFS!$H$5:$AF$195,11,)</f>
        <v>#N/A</v>
      </c>
      <c r="L53" s="62" t="e">
        <f>VLOOKUP(A53,BUFFS!$H$5:$AF$195,12,)</f>
        <v>#N/A</v>
      </c>
      <c r="M53" s="62" t="e">
        <f>VLOOKUP(A53,BUFFS!$H$5:$AF$195,14,)</f>
        <v>#N/A</v>
      </c>
      <c r="N53" s="67" t="e">
        <f t="shared" si="8"/>
        <v>#N/A</v>
      </c>
      <c r="O53" s="61" t="e">
        <f>VLOOKUP(A53,BUFFS!$H$5:$AF$195,15,)</f>
        <v>#N/A</v>
      </c>
      <c r="P53" s="62" t="e">
        <f>VLOOKUP(A53,BUFFS!$H$5:$AF$195,16,)</f>
        <v>#N/A</v>
      </c>
      <c r="Q53" s="62" t="e">
        <f>VLOOKUP(A53,BUFFS!$H$5:$AF$195,17,)</f>
        <v>#N/A</v>
      </c>
      <c r="R53" s="62" t="e">
        <f>VLOOKUP(A53,BUFFS!$H$5:$AF$195,19,)</f>
        <v>#N/A</v>
      </c>
      <c r="S53" s="67" t="e">
        <f t="shared" si="9"/>
        <v>#N/A</v>
      </c>
      <c r="T53" s="68" t="e">
        <f>VLOOKUP(A53,BUFFS!$H$5:$AF$195,20,)</f>
        <v>#N/A</v>
      </c>
    </row>
    <row r="54" spans="1:20" x14ac:dyDescent="0.3">
      <c r="A54" s="17"/>
      <c r="B54" s="19"/>
      <c r="C54" s="13"/>
      <c r="D54" s="61" t="e">
        <f>VLOOKUP(A54,BUFFS!$H$5:$AF$195,5,)</f>
        <v>#N/A</v>
      </c>
      <c r="E54" s="62" t="e">
        <f>VLOOKUP(A54,BUFFS!$H$5:$AF$195,6,)</f>
        <v>#N/A</v>
      </c>
      <c r="F54" s="63" t="e">
        <f>VLOOKUP(A54,BUFFS!$H$5:$AF$195,7,)</f>
        <v>#N/A</v>
      </c>
      <c r="G54" s="62" t="e">
        <f>VLOOKUP(A54,BUFFS!$H$5:$AF$195,9,)</f>
        <v>#N/A</v>
      </c>
      <c r="H54" s="63" t="e">
        <f t="shared" si="7"/>
        <v>#N/A</v>
      </c>
      <c r="I54" s="40" t="str">
        <f>IFERROR(VLOOKUP(A54,BUFFS!$H$5:$AF$195,8,),"")</f>
        <v/>
      </c>
      <c r="J54" s="61" t="e">
        <f>VLOOKUP(A54,BUFFS!$H$5:$AF$195,10,)</f>
        <v>#N/A</v>
      </c>
      <c r="K54" s="62" t="e">
        <f>VLOOKUP(A54,BUFFS!$H$5:$AF$195,11,)</f>
        <v>#N/A</v>
      </c>
      <c r="L54" s="62" t="e">
        <f>VLOOKUP(A54,BUFFS!$H$5:$AF$195,12,)</f>
        <v>#N/A</v>
      </c>
      <c r="M54" s="62" t="e">
        <f>VLOOKUP(A54,BUFFS!$H$5:$AF$195,14,)</f>
        <v>#N/A</v>
      </c>
      <c r="N54" s="67" t="e">
        <f t="shared" si="8"/>
        <v>#N/A</v>
      </c>
      <c r="O54" s="61" t="e">
        <f>VLOOKUP(A54,BUFFS!$H$5:$AF$195,15,)</f>
        <v>#N/A</v>
      </c>
      <c r="P54" s="62" t="e">
        <f>VLOOKUP(A54,BUFFS!$H$5:$AF$195,16,)</f>
        <v>#N/A</v>
      </c>
      <c r="Q54" s="62" t="e">
        <f>VLOOKUP(A54,BUFFS!$H$5:$AF$195,17,)</f>
        <v>#N/A</v>
      </c>
      <c r="R54" s="62" t="e">
        <f>VLOOKUP(A54,BUFFS!$H$5:$AF$195,19,)</f>
        <v>#N/A</v>
      </c>
      <c r="S54" s="67" t="e">
        <f t="shared" si="9"/>
        <v>#N/A</v>
      </c>
      <c r="T54" s="68" t="e">
        <f>VLOOKUP(A54,BUFFS!$H$5:$AF$195,20,)</f>
        <v>#N/A</v>
      </c>
    </row>
    <row r="55" spans="1:20" x14ac:dyDescent="0.3">
      <c r="A55" s="17"/>
      <c r="B55" s="19"/>
      <c r="C55" s="13"/>
      <c r="D55" s="61" t="e">
        <f>VLOOKUP(A55,BUFFS!$H$5:$AF$195,5,)</f>
        <v>#N/A</v>
      </c>
      <c r="E55" s="62" t="e">
        <f>VLOOKUP(A55,BUFFS!$H$5:$AF$195,6,)</f>
        <v>#N/A</v>
      </c>
      <c r="F55" s="63" t="e">
        <f>VLOOKUP(A55,BUFFS!$H$5:$AF$195,7,)</f>
        <v>#N/A</v>
      </c>
      <c r="G55" s="62" t="e">
        <f>VLOOKUP(A55,BUFFS!$H$5:$AF$195,9,)</f>
        <v>#N/A</v>
      </c>
      <c r="H55" s="63" t="e">
        <f t="shared" si="7"/>
        <v>#N/A</v>
      </c>
      <c r="I55" s="40" t="str">
        <f>IFERROR(VLOOKUP(A55,BUFFS!$H$5:$AF$195,8,),"")</f>
        <v/>
      </c>
      <c r="J55" s="61" t="e">
        <f>VLOOKUP(A55,BUFFS!$H$5:$AF$195,10,)</f>
        <v>#N/A</v>
      </c>
      <c r="K55" s="62" t="e">
        <f>VLOOKUP(A55,BUFFS!$H$5:$AF$195,11,)</f>
        <v>#N/A</v>
      </c>
      <c r="L55" s="62" t="e">
        <f>VLOOKUP(A55,BUFFS!$H$5:$AF$195,12,)</f>
        <v>#N/A</v>
      </c>
      <c r="M55" s="62" t="e">
        <f>VLOOKUP(A55,BUFFS!$H$5:$AF$195,14,)</f>
        <v>#N/A</v>
      </c>
      <c r="N55" s="67" t="e">
        <f t="shared" si="8"/>
        <v>#N/A</v>
      </c>
      <c r="O55" s="61" t="e">
        <f>VLOOKUP(A55,BUFFS!$H$5:$AF$195,15,)</f>
        <v>#N/A</v>
      </c>
      <c r="P55" s="62" t="e">
        <f>VLOOKUP(A55,BUFFS!$H$5:$AF$195,16,)</f>
        <v>#N/A</v>
      </c>
      <c r="Q55" s="62" t="e">
        <f>VLOOKUP(A55,BUFFS!$H$5:$AF$195,17,)</f>
        <v>#N/A</v>
      </c>
      <c r="R55" s="62" t="e">
        <f>VLOOKUP(A55,BUFFS!$H$5:$AF$195,19,)</f>
        <v>#N/A</v>
      </c>
      <c r="S55" s="67" t="e">
        <f t="shared" si="9"/>
        <v>#N/A</v>
      </c>
      <c r="T55" s="68" t="e">
        <f>VLOOKUP(A55,BUFFS!$H$5:$AF$195,20,)</f>
        <v>#N/A</v>
      </c>
    </row>
    <row r="56" spans="1:20" x14ac:dyDescent="0.3">
      <c r="A56" s="17"/>
      <c r="B56" s="19"/>
      <c r="C56" s="13"/>
      <c r="D56" s="61" t="e">
        <f>VLOOKUP(A56,BUFFS!$H$5:$AF$195,5,)</f>
        <v>#N/A</v>
      </c>
      <c r="E56" s="62" t="e">
        <f>VLOOKUP(A56,BUFFS!$H$5:$AF$195,6,)</f>
        <v>#N/A</v>
      </c>
      <c r="F56" s="63" t="e">
        <f>VLOOKUP(A56,BUFFS!$H$5:$AF$195,7,)</f>
        <v>#N/A</v>
      </c>
      <c r="G56" s="62" t="e">
        <f>VLOOKUP(A56,BUFFS!$H$5:$AF$195,9,)</f>
        <v>#N/A</v>
      </c>
      <c r="H56" s="63" t="e">
        <f t="shared" si="7"/>
        <v>#N/A</v>
      </c>
      <c r="I56" s="40" t="str">
        <f>IFERROR(VLOOKUP(A56,BUFFS!$H$5:$AF$195,8,),"")</f>
        <v/>
      </c>
      <c r="J56" s="61" t="e">
        <f>VLOOKUP(A56,BUFFS!$H$5:$AF$195,10,)</f>
        <v>#N/A</v>
      </c>
      <c r="K56" s="62" t="e">
        <f>VLOOKUP(A56,BUFFS!$H$5:$AF$195,11,)</f>
        <v>#N/A</v>
      </c>
      <c r="L56" s="62" t="e">
        <f>VLOOKUP(A56,BUFFS!$H$5:$AF$195,12,)</f>
        <v>#N/A</v>
      </c>
      <c r="M56" s="62" t="e">
        <f>VLOOKUP(A56,BUFFS!$H$5:$AF$195,14,)</f>
        <v>#N/A</v>
      </c>
      <c r="N56" s="67" t="e">
        <f t="shared" si="8"/>
        <v>#N/A</v>
      </c>
      <c r="O56" s="61" t="e">
        <f>VLOOKUP(A56,BUFFS!$H$5:$AF$195,15,)</f>
        <v>#N/A</v>
      </c>
      <c r="P56" s="62" t="e">
        <f>VLOOKUP(A56,BUFFS!$H$5:$AF$195,16,)</f>
        <v>#N/A</v>
      </c>
      <c r="Q56" s="62" t="e">
        <f>VLOOKUP(A56,BUFFS!$H$5:$AF$195,17,)</f>
        <v>#N/A</v>
      </c>
      <c r="R56" s="62" t="e">
        <f>VLOOKUP(A56,BUFFS!$H$5:$AF$195,19,)</f>
        <v>#N/A</v>
      </c>
      <c r="S56" s="67" t="e">
        <f t="shared" si="9"/>
        <v>#N/A</v>
      </c>
      <c r="T56" s="68" t="e">
        <f>VLOOKUP(A56,BUFFS!$H$5:$AF$195,20,)</f>
        <v>#N/A</v>
      </c>
    </row>
    <row r="57" spans="1:20" x14ac:dyDescent="0.3">
      <c r="B57" s="19"/>
      <c r="C57" s="13"/>
      <c r="D57" s="61" t="e">
        <f>VLOOKUP(A57,BUFFS!$H$5:$AF$195,5,)</f>
        <v>#N/A</v>
      </c>
      <c r="E57" s="62" t="e">
        <f>VLOOKUP(A57,BUFFS!$H$5:$AF$195,6,)</f>
        <v>#N/A</v>
      </c>
      <c r="F57" s="63" t="e">
        <f>VLOOKUP(A57,BUFFS!$H$5:$AF$195,7,)</f>
        <v>#N/A</v>
      </c>
      <c r="G57" s="62" t="e">
        <f>VLOOKUP(A57,BUFFS!$H$5:$AF$195,9,)</f>
        <v>#N/A</v>
      </c>
      <c r="H57" s="63" t="e">
        <f t="shared" si="7"/>
        <v>#N/A</v>
      </c>
      <c r="I57" s="40" t="str">
        <f>IFERROR(VLOOKUP(A57,BUFFS!$H$5:$AF$195,8,),"")</f>
        <v/>
      </c>
      <c r="J57" s="61" t="e">
        <f>VLOOKUP(A57,BUFFS!$H$5:$AF$195,10,)</f>
        <v>#N/A</v>
      </c>
      <c r="K57" s="62" t="e">
        <f>VLOOKUP(A57,BUFFS!$H$5:$AF$195,11,)</f>
        <v>#N/A</v>
      </c>
      <c r="L57" s="62" t="e">
        <f>VLOOKUP(A57,BUFFS!$H$5:$AF$195,12,)</f>
        <v>#N/A</v>
      </c>
      <c r="M57" s="62" t="e">
        <f>VLOOKUP(A57,BUFFS!$H$5:$AF$195,14,)</f>
        <v>#N/A</v>
      </c>
      <c r="N57" s="67" t="e">
        <f t="shared" si="8"/>
        <v>#N/A</v>
      </c>
      <c r="O57" s="61" t="e">
        <f>VLOOKUP(A57,BUFFS!$H$5:$AF$195,15,)</f>
        <v>#N/A</v>
      </c>
      <c r="P57" s="62" t="e">
        <f>VLOOKUP(A57,BUFFS!$H$5:$AF$195,16,)</f>
        <v>#N/A</v>
      </c>
      <c r="Q57" s="62" t="e">
        <f>VLOOKUP(A57,BUFFS!$H$5:$AF$195,17,)</f>
        <v>#N/A</v>
      </c>
      <c r="R57" s="62" t="e">
        <f>VLOOKUP(A57,BUFFS!$H$5:$AF$195,19,)</f>
        <v>#N/A</v>
      </c>
      <c r="S57" s="67" t="e">
        <f t="shared" si="9"/>
        <v>#N/A</v>
      </c>
      <c r="T57" s="68" t="e">
        <f>VLOOKUP(A57,BUFFS!$H$5:$AF$195,20,)</f>
        <v>#N/A</v>
      </c>
    </row>
    <row r="58" spans="1:20" x14ac:dyDescent="0.3">
      <c r="B58" s="19"/>
      <c r="C58" s="13"/>
      <c r="D58" s="61" t="e">
        <f>VLOOKUP(A58,BUFFS!$H$5:$AF$195,5,)</f>
        <v>#N/A</v>
      </c>
      <c r="E58" s="62" t="e">
        <f>VLOOKUP(A58,BUFFS!$H$5:$AF$195,6,)</f>
        <v>#N/A</v>
      </c>
      <c r="F58" s="63" t="e">
        <f>VLOOKUP(A58,BUFFS!$H$5:$AF$195,7,)</f>
        <v>#N/A</v>
      </c>
      <c r="G58" s="62" t="e">
        <f>VLOOKUP(A58,BUFFS!$H$5:$AF$195,9,)</f>
        <v>#N/A</v>
      </c>
      <c r="H58" s="63" t="e">
        <f t="shared" si="7"/>
        <v>#N/A</v>
      </c>
      <c r="I58" s="40" t="str">
        <f>IFERROR(VLOOKUP(A58,BUFFS!$H$5:$AF$195,8,),"")</f>
        <v/>
      </c>
      <c r="J58" s="61" t="e">
        <f>VLOOKUP(A58,BUFFS!$H$5:$AF$195,10,)</f>
        <v>#N/A</v>
      </c>
      <c r="K58" s="62" t="e">
        <f>VLOOKUP(A58,BUFFS!$H$5:$AF$195,11,)</f>
        <v>#N/A</v>
      </c>
      <c r="L58" s="62" t="e">
        <f>VLOOKUP(A58,BUFFS!$H$5:$AF$195,12,)</f>
        <v>#N/A</v>
      </c>
      <c r="M58" s="62" t="e">
        <f>VLOOKUP(A58,BUFFS!$H$5:$AF$195,14,)</f>
        <v>#N/A</v>
      </c>
      <c r="N58" s="67" t="e">
        <f t="shared" si="8"/>
        <v>#N/A</v>
      </c>
      <c r="O58" s="61" t="e">
        <f>VLOOKUP(A58,BUFFS!$H$5:$AF$195,15,)</f>
        <v>#N/A</v>
      </c>
      <c r="P58" s="62" t="e">
        <f>VLOOKUP(A58,BUFFS!$H$5:$AF$195,16,)</f>
        <v>#N/A</v>
      </c>
      <c r="Q58" s="62" t="e">
        <f>VLOOKUP(A58,BUFFS!$H$5:$AF$195,17,)</f>
        <v>#N/A</v>
      </c>
      <c r="R58" s="62" t="e">
        <f>VLOOKUP(A58,BUFFS!$H$5:$AF$195,19,)</f>
        <v>#N/A</v>
      </c>
      <c r="S58" s="67" t="e">
        <f t="shared" si="9"/>
        <v>#N/A</v>
      </c>
      <c r="T58" s="68" t="e">
        <f>VLOOKUP(A58,BUFFS!$H$5:$AF$195,20,)</f>
        <v>#N/A</v>
      </c>
    </row>
    <row r="59" spans="1:20" x14ac:dyDescent="0.3">
      <c r="B59" s="19"/>
      <c r="C59" s="13"/>
      <c r="D59" s="64"/>
      <c r="E59" s="62"/>
      <c r="F59" s="62"/>
      <c r="G59" s="62"/>
      <c r="H59" s="62"/>
      <c r="I59" s="40" t="str">
        <f>IFERROR(VLOOKUP(A59,BUFFS!$H$5:$AF$195,8,),"")</f>
        <v/>
      </c>
      <c r="J59" s="64"/>
      <c r="K59" s="62"/>
      <c r="L59" s="62"/>
      <c r="M59" s="62"/>
      <c r="N59" s="67"/>
      <c r="O59" s="64"/>
      <c r="P59" s="62"/>
      <c r="Q59" s="62"/>
      <c r="R59" s="62"/>
      <c r="S59" s="67"/>
      <c r="T59" s="68"/>
    </row>
    <row r="60" spans="1:20" x14ac:dyDescent="0.3">
      <c r="B60" s="19"/>
      <c r="C60" s="13"/>
      <c r="D60" s="64"/>
      <c r="E60" s="62"/>
      <c r="F60" s="62"/>
      <c r="G60" s="62"/>
      <c r="H60" s="62"/>
      <c r="I60" s="40" t="str">
        <f>IFERROR(VLOOKUP(A60,BUFFS!$H$5:$AF$195,8,),"")</f>
        <v/>
      </c>
      <c r="J60" s="64"/>
      <c r="K60" s="62"/>
      <c r="L60" s="62"/>
      <c r="M60" s="62"/>
      <c r="N60" s="67"/>
      <c r="O60" s="64"/>
      <c r="P60" s="62"/>
      <c r="Q60" s="62"/>
      <c r="R60" s="62"/>
      <c r="S60" s="67"/>
      <c r="T60" s="68"/>
    </row>
    <row r="61" spans="1:20" x14ac:dyDescent="0.3">
      <c r="B61" s="19"/>
      <c r="C61" s="13"/>
      <c r="D61" s="64"/>
      <c r="E61" s="62"/>
      <c r="F61" s="62"/>
      <c r="G61" s="62"/>
      <c r="H61" s="62"/>
      <c r="I61" s="40" t="str">
        <f>IFERROR(VLOOKUP(A61,BUFFS!$H$5:$AF$195,8,),"")</f>
        <v/>
      </c>
      <c r="J61" s="64"/>
      <c r="K61" s="62"/>
      <c r="L61" s="62"/>
      <c r="M61" s="62"/>
      <c r="N61" s="67"/>
      <c r="O61" s="64"/>
      <c r="P61" s="62"/>
      <c r="Q61" s="62"/>
      <c r="R61" s="62"/>
      <c r="S61" s="67"/>
      <c r="T61" s="68"/>
    </row>
    <row r="62" spans="1:20" x14ac:dyDescent="0.3">
      <c r="B62" s="19"/>
      <c r="C62" s="13"/>
      <c r="D62" s="64"/>
      <c r="E62" s="62"/>
      <c r="F62" s="62"/>
      <c r="G62" s="62"/>
      <c r="H62" s="62"/>
      <c r="I62" s="40" t="str">
        <f>IFERROR(VLOOKUP(A62,BUFFS!$H$5:$AF$195,8,),"")</f>
        <v/>
      </c>
      <c r="J62" s="64"/>
      <c r="K62" s="62"/>
      <c r="L62" s="62"/>
      <c r="M62" s="62"/>
      <c r="N62" s="67"/>
      <c r="O62" s="64"/>
      <c r="P62" s="62"/>
      <c r="Q62" s="62"/>
      <c r="R62" s="62"/>
      <c r="S62" s="67"/>
      <c r="T62" s="68"/>
    </row>
    <row r="63" spans="1:20" x14ac:dyDescent="0.3">
      <c r="B63" s="19"/>
      <c r="C63" s="13"/>
      <c r="D63" s="64"/>
      <c r="E63" s="62"/>
      <c r="F63" s="62"/>
      <c r="G63" s="62"/>
      <c r="H63" s="62"/>
      <c r="I63" s="40" t="str">
        <f>IFERROR(VLOOKUP(A63,BUFFS!$H$5:$AF$195,8,),"")</f>
        <v/>
      </c>
      <c r="J63" s="64"/>
      <c r="K63" s="62"/>
      <c r="L63" s="62"/>
      <c r="M63" s="62"/>
      <c r="N63" s="67"/>
      <c r="O63" s="64"/>
      <c r="P63" s="62"/>
      <c r="Q63" s="62"/>
      <c r="R63" s="62"/>
      <c r="S63" s="67"/>
      <c r="T63" s="68"/>
    </row>
    <row r="64" spans="1:20" x14ac:dyDescent="0.3">
      <c r="B64" s="19"/>
      <c r="C64" s="13"/>
      <c r="D64" s="64"/>
      <c r="E64" s="62"/>
      <c r="F64" s="62"/>
      <c r="G64" s="62"/>
      <c r="H64" s="62"/>
      <c r="I64" s="40" t="str">
        <f>IFERROR(VLOOKUP(A64,BUFFS!$H$5:$AF$195,8,),"")</f>
        <v/>
      </c>
      <c r="J64" s="64"/>
      <c r="K64" s="62"/>
      <c r="L64" s="62"/>
      <c r="M64" s="62"/>
      <c r="N64" s="67"/>
      <c r="O64" s="64"/>
      <c r="P64" s="62"/>
      <c r="Q64" s="62"/>
      <c r="R64" s="62"/>
      <c r="S64" s="67"/>
      <c r="T64" s="68"/>
    </row>
    <row r="65" spans="2:20" x14ac:dyDescent="0.3">
      <c r="B65" s="19"/>
      <c r="C65" s="13"/>
      <c r="D65" s="64"/>
      <c r="E65" s="62"/>
      <c r="F65" s="62"/>
      <c r="G65" s="62"/>
      <c r="H65" s="62"/>
      <c r="I65" s="40" t="str">
        <f>IFERROR(VLOOKUP(A65,BUFFS!$H$5:$AF$195,8,),"")</f>
        <v/>
      </c>
      <c r="J65" s="64"/>
      <c r="K65" s="62"/>
      <c r="L65" s="62"/>
      <c r="M65" s="62"/>
      <c r="N65" s="67"/>
      <c r="O65" s="64"/>
      <c r="P65" s="62"/>
      <c r="Q65" s="62"/>
      <c r="R65" s="62"/>
      <c r="S65" s="67"/>
      <c r="T65" s="68"/>
    </row>
    <row r="66" spans="2:20" x14ac:dyDescent="0.3">
      <c r="B66" s="19"/>
      <c r="C66" s="13"/>
      <c r="D66" s="64"/>
      <c r="E66" s="62"/>
      <c r="F66" s="62"/>
      <c r="G66" s="62"/>
      <c r="H66" s="62"/>
      <c r="I66" s="40" t="str">
        <f>IFERROR(VLOOKUP(A66,BUFFS!$H$5:$AF$195,8,),"")</f>
        <v/>
      </c>
      <c r="J66" s="64"/>
      <c r="K66" s="62"/>
      <c r="L66" s="62"/>
      <c r="M66" s="62"/>
      <c r="N66" s="67"/>
      <c r="O66" s="64"/>
      <c r="P66" s="62"/>
      <c r="Q66" s="62"/>
      <c r="R66" s="62"/>
      <c r="S66" s="67"/>
      <c r="T66" s="68"/>
    </row>
    <row r="67" spans="2:20" x14ac:dyDescent="0.3">
      <c r="B67" s="19"/>
      <c r="C67" s="13"/>
      <c r="D67" s="64"/>
      <c r="E67" s="62"/>
      <c r="F67" s="62"/>
      <c r="G67" s="62"/>
      <c r="H67" s="62"/>
      <c r="I67" s="40" t="str">
        <f>IFERROR(VLOOKUP(A67,BUFFS!$H$5:$AF$195,8,),"")</f>
        <v/>
      </c>
      <c r="J67" s="64"/>
      <c r="K67" s="62"/>
      <c r="L67" s="62"/>
      <c r="M67" s="62"/>
      <c r="N67" s="67"/>
      <c r="O67" s="64"/>
      <c r="P67" s="62"/>
      <c r="Q67" s="62"/>
      <c r="R67" s="62"/>
      <c r="S67" s="67"/>
      <c r="T67" s="68"/>
    </row>
    <row r="68" spans="2:20" x14ac:dyDescent="0.3">
      <c r="B68" s="19"/>
      <c r="C68" s="13"/>
      <c r="D68" s="64"/>
      <c r="E68" s="62"/>
      <c r="F68" s="62"/>
      <c r="G68" s="62"/>
      <c r="H68" s="62"/>
      <c r="I68" s="40" t="str">
        <f>IFERROR(VLOOKUP(A68,BUFFS!$H$5:$AF$195,8,),"")</f>
        <v/>
      </c>
      <c r="J68" s="64"/>
      <c r="K68" s="62"/>
      <c r="L68" s="62"/>
      <c r="M68" s="62"/>
      <c r="N68" s="67"/>
      <c r="O68" s="64"/>
      <c r="P68" s="62"/>
      <c r="Q68" s="62"/>
      <c r="R68" s="62"/>
      <c r="S68" s="67"/>
      <c r="T68" s="68"/>
    </row>
    <row r="69" spans="2:20" x14ac:dyDescent="0.3">
      <c r="B69" s="19"/>
      <c r="C69" s="13"/>
      <c r="D69" s="64"/>
      <c r="E69" s="62"/>
      <c r="F69" s="62"/>
      <c r="G69" s="62"/>
      <c r="H69" s="62"/>
      <c r="I69" s="40" t="str">
        <f>IFERROR(VLOOKUP(A69,BUFFS!$H$5:$AF$195,8,),"")</f>
        <v/>
      </c>
      <c r="J69" s="64"/>
      <c r="K69" s="62"/>
      <c r="L69" s="62"/>
      <c r="M69" s="62"/>
      <c r="N69" s="67"/>
      <c r="O69" s="64"/>
      <c r="P69" s="62"/>
      <c r="Q69" s="62"/>
      <c r="R69" s="62"/>
      <c r="S69" s="67"/>
      <c r="T69" s="68"/>
    </row>
    <row r="70" spans="2:20" x14ac:dyDescent="0.3">
      <c r="B70" s="19"/>
      <c r="C70" s="13"/>
      <c r="D70" s="64"/>
      <c r="E70" s="62"/>
      <c r="F70" s="62"/>
      <c r="G70" s="62"/>
      <c r="H70" s="62"/>
      <c r="I70" s="40" t="str">
        <f>IFERROR(VLOOKUP(A70,BUFFS!$H$5:$AF$195,8,),"")</f>
        <v/>
      </c>
      <c r="J70" s="64"/>
      <c r="K70" s="62"/>
      <c r="L70" s="62"/>
      <c r="M70" s="62"/>
      <c r="N70" s="67"/>
      <c r="O70" s="64"/>
      <c r="P70" s="62"/>
      <c r="Q70" s="62"/>
      <c r="R70" s="62"/>
      <c r="S70" s="67"/>
      <c r="T70" s="68"/>
    </row>
    <row r="71" spans="2:20" x14ac:dyDescent="0.3">
      <c r="B71" s="19"/>
      <c r="C71" s="13"/>
      <c r="D71" s="64"/>
      <c r="E71" s="62"/>
      <c r="F71" s="62"/>
      <c r="G71" s="62"/>
      <c r="H71" s="62"/>
      <c r="I71" s="40" t="str">
        <f>IFERROR(VLOOKUP(A71,BUFFS!$H$5:$AF$195,8,),"")</f>
        <v/>
      </c>
      <c r="J71" s="64"/>
      <c r="K71" s="62"/>
      <c r="L71" s="62"/>
      <c r="M71" s="62"/>
      <c r="N71" s="67"/>
      <c r="O71" s="64"/>
      <c r="P71" s="62"/>
      <c r="Q71" s="62"/>
      <c r="R71" s="62"/>
      <c r="S71" s="67"/>
      <c r="T71" s="68"/>
    </row>
    <row r="72" spans="2:20" x14ac:dyDescent="0.3">
      <c r="B72" s="19"/>
      <c r="C72" s="13"/>
      <c r="D72" s="64"/>
      <c r="E72" s="62"/>
      <c r="F72" s="62"/>
      <c r="G72" s="62"/>
      <c r="H72" s="62"/>
      <c r="I72" s="40" t="str">
        <f>IFERROR(VLOOKUP(A72,BUFFS!$H$5:$AF$195,8,),"")</f>
        <v/>
      </c>
      <c r="J72" s="64"/>
      <c r="K72" s="62"/>
      <c r="L72" s="62"/>
      <c r="M72" s="62"/>
      <c r="N72" s="67"/>
      <c r="O72" s="64"/>
      <c r="P72" s="62"/>
      <c r="Q72" s="62"/>
      <c r="R72" s="62"/>
      <c r="S72" s="67"/>
      <c r="T72" s="68"/>
    </row>
    <row r="73" spans="2:20" x14ac:dyDescent="0.3">
      <c r="B73" s="19"/>
      <c r="C73" s="13"/>
      <c r="D73" s="64"/>
      <c r="E73" s="62"/>
      <c r="F73" s="62"/>
      <c r="G73" s="62"/>
      <c r="H73" s="62"/>
      <c r="I73" s="40" t="str">
        <f>IFERROR(VLOOKUP(A73,BUFFS!$H$5:$AF$195,8,),"")</f>
        <v/>
      </c>
      <c r="J73" s="64"/>
      <c r="K73" s="62"/>
      <c r="L73" s="62"/>
      <c r="M73" s="62"/>
      <c r="N73" s="67"/>
      <c r="O73" s="64"/>
      <c r="P73" s="62"/>
      <c r="Q73" s="62"/>
      <c r="R73" s="62"/>
      <c r="S73" s="67"/>
      <c r="T73" s="68"/>
    </row>
    <row r="74" spans="2:20" x14ac:dyDescent="0.3">
      <c r="B74" s="19"/>
      <c r="C74" s="13"/>
      <c r="D74" s="64"/>
      <c r="E74" s="62"/>
      <c r="F74" s="62"/>
      <c r="G74" s="62"/>
      <c r="H74" s="62"/>
      <c r="I74" s="40" t="str">
        <f>IFERROR(VLOOKUP(A74,BUFFS!$H$5:$AF$195,8,),"")</f>
        <v/>
      </c>
      <c r="J74" s="64"/>
      <c r="K74" s="62"/>
      <c r="L74" s="62"/>
      <c r="M74" s="62"/>
      <c r="N74" s="67"/>
      <c r="O74" s="64"/>
      <c r="P74" s="62"/>
      <c r="Q74" s="62"/>
      <c r="R74" s="62"/>
      <c r="S74" s="67"/>
      <c r="T74" s="68"/>
    </row>
    <row r="75" spans="2:20" x14ac:dyDescent="0.3">
      <c r="B75" s="19"/>
      <c r="C75" s="13"/>
      <c r="D75" s="64"/>
      <c r="E75" s="62"/>
      <c r="F75" s="62"/>
      <c r="G75" s="62"/>
      <c r="H75" s="62"/>
      <c r="I75" s="40" t="str">
        <f>IFERROR(VLOOKUP(A75,BUFFS!$H$5:$AF$195,8,),"")</f>
        <v/>
      </c>
      <c r="J75" s="64"/>
      <c r="K75" s="62"/>
      <c r="L75" s="62"/>
      <c r="M75" s="62"/>
      <c r="N75" s="67"/>
      <c r="O75" s="64"/>
      <c r="P75" s="62"/>
      <c r="Q75" s="62"/>
      <c r="R75" s="62"/>
      <c r="S75" s="67"/>
      <c r="T75" s="68"/>
    </row>
    <row r="76" spans="2:20" x14ac:dyDescent="0.3">
      <c r="B76" s="19"/>
      <c r="C76" s="13"/>
      <c r="D76" s="64"/>
      <c r="E76" s="62"/>
      <c r="F76" s="62"/>
      <c r="G76" s="62"/>
      <c r="H76" s="62"/>
      <c r="I76" s="40" t="str">
        <f>IFERROR(VLOOKUP(A76,BUFFS!$H$5:$AF$195,8,),"")</f>
        <v/>
      </c>
      <c r="J76" s="64"/>
      <c r="K76" s="62"/>
      <c r="L76" s="62"/>
      <c r="M76" s="62"/>
      <c r="N76" s="67"/>
      <c r="O76" s="64"/>
      <c r="P76" s="62"/>
      <c r="Q76" s="62"/>
      <c r="R76" s="62"/>
      <c r="S76" s="67"/>
      <c r="T76" s="68"/>
    </row>
    <row r="77" spans="2:20" x14ac:dyDescent="0.3">
      <c r="B77" s="19"/>
      <c r="C77" s="13"/>
      <c r="D77" s="64"/>
      <c r="E77" s="62"/>
      <c r="F77" s="62"/>
      <c r="G77" s="62"/>
      <c r="H77" s="62"/>
      <c r="I77" s="40" t="str">
        <f>IFERROR(VLOOKUP(A77,BUFFS!$H$5:$AF$195,8,),"")</f>
        <v/>
      </c>
      <c r="J77" s="64"/>
      <c r="K77" s="62"/>
      <c r="L77" s="62"/>
      <c r="M77" s="62"/>
      <c r="N77" s="67"/>
      <c r="O77" s="64"/>
      <c r="P77" s="62"/>
      <c r="Q77" s="62"/>
      <c r="R77" s="62"/>
      <c r="S77" s="67"/>
      <c r="T77" s="68"/>
    </row>
    <row r="78" spans="2:20" x14ac:dyDescent="0.3">
      <c r="B78" s="19"/>
      <c r="C78" s="13"/>
      <c r="D78" s="64"/>
      <c r="E78" s="62"/>
      <c r="F78" s="62"/>
      <c r="G78" s="62"/>
      <c r="H78" s="62"/>
      <c r="I78" s="40" t="str">
        <f>IFERROR(VLOOKUP(A78,BUFFS!$H$5:$AF$195,8,),"")</f>
        <v/>
      </c>
      <c r="J78" s="64"/>
      <c r="K78" s="62"/>
      <c r="L78" s="62"/>
      <c r="M78" s="62"/>
      <c r="N78" s="67"/>
      <c r="O78" s="64"/>
      <c r="P78" s="62"/>
      <c r="Q78" s="62"/>
      <c r="R78" s="62"/>
      <c r="S78" s="67"/>
      <c r="T78" s="68"/>
    </row>
    <row r="79" spans="2:20" x14ac:dyDescent="0.3">
      <c r="B79" s="19"/>
      <c r="C79" s="13"/>
      <c r="D79" s="64"/>
      <c r="E79" s="62"/>
      <c r="F79" s="62"/>
      <c r="G79" s="62"/>
      <c r="H79" s="62"/>
      <c r="I79" s="40" t="str">
        <f>IFERROR(VLOOKUP(A79,BUFFS!$H$5:$AF$195,8,),"")</f>
        <v/>
      </c>
      <c r="J79" s="64"/>
      <c r="K79" s="62"/>
      <c r="L79" s="62"/>
      <c r="M79" s="62"/>
      <c r="N79" s="67"/>
      <c r="O79" s="64"/>
      <c r="P79" s="62"/>
      <c r="Q79" s="62"/>
      <c r="R79" s="62"/>
      <c r="S79" s="67"/>
      <c r="T79" s="68"/>
    </row>
    <row r="80" spans="2:20" x14ac:dyDescent="0.3">
      <c r="B80" s="19"/>
      <c r="C80" s="13"/>
      <c r="D80" s="64"/>
      <c r="E80" s="62"/>
      <c r="F80" s="62"/>
      <c r="G80" s="62"/>
      <c r="H80" s="62"/>
      <c r="I80" s="40" t="str">
        <f>IFERROR(VLOOKUP(A80,BUFFS!$H$5:$AF$195,8,),"")</f>
        <v/>
      </c>
      <c r="J80" s="64"/>
      <c r="K80" s="62"/>
      <c r="L80" s="62"/>
      <c r="M80" s="62"/>
      <c r="N80" s="67"/>
      <c r="O80" s="64"/>
      <c r="P80" s="62"/>
      <c r="Q80" s="62"/>
      <c r="R80" s="62"/>
      <c r="S80" s="67"/>
      <c r="T80" s="68"/>
    </row>
    <row r="81" spans="2:20" x14ac:dyDescent="0.3">
      <c r="B81" s="19"/>
      <c r="C81" s="13"/>
      <c r="D81" s="64"/>
      <c r="E81" s="62"/>
      <c r="F81" s="62"/>
      <c r="G81" s="62"/>
      <c r="H81" s="62"/>
      <c r="I81" s="40" t="str">
        <f>IFERROR(VLOOKUP(A81,BUFFS!$H$5:$AF$195,8,),"")</f>
        <v/>
      </c>
      <c r="J81" s="64"/>
      <c r="K81" s="62"/>
      <c r="L81" s="62"/>
      <c r="M81" s="62"/>
      <c r="N81" s="67"/>
      <c r="O81" s="64"/>
      <c r="P81" s="62"/>
      <c r="Q81" s="62"/>
      <c r="R81" s="62"/>
      <c r="S81" s="67"/>
      <c r="T81" s="68"/>
    </row>
    <row r="82" spans="2:20" x14ac:dyDescent="0.3">
      <c r="B82" s="19"/>
      <c r="C82" s="13"/>
      <c r="D82" s="64"/>
      <c r="E82" s="62"/>
      <c r="F82" s="62"/>
      <c r="G82" s="62"/>
      <c r="H82" s="62"/>
      <c r="I82" s="40" t="str">
        <f>IFERROR(VLOOKUP(A82,BUFFS!$H$5:$AF$195,8,),"")</f>
        <v/>
      </c>
      <c r="J82" s="64"/>
      <c r="K82" s="62"/>
      <c r="L82" s="62"/>
      <c r="M82" s="62"/>
      <c r="N82" s="67"/>
      <c r="O82" s="64"/>
      <c r="P82" s="62"/>
      <c r="Q82" s="62"/>
      <c r="R82" s="62"/>
      <c r="S82" s="67"/>
      <c r="T82" s="68"/>
    </row>
    <row r="83" spans="2:20" x14ac:dyDescent="0.3">
      <c r="B83" s="19"/>
      <c r="C83" s="13"/>
      <c r="D83" s="64"/>
      <c r="E83" s="62"/>
      <c r="F83" s="62"/>
      <c r="G83" s="62"/>
      <c r="H83" s="62"/>
      <c r="I83" s="40" t="str">
        <f>IFERROR(VLOOKUP(A83,BUFFS!$H$5:$AF$195,8,),"")</f>
        <v/>
      </c>
      <c r="J83" s="64"/>
      <c r="K83" s="62"/>
      <c r="L83" s="62"/>
      <c r="M83" s="62"/>
      <c r="N83" s="67"/>
      <c r="O83" s="64"/>
      <c r="P83" s="62"/>
      <c r="Q83" s="62"/>
      <c r="R83" s="62"/>
      <c r="S83" s="67"/>
      <c r="T83" s="69"/>
    </row>
    <row r="84" spans="2:20" x14ac:dyDescent="0.3">
      <c r="B84" s="19"/>
      <c r="C84" s="13"/>
      <c r="D84" s="64"/>
      <c r="E84" s="62"/>
      <c r="F84" s="62"/>
      <c r="G84" s="62"/>
      <c r="H84" s="62"/>
      <c r="I84" s="40" t="str">
        <f>IFERROR(VLOOKUP(A84,BUFFS!$H$5:$AF$195,8,),"")</f>
        <v/>
      </c>
      <c r="J84" s="64"/>
      <c r="K84" s="62"/>
      <c r="L84" s="62"/>
      <c r="M84" s="62"/>
      <c r="N84" s="67"/>
      <c r="O84" s="64"/>
      <c r="P84" s="62"/>
      <c r="Q84" s="62"/>
      <c r="R84" s="62"/>
      <c r="S84" s="67"/>
      <c r="T84" s="69"/>
    </row>
    <row r="85" spans="2:20" x14ac:dyDescent="0.3">
      <c r="B85" s="19"/>
      <c r="C85" s="13"/>
      <c r="D85" s="64"/>
      <c r="E85" s="62"/>
      <c r="F85" s="62"/>
      <c r="G85" s="62"/>
      <c r="H85" s="62"/>
      <c r="I85" s="40" t="str">
        <f>IFERROR(VLOOKUP(A85,BUFFS!$H$5:$AF$195,8,),"")</f>
        <v/>
      </c>
      <c r="J85" s="64"/>
      <c r="K85" s="62"/>
      <c r="L85" s="62"/>
      <c r="M85" s="62"/>
      <c r="N85" s="67"/>
      <c r="O85" s="64"/>
      <c r="P85" s="62"/>
      <c r="Q85" s="62"/>
      <c r="R85" s="62"/>
      <c r="S85" s="67"/>
      <c r="T85" s="69"/>
    </row>
    <row r="86" spans="2:20" x14ac:dyDescent="0.3">
      <c r="B86" s="19"/>
      <c r="C86" s="13"/>
      <c r="D86" s="64"/>
      <c r="E86" s="62"/>
      <c r="F86" s="62"/>
      <c r="G86" s="62"/>
      <c r="H86" s="62"/>
      <c r="I86" s="40" t="str">
        <f>IFERROR(VLOOKUP(A86,BUFFS!$H$5:$AF$195,8,),"")</f>
        <v/>
      </c>
      <c r="J86" s="64"/>
      <c r="K86" s="62"/>
      <c r="L86" s="62"/>
      <c r="M86" s="62"/>
      <c r="N86" s="67"/>
      <c r="O86" s="64"/>
      <c r="P86" s="62"/>
      <c r="Q86" s="62"/>
      <c r="R86" s="62"/>
      <c r="S86" s="67"/>
      <c r="T86" s="69"/>
    </row>
    <row r="87" spans="2:20" x14ac:dyDescent="0.3">
      <c r="B87" s="19"/>
      <c r="C87" s="13"/>
      <c r="D87" s="64"/>
      <c r="E87" s="62"/>
      <c r="F87" s="62"/>
      <c r="G87" s="62"/>
      <c r="H87" s="62"/>
      <c r="I87" s="40" t="str">
        <f>IFERROR(VLOOKUP(A87,BUFFS!$H$5:$AF$195,8,),"")</f>
        <v/>
      </c>
      <c r="J87" s="64"/>
      <c r="K87" s="62"/>
      <c r="L87" s="62"/>
      <c r="M87" s="62"/>
      <c r="N87" s="67"/>
      <c r="O87" s="64"/>
      <c r="P87" s="62"/>
      <c r="Q87" s="62"/>
      <c r="R87" s="62"/>
      <c r="S87" s="67"/>
      <c r="T87" s="69"/>
    </row>
    <row r="88" spans="2:20" x14ac:dyDescent="0.3">
      <c r="B88" s="19"/>
      <c r="C88" s="13"/>
      <c r="D88" s="64"/>
      <c r="E88" s="62"/>
      <c r="F88" s="62"/>
      <c r="G88" s="62"/>
      <c r="H88" s="62"/>
      <c r="I88" s="40" t="str">
        <f>IFERROR(VLOOKUP(A88,BUFFS!$H$5:$AF$195,8,),"")</f>
        <v/>
      </c>
      <c r="J88" s="64"/>
      <c r="K88" s="62"/>
      <c r="L88" s="62"/>
      <c r="M88" s="62"/>
      <c r="N88" s="67"/>
      <c r="O88" s="64"/>
      <c r="P88" s="62"/>
      <c r="Q88" s="62"/>
      <c r="R88" s="62"/>
      <c r="S88" s="67"/>
      <c r="T88" s="69"/>
    </row>
    <row r="89" spans="2:20" x14ac:dyDescent="0.3">
      <c r="B89" s="19"/>
      <c r="C89" s="13"/>
      <c r="D89" s="64"/>
      <c r="E89" s="62"/>
      <c r="F89" s="62"/>
      <c r="G89" s="62"/>
      <c r="H89" s="62"/>
      <c r="I89" s="40" t="str">
        <f>IFERROR(VLOOKUP(A89,BUFFS!$H$5:$AF$195,8,),"")</f>
        <v/>
      </c>
      <c r="J89" s="64"/>
      <c r="K89" s="62"/>
      <c r="L89" s="62"/>
      <c r="M89" s="62"/>
      <c r="N89" s="67"/>
      <c r="O89" s="64"/>
      <c r="P89" s="62"/>
      <c r="Q89" s="62"/>
      <c r="R89" s="62"/>
      <c r="S89" s="67"/>
      <c r="T89" s="69"/>
    </row>
    <row r="90" spans="2:20" x14ac:dyDescent="0.3">
      <c r="B90" s="19"/>
      <c r="C90" s="13"/>
      <c r="D90" s="64"/>
      <c r="E90" s="62"/>
      <c r="F90" s="62"/>
      <c r="G90" s="62"/>
      <c r="H90" s="62"/>
      <c r="I90" s="40" t="str">
        <f>IFERROR(VLOOKUP(A90,BUFFS!$H$5:$AF$195,8,),"")</f>
        <v/>
      </c>
      <c r="J90" s="64"/>
      <c r="K90" s="62"/>
      <c r="L90" s="62"/>
      <c r="M90" s="62"/>
      <c r="N90" s="67"/>
      <c r="O90" s="64"/>
      <c r="P90" s="62"/>
      <c r="Q90" s="62"/>
      <c r="R90" s="62"/>
      <c r="S90" s="67"/>
      <c r="T90" s="69"/>
    </row>
    <row r="91" spans="2:20" x14ac:dyDescent="0.3">
      <c r="B91" s="19"/>
      <c r="C91" s="13"/>
      <c r="D91" s="64"/>
      <c r="E91" s="62"/>
      <c r="F91" s="62"/>
      <c r="G91" s="62"/>
      <c r="H91" s="62"/>
      <c r="I91" s="40" t="str">
        <f>IFERROR(VLOOKUP(A91,BUFFS!$H$5:$AF$195,8,),"")</f>
        <v/>
      </c>
      <c r="J91" s="64"/>
      <c r="K91" s="62"/>
      <c r="L91" s="62"/>
      <c r="M91" s="62"/>
      <c r="N91" s="67"/>
      <c r="O91" s="64"/>
      <c r="P91" s="62"/>
      <c r="Q91" s="62"/>
      <c r="R91" s="62"/>
      <c r="S91" s="67"/>
      <c r="T91" s="69"/>
    </row>
    <row r="92" spans="2:20" x14ac:dyDescent="0.3">
      <c r="B92" s="19"/>
      <c r="C92" s="13"/>
      <c r="D92" s="64"/>
      <c r="E92" s="62"/>
      <c r="F92" s="62"/>
      <c r="G92" s="62"/>
      <c r="H92" s="62"/>
      <c r="I92" s="40" t="str">
        <f>IFERROR(VLOOKUP(A92,BUFFS!$H$5:$AF$195,8,),"")</f>
        <v/>
      </c>
      <c r="J92" s="64"/>
      <c r="K92" s="62"/>
      <c r="L92" s="62"/>
      <c r="M92" s="62"/>
      <c r="N92" s="67"/>
      <c r="O92" s="64"/>
      <c r="P92" s="62"/>
      <c r="Q92" s="62"/>
      <c r="R92" s="62"/>
      <c r="S92" s="67"/>
      <c r="T92" s="69"/>
    </row>
    <row r="93" spans="2:20" x14ac:dyDescent="0.3">
      <c r="B93" s="19"/>
      <c r="C93" s="13"/>
      <c r="D93" s="64"/>
      <c r="E93" s="62"/>
      <c r="F93" s="62"/>
      <c r="G93" s="62"/>
      <c r="H93" s="62"/>
      <c r="I93" s="40" t="str">
        <f>IFERROR(VLOOKUP(A93,BUFFS!$H$5:$AF$195,8,),"")</f>
        <v/>
      </c>
      <c r="J93" s="64"/>
      <c r="K93" s="62"/>
      <c r="L93" s="62"/>
      <c r="M93" s="62"/>
      <c r="N93" s="67"/>
      <c r="O93" s="64"/>
      <c r="P93" s="62"/>
      <c r="Q93" s="62"/>
      <c r="R93" s="62"/>
      <c r="S93" s="67"/>
      <c r="T93" s="69"/>
    </row>
    <row r="94" spans="2:20" x14ac:dyDescent="0.3">
      <c r="B94" s="19"/>
      <c r="C94" s="13"/>
      <c r="D94" s="64"/>
      <c r="E94" s="62"/>
      <c r="F94" s="62"/>
      <c r="G94" s="62"/>
      <c r="H94" s="62"/>
      <c r="I94" s="40" t="str">
        <f>IFERROR(VLOOKUP(A94,BUFFS!$H$5:$AF$195,8,),"")</f>
        <v/>
      </c>
      <c r="J94" s="64"/>
      <c r="K94" s="62"/>
      <c r="L94" s="62"/>
      <c r="M94" s="62"/>
      <c r="N94" s="67"/>
      <c r="O94" s="64"/>
      <c r="P94" s="62"/>
      <c r="Q94" s="62"/>
      <c r="R94" s="62"/>
      <c r="S94" s="67"/>
      <c r="T94" s="69"/>
    </row>
    <row r="95" spans="2:20" x14ac:dyDescent="0.3">
      <c r="B95" s="19"/>
      <c r="C95" s="13"/>
      <c r="D95" s="64"/>
      <c r="E95" s="62"/>
      <c r="F95" s="62"/>
      <c r="G95" s="62"/>
      <c r="H95" s="62"/>
      <c r="I95" s="40" t="str">
        <f>IFERROR(VLOOKUP(A95,BUFFS!$H$5:$AF$195,8,),"")</f>
        <v/>
      </c>
      <c r="J95" s="64"/>
      <c r="K95" s="62"/>
      <c r="L95" s="62"/>
      <c r="M95" s="62"/>
      <c r="N95" s="67"/>
      <c r="O95" s="64"/>
      <c r="P95" s="62"/>
      <c r="Q95" s="62"/>
      <c r="R95" s="62"/>
      <c r="S95" s="67"/>
      <c r="T95" s="69"/>
    </row>
    <row r="96" spans="2:20" x14ac:dyDescent="0.3">
      <c r="B96" s="19"/>
      <c r="C96" s="13"/>
      <c r="D96" s="64"/>
      <c r="E96" s="62"/>
      <c r="F96" s="62"/>
      <c r="G96" s="62"/>
      <c r="H96" s="62"/>
      <c r="I96" s="40" t="str">
        <f>IFERROR(VLOOKUP(A96,BUFFS!$H$5:$AF$195,8,),"")</f>
        <v/>
      </c>
      <c r="J96" s="64"/>
      <c r="K96" s="62"/>
      <c r="L96" s="62"/>
      <c r="M96" s="62"/>
      <c r="N96" s="67"/>
      <c r="O96" s="64"/>
      <c r="P96" s="62"/>
      <c r="Q96" s="62"/>
      <c r="R96" s="62"/>
      <c r="S96" s="67"/>
      <c r="T96" s="69"/>
    </row>
    <row r="97" spans="2:20" x14ac:dyDescent="0.3">
      <c r="B97" s="19"/>
      <c r="C97" s="13"/>
      <c r="D97" s="64"/>
      <c r="E97" s="62"/>
      <c r="F97" s="62"/>
      <c r="G97" s="62"/>
      <c r="H97" s="62"/>
      <c r="I97" s="40" t="str">
        <f>IFERROR(VLOOKUP(A97,BUFFS!$H$5:$AF$195,8,),"")</f>
        <v/>
      </c>
      <c r="J97" s="64"/>
      <c r="K97" s="62"/>
      <c r="L97" s="62"/>
      <c r="M97" s="62"/>
      <c r="N97" s="67"/>
      <c r="O97" s="64"/>
      <c r="P97" s="62"/>
      <c r="Q97" s="62"/>
      <c r="R97" s="62"/>
      <c r="S97" s="67"/>
      <c r="T97" s="69"/>
    </row>
    <row r="98" spans="2:20" x14ac:dyDescent="0.3">
      <c r="B98" s="19"/>
      <c r="C98" s="13"/>
      <c r="D98" s="64"/>
      <c r="E98" s="62"/>
      <c r="F98" s="62"/>
      <c r="G98" s="62"/>
      <c r="H98" s="62"/>
      <c r="I98" s="40" t="str">
        <f>IFERROR(VLOOKUP(A98,BUFFS!$H$5:$AF$195,8,),"")</f>
        <v/>
      </c>
      <c r="J98" s="64"/>
      <c r="K98" s="62"/>
      <c r="L98" s="62"/>
      <c r="M98" s="62"/>
      <c r="N98" s="67"/>
      <c r="O98" s="64"/>
      <c r="P98" s="62"/>
      <c r="Q98" s="62"/>
      <c r="R98" s="62"/>
      <c r="S98" s="67"/>
      <c r="T98" s="69"/>
    </row>
    <row r="99" spans="2:20" x14ac:dyDescent="0.3">
      <c r="B99" s="19"/>
      <c r="C99" s="13"/>
      <c r="D99" s="64"/>
      <c r="E99" s="62"/>
      <c r="F99" s="62"/>
      <c r="G99" s="62"/>
      <c r="H99" s="62"/>
      <c r="I99" s="40" t="str">
        <f>IFERROR(VLOOKUP(A99,BUFFS!$H$5:$AF$195,8,),"")</f>
        <v/>
      </c>
      <c r="J99" s="64"/>
      <c r="K99" s="62"/>
      <c r="L99" s="62"/>
      <c r="M99" s="62"/>
      <c r="N99" s="67"/>
      <c r="O99" s="64"/>
      <c r="P99" s="62"/>
      <c r="Q99" s="62"/>
      <c r="R99" s="62"/>
      <c r="S99" s="67"/>
      <c r="T99" s="69"/>
    </row>
    <row r="100" spans="2:20" x14ac:dyDescent="0.3">
      <c r="B100" s="19"/>
      <c r="C100" s="13"/>
      <c r="D100" s="64"/>
      <c r="E100" s="62"/>
      <c r="F100" s="62"/>
      <c r="G100" s="62"/>
      <c r="H100" s="62"/>
      <c r="I100" s="40" t="str">
        <f>IFERROR(VLOOKUP(A100,BUFFS!$H$5:$AF$195,8,),"")</f>
        <v/>
      </c>
      <c r="J100" s="64"/>
      <c r="K100" s="62"/>
      <c r="L100" s="62"/>
      <c r="M100" s="62"/>
      <c r="N100" s="67"/>
      <c r="O100" s="64"/>
      <c r="P100" s="62"/>
      <c r="Q100" s="62"/>
      <c r="R100" s="62"/>
      <c r="S100" s="67"/>
      <c r="T100" s="69"/>
    </row>
    <row r="101" spans="2:20" x14ac:dyDescent="0.3">
      <c r="B101" s="19"/>
      <c r="D101" s="64"/>
      <c r="E101" s="62"/>
      <c r="F101" s="62"/>
      <c r="G101" s="62"/>
      <c r="H101" s="62"/>
      <c r="I101" s="40" t="str">
        <f>IFERROR(VLOOKUP(A101,BUFFS!$H$5:$AF$195,8,),"")</f>
        <v/>
      </c>
      <c r="J101" s="64"/>
      <c r="K101" s="62"/>
      <c r="L101" s="62"/>
      <c r="M101" s="62"/>
      <c r="N101" s="67"/>
      <c r="O101" s="64"/>
      <c r="P101" s="62"/>
      <c r="Q101" s="62"/>
      <c r="R101" s="62"/>
      <c r="S101" s="67"/>
      <c r="T101" s="69"/>
    </row>
    <row r="102" spans="2:20" x14ac:dyDescent="0.3">
      <c r="B102" s="19"/>
      <c r="D102" s="64"/>
      <c r="E102" s="62"/>
      <c r="F102" s="62"/>
      <c r="G102" s="62"/>
      <c r="H102" s="62"/>
      <c r="I102" s="40" t="str">
        <f>IFERROR(VLOOKUP(A102,BUFFS!$H$5:$AF$195,8,),"")</f>
        <v/>
      </c>
      <c r="J102" s="64"/>
      <c r="K102" s="62"/>
      <c r="L102" s="62"/>
      <c r="M102" s="62"/>
      <c r="N102" s="67"/>
      <c r="O102" s="64"/>
      <c r="P102" s="62"/>
      <c r="Q102" s="62"/>
      <c r="R102" s="62"/>
      <c r="S102" s="67"/>
      <c r="T102" s="69"/>
    </row>
    <row r="103" spans="2:20" x14ac:dyDescent="0.3">
      <c r="B103" s="19"/>
      <c r="D103" s="64"/>
      <c r="E103" s="62"/>
      <c r="F103" s="62"/>
      <c r="G103" s="62"/>
      <c r="H103" s="62"/>
      <c r="I103" s="40" t="str">
        <f>IFERROR(VLOOKUP(A103,BUFFS!$H$5:$AF$195,8,),"")</f>
        <v/>
      </c>
      <c r="J103" s="64"/>
      <c r="K103" s="62"/>
      <c r="L103" s="62"/>
      <c r="M103" s="62"/>
      <c r="N103" s="67"/>
      <c r="O103" s="64"/>
      <c r="P103" s="62"/>
      <c r="Q103" s="62"/>
      <c r="R103" s="62"/>
      <c r="S103" s="67"/>
      <c r="T103" s="69"/>
    </row>
    <row r="104" spans="2:20" x14ac:dyDescent="0.3">
      <c r="B104" s="19"/>
      <c r="D104" s="64"/>
      <c r="E104" s="62"/>
      <c r="F104" s="62"/>
      <c r="G104" s="62"/>
      <c r="H104" s="62"/>
      <c r="I104" s="40" t="str">
        <f>IFERROR(VLOOKUP(A104,BUFFS!$H$5:$AF$195,8,),"")</f>
        <v/>
      </c>
      <c r="J104" s="64"/>
      <c r="K104" s="62"/>
      <c r="L104" s="62"/>
      <c r="M104" s="62"/>
      <c r="N104" s="67"/>
      <c r="O104" s="64"/>
      <c r="P104" s="62"/>
      <c r="Q104" s="62"/>
      <c r="R104" s="62"/>
      <c r="S104" s="67"/>
      <c r="T104" s="69"/>
    </row>
    <row r="105" spans="2:20" x14ac:dyDescent="0.3">
      <c r="B105" s="19"/>
      <c r="D105" s="64"/>
      <c r="E105" s="62"/>
      <c r="F105" s="62"/>
      <c r="G105" s="62"/>
      <c r="H105" s="62"/>
      <c r="I105" s="40" t="str">
        <f>IFERROR(VLOOKUP(A105,BUFFS!$H$5:$AF$195,8,),"")</f>
        <v/>
      </c>
      <c r="J105" s="64"/>
      <c r="K105" s="62"/>
      <c r="L105" s="62"/>
      <c r="M105" s="62"/>
      <c r="N105" s="67"/>
      <c r="O105" s="64"/>
      <c r="P105" s="62"/>
      <c r="Q105" s="62"/>
      <c r="R105" s="62"/>
      <c r="S105" s="67"/>
      <c r="T105" s="69"/>
    </row>
    <row r="106" spans="2:20" x14ac:dyDescent="0.3">
      <c r="B106" s="19"/>
      <c r="D106" s="64"/>
      <c r="E106" s="62"/>
      <c r="F106" s="62"/>
      <c r="G106" s="62"/>
      <c r="H106" s="62"/>
      <c r="I106" s="40" t="str">
        <f>IFERROR(VLOOKUP(A106,BUFFS!$H$5:$AF$195,8,),"")</f>
        <v/>
      </c>
      <c r="J106" s="64"/>
      <c r="K106" s="62"/>
      <c r="L106" s="62"/>
      <c r="M106" s="62"/>
      <c r="N106" s="67"/>
      <c r="O106" s="64"/>
      <c r="P106" s="62"/>
      <c r="Q106" s="62"/>
      <c r="R106" s="62"/>
      <c r="S106" s="67"/>
      <c r="T106" s="69"/>
    </row>
    <row r="107" spans="2:20" x14ac:dyDescent="0.3">
      <c r="B107" s="19"/>
      <c r="D107" s="64"/>
      <c r="E107" s="62"/>
      <c r="F107" s="62"/>
      <c r="G107" s="62"/>
      <c r="H107" s="62"/>
      <c r="I107" s="40" t="str">
        <f>IFERROR(VLOOKUP(A107,BUFFS!$H$5:$AF$195,8,),"")</f>
        <v/>
      </c>
      <c r="J107" s="64"/>
      <c r="K107" s="62"/>
      <c r="L107" s="62"/>
      <c r="M107" s="62"/>
      <c r="N107" s="67"/>
      <c r="O107" s="64"/>
      <c r="P107" s="62"/>
      <c r="Q107" s="62"/>
      <c r="R107" s="62"/>
      <c r="S107" s="67"/>
      <c r="T107" s="69"/>
    </row>
    <row r="108" spans="2:20" x14ac:dyDescent="0.3">
      <c r="B108" s="19"/>
      <c r="D108" s="64"/>
      <c r="E108" s="62"/>
      <c r="F108" s="62"/>
      <c r="G108" s="62"/>
      <c r="H108" s="62"/>
      <c r="I108" s="40" t="str">
        <f>IFERROR(VLOOKUP(A108,BUFFS!$H$5:$AF$195,8,),"")</f>
        <v/>
      </c>
      <c r="J108" s="64"/>
      <c r="K108" s="62"/>
      <c r="L108" s="62"/>
      <c r="M108" s="62"/>
      <c r="N108" s="67"/>
      <c r="O108" s="64"/>
      <c r="P108" s="62"/>
      <c r="Q108" s="62"/>
      <c r="R108" s="62"/>
      <c r="S108" s="67"/>
      <c r="T108" s="69"/>
    </row>
    <row r="109" spans="2:20" x14ac:dyDescent="0.3">
      <c r="B109" s="19"/>
      <c r="D109" s="64"/>
      <c r="E109" s="62"/>
      <c r="F109" s="62"/>
      <c r="G109" s="62"/>
      <c r="H109" s="62"/>
      <c r="I109" s="40" t="str">
        <f>IFERROR(VLOOKUP(A109,BUFFS!$H$5:$AF$195,8,),"")</f>
        <v/>
      </c>
      <c r="J109" s="64"/>
      <c r="K109" s="62"/>
      <c r="L109" s="62"/>
      <c r="M109" s="62"/>
      <c r="N109" s="67"/>
      <c r="O109" s="64"/>
      <c r="P109" s="62"/>
      <c r="Q109" s="62"/>
      <c r="R109" s="62"/>
      <c r="S109" s="67"/>
      <c r="T109" s="69"/>
    </row>
    <row r="110" spans="2:20" x14ac:dyDescent="0.3">
      <c r="B110" s="19"/>
      <c r="D110" s="64"/>
      <c r="E110" s="62"/>
      <c r="F110" s="62"/>
      <c r="G110" s="62"/>
      <c r="H110" s="62"/>
      <c r="I110" s="40" t="str">
        <f>IFERROR(VLOOKUP(A110,BUFFS!$H$5:$AF$195,8,),"")</f>
        <v/>
      </c>
      <c r="J110" s="64"/>
      <c r="K110" s="62"/>
      <c r="L110" s="62"/>
      <c r="M110" s="62"/>
      <c r="N110" s="67"/>
      <c r="O110" s="64"/>
      <c r="P110" s="62"/>
      <c r="Q110" s="62"/>
      <c r="R110" s="62"/>
      <c r="S110" s="67"/>
      <c r="T110" s="69"/>
    </row>
    <row r="111" spans="2:20" x14ac:dyDescent="0.3">
      <c r="B111" s="19"/>
      <c r="D111" s="64"/>
      <c r="E111" s="62"/>
      <c r="F111" s="62"/>
      <c r="G111" s="62"/>
      <c r="H111" s="62"/>
      <c r="I111" s="40" t="str">
        <f>IFERROR(VLOOKUP(A111,BUFFS!$H$5:$AF$195,8,),"")</f>
        <v/>
      </c>
      <c r="J111" s="64"/>
      <c r="K111" s="62"/>
      <c r="L111" s="62"/>
      <c r="M111" s="62"/>
      <c r="N111" s="67"/>
      <c r="O111" s="64"/>
      <c r="P111" s="62"/>
      <c r="Q111" s="62"/>
      <c r="R111" s="62"/>
      <c r="S111" s="67"/>
      <c r="T111" s="69"/>
    </row>
    <row r="112" spans="2:20" x14ac:dyDescent="0.3">
      <c r="B112" s="19"/>
      <c r="D112" s="64"/>
      <c r="E112" s="62"/>
      <c r="F112" s="62"/>
      <c r="G112" s="62"/>
      <c r="H112" s="62"/>
      <c r="I112" s="40" t="str">
        <f>IFERROR(VLOOKUP(A112,BUFFS!$H$5:$AF$195,8,),"")</f>
        <v/>
      </c>
      <c r="J112" s="64"/>
      <c r="K112" s="62"/>
      <c r="L112" s="62"/>
      <c r="M112" s="62"/>
      <c r="N112" s="67"/>
      <c r="O112" s="64"/>
      <c r="P112" s="62"/>
      <c r="Q112" s="62"/>
      <c r="R112" s="62"/>
      <c r="S112" s="67"/>
      <c r="T112" s="69"/>
    </row>
    <row r="113" spans="2:20" x14ac:dyDescent="0.3">
      <c r="B113" s="19"/>
      <c r="D113" s="64"/>
      <c r="E113" s="62"/>
      <c r="F113" s="62"/>
      <c r="G113" s="62"/>
      <c r="H113" s="62"/>
      <c r="I113" s="40" t="str">
        <f>IFERROR(VLOOKUP(A113,BUFFS!$H$5:$AF$195,8,),"")</f>
        <v/>
      </c>
      <c r="J113" s="64"/>
      <c r="K113" s="62"/>
      <c r="L113" s="62"/>
      <c r="M113" s="62"/>
      <c r="N113" s="67"/>
      <c r="O113" s="64"/>
      <c r="P113" s="62"/>
      <c r="Q113" s="62"/>
      <c r="R113" s="62"/>
      <c r="S113" s="67"/>
      <c r="T113" s="69"/>
    </row>
    <row r="114" spans="2:20" x14ac:dyDescent="0.3">
      <c r="B114" s="19"/>
      <c r="D114" s="64"/>
      <c r="E114" s="62"/>
      <c r="F114" s="62"/>
      <c r="G114" s="62"/>
      <c r="H114" s="62"/>
      <c r="I114" s="40" t="str">
        <f>IFERROR(VLOOKUP(A114,BUFFS!$H$5:$AF$195,8,),"")</f>
        <v/>
      </c>
      <c r="J114" s="64"/>
      <c r="K114" s="62"/>
      <c r="L114" s="62"/>
      <c r="M114" s="62"/>
      <c r="N114" s="67"/>
      <c r="O114" s="64"/>
      <c r="P114" s="62"/>
      <c r="Q114" s="62"/>
      <c r="R114" s="62"/>
      <c r="S114" s="67"/>
      <c r="T114" s="69"/>
    </row>
    <row r="115" spans="2:20" x14ac:dyDescent="0.3">
      <c r="B115" s="19"/>
      <c r="D115" s="64"/>
      <c r="E115" s="62"/>
      <c r="F115" s="62"/>
      <c r="G115" s="62"/>
      <c r="H115" s="62"/>
      <c r="I115" s="40" t="str">
        <f>IFERROR(VLOOKUP(A115,BUFFS!$H$5:$AF$195,8,),"")</f>
        <v/>
      </c>
      <c r="J115" s="64"/>
      <c r="K115" s="62"/>
      <c r="L115" s="62"/>
      <c r="M115" s="62"/>
      <c r="N115" s="67"/>
      <c r="O115" s="64"/>
      <c r="P115" s="62"/>
      <c r="Q115" s="62"/>
      <c r="R115" s="62"/>
      <c r="S115" s="67"/>
      <c r="T115" s="69"/>
    </row>
    <row r="116" spans="2:20" x14ac:dyDescent="0.3">
      <c r="B116" s="19"/>
      <c r="D116" s="64"/>
      <c r="E116" s="62"/>
      <c r="F116" s="62"/>
      <c r="G116" s="62"/>
      <c r="H116" s="62"/>
      <c r="I116" s="40" t="str">
        <f>IFERROR(VLOOKUP(A116,BUFFS!$H$5:$AF$195,8,),"")</f>
        <v/>
      </c>
      <c r="J116" s="64"/>
      <c r="K116" s="62"/>
      <c r="L116" s="62"/>
      <c r="M116" s="62"/>
      <c r="N116" s="67"/>
      <c r="O116" s="64"/>
      <c r="P116" s="62"/>
      <c r="Q116" s="62"/>
      <c r="R116" s="62"/>
      <c r="S116" s="67"/>
      <c r="T116" s="69"/>
    </row>
    <row r="117" spans="2:20" x14ac:dyDescent="0.3">
      <c r="B117" s="19"/>
      <c r="D117" s="64"/>
      <c r="E117" s="62"/>
      <c r="F117" s="62"/>
      <c r="G117" s="62"/>
      <c r="H117" s="62"/>
      <c r="I117" s="40" t="str">
        <f>IFERROR(VLOOKUP(A117,BUFFS!$H$5:$AF$195,8,),"")</f>
        <v/>
      </c>
      <c r="J117" s="64"/>
      <c r="K117" s="62"/>
      <c r="L117" s="62"/>
      <c r="M117" s="62"/>
      <c r="N117" s="67"/>
      <c r="O117" s="64"/>
      <c r="P117" s="62"/>
      <c r="Q117" s="62"/>
      <c r="R117" s="62"/>
      <c r="S117" s="67"/>
      <c r="T117" s="69"/>
    </row>
    <row r="118" spans="2:20" x14ac:dyDescent="0.3">
      <c r="B118" s="19"/>
      <c r="D118" s="64"/>
      <c r="E118" s="62"/>
      <c r="F118" s="62"/>
      <c r="G118" s="62"/>
      <c r="H118" s="62"/>
      <c r="I118" s="40" t="str">
        <f>IFERROR(VLOOKUP(A118,BUFFS!$H$5:$AF$195,8,),"")</f>
        <v/>
      </c>
      <c r="J118" s="64"/>
      <c r="K118" s="62"/>
      <c r="L118" s="62"/>
      <c r="M118" s="62"/>
      <c r="N118" s="67"/>
      <c r="O118" s="64"/>
      <c r="P118" s="62"/>
      <c r="Q118" s="62"/>
      <c r="R118" s="62"/>
      <c r="S118" s="67"/>
      <c r="T118" s="69"/>
    </row>
    <row r="119" spans="2:20" x14ac:dyDescent="0.3">
      <c r="B119" s="19"/>
      <c r="D119" s="64"/>
      <c r="E119" s="62"/>
      <c r="F119" s="62"/>
      <c r="G119" s="62"/>
      <c r="H119" s="62"/>
      <c r="I119" s="40" t="str">
        <f>IFERROR(VLOOKUP(A119,BUFFS!$H$5:$AF$195,8,),"")</f>
        <v/>
      </c>
      <c r="J119" s="64"/>
      <c r="K119" s="62"/>
      <c r="L119" s="62"/>
      <c r="M119" s="62"/>
      <c r="N119" s="67"/>
      <c r="O119" s="64"/>
      <c r="P119" s="62"/>
      <c r="Q119" s="62"/>
      <c r="R119" s="62"/>
      <c r="S119" s="67"/>
      <c r="T119" s="69"/>
    </row>
    <row r="120" spans="2:20" x14ac:dyDescent="0.3">
      <c r="B120" s="19"/>
      <c r="D120" s="64"/>
      <c r="E120" s="62"/>
      <c r="F120" s="62"/>
      <c r="G120" s="62"/>
      <c r="H120" s="62"/>
      <c r="I120" s="40" t="str">
        <f>IFERROR(VLOOKUP(A120,BUFFS!$H$5:$AF$195,8,),"")</f>
        <v/>
      </c>
      <c r="J120" s="64"/>
      <c r="K120" s="62"/>
      <c r="L120" s="62"/>
      <c r="M120" s="62"/>
      <c r="N120" s="67"/>
      <c r="O120" s="64"/>
      <c r="P120" s="62"/>
      <c r="Q120" s="62"/>
      <c r="R120" s="62"/>
      <c r="S120" s="67"/>
      <c r="T120" s="69"/>
    </row>
    <row r="121" spans="2:20" x14ac:dyDescent="0.3">
      <c r="B121" s="19"/>
      <c r="D121" s="64"/>
      <c r="E121" s="62"/>
      <c r="F121" s="62"/>
      <c r="G121" s="62"/>
      <c r="H121" s="62"/>
      <c r="I121" s="40" t="str">
        <f>IFERROR(VLOOKUP(A121,BUFFS!$H$5:$AF$195,8,),"")</f>
        <v/>
      </c>
      <c r="J121" s="64"/>
      <c r="K121" s="62"/>
      <c r="L121" s="62"/>
      <c r="M121" s="62"/>
      <c r="N121" s="67"/>
      <c r="O121" s="64"/>
      <c r="P121" s="62"/>
      <c r="Q121" s="62"/>
      <c r="R121" s="62"/>
      <c r="S121" s="67"/>
      <c r="T121" s="69"/>
    </row>
    <row r="122" spans="2:20" x14ac:dyDescent="0.3">
      <c r="B122" s="19"/>
      <c r="D122" s="64"/>
      <c r="E122" s="62"/>
      <c r="F122" s="62"/>
      <c r="G122" s="62"/>
      <c r="H122" s="62"/>
      <c r="I122" s="40" t="str">
        <f>IFERROR(VLOOKUP(A122,BUFFS!$H$5:$AF$195,8,),"")</f>
        <v/>
      </c>
      <c r="J122" s="64"/>
      <c r="K122" s="62"/>
      <c r="L122" s="62"/>
      <c r="M122" s="62"/>
      <c r="N122" s="67"/>
      <c r="O122" s="64"/>
      <c r="P122" s="62"/>
      <c r="Q122" s="62"/>
      <c r="R122" s="62"/>
      <c r="S122" s="67"/>
      <c r="T122" s="69"/>
    </row>
    <row r="123" spans="2:20" x14ac:dyDescent="0.3">
      <c r="B123" s="19"/>
      <c r="D123" s="64"/>
      <c r="E123" s="62"/>
      <c r="F123" s="62"/>
      <c r="G123" s="62"/>
      <c r="H123" s="62"/>
      <c r="I123" s="40" t="str">
        <f>IFERROR(VLOOKUP(A123,BUFFS!$H$5:$AF$195,8,),"")</f>
        <v/>
      </c>
      <c r="J123" s="64"/>
      <c r="K123" s="62"/>
      <c r="L123" s="62"/>
      <c r="M123" s="62"/>
      <c r="N123" s="67"/>
      <c r="O123" s="64"/>
      <c r="P123" s="62"/>
      <c r="Q123" s="62"/>
      <c r="R123" s="62"/>
      <c r="S123" s="67"/>
      <c r="T123" s="69"/>
    </row>
    <row r="124" spans="2:20" x14ac:dyDescent="0.3">
      <c r="B124" s="19"/>
      <c r="D124" s="64"/>
      <c r="E124" s="62"/>
      <c r="F124" s="62"/>
      <c r="G124" s="62"/>
      <c r="H124" s="62"/>
      <c r="I124" s="40" t="str">
        <f>IFERROR(VLOOKUP(A124,BUFFS!$H$5:$AF$195,8,),"")</f>
        <v/>
      </c>
      <c r="J124" s="64"/>
      <c r="K124" s="62"/>
      <c r="L124" s="62"/>
      <c r="M124" s="62"/>
      <c r="N124" s="67"/>
      <c r="O124" s="64"/>
      <c r="P124" s="62"/>
      <c r="Q124" s="62"/>
      <c r="R124" s="62"/>
      <c r="S124" s="67"/>
      <c r="T124" s="69"/>
    </row>
    <row r="125" spans="2:20" x14ac:dyDescent="0.3">
      <c r="B125" s="19"/>
      <c r="D125" s="64"/>
      <c r="E125" s="62"/>
      <c r="F125" s="62"/>
      <c r="G125" s="62"/>
      <c r="H125" s="62"/>
      <c r="I125" s="40" t="str">
        <f>IFERROR(VLOOKUP(A125,BUFFS!$H$5:$AF$195,8,),"")</f>
        <v/>
      </c>
      <c r="J125" s="64"/>
      <c r="K125" s="62"/>
      <c r="L125" s="62"/>
      <c r="M125" s="62"/>
      <c r="N125" s="67"/>
      <c r="O125" s="64"/>
      <c r="P125" s="62"/>
      <c r="Q125" s="62"/>
      <c r="R125" s="62"/>
      <c r="S125" s="67"/>
      <c r="T125" s="69"/>
    </row>
    <row r="126" spans="2:20" x14ac:dyDescent="0.3">
      <c r="B126" s="19"/>
      <c r="D126" s="64"/>
      <c r="E126" s="62"/>
      <c r="F126" s="62"/>
      <c r="G126" s="62"/>
      <c r="H126" s="62"/>
      <c r="I126" s="40" t="str">
        <f>IFERROR(VLOOKUP(A126,BUFFS!$H$5:$AF$195,8,),"")</f>
        <v/>
      </c>
      <c r="J126" s="64"/>
      <c r="K126" s="62"/>
      <c r="L126" s="62"/>
      <c r="M126" s="62"/>
      <c r="N126" s="67"/>
      <c r="O126" s="64"/>
      <c r="P126" s="62"/>
      <c r="Q126" s="62"/>
      <c r="R126" s="62"/>
      <c r="S126" s="67"/>
      <c r="T126" s="69"/>
    </row>
    <row r="127" spans="2:20" x14ac:dyDescent="0.3">
      <c r="B127" s="19"/>
      <c r="D127" s="64"/>
      <c r="E127" s="62"/>
      <c r="F127" s="62"/>
      <c r="G127" s="62"/>
      <c r="H127" s="62"/>
      <c r="I127" s="40" t="str">
        <f>IFERROR(VLOOKUP(A127,BUFFS!$H$5:$AF$195,8,),"")</f>
        <v/>
      </c>
      <c r="J127" s="64"/>
      <c r="K127" s="62"/>
      <c r="L127" s="62"/>
      <c r="M127" s="62"/>
      <c r="N127" s="67"/>
      <c r="O127" s="64"/>
      <c r="P127" s="62"/>
      <c r="Q127" s="62"/>
      <c r="R127" s="62"/>
      <c r="S127" s="67"/>
      <c r="T127" s="69"/>
    </row>
    <row r="128" spans="2:20" x14ac:dyDescent="0.3">
      <c r="B128" s="19"/>
      <c r="D128" s="64"/>
      <c r="E128" s="62"/>
      <c r="F128" s="62"/>
      <c r="G128" s="62"/>
      <c r="H128" s="62"/>
      <c r="I128" s="40" t="str">
        <f>IFERROR(VLOOKUP(A128,BUFFS!$H$5:$AF$195,8,),"")</f>
        <v/>
      </c>
      <c r="J128" s="64"/>
      <c r="K128" s="62"/>
      <c r="L128" s="62"/>
      <c r="M128" s="62"/>
      <c r="N128" s="67"/>
      <c r="O128" s="64"/>
      <c r="P128" s="62"/>
      <c r="Q128" s="62"/>
      <c r="R128" s="62"/>
      <c r="S128" s="67"/>
      <c r="T128" s="69"/>
    </row>
    <row r="129" spans="2:20" x14ac:dyDescent="0.3">
      <c r="B129" s="19"/>
      <c r="D129" s="64"/>
      <c r="E129" s="62"/>
      <c r="F129" s="62"/>
      <c r="G129" s="62"/>
      <c r="H129" s="62"/>
      <c r="I129" s="40" t="str">
        <f>IFERROR(VLOOKUP(A129,BUFFS!$H$5:$AF$195,8,),"")</f>
        <v/>
      </c>
      <c r="J129" s="64"/>
      <c r="K129" s="62"/>
      <c r="L129" s="62"/>
      <c r="M129" s="62"/>
      <c r="N129" s="67"/>
      <c r="O129" s="64"/>
      <c r="P129" s="62"/>
      <c r="Q129" s="62"/>
      <c r="R129" s="62"/>
      <c r="S129" s="67"/>
      <c r="T129" s="69"/>
    </row>
    <row r="130" spans="2:20" x14ac:dyDescent="0.3">
      <c r="B130" s="19"/>
      <c r="D130" s="64"/>
      <c r="E130" s="62"/>
      <c r="F130" s="62"/>
      <c r="G130" s="62"/>
      <c r="H130" s="62"/>
      <c r="I130" s="40" t="str">
        <f>IFERROR(VLOOKUP(A130,BUFFS!$H$5:$AF$195,8,),"")</f>
        <v/>
      </c>
      <c r="J130" s="64"/>
      <c r="K130" s="62"/>
      <c r="L130" s="62"/>
      <c r="M130" s="62"/>
      <c r="N130" s="67"/>
      <c r="O130" s="64"/>
      <c r="P130" s="62"/>
      <c r="Q130" s="62"/>
      <c r="R130" s="62"/>
      <c r="S130" s="67"/>
      <c r="T130" s="69"/>
    </row>
    <row r="131" spans="2:20" x14ac:dyDescent="0.3">
      <c r="B131" s="19"/>
      <c r="D131" s="64"/>
      <c r="E131" s="62"/>
      <c r="F131" s="62"/>
      <c r="G131" s="62"/>
      <c r="H131" s="62"/>
      <c r="I131" s="40" t="str">
        <f>IFERROR(VLOOKUP(A131,BUFFS!$H$5:$AF$195,8,),"")</f>
        <v/>
      </c>
      <c r="J131" s="64"/>
      <c r="K131" s="62"/>
      <c r="L131" s="62"/>
      <c r="M131" s="62"/>
      <c r="N131" s="67"/>
      <c r="O131" s="64"/>
      <c r="P131" s="62"/>
      <c r="Q131" s="62"/>
      <c r="R131" s="62"/>
      <c r="S131" s="67"/>
      <c r="T131" s="69"/>
    </row>
    <row r="132" spans="2:20" x14ac:dyDescent="0.3">
      <c r="B132" s="19"/>
      <c r="D132" s="64"/>
      <c r="E132" s="62"/>
      <c r="F132" s="62"/>
      <c r="G132" s="62"/>
      <c r="H132" s="62"/>
      <c r="I132" s="40" t="str">
        <f>IFERROR(VLOOKUP(A132,BUFFS!$H$5:$AF$195,8,),"")</f>
        <v/>
      </c>
      <c r="J132" s="64"/>
      <c r="K132" s="62"/>
      <c r="L132" s="62"/>
      <c r="M132" s="62"/>
      <c r="N132" s="67"/>
      <c r="O132" s="64"/>
      <c r="P132" s="62"/>
      <c r="Q132" s="62"/>
      <c r="R132" s="62"/>
      <c r="S132" s="67"/>
      <c r="T132" s="69"/>
    </row>
    <row r="133" spans="2:20" x14ac:dyDescent="0.3">
      <c r="B133" s="19"/>
      <c r="D133" s="64"/>
      <c r="E133" s="62"/>
      <c r="F133" s="62"/>
      <c r="G133" s="62"/>
      <c r="H133" s="62"/>
      <c r="I133" s="40" t="str">
        <f>IFERROR(VLOOKUP(A133,BUFFS!$H$5:$AF$195,8,),"")</f>
        <v/>
      </c>
      <c r="J133" s="64"/>
      <c r="K133" s="62"/>
      <c r="L133" s="62"/>
      <c r="M133" s="62"/>
      <c r="N133" s="67"/>
      <c r="O133" s="64"/>
      <c r="P133" s="62"/>
      <c r="Q133" s="62"/>
      <c r="R133" s="62"/>
      <c r="S133" s="67"/>
      <c r="T133" s="69"/>
    </row>
    <row r="134" spans="2:20" x14ac:dyDescent="0.3">
      <c r="B134" s="19"/>
      <c r="D134" s="64"/>
      <c r="E134" s="62"/>
      <c r="F134" s="62"/>
      <c r="G134" s="62"/>
      <c r="H134" s="62"/>
      <c r="I134" s="40" t="str">
        <f>IFERROR(VLOOKUP(A134,BUFFS!$H$5:$AF$195,8,),"")</f>
        <v/>
      </c>
      <c r="J134" s="64"/>
      <c r="K134" s="62"/>
      <c r="L134" s="62"/>
      <c r="M134" s="62"/>
      <c r="N134" s="67"/>
      <c r="O134" s="64"/>
      <c r="P134" s="62"/>
      <c r="Q134" s="62"/>
      <c r="R134" s="62"/>
      <c r="S134" s="67"/>
      <c r="T134" s="69"/>
    </row>
    <row r="135" spans="2:20" x14ac:dyDescent="0.3">
      <c r="B135" s="19"/>
      <c r="D135" s="64"/>
      <c r="E135" s="62"/>
      <c r="F135" s="62"/>
      <c r="G135" s="62"/>
      <c r="H135" s="62"/>
      <c r="I135" s="40" t="str">
        <f>IFERROR(VLOOKUP(A135,BUFFS!$H$5:$AF$195,8,),"")</f>
        <v/>
      </c>
      <c r="J135" s="64"/>
      <c r="K135" s="62"/>
      <c r="L135" s="62"/>
      <c r="M135" s="62"/>
      <c r="N135" s="67"/>
      <c r="O135" s="64"/>
      <c r="P135" s="62"/>
      <c r="Q135" s="62"/>
      <c r="R135" s="62"/>
      <c r="S135" s="67"/>
      <c r="T135" s="69"/>
    </row>
    <row r="136" spans="2:20" x14ac:dyDescent="0.3">
      <c r="B136" s="19"/>
      <c r="D136" s="64"/>
      <c r="E136" s="62"/>
      <c r="F136" s="62"/>
      <c r="G136" s="62"/>
      <c r="H136" s="62"/>
      <c r="I136" s="40" t="str">
        <f>IFERROR(VLOOKUP(A136,BUFFS!$H$5:$AF$195,8,),"")</f>
        <v/>
      </c>
      <c r="J136" s="64"/>
      <c r="K136" s="62"/>
      <c r="L136" s="62"/>
      <c r="M136" s="62"/>
      <c r="N136" s="67"/>
      <c r="O136" s="64"/>
      <c r="P136" s="62"/>
      <c r="Q136" s="62"/>
      <c r="R136" s="62"/>
      <c r="S136" s="67"/>
      <c r="T136" s="69"/>
    </row>
    <row r="137" spans="2:20" x14ac:dyDescent="0.3">
      <c r="B137" s="19"/>
      <c r="D137" s="64"/>
      <c r="E137" s="62"/>
      <c r="F137" s="62"/>
      <c r="G137" s="62"/>
      <c r="H137" s="62"/>
      <c r="I137" s="40" t="str">
        <f>IFERROR(VLOOKUP(A137,BUFFS!$H$5:$AF$195,8,),"")</f>
        <v/>
      </c>
      <c r="J137" s="64"/>
      <c r="K137" s="62"/>
      <c r="L137" s="62"/>
      <c r="M137" s="62"/>
      <c r="N137" s="67"/>
      <c r="O137" s="64"/>
      <c r="P137" s="62"/>
      <c r="Q137" s="62"/>
      <c r="R137" s="62"/>
      <c r="S137" s="67"/>
      <c r="T137" s="69"/>
    </row>
    <row r="138" spans="2:20" x14ac:dyDescent="0.3">
      <c r="B138" s="19"/>
      <c r="D138" s="64"/>
      <c r="E138" s="62"/>
      <c r="F138" s="62"/>
      <c r="G138" s="62"/>
      <c r="H138" s="62"/>
      <c r="I138" s="40" t="str">
        <f>IFERROR(VLOOKUP(A138,BUFFS!$H$5:$AF$195,8,),"")</f>
        <v/>
      </c>
      <c r="J138" s="64"/>
      <c r="K138" s="62"/>
      <c r="L138" s="62"/>
      <c r="M138" s="62"/>
      <c r="N138" s="67"/>
      <c r="O138" s="64"/>
      <c r="P138" s="62"/>
      <c r="Q138" s="62"/>
      <c r="R138" s="62"/>
      <c r="S138" s="67"/>
      <c r="T138" s="69"/>
    </row>
    <row r="139" spans="2:20" x14ac:dyDescent="0.3">
      <c r="B139" s="19"/>
      <c r="D139" s="64"/>
      <c r="E139" s="62"/>
      <c r="F139" s="62"/>
      <c r="G139" s="62"/>
      <c r="H139" s="62"/>
      <c r="I139" s="40" t="str">
        <f>IFERROR(VLOOKUP(A139,BUFFS!$H$5:$AF$195,8,),"")</f>
        <v/>
      </c>
      <c r="J139" s="64"/>
      <c r="K139" s="62"/>
      <c r="L139" s="62"/>
      <c r="M139" s="62"/>
      <c r="N139" s="67"/>
      <c r="O139" s="64"/>
      <c r="P139" s="62"/>
      <c r="Q139" s="62"/>
      <c r="R139" s="62"/>
      <c r="S139" s="67"/>
      <c r="T139" s="69"/>
    </row>
    <row r="140" spans="2:20" x14ac:dyDescent="0.3">
      <c r="B140" s="19"/>
      <c r="D140" s="64"/>
      <c r="E140" s="62"/>
      <c r="F140" s="62"/>
      <c r="G140" s="62"/>
      <c r="H140" s="62"/>
      <c r="I140" s="40" t="str">
        <f>IFERROR(VLOOKUP(A140,BUFFS!$H$5:$AF$195,8,),"")</f>
        <v/>
      </c>
      <c r="J140" s="64"/>
      <c r="K140" s="62"/>
      <c r="L140" s="62"/>
      <c r="M140" s="62"/>
      <c r="N140" s="67"/>
      <c r="O140" s="64"/>
      <c r="P140" s="62"/>
      <c r="Q140" s="62"/>
      <c r="R140" s="62"/>
      <c r="S140" s="67"/>
      <c r="T140" s="69"/>
    </row>
    <row r="141" spans="2:20" x14ac:dyDescent="0.3">
      <c r="B141" s="19"/>
      <c r="D141" s="64"/>
      <c r="E141" s="62"/>
      <c r="F141" s="62"/>
      <c r="G141" s="62"/>
      <c r="H141" s="62"/>
      <c r="I141" s="40" t="str">
        <f>IFERROR(VLOOKUP(A141,BUFFS!$H$5:$AF$195,8,),"")</f>
        <v/>
      </c>
      <c r="J141" s="64"/>
      <c r="K141" s="62"/>
      <c r="L141" s="62"/>
      <c r="M141" s="62"/>
      <c r="N141" s="67"/>
      <c r="O141" s="64"/>
      <c r="P141" s="62"/>
      <c r="Q141" s="62"/>
      <c r="R141" s="62"/>
      <c r="S141" s="67"/>
      <c r="T141" s="69"/>
    </row>
    <row r="142" spans="2:20" x14ac:dyDescent="0.3">
      <c r="B142" s="19"/>
      <c r="D142" s="64"/>
      <c r="E142" s="62"/>
      <c r="F142" s="62"/>
      <c r="G142" s="62"/>
      <c r="H142" s="62"/>
      <c r="I142" s="40" t="str">
        <f>IFERROR(VLOOKUP(A142,BUFFS!$H$5:$AF$195,8,),"")</f>
        <v/>
      </c>
      <c r="J142" s="64"/>
      <c r="K142" s="62"/>
      <c r="L142" s="62"/>
      <c r="M142" s="62"/>
      <c r="N142" s="67"/>
      <c r="O142" s="64"/>
      <c r="P142" s="62"/>
      <c r="Q142" s="62"/>
      <c r="R142" s="62"/>
      <c r="S142" s="67"/>
      <c r="T142" s="69"/>
    </row>
    <row r="143" spans="2:20" x14ac:dyDescent="0.3">
      <c r="B143" s="19"/>
      <c r="D143" s="64"/>
      <c r="E143" s="62"/>
      <c r="F143" s="62"/>
      <c r="G143" s="62"/>
      <c r="H143" s="62"/>
      <c r="I143" s="40" t="str">
        <f>IFERROR(VLOOKUP(A143,BUFFS!$H$5:$AF$195,8,),"")</f>
        <v/>
      </c>
      <c r="J143" s="64"/>
      <c r="K143" s="62"/>
      <c r="L143" s="62"/>
      <c r="M143" s="62"/>
      <c r="N143" s="67"/>
      <c r="O143" s="64"/>
      <c r="P143" s="62"/>
      <c r="Q143" s="62"/>
      <c r="R143" s="62"/>
      <c r="S143" s="67"/>
      <c r="T143" s="69"/>
    </row>
    <row r="144" spans="2:20" x14ac:dyDescent="0.3">
      <c r="B144" s="19"/>
      <c r="D144" s="64"/>
      <c r="E144" s="62"/>
      <c r="F144" s="62"/>
      <c r="G144" s="62"/>
      <c r="H144" s="62"/>
      <c r="I144" s="40" t="str">
        <f>IFERROR(VLOOKUP(A144,BUFFS!$H$5:$AF$195,8,),"")</f>
        <v/>
      </c>
      <c r="J144" s="64"/>
      <c r="K144" s="62"/>
      <c r="L144" s="62"/>
      <c r="M144" s="62"/>
      <c r="N144" s="67"/>
      <c r="O144" s="64"/>
      <c r="P144" s="62"/>
      <c r="Q144" s="62"/>
      <c r="R144" s="62"/>
      <c r="S144" s="67"/>
      <c r="T144" s="69"/>
    </row>
    <row r="145" spans="2:20" x14ac:dyDescent="0.3">
      <c r="B145" s="19"/>
      <c r="D145" s="64"/>
      <c r="E145" s="62"/>
      <c r="F145" s="62"/>
      <c r="G145" s="62"/>
      <c r="H145" s="62"/>
      <c r="I145" s="40" t="str">
        <f>IFERROR(VLOOKUP(A145,BUFFS!$H$5:$AF$195,8,),"")</f>
        <v/>
      </c>
      <c r="J145" s="64"/>
      <c r="K145" s="62"/>
      <c r="L145" s="62"/>
      <c r="M145" s="62"/>
      <c r="N145" s="67"/>
      <c r="O145" s="64"/>
      <c r="P145" s="62"/>
      <c r="Q145" s="62"/>
      <c r="R145" s="62"/>
      <c r="S145" s="67"/>
      <c r="T145" s="69"/>
    </row>
    <row r="146" spans="2:20" x14ac:dyDescent="0.3">
      <c r="B146" s="19"/>
      <c r="D146" s="64"/>
      <c r="E146" s="62"/>
      <c r="F146" s="62"/>
      <c r="G146" s="62"/>
      <c r="H146" s="62"/>
      <c r="I146" s="40" t="str">
        <f>IFERROR(VLOOKUP(A146,BUFFS!$H$5:$AF$195,8,),"")</f>
        <v/>
      </c>
      <c r="J146" s="64"/>
      <c r="K146" s="62"/>
      <c r="L146" s="62"/>
      <c r="M146" s="62"/>
      <c r="N146" s="67"/>
      <c r="O146" s="64"/>
      <c r="P146" s="62"/>
      <c r="Q146" s="62"/>
      <c r="R146" s="62"/>
      <c r="S146" s="67"/>
      <c r="T146" s="69"/>
    </row>
    <row r="147" spans="2:20" x14ac:dyDescent="0.3">
      <c r="B147" s="19"/>
      <c r="D147" s="64"/>
      <c r="E147" s="62"/>
      <c r="F147" s="62"/>
      <c r="G147" s="62"/>
      <c r="H147" s="62"/>
      <c r="I147" s="40" t="str">
        <f>IFERROR(VLOOKUP(A147,BUFFS!$H$5:$AF$195,8,),"")</f>
        <v/>
      </c>
      <c r="J147" s="64"/>
      <c r="K147" s="62"/>
      <c r="L147" s="62"/>
      <c r="M147" s="62"/>
      <c r="N147" s="67"/>
      <c r="O147" s="64"/>
      <c r="P147" s="62"/>
      <c r="Q147" s="62"/>
      <c r="R147" s="62"/>
      <c r="S147" s="67"/>
      <c r="T147" s="69"/>
    </row>
    <row r="148" spans="2:20" x14ac:dyDescent="0.3">
      <c r="B148" s="19"/>
      <c r="D148" s="64"/>
      <c r="E148" s="62"/>
      <c r="F148" s="62"/>
      <c r="G148" s="62"/>
      <c r="H148" s="62"/>
      <c r="I148" s="40" t="str">
        <f>IFERROR(VLOOKUP(A148,BUFFS!$H$5:$AF$195,8,),"")</f>
        <v/>
      </c>
      <c r="J148" s="64"/>
      <c r="K148" s="62"/>
      <c r="L148" s="62"/>
      <c r="M148" s="62"/>
      <c r="N148" s="67"/>
      <c r="O148" s="64"/>
      <c r="P148" s="62"/>
      <c r="Q148" s="62"/>
      <c r="R148" s="62"/>
      <c r="S148" s="67"/>
      <c r="T148" s="69"/>
    </row>
    <row r="149" spans="2:20" x14ac:dyDescent="0.3">
      <c r="B149" s="19"/>
      <c r="D149" s="64"/>
      <c r="E149" s="62"/>
      <c r="F149" s="62"/>
      <c r="G149" s="62"/>
      <c r="H149" s="62"/>
      <c r="I149" s="40" t="str">
        <f>IFERROR(VLOOKUP(A149,BUFFS!$H$5:$AF$195,8,),"")</f>
        <v/>
      </c>
      <c r="J149" s="64"/>
      <c r="K149" s="62"/>
      <c r="L149" s="62"/>
      <c r="M149" s="62"/>
      <c r="N149" s="67"/>
      <c r="O149" s="64"/>
      <c r="P149" s="62"/>
      <c r="Q149" s="62"/>
      <c r="R149" s="62"/>
      <c r="S149" s="67"/>
      <c r="T149" s="69"/>
    </row>
    <row r="150" spans="2:20" x14ac:dyDescent="0.3">
      <c r="B150" s="19"/>
      <c r="D150" s="64"/>
      <c r="E150" s="62"/>
      <c r="F150" s="62"/>
      <c r="G150" s="62"/>
      <c r="H150" s="62"/>
      <c r="I150" s="40" t="str">
        <f>IFERROR(VLOOKUP(A150,BUFFS!$H$5:$AF$195,8,),"")</f>
        <v/>
      </c>
      <c r="J150" s="64"/>
      <c r="K150" s="62"/>
      <c r="L150" s="62"/>
      <c r="M150" s="62"/>
      <c r="N150" s="67"/>
      <c r="O150" s="64"/>
      <c r="P150" s="62"/>
      <c r="Q150" s="62"/>
      <c r="R150" s="62"/>
      <c r="S150" s="67"/>
      <c r="T150" s="69"/>
    </row>
    <row r="151" spans="2:20" x14ac:dyDescent="0.3">
      <c r="B151" s="19"/>
      <c r="D151" s="64"/>
      <c r="E151" s="62"/>
      <c r="F151" s="62"/>
      <c r="G151" s="62"/>
      <c r="H151" s="62"/>
      <c r="I151" s="40" t="str">
        <f>IFERROR(VLOOKUP(A151,BUFFS!$H$5:$AF$195,8,),"")</f>
        <v/>
      </c>
      <c r="J151" s="64"/>
      <c r="K151" s="62"/>
      <c r="L151" s="62"/>
      <c r="M151" s="62"/>
      <c r="N151" s="67"/>
      <c r="O151" s="64"/>
      <c r="P151" s="62"/>
      <c r="Q151" s="62"/>
      <c r="R151" s="62"/>
      <c r="S151" s="67"/>
      <c r="T151" s="69"/>
    </row>
    <row r="152" spans="2:20" x14ac:dyDescent="0.3">
      <c r="B152" s="19"/>
      <c r="D152" s="64"/>
      <c r="E152" s="62"/>
      <c r="F152" s="62"/>
      <c r="G152" s="62"/>
      <c r="H152" s="62"/>
      <c r="I152" s="40" t="str">
        <f>IFERROR(VLOOKUP(A152,BUFFS!$H$5:$AF$195,8,),"")</f>
        <v/>
      </c>
      <c r="J152" s="64"/>
      <c r="K152" s="62"/>
      <c r="L152" s="62"/>
      <c r="M152" s="62"/>
      <c r="N152" s="67"/>
      <c r="O152" s="64"/>
      <c r="P152" s="62"/>
      <c r="Q152" s="62"/>
      <c r="R152" s="62"/>
      <c r="S152" s="67"/>
      <c r="T152" s="69"/>
    </row>
    <row r="153" spans="2:20" x14ac:dyDescent="0.3">
      <c r="B153" s="19"/>
      <c r="D153" s="64"/>
      <c r="E153" s="62"/>
      <c r="F153" s="62"/>
      <c r="G153" s="62"/>
      <c r="H153" s="62"/>
      <c r="I153" s="40" t="str">
        <f>IFERROR(VLOOKUP(A153,BUFFS!$H$5:$AF$195,8,),"")</f>
        <v/>
      </c>
      <c r="J153" s="64"/>
      <c r="K153" s="62"/>
      <c r="L153" s="62"/>
      <c r="M153" s="62"/>
      <c r="N153" s="67"/>
      <c r="O153" s="64"/>
      <c r="P153" s="62"/>
      <c r="Q153" s="62"/>
      <c r="R153" s="62"/>
      <c r="S153" s="67"/>
      <c r="T153" s="69"/>
    </row>
    <row r="154" spans="2:20" x14ac:dyDescent="0.3">
      <c r="B154" s="19"/>
      <c r="D154" s="64"/>
      <c r="E154" s="62"/>
      <c r="F154" s="62"/>
      <c r="G154" s="62"/>
      <c r="H154" s="62"/>
      <c r="I154" s="40" t="str">
        <f>IFERROR(VLOOKUP(A154,BUFFS!$H$5:$AF$195,8,),"")</f>
        <v/>
      </c>
      <c r="J154" s="64"/>
      <c r="K154" s="62"/>
      <c r="L154" s="62"/>
      <c r="M154" s="62"/>
      <c r="N154" s="67"/>
      <c r="O154" s="64"/>
      <c r="P154" s="62"/>
      <c r="Q154" s="62"/>
      <c r="R154" s="62"/>
      <c r="S154" s="67"/>
      <c r="T154" s="69"/>
    </row>
    <row r="155" spans="2:20" x14ac:dyDescent="0.3">
      <c r="B155" s="19"/>
      <c r="D155" s="64"/>
      <c r="E155" s="62"/>
      <c r="F155" s="62"/>
      <c r="G155" s="62"/>
      <c r="H155" s="62"/>
      <c r="I155" s="40" t="str">
        <f>IFERROR(VLOOKUP(A155,BUFFS!$H$5:$AF$195,8,),"")</f>
        <v/>
      </c>
      <c r="J155" s="64"/>
      <c r="K155" s="62"/>
      <c r="L155" s="62"/>
      <c r="M155" s="62"/>
      <c r="N155" s="67"/>
      <c r="O155" s="64"/>
      <c r="P155" s="62"/>
      <c r="Q155" s="62"/>
      <c r="R155" s="62"/>
      <c r="S155" s="67"/>
      <c r="T155" s="69"/>
    </row>
    <row r="156" spans="2:20" x14ac:dyDescent="0.3">
      <c r="B156" s="19"/>
      <c r="D156" s="64"/>
      <c r="E156" s="62"/>
      <c r="F156" s="62"/>
      <c r="G156" s="62"/>
      <c r="H156" s="62"/>
      <c r="I156" s="40" t="str">
        <f>IFERROR(VLOOKUP(A156,BUFFS!$H$5:$AF$195,8,),"")</f>
        <v/>
      </c>
      <c r="J156" s="64"/>
      <c r="K156" s="62"/>
      <c r="L156" s="62"/>
      <c r="M156" s="62"/>
      <c r="N156" s="67"/>
      <c r="O156" s="64"/>
      <c r="P156" s="62"/>
      <c r="Q156" s="62"/>
      <c r="R156" s="62"/>
      <c r="S156" s="67"/>
      <c r="T156" s="69"/>
    </row>
    <row r="157" spans="2:20" x14ac:dyDescent="0.3">
      <c r="B157" s="19"/>
      <c r="D157" s="64"/>
      <c r="E157" s="62"/>
      <c r="F157" s="62"/>
      <c r="G157" s="62"/>
      <c r="H157" s="62"/>
      <c r="I157" s="40" t="str">
        <f>IFERROR(VLOOKUP(A157,BUFFS!$H$5:$AF$195,8,),"")</f>
        <v/>
      </c>
      <c r="J157" s="64"/>
      <c r="K157" s="62"/>
      <c r="L157" s="62"/>
      <c r="M157" s="62"/>
      <c r="N157" s="67"/>
      <c r="O157" s="64"/>
      <c r="P157" s="62"/>
      <c r="Q157" s="62"/>
      <c r="R157" s="62"/>
      <c r="S157" s="67"/>
      <c r="T157" s="69"/>
    </row>
    <row r="158" spans="2:20" x14ac:dyDescent="0.3">
      <c r="B158" s="19"/>
      <c r="D158" s="64"/>
      <c r="E158" s="62"/>
      <c r="F158" s="62"/>
      <c r="G158" s="62"/>
      <c r="H158" s="62"/>
      <c r="I158" s="40" t="str">
        <f>IFERROR(VLOOKUP(A158,BUFFS!$H$5:$AF$195,8,),"")</f>
        <v/>
      </c>
      <c r="J158" s="64"/>
      <c r="K158" s="62"/>
      <c r="L158" s="62"/>
      <c r="M158" s="62"/>
      <c r="N158" s="67"/>
      <c r="O158" s="64"/>
      <c r="P158" s="62"/>
      <c r="Q158" s="62"/>
      <c r="R158" s="62"/>
      <c r="S158" s="67"/>
      <c r="T158" s="69"/>
    </row>
    <row r="159" spans="2:20" x14ac:dyDescent="0.3">
      <c r="B159" s="19"/>
      <c r="D159" s="64"/>
      <c r="E159" s="62"/>
      <c r="F159" s="62"/>
      <c r="G159" s="62"/>
      <c r="H159" s="62"/>
      <c r="I159" s="40" t="str">
        <f>IFERROR(VLOOKUP(A159,BUFFS!$H$5:$AF$195,8,),"")</f>
        <v/>
      </c>
      <c r="J159" s="64"/>
      <c r="K159" s="62"/>
      <c r="L159" s="62"/>
      <c r="M159" s="62"/>
      <c r="N159" s="67"/>
      <c r="O159" s="64"/>
      <c r="P159" s="62"/>
      <c r="Q159" s="62"/>
      <c r="R159" s="62"/>
      <c r="S159" s="67"/>
      <c r="T159" s="69"/>
    </row>
    <row r="160" spans="2:20" x14ac:dyDescent="0.3">
      <c r="B160" s="19"/>
      <c r="D160" s="64"/>
      <c r="E160" s="62"/>
      <c r="F160" s="62"/>
      <c r="G160" s="62"/>
      <c r="H160" s="62"/>
      <c r="I160" s="40" t="str">
        <f>IFERROR(VLOOKUP(A160,BUFFS!$H$5:$AF$195,8,),"")</f>
        <v/>
      </c>
      <c r="J160" s="64"/>
      <c r="K160" s="62"/>
      <c r="L160" s="62"/>
      <c r="M160" s="62"/>
      <c r="N160" s="67"/>
      <c r="O160" s="64"/>
      <c r="P160" s="62"/>
      <c r="Q160" s="62"/>
      <c r="R160" s="62"/>
      <c r="S160" s="67"/>
      <c r="T160" s="69"/>
    </row>
    <row r="161" spans="2:20" x14ac:dyDescent="0.3">
      <c r="B161" s="19"/>
      <c r="D161" s="64"/>
      <c r="E161" s="62"/>
      <c r="F161" s="62"/>
      <c r="G161" s="62"/>
      <c r="H161" s="62"/>
      <c r="I161" s="40" t="str">
        <f>IFERROR(VLOOKUP(A161,BUFFS!$H$5:$AF$195,8,),"")</f>
        <v/>
      </c>
      <c r="J161" s="64"/>
      <c r="K161" s="62"/>
      <c r="L161" s="62"/>
      <c r="M161" s="62"/>
      <c r="N161" s="67"/>
      <c r="O161" s="64"/>
      <c r="P161" s="62"/>
      <c r="Q161" s="62"/>
      <c r="R161" s="62"/>
      <c r="S161" s="67"/>
      <c r="T161" s="69"/>
    </row>
    <row r="162" spans="2:20" x14ac:dyDescent="0.3">
      <c r="B162" s="19"/>
      <c r="D162" s="64"/>
      <c r="E162" s="62"/>
      <c r="F162" s="62"/>
      <c r="G162" s="62"/>
      <c r="H162" s="62"/>
      <c r="I162" s="40" t="str">
        <f>IFERROR(VLOOKUP(A162,BUFFS!$H$5:$AF$195,8,),"")</f>
        <v/>
      </c>
      <c r="J162" s="64"/>
      <c r="K162" s="62"/>
      <c r="L162" s="62"/>
      <c r="M162" s="62"/>
      <c r="N162" s="67"/>
      <c r="O162" s="64"/>
      <c r="P162" s="62"/>
      <c r="Q162" s="62"/>
      <c r="R162" s="62"/>
      <c r="S162" s="67"/>
      <c r="T162" s="69"/>
    </row>
    <row r="163" spans="2:20" x14ac:dyDescent="0.3">
      <c r="B163" s="19"/>
      <c r="D163" s="64"/>
      <c r="E163" s="62"/>
      <c r="F163" s="62"/>
      <c r="G163" s="62"/>
      <c r="H163" s="62"/>
      <c r="I163" s="40" t="str">
        <f>IFERROR(VLOOKUP(A163,BUFFS!$H$5:$AF$195,8,),"")</f>
        <v/>
      </c>
      <c r="J163" s="64"/>
      <c r="K163" s="62"/>
      <c r="L163" s="62"/>
      <c r="M163" s="62"/>
      <c r="N163" s="67"/>
      <c r="O163" s="64"/>
      <c r="P163" s="62"/>
      <c r="Q163" s="62"/>
      <c r="R163" s="62"/>
      <c r="S163" s="67"/>
      <c r="T163" s="69"/>
    </row>
    <row r="164" spans="2:20" x14ac:dyDescent="0.3">
      <c r="B164" s="19"/>
      <c r="D164" s="64"/>
      <c r="E164" s="62"/>
      <c r="F164" s="62"/>
      <c r="G164" s="62"/>
      <c r="H164" s="62"/>
      <c r="I164" s="40" t="str">
        <f>IFERROR(VLOOKUP(A164,BUFFS!$H$5:$AF$195,8,),"")</f>
        <v/>
      </c>
      <c r="J164" s="64"/>
      <c r="K164" s="62"/>
      <c r="L164" s="62"/>
      <c r="M164" s="62"/>
      <c r="N164" s="67"/>
      <c r="O164" s="64"/>
      <c r="P164" s="62"/>
      <c r="Q164" s="62"/>
      <c r="R164" s="62"/>
      <c r="S164" s="67"/>
      <c r="T164" s="69"/>
    </row>
    <row r="165" spans="2:20" x14ac:dyDescent="0.3">
      <c r="B165" s="19"/>
      <c r="D165" s="64"/>
      <c r="E165" s="62"/>
      <c r="F165" s="62"/>
      <c r="G165" s="62"/>
      <c r="H165" s="62"/>
      <c r="I165" s="40" t="str">
        <f>IFERROR(VLOOKUP(A165,BUFFS!$H$5:$AF$195,8,),"")</f>
        <v/>
      </c>
      <c r="J165" s="64"/>
      <c r="K165" s="62"/>
      <c r="L165" s="62"/>
      <c r="M165" s="62"/>
      <c r="N165" s="67"/>
      <c r="O165" s="64"/>
      <c r="P165" s="62"/>
      <c r="Q165" s="62"/>
      <c r="R165" s="62"/>
      <c r="S165" s="67"/>
      <c r="T165" s="69"/>
    </row>
    <row r="166" spans="2:20" x14ac:dyDescent="0.3">
      <c r="B166" s="19"/>
      <c r="D166" s="64"/>
      <c r="E166" s="62"/>
      <c r="F166" s="62"/>
      <c r="G166" s="62"/>
      <c r="H166" s="62"/>
      <c r="I166" s="40" t="str">
        <f>IFERROR(VLOOKUP(A166,BUFFS!$H$5:$AF$195,8,),"")</f>
        <v/>
      </c>
      <c r="J166" s="64"/>
      <c r="K166" s="62"/>
      <c r="L166" s="62"/>
      <c r="M166" s="62"/>
      <c r="N166" s="67"/>
      <c r="O166" s="64"/>
      <c r="P166" s="62"/>
      <c r="Q166" s="62"/>
      <c r="R166" s="62"/>
      <c r="S166" s="67"/>
      <c r="T166" s="69"/>
    </row>
    <row r="167" spans="2:20" x14ac:dyDescent="0.3">
      <c r="B167" s="19"/>
      <c r="D167" s="64"/>
      <c r="E167" s="62"/>
      <c r="F167" s="62"/>
      <c r="G167" s="62"/>
      <c r="H167" s="62"/>
      <c r="I167" s="40" t="str">
        <f>IFERROR(VLOOKUP(A167,BUFFS!$H$5:$AF$195,8,),"")</f>
        <v/>
      </c>
      <c r="J167" s="64"/>
      <c r="K167" s="62"/>
      <c r="L167" s="62"/>
      <c r="M167" s="62"/>
      <c r="N167" s="67"/>
      <c r="O167" s="64"/>
      <c r="P167" s="62"/>
      <c r="Q167" s="62"/>
      <c r="R167" s="62"/>
      <c r="S167" s="67"/>
      <c r="T167" s="69"/>
    </row>
    <row r="168" spans="2:20" x14ac:dyDescent="0.3">
      <c r="B168" s="19"/>
      <c r="D168" s="64"/>
      <c r="E168" s="62"/>
      <c r="F168" s="62"/>
      <c r="G168" s="62"/>
      <c r="H168" s="62"/>
      <c r="I168" s="40" t="str">
        <f>IFERROR(VLOOKUP(A168,BUFFS!$H$5:$AF$195,8,),"")</f>
        <v/>
      </c>
      <c r="J168" s="64"/>
      <c r="K168" s="62"/>
      <c r="L168" s="62"/>
      <c r="M168" s="62"/>
      <c r="N168" s="67"/>
      <c r="O168" s="64"/>
      <c r="P168" s="62"/>
      <c r="Q168" s="62"/>
      <c r="R168" s="62"/>
      <c r="S168" s="67"/>
      <c r="T168" s="69"/>
    </row>
    <row r="169" spans="2:20" x14ac:dyDescent="0.3">
      <c r="B169" s="19"/>
      <c r="D169" s="64"/>
      <c r="E169" s="62"/>
      <c r="F169" s="62"/>
      <c r="G169" s="62"/>
      <c r="H169" s="62"/>
      <c r="I169" s="40" t="str">
        <f>IFERROR(VLOOKUP(A169,BUFFS!$H$5:$AF$195,8,),"")</f>
        <v/>
      </c>
      <c r="J169" s="64"/>
      <c r="K169" s="62"/>
      <c r="L169" s="62"/>
      <c r="M169" s="62"/>
      <c r="N169" s="67"/>
      <c r="O169" s="64"/>
      <c r="P169" s="62"/>
      <c r="Q169" s="62"/>
      <c r="R169" s="62"/>
      <c r="S169" s="67"/>
      <c r="T169" s="69"/>
    </row>
    <row r="170" spans="2:20" x14ac:dyDescent="0.3">
      <c r="B170" s="19"/>
      <c r="D170" s="64"/>
      <c r="E170" s="62"/>
      <c r="F170" s="62"/>
      <c r="G170" s="62"/>
      <c r="H170" s="62"/>
      <c r="I170" s="40" t="str">
        <f>IFERROR(VLOOKUP(A170,BUFFS!$H$5:$AF$195,8,),"")</f>
        <v/>
      </c>
      <c r="J170" s="64"/>
      <c r="K170" s="62"/>
      <c r="L170" s="62"/>
      <c r="M170" s="62"/>
      <c r="N170" s="67"/>
      <c r="O170" s="64"/>
      <c r="P170" s="62"/>
      <c r="Q170" s="62"/>
      <c r="R170" s="62"/>
      <c r="S170" s="67"/>
      <c r="T170" s="69"/>
    </row>
    <row r="171" spans="2:20" x14ac:dyDescent="0.3">
      <c r="B171" s="19"/>
      <c r="D171" s="64"/>
      <c r="E171" s="62"/>
      <c r="F171" s="62"/>
      <c r="G171" s="62"/>
      <c r="H171" s="62"/>
      <c r="I171" s="40" t="str">
        <f>IFERROR(VLOOKUP(A171,BUFFS!$H$5:$AF$195,8,),"")</f>
        <v/>
      </c>
      <c r="J171" s="64"/>
      <c r="K171" s="62"/>
      <c r="L171" s="62"/>
      <c r="M171" s="62"/>
      <c r="N171" s="67"/>
      <c r="O171" s="64"/>
      <c r="P171" s="62"/>
      <c r="Q171" s="62"/>
      <c r="R171" s="62"/>
      <c r="S171" s="67"/>
      <c r="T171" s="69"/>
    </row>
    <row r="172" spans="2:20" x14ac:dyDescent="0.3">
      <c r="B172" s="19"/>
      <c r="D172" s="64"/>
      <c r="E172" s="62"/>
      <c r="F172" s="62"/>
      <c r="G172" s="62"/>
      <c r="H172" s="62"/>
      <c r="I172" s="40" t="str">
        <f>IFERROR(VLOOKUP(A172,BUFFS!$H$5:$AF$195,8,),"")</f>
        <v/>
      </c>
      <c r="J172" s="64"/>
      <c r="K172" s="62"/>
      <c r="L172" s="62"/>
      <c r="M172" s="62"/>
      <c r="N172" s="67"/>
      <c r="O172" s="64"/>
      <c r="P172" s="62"/>
      <c r="Q172" s="62"/>
      <c r="R172" s="62"/>
      <c r="S172" s="67"/>
      <c r="T172" s="69"/>
    </row>
    <row r="173" spans="2:20" x14ac:dyDescent="0.3">
      <c r="B173" s="19"/>
      <c r="D173" s="64"/>
      <c r="E173" s="62"/>
      <c r="F173" s="62"/>
      <c r="G173" s="62"/>
      <c r="H173" s="62"/>
      <c r="I173" s="40" t="str">
        <f>IFERROR(VLOOKUP(A173,BUFFS!$H$5:$AF$195,8,),"")</f>
        <v/>
      </c>
      <c r="J173" s="64"/>
      <c r="K173" s="62"/>
      <c r="L173" s="62"/>
      <c r="M173" s="62"/>
      <c r="N173" s="67"/>
      <c r="O173" s="64"/>
      <c r="P173" s="62"/>
      <c r="Q173" s="62"/>
      <c r="R173" s="62"/>
      <c r="S173" s="67"/>
      <c r="T173" s="69"/>
    </row>
    <row r="174" spans="2:20" x14ac:dyDescent="0.3">
      <c r="B174" s="19"/>
      <c r="D174" s="64"/>
      <c r="E174" s="62"/>
      <c r="F174" s="62"/>
      <c r="G174" s="62"/>
      <c r="H174" s="62"/>
      <c r="I174" s="40" t="str">
        <f>IFERROR(VLOOKUP(A174,BUFFS!$H$5:$AF$195,8,),"")</f>
        <v/>
      </c>
      <c r="J174" s="64"/>
      <c r="K174" s="62"/>
      <c r="L174" s="62"/>
      <c r="M174" s="62"/>
      <c r="N174" s="67"/>
      <c r="O174" s="64"/>
      <c r="P174" s="62"/>
      <c r="Q174" s="62"/>
      <c r="R174" s="62"/>
      <c r="S174" s="67"/>
      <c r="T174" s="69"/>
    </row>
    <row r="175" spans="2:20" x14ac:dyDescent="0.3">
      <c r="B175" s="19"/>
      <c r="D175" s="64"/>
      <c r="E175" s="62"/>
      <c r="F175" s="62"/>
      <c r="G175" s="62"/>
      <c r="H175" s="62"/>
      <c r="I175" s="40" t="str">
        <f>IFERROR(VLOOKUP(A175,BUFFS!$H$5:$AF$195,8,),"")</f>
        <v/>
      </c>
      <c r="J175" s="64"/>
      <c r="K175" s="62"/>
      <c r="L175" s="62"/>
      <c r="M175" s="62"/>
      <c r="N175" s="67"/>
      <c r="O175" s="64"/>
      <c r="P175" s="62"/>
      <c r="Q175" s="62"/>
      <c r="R175" s="62"/>
      <c r="S175" s="67"/>
      <c r="T175" s="69"/>
    </row>
    <row r="176" spans="2:20" x14ac:dyDescent="0.3">
      <c r="B176" s="19"/>
      <c r="D176" s="64"/>
      <c r="E176" s="62"/>
      <c r="F176" s="62"/>
      <c r="G176" s="62"/>
      <c r="H176" s="62"/>
      <c r="I176" s="40" t="str">
        <f>IFERROR(VLOOKUP(A176,BUFFS!$H$5:$AF$195,8,),"")</f>
        <v/>
      </c>
      <c r="J176" s="64"/>
      <c r="K176" s="62"/>
      <c r="L176" s="62"/>
      <c r="M176" s="62"/>
      <c r="N176" s="67"/>
      <c r="O176" s="69"/>
      <c r="P176" s="69"/>
      <c r="Q176" s="69"/>
      <c r="R176" s="69"/>
      <c r="S176" s="69"/>
      <c r="T176" s="69"/>
    </row>
    <row r="177" spans="2:20" x14ac:dyDescent="0.3">
      <c r="B177" s="19"/>
      <c r="D177" s="64"/>
      <c r="E177" s="62"/>
      <c r="F177" s="62"/>
      <c r="G177" s="62"/>
      <c r="H177" s="62"/>
      <c r="I177" s="40" t="str">
        <f>IFERROR(VLOOKUP(A177,BUFFS!$H$5:$AF$195,8,),"")</f>
        <v/>
      </c>
      <c r="J177" s="64"/>
      <c r="K177" s="62"/>
      <c r="L177" s="62"/>
      <c r="M177" s="62"/>
      <c r="N177" s="67"/>
      <c r="O177" s="69"/>
      <c r="P177" s="69"/>
      <c r="Q177" s="69"/>
      <c r="R177" s="69"/>
      <c r="S177" s="69"/>
      <c r="T177" s="69"/>
    </row>
    <row r="178" spans="2:20" x14ac:dyDescent="0.3">
      <c r="B178" s="19"/>
      <c r="D178" s="64"/>
      <c r="E178" s="62"/>
      <c r="F178" s="62"/>
      <c r="G178" s="62"/>
      <c r="H178" s="62"/>
      <c r="I178" s="40" t="str">
        <f>IFERROR(VLOOKUP(A178,BUFFS!$H$5:$AF$195,8,),"")</f>
        <v/>
      </c>
      <c r="J178" s="64"/>
      <c r="K178" s="62"/>
      <c r="L178" s="62"/>
      <c r="M178" s="62"/>
      <c r="N178" s="67"/>
      <c r="O178" s="69"/>
      <c r="P178" s="69"/>
      <c r="Q178" s="69"/>
      <c r="R178" s="69"/>
      <c r="S178" s="69"/>
      <c r="T178" s="69"/>
    </row>
    <row r="179" spans="2:20" x14ac:dyDescent="0.3">
      <c r="B179" s="19"/>
      <c r="D179" s="64"/>
      <c r="E179" s="62"/>
      <c r="F179" s="62"/>
      <c r="G179" s="62"/>
      <c r="H179" s="62"/>
      <c r="I179" s="40" t="str">
        <f>IFERROR(VLOOKUP(A179,BUFFS!$H$5:$AF$195,8,),"")</f>
        <v/>
      </c>
      <c r="J179" s="64"/>
      <c r="K179" s="62"/>
      <c r="L179" s="62"/>
      <c r="M179" s="62"/>
      <c r="N179" s="67"/>
      <c r="O179" s="69"/>
      <c r="P179" s="69"/>
      <c r="Q179" s="69"/>
      <c r="R179" s="69"/>
      <c r="S179" s="69"/>
      <c r="T179" s="69"/>
    </row>
    <row r="180" spans="2:20" x14ac:dyDescent="0.3">
      <c r="B180" s="19"/>
      <c r="D180" s="64"/>
      <c r="E180" s="62"/>
      <c r="F180" s="62"/>
      <c r="G180" s="62"/>
      <c r="H180" s="62"/>
      <c r="I180" s="40" t="str">
        <f>IFERROR(VLOOKUP(A180,BUFFS!$H$5:$AF$195,8,),"")</f>
        <v/>
      </c>
      <c r="J180" s="64"/>
      <c r="K180" s="62"/>
      <c r="L180" s="62"/>
      <c r="M180" s="62"/>
      <c r="N180" s="67"/>
      <c r="O180" s="69"/>
      <c r="P180" s="69"/>
      <c r="Q180" s="69"/>
      <c r="R180" s="69"/>
      <c r="S180" s="69"/>
      <c r="T180" s="69"/>
    </row>
    <row r="181" spans="2:20" x14ac:dyDescent="0.3">
      <c r="B181" s="19"/>
      <c r="D181" s="64"/>
      <c r="E181" s="62"/>
      <c r="F181" s="62"/>
      <c r="G181" s="62"/>
      <c r="H181" s="62"/>
      <c r="I181" s="40" t="str">
        <f>IFERROR(VLOOKUP(A181,BUFFS!$H$5:$AF$195,8,),"")</f>
        <v/>
      </c>
      <c r="J181" s="64"/>
      <c r="K181" s="62"/>
      <c r="L181" s="62"/>
      <c r="M181" s="62"/>
      <c r="N181" s="67"/>
      <c r="O181" s="69"/>
      <c r="P181" s="69"/>
      <c r="Q181" s="69"/>
      <c r="R181" s="69"/>
      <c r="S181" s="69"/>
      <c r="T181" s="69"/>
    </row>
    <row r="182" spans="2:20" x14ac:dyDescent="0.3">
      <c r="B182" s="19"/>
      <c r="D182" s="64"/>
      <c r="E182" s="62"/>
      <c r="F182" s="62"/>
      <c r="G182" s="62"/>
      <c r="H182" s="62"/>
      <c r="I182" s="40" t="str">
        <f>IFERROR(VLOOKUP(A182,BUFFS!$H$5:$AF$195,8,),"")</f>
        <v/>
      </c>
      <c r="J182" s="64"/>
      <c r="K182" s="62"/>
      <c r="L182" s="62"/>
      <c r="M182" s="62"/>
      <c r="N182" s="67"/>
      <c r="O182" s="69"/>
      <c r="P182" s="69"/>
      <c r="Q182" s="69"/>
      <c r="R182" s="69"/>
      <c r="S182" s="69"/>
      <c r="T182" s="69"/>
    </row>
    <row r="183" spans="2:20" x14ac:dyDescent="0.3">
      <c r="B183" s="19"/>
      <c r="D183" s="64"/>
      <c r="E183" s="62"/>
      <c r="F183" s="62"/>
      <c r="G183" s="62"/>
      <c r="H183" s="62"/>
      <c r="I183" s="40" t="str">
        <f>IFERROR(VLOOKUP(A183,BUFFS!$H$5:$AF$195,8,),"")</f>
        <v/>
      </c>
      <c r="J183" s="64"/>
      <c r="K183" s="62"/>
      <c r="L183" s="62"/>
      <c r="M183" s="62"/>
      <c r="N183" s="67"/>
      <c r="O183" s="69"/>
      <c r="P183" s="69"/>
      <c r="Q183" s="69"/>
      <c r="R183" s="69"/>
      <c r="S183" s="69"/>
      <c r="T183" s="69"/>
    </row>
    <row r="184" spans="2:20" x14ac:dyDescent="0.3">
      <c r="B184" s="19"/>
      <c r="D184" s="64"/>
      <c r="E184" s="62"/>
      <c r="F184" s="62"/>
      <c r="G184" s="62"/>
      <c r="H184" s="62"/>
      <c r="I184" s="40" t="str">
        <f>IFERROR(VLOOKUP(A184,BUFFS!$H$5:$AF$195,8,),"")</f>
        <v/>
      </c>
      <c r="J184" s="64"/>
      <c r="K184" s="62"/>
      <c r="L184" s="62"/>
      <c r="M184" s="62"/>
      <c r="N184" s="67"/>
      <c r="O184" s="69"/>
      <c r="P184" s="69"/>
      <c r="Q184" s="69"/>
      <c r="R184" s="69"/>
      <c r="S184" s="69"/>
      <c r="T184" s="69"/>
    </row>
    <row r="185" spans="2:20" x14ac:dyDescent="0.3">
      <c r="B185" s="19"/>
      <c r="D185" s="64"/>
      <c r="E185" s="62"/>
      <c r="F185" s="62"/>
      <c r="G185" s="62"/>
      <c r="H185" s="62"/>
      <c r="I185" s="40" t="str">
        <f>IFERROR(VLOOKUP(A185,BUFFS!$H$5:$AF$195,8,),"")</f>
        <v/>
      </c>
      <c r="J185" s="69"/>
      <c r="K185" s="69"/>
      <c r="L185" s="69"/>
      <c r="M185" s="69"/>
      <c r="N185" s="69"/>
      <c r="O185" s="69"/>
      <c r="P185" s="69"/>
      <c r="Q185" s="69"/>
      <c r="R185" s="69"/>
      <c r="S185" s="69"/>
      <c r="T185" s="69"/>
    </row>
    <row r="186" spans="2:20" x14ac:dyDescent="0.3">
      <c r="B186" s="19"/>
      <c r="D186" s="64"/>
      <c r="E186" s="62"/>
      <c r="F186" s="62"/>
      <c r="G186" s="62"/>
      <c r="H186" s="62"/>
      <c r="I186" s="40" t="str">
        <f>IFERROR(VLOOKUP(A186,BUFFS!$H$5:$AF$195,8,),"")</f>
        <v/>
      </c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9"/>
    </row>
    <row r="187" spans="2:20" x14ac:dyDescent="0.3">
      <c r="B187" s="19"/>
      <c r="D187" s="65"/>
      <c r="E187" s="66"/>
      <c r="F187" s="66"/>
      <c r="G187" s="66"/>
      <c r="H187" s="66"/>
      <c r="I187" s="40" t="str">
        <f>IFERROR(VLOOKUP(A187,BUFFS!$H$5:$AF$195,8,),"")</f>
        <v/>
      </c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</row>
    <row r="188" spans="2:20" x14ac:dyDescent="0.3">
      <c r="B188" s="19"/>
      <c r="D188" s="65"/>
      <c r="E188" s="66"/>
      <c r="F188" s="66"/>
      <c r="G188" s="66"/>
      <c r="H188" s="66"/>
      <c r="I188" s="40" t="str">
        <f>IFERROR(VLOOKUP(A188,BUFFS!$H$5:$AF$195,8,),"")</f>
        <v/>
      </c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</row>
    <row r="189" spans="2:20" x14ac:dyDescent="0.3">
      <c r="B189" s="19"/>
      <c r="D189" s="65"/>
      <c r="E189" s="66"/>
      <c r="F189" s="66"/>
      <c r="G189" s="66"/>
      <c r="H189" s="66"/>
      <c r="I189" s="40" t="str">
        <f>IFERROR(VLOOKUP(A189,BUFFS!$H$5:$AF$195,8,),"")</f>
        <v/>
      </c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</row>
    <row r="190" spans="2:20" x14ac:dyDescent="0.3">
      <c r="B190" s="19"/>
      <c r="D190" s="65"/>
      <c r="E190" s="66"/>
      <c r="F190" s="66"/>
      <c r="G190" s="66"/>
      <c r="H190" s="66"/>
      <c r="I190" s="40" t="str">
        <f>IFERROR(VLOOKUP(A190,BUFFS!$H$5:$AF$195,8,),"")</f>
        <v/>
      </c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</row>
    <row r="191" spans="2:20" x14ac:dyDescent="0.3">
      <c r="B191" s="19"/>
      <c r="D191" s="65"/>
      <c r="E191" s="66"/>
      <c r="F191" s="66"/>
      <c r="G191" s="66"/>
      <c r="H191" s="66"/>
      <c r="I191" s="40" t="str">
        <f>IFERROR(VLOOKUP(A191,BUFFS!$H$5:$AF$195,8,),"")</f>
        <v/>
      </c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</row>
    <row r="192" spans="2:20" x14ac:dyDescent="0.3">
      <c r="B192" s="19"/>
      <c r="D192" s="65"/>
      <c r="E192" s="66"/>
      <c r="F192" s="66"/>
      <c r="G192" s="66"/>
      <c r="H192" s="66"/>
      <c r="I192" s="40" t="str">
        <f>IFERROR(VLOOKUP(A192,BUFFS!$H$5:$AF$195,8,),"")</f>
        <v/>
      </c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</row>
    <row r="193" spans="2:20" x14ac:dyDescent="0.3">
      <c r="B193" s="19"/>
      <c r="D193" s="65"/>
      <c r="E193" s="66"/>
      <c r="F193" s="66"/>
      <c r="G193" s="66"/>
      <c r="H193" s="66"/>
      <c r="I193" s="40" t="str">
        <f>IFERROR(VLOOKUP(A193,BUFFS!$H$5:$AF$195,8,),"")</f>
        <v/>
      </c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</row>
    <row r="194" spans="2:20" x14ac:dyDescent="0.3">
      <c r="B194" s="19"/>
      <c r="D194" s="65"/>
      <c r="E194" s="66"/>
      <c r="F194" s="66"/>
      <c r="G194" s="66"/>
      <c r="H194" s="66"/>
      <c r="I194" s="40" t="str">
        <f>IFERROR(VLOOKUP(A194,BUFFS!$H$5:$AF$195,8,),"")</f>
        <v/>
      </c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</row>
    <row r="195" spans="2:20" x14ac:dyDescent="0.3">
      <c r="B195" s="19"/>
      <c r="D195" s="65"/>
      <c r="E195" s="66"/>
      <c r="F195" s="66"/>
      <c r="G195" s="66"/>
      <c r="H195" s="66"/>
      <c r="I195" s="40" t="str">
        <f>IFERROR(VLOOKUP(A195,BUFFS!$H$5:$AF$195,8,),"")</f>
        <v/>
      </c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</row>
    <row r="196" spans="2:20" x14ac:dyDescent="0.3">
      <c r="B196" s="19"/>
      <c r="D196" s="65"/>
      <c r="E196" s="66"/>
      <c r="F196" s="66"/>
      <c r="G196" s="66"/>
      <c r="H196" s="66"/>
      <c r="I196" s="40" t="str">
        <f>IFERROR(VLOOKUP(A196,BUFFS!$H$5:$AF$195,8,),"")</f>
        <v/>
      </c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</row>
    <row r="197" spans="2:20" x14ac:dyDescent="0.3">
      <c r="B197" s="19"/>
      <c r="D197" s="65"/>
      <c r="E197" s="66"/>
      <c r="F197" s="66"/>
      <c r="G197" s="66"/>
      <c r="H197" s="66"/>
      <c r="I197" s="40" t="str">
        <f>IFERROR(VLOOKUP(A197,BUFFS!$H$5:$AF$195,8,),"")</f>
        <v/>
      </c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</row>
    <row r="198" spans="2:20" x14ac:dyDescent="0.3">
      <c r="B198" s="19"/>
      <c r="D198" s="65"/>
      <c r="E198" s="66"/>
      <c r="F198" s="66"/>
      <c r="G198" s="66"/>
      <c r="H198" s="66"/>
      <c r="I198" s="40" t="str">
        <f>IFERROR(VLOOKUP(A198,BUFFS!$H$5:$AF$195,8,),"")</f>
        <v/>
      </c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</row>
    <row r="199" spans="2:20" x14ac:dyDescent="0.3">
      <c r="B199" s="19"/>
      <c r="D199" s="65"/>
      <c r="E199" s="66"/>
      <c r="F199" s="66"/>
      <c r="G199" s="66"/>
      <c r="H199" s="66"/>
      <c r="I199" s="40" t="str">
        <f>IFERROR(VLOOKUP(A199,BUFFS!$H$5:$AF$195,8,),"")</f>
        <v/>
      </c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</row>
    <row r="200" spans="2:20" x14ac:dyDescent="0.3">
      <c r="B200" s="19"/>
      <c r="D200" s="65"/>
      <c r="E200" s="66"/>
      <c r="F200" s="66"/>
      <c r="G200" s="66"/>
      <c r="H200" s="66"/>
      <c r="I200" s="40" t="str">
        <f>IFERROR(VLOOKUP(A200,BUFFS!$H$5:$AF$195,8,),"")</f>
        <v/>
      </c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</row>
    <row r="201" spans="2:20" x14ac:dyDescent="0.3">
      <c r="B201" s="19"/>
      <c r="D201" s="65"/>
      <c r="E201" s="66"/>
      <c r="F201" s="66"/>
      <c r="G201" s="66"/>
      <c r="H201" s="66"/>
      <c r="I201" s="40" t="str">
        <f>IFERROR(VLOOKUP(A201,BUFFS!$H$5:$AF$195,8,),"")</f>
        <v/>
      </c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</row>
    <row r="202" spans="2:20" x14ac:dyDescent="0.3">
      <c r="B202" s="19"/>
      <c r="D202" s="65"/>
      <c r="E202" s="66"/>
      <c r="F202" s="66"/>
      <c r="G202" s="66"/>
      <c r="H202" s="66"/>
      <c r="I202" s="40" t="str">
        <f>IFERROR(VLOOKUP(A202,BUFFS!$H$5:$AF$195,8,),"")</f>
        <v/>
      </c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</row>
    <row r="203" spans="2:20" x14ac:dyDescent="0.3">
      <c r="B203" s="19"/>
      <c r="D203" s="65"/>
      <c r="E203" s="66"/>
      <c r="F203" s="66"/>
      <c r="G203" s="66"/>
      <c r="H203" s="66"/>
      <c r="I203" s="40" t="str">
        <f>IFERROR(VLOOKUP(A203,BUFFS!$H$5:$AF$195,8,),"")</f>
        <v/>
      </c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</row>
    <row r="204" spans="2:20" x14ac:dyDescent="0.3">
      <c r="B204" s="19"/>
      <c r="D204" s="65"/>
      <c r="E204" s="66"/>
      <c r="F204" s="66"/>
      <c r="G204" s="66"/>
      <c r="H204" s="66"/>
      <c r="I204" s="40" t="str">
        <f>IFERROR(VLOOKUP(A204,BUFFS!$H$5:$AF$195,8,),"")</f>
        <v/>
      </c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</row>
    <row r="205" spans="2:20" x14ac:dyDescent="0.3">
      <c r="D205" s="65"/>
      <c r="E205" s="66"/>
      <c r="F205" s="66"/>
      <c r="G205" s="66"/>
      <c r="H205" s="66"/>
      <c r="I205" s="32" t="str">
        <f>IFERROR(VLOOKUP(A205,BUFFS!$H$5:$AF$195,8,),"")</f>
        <v/>
      </c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</row>
    <row r="206" spans="2:20" x14ac:dyDescent="0.3">
      <c r="D206" s="65"/>
      <c r="E206" s="66"/>
      <c r="F206" s="66"/>
      <c r="G206" s="66"/>
      <c r="H206" s="66"/>
      <c r="I206" s="32" t="str">
        <f>IFERROR(VLOOKUP(A206,BUFFS!$H$5:$AF$195,8,),"")</f>
        <v/>
      </c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</row>
    <row r="207" spans="2:20" x14ac:dyDescent="0.3">
      <c r="D207" s="65"/>
      <c r="E207" s="66"/>
      <c r="F207" s="66"/>
      <c r="G207" s="66"/>
      <c r="H207" s="66"/>
      <c r="I207" s="32" t="str">
        <f>IFERROR(VLOOKUP(A207,BUFFS!$H$5:$AF$195,8,),"")</f>
        <v/>
      </c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</row>
    <row r="208" spans="2:20" x14ac:dyDescent="0.3">
      <c r="D208" s="65"/>
      <c r="E208" s="66"/>
      <c r="F208" s="66"/>
      <c r="G208" s="66"/>
      <c r="H208" s="66"/>
      <c r="I208" s="32" t="str">
        <f>IFERROR(VLOOKUP(A208,BUFFS!$H$5:$AF$195,8,),"")</f>
        <v/>
      </c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</row>
    <row r="209" spans="4:9" x14ac:dyDescent="0.3">
      <c r="D209" s="65"/>
      <c r="E209" s="66"/>
      <c r="F209" s="66"/>
      <c r="G209" s="66"/>
      <c r="H209" s="66"/>
      <c r="I209" s="32" t="str">
        <f>IFERROR(VLOOKUP(A209,BUFFS!$H$5:$AF$195,8,),"")</f>
        <v/>
      </c>
    </row>
    <row r="210" spans="4:9" x14ac:dyDescent="0.3">
      <c r="D210" s="65"/>
      <c r="E210" s="66"/>
      <c r="F210" s="66"/>
      <c r="G210" s="66"/>
      <c r="H210" s="66"/>
      <c r="I210" s="32" t="str">
        <f>IFERROR(VLOOKUP(A210,BUFFS!$H$5:$AF$195,8,),"")</f>
        <v/>
      </c>
    </row>
    <row r="211" spans="4:9" x14ac:dyDescent="0.3">
      <c r="D211" s="65"/>
      <c r="E211" s="66"/>
      <c r="F211" s="66"/>
      <c r="G211" s="66"/>
      <c r="H211" s="66"/>
      <c r="I211" s="32" t="str">
        <f>IFERROR(VLOOKUP(A211,BUFFS!$H$5:$AF$195,8,),"")</f>
        <v/>
      </c>
    </row>
    <row r="212" spans="4:9" x14ac:dyDescent="0.3">
      <c r="D212" s="65"/>
      <c r="E212" s="66"/>
      <c r="F212" s="66"/>
      <c r="G212" s="66"/>
      <c r="H212" s="66"/>
      <c r="I212" s="32" t="str">
        <f>IFERROR(VLOOKUP(A212,BUFFS!$H$5:$AF$195,8,),"")</f>
        <v/>
      </c>
    </row>
    <row r="213" spans="4:9" x14ac:dyDescent="0.3">
      <c r="D213" s="11"/>
      <c r="E213" s="12"/>
      <c r="F213" s="12"/>
      <c r="G213" s="12"/>
      <c r="H213" s="12"/>
      <c r="I213" s="13"/>
    </row>
    <row r="214" spans="4:9" x14ac:dyDescent="0.3">
      <c r="D214" s="11"/>
      <c r="E214" s="12"/>
      <c r="F214" s="12"/>
      <c r="G214" s="12"/>
      <c r="H214" s="12"/>
      <c r="I214" s="13"/>
    </row>
    <row r="215" spans="4:9" x14ac:dyDescent="0.3">
      <c r="D215" s="11"/>
      <c r="E215" s="12"/>
      <c r="F215" s="12"/>
      <c r="G215" s="12"/>
      <c r="H215" s="12"/>
      <c r="I215" s="13"/>
    </row>
    <row r="216" spans="4:9" x14ac:dyDescent="0.3">
      <c r="D216" s="11"/>
      <c r="E216" s="12"/>
      <c r="F216" s="12"/>
      <c r="G216" s="12"/>
      <c r="H216" s="12"/>
      <c r="I216" s="13"/>
    </row>
    <row r="217" spans="4:9" x14ac:dyDescent="0.3">
      <c r="D217" s="11"/>
      <c r="E217" s="12"/>
      <c r="F217" s="12"/>
      <c r="G217" s="12"/>
      <c r="H217" s="12"/>
      <c r="I217" s="13"/>
    </row>
    <row r="218" spans="4:9" x14ac:dyDescent="0.3">
      <c r="D218" s="11"/>
      <c r="E218" s="12"/>
      <c r="F218" s="12"/>
      <c r="G218" s="12"/>
      <c r="H218" s="12"/>
      <c r="I218" s="13"/>
    </row>
    <row r="219" spans="4:9" x14ac:dyDescent="0.3">
      <c r="D219" s="11"/>
      <c r="E219" s="12"/>
      <c r="F219" s="12"/>
      <c r="G219" s="12"/>
      <c r="H219" s="12"/>
      <c r="I219" s="13"/>
    </row>
    <row r="220" spans="4:9" x14ac:dyDescent="0.3">
      <c r="D220" s="11"/>
      <c r="E220" s="12"/>
      <c r="F220" s="12"/>
      <c r="G220" s="12"/>
      <c r="H220" s="12"/>
      <c r="I220" s="13"/>
    </row>
    <row r="221" spans="4:9" x14ac:dyDescent="0.3">
      <c r="D221" s="11"/>
      <c r="E221" s="12"/>
      <c r="F221" s="12"/>
      <c r="G221" s="12"/>
      <c r="H221" s="12"/>
      <c r="I221" s="13"/>
    </row>
    <row r="222" spans="4:9" x14ac:dyDescent="0.3">
      <c r="D222" s="11"/>
      <c r="E222" s="12"/>
      <c r="F222" s="12"/>
      <c r="G222" s="12"/>
      <c r="H222" s="12"/>
      <c r="I222" s="13"/>
    </row>
    <row r="223" spans="4:9" x14ac:dyDescent="0.3">
      <c r="D223" s="11"/>
      <c r="E223" s="12"/>
      <c r="F223" s="12"/>
      <c r="G223" s="12"/>
      <c r="H223" s="12"/>
      <c r="I223" s="13"/>
    </row>
    <row r="224" spans="4:9" x14ac:dyDescent="0.3">
      <c r="D224" s="11"/>
      <c r="E224" s="12"/>
      <c r="F224" s="12"/>
      <c r="G224" s="12"/>
      <c r="H224" s="12"/>
      <c r="I224" s="13"/>
    </row>
    <row r="225" spans="4:9" x14ac:dyDescent="0.3">
      <c r="D225" s="11"/>
      <c r="E225" s="12"/>
      <c r="F225" s="12"/>
      <c r="G225" s="12"/>
      <c r="H225" s="12"/>
      <c r="I225" s="13"/>
    </row>
    <row r="226" spans="4:9" x14ac:dyDescent="0.3">
      <c r="D226" s="11"/>
      <c r="E226" s="12"/>
      <c r="F226" s="12"/>
      <c r="G226" s="12"/>
      <c r="H226" s="12"/>
      <c r="I226" s="13"/>
    </row>
    <row r="227" spans="4:9" x14ac:dyDescent="0.3">
      <c r="D227" s="11"/>
      <c r="E227" s="12"/>
      <c r="F227" s="12"/>
      <c r="G227" s="12"/>
      <c r="H227" s="12"/>
      <c r="I227" s="13"/>
    </row>
    <row r="228" spans="4:9" x14ac:dyDescent="0.3">
      <c r="D228" s="11"/>
      <c r="E228" s="12"/>
      <c r="F228" s="12"/>
      <c r="G228" s="12"/>
      <c r="H228" s="12"/>
      <c r="I228" s="13"/>
    </row>
    <row r="229" spans="4:9" x14ac:dyDescent="0.3">
      <c r="D229" s="11"/>
      <c r="E229" s="12"/>
      <c r="F229" s="12"/>
      <c r="G229" s="12"/>
      <c r="H229" s="12"/>
      <c r="I229" s="13"/>
    </row>
    <row r="230" spans="4:9" x14ac:dyDescent="0.3">
      <c r="D230" s="11"/>
      <c r="E230" s="12"/>
      <c r="F230" s="12"/>
      <c r="G230" s="12"/>
      <c r="H230" s="12"/>
      <c r="I230" s="13"/>
    </row>
    <row r="231" spans="4:9" x14ac:dyDescent="0.3">
      <c r="D231" s="11"/>
      <c r="E231" s="12"/>
      <c r="F231" s="12"/>
      <c r="G231" s="12"/>
      <c r="H231" s="12"/>
      <c r="I231" s="13"/>
    </row>
    <row r="232" spans="4:9" x14ac:dyDescent="0.3">
      <c r="D232" s="11"/>
      <c r="E232" s="12"/>
      <c r="F232" s="12"/>
      <c r="G232" s="12"/>
      <c r="H232" s="12"/>
      <c r="I232" s="13"/>
    </row>
    <row r="233" spans="4:9" x14ac:dyDescent="0.3">
      <c r="D233" s="11"/>
      <c r="E233" s="12"/>
      <c r="F233" s="12"/>
      <c r="G233" s="12"/>
      <c r="H233" s="12"/>
      <c r="I233" s="13"/>
    </row>
    <row r="234" spans="4:9" x14ac:dyDescent="0.3">
      <c r="D234" s="11"/>
      <c r="E234" s="12"/>
      <c r="F234" s="12"/>
      <c r="G234" s="12"/>
      <c r="H234" s="12"/>
      <c r="I234" s="13"/>
    </row>
    <row r="235" spans="4:9" x14ac:dyDescent="0.3">
      <c r="D235" s="11"/>
      <c r="E235" s="12"/>
      <c r="F235" s="12"/>
      <c r="G235" s="12"/>
      <c r="H235" s="12"/>
      <c r="I235" s="13"/>
    </row>
    <row r="236" spans="4:9" x14ac:dyDescent="0.3">
      <c r="D236" s="11"/>
      <c r="E236" s="12"/>
      <c r="F236" s="12"/>
      <c r="G236" s="12"/>
      <c r="H236" s="12"/>
      <c r="I236" s="13"/>
    </row>
    <row r="237" spans="4:9" x14ac:dyDescent="0.3">
      <c r="D237" s="11"/>
      <c r="E237" s="12"/>
      <c r="F237" s="12"/>
      <c r="G237" s="12"/>
      <c r="H237" s="12"/>
      <c r="I237" s="13"/>
    </row>
    <row r="238" spans="4:9" x14ac:dyDescent="0.3">
      <c r="D238" s="11"/>
      <c r="E238" s="12"/>
      <c r="F238" s="12"/>
      <c r="G238" s="12"/>
      <c r="H238" s="12"/>
      <c r="I238" s="13"/>
    </row>
    <row r="239" spans="4:9" x14ac:dyDescent="0.3">
      <c r="D239" s="11"/>
      <c r="E239" s="12"/>
      <c r="F239" s="12"/>
      <c r="G239" s="12"/>
      <c r="H239" s="12"/>
      <c r="I239" s="13"/>
    </row>
    <row r="240" spans="4:9" x14ac:dyDescent="0.3">
      <c r="D240" s="11"/>
      <c r="E240" s="12"/>
      <c r="F240" s="12"/>
      <c r="G240" s="12"/>
      <c r="H240" s="12"/>
      <c r="I240" s="13"/>
    </row>
    <row r="241" spans="4:9" x14ac:dyDescent="0.3">
      <c r="D241" s="11"/>
      <c r="E241" s="12"/>
      <c r="F241" s="12"/>
      <c r="G241" s="12"/>
      <c r="H241" s="12"/>
      <c r="I241" s="13"/>
    </row>
    <row r="242" spans="4:9" x14ac:dyDescent="0.3">
      <c r="D242" s="11"/>
      <c r="E242" s="12"/>
      <c r="F242" s="12"/>
      <c r="G242" s="12"/>
      <c r="H242" s="12"/>
      <c r="I242" s="13"/>
    </row>
    <row r="243" spans="4:9" x14ac:dyDescent="0.3">
      <c r="D243" s="11"/>
      <c r="E243" s="12"/>
      <c r="F243" s="12"/>
      <c r="G243" s="12"/>
      <c r="H243" s="12"/>
      <c r="I243" s="13"/>
    </row>
    <row r="244" spans="4:9" x14ac:dyDescent="0.3">
      <c r="D244" s="11"/>
      <c r="E244" s="12"/>
      <c r="F244" s="12"/>
      <c r="G244" s="12"/>
      <c r="H244" s="12"/>
      <c r="I244" s="13"/>
    </row>
    <row r="245" spans="4:9" x14ac:dyDescent="0.3">
      <c r="D245" s="11"/>
      <c r="E245" s="12"/>
      <c r="F245" s="12"/>
      <c r="G245" s="12"/>
      <c r="H245" s="12"/>
      <c r="I245" s="13"/>
    </row>
    <row r="246" spans="4:9" x14ac:dyDescent="0.3">
      <c r="D246" s="11"/>
      <c r="E246" s="12"/>
      <c r="F246" s="12"/>
      <c r="G246" s="12"/>
      <c r="H246" s="12"/>
      <c r="I246" s="13"/>
    </row>
    <row r="247" spans="4:9" x14ac:dyDescent="0.3">
      <c r="D247" s="11"/>
      <c r="E247" s="12"/>
      <c r="F247" s="12"/>
      <c r="G247" s="12"/>
      <c r="H247" s="12"/>
      <c r="I247" s="13"/>
    </row>
    <row r="248" spans="4:9" x14ac:dyDescent="0.3">
      <c r="D248" s="11"/>
      <c r="E248" s="12"/>
      <c r="F248" s="12"/>
      <c r="G248" s="12"/>
      <c r="H248" s="12"/>
      <c r="I248" s="13"/>
    </row>
    <row r="249" spans="4:9" x14ac:dyDescent="0.3">
      <c r="D249" s="11"/>
      <c r="E249" s="12"/>
      <c r="F249" s="12"/>
      <c r="G249" s="12"/>
      <c r="H249" s="12"/>
      <c r="I249" s="13"/>
    </row>
    <row r="250" spans="4:9" x14ac:dyDescent="0.3">
      <c r="D250" s="11"/>
      <c r="E250" s="12"/>
      <c r="F250" s="12"/>
      <c r="G250" s="12"/>
      <c r="H250" s="12"/>
      <c r="I250" s="13"/>
    </row>
    <row r="251" spans="4:9" x14ac:dyDescent="0.3">
      <c r="D251" s="11"/>
      <c r="E251" s="12"/>
      <c r="F251" s="12"/>
      <c r="G251" s="12"/>
      <c r="H251" s="12"/>
      <c r="I251" s="13"/>
    </row>
    <row r="252" spans="4:9" x14ac:dyDescent="0.3">
      <c r="D252" s="11"/>
      <c r="E252" s="12"/>
      <c r="F252" s="12"/>
      <c r="G252" s="12"/>
      <c r="H252" s="12"/>
      <c r="I252" s="13"/>
    </row>
    <row r="253" spans="4:9" x14ac:dyDescent="0.3">
      <c r="D253" s="11"/>
      <c r="E253" s="12"/>
      <c r="F253" s="12"/>
      <c r="G253" s="12"/>
      <c r="H253" s="12"/>
      <c r="I253" s="13"/>
    </row>
    <row r="254" spans="4:9" x14ac:dyDescent="0.3">
      <c r="D254" s="11"/>
      <c r="E254" s="12"/>
      <c r="F254" s="12"/>
      <c r="G254" s="12"/>
      <c r="H254" s="12"/>
      <c r="I254" s="13"/>
    </row>
    <row r="255" spans="4:9" x14ac:dyDescent="0.3">
      <c r="D255" s="11"/>
      <c r="E255" s="12"/>
      <c r="F255" s="12"/>
      <c r="G255" s="12"/>
      <c r="H255" s="12"/>
      <c r="I255" s="13"/>
    </row>
    <row r="256" spans="4:9" x14ac:dyDescent="0.3">
      <c r="D256" s="11"/>
      <c r="E256" s="12"/>
      <c r="F256" s="12"/>
      <c r="G256" s="12"/>
      <c r="H256" s="12"/>
      <c r="I256" s="13"/>
    </row>
    <row r="257" spans="4:9" x14ac:dyDescent="0.3">
      <c r="D257" s="11"/>
      <c r="E257" s="12"/>
      <c r="F257" s="12"/>
      <c r="G257" s="12"/>
      <c r="H257" s="12"/>
      <c r="I257" s="13"/>
    </row>
    <row r="258" spans="4:9" x14ac:dyDescent="0.3">
      <c r="D258" s="11"/>
      <c r="E258" s="12"/>
      <c r="F258" s="12"/>
      <c r="G258" s="12"/>
      <c r="H258" s="12"/>
      <c r="I258" s="13"/>
    </row>
    <row r="259" spans="4:9" x14ac:dyDescent="0.3">
      <c r="D259" s="11"/>
      <c r="E259" s="12"/>
      <c r="F259" s="12"/>
      <c r="G259" s="12"/>
      <c r="H259" s="12"/>
      <c r="I259" s="13"/>
    </row>
    <row r="260" spans="4:9" x14ac:dyDescent="0.3">
      <c r="D260" s="11"/>
      <c r="E260" s="12"/>
      <c r="F260" s="12"/>
      <c r="G260" s="12"/>
      <c r="H260" s="12"/>
      <c r="I260" s="13"/>
    </row>
    <row r="261" spans="4:9" x14ac:dyDescent="0.3">
      <c r="D261" s="11"/>
      <c r="E261" s="12"/>
      <c r="F261" s="12"/>
      <c r="G261" s="12"/>
      <c r="H261" s="12"/>
      <c r="I261" s="13"/>
    </row>
    <row r="262" spans="4:9" x14ac:dyDescent="0.3">
      <c r="D262" s="11"/>
      <c r="E262" s="12"/>
      <c r="F262" s="12"/>
      <c r="G262" s="12"/>
      <c r="H262" s="12"/>
      <c r="I262" s="13"/>
    </row>
    <row r="263" spans="4:9" x14ac:dyDescent="0.3">
      <c r="D263" s="11"/>
      <c r="E263" s="12"/>
      <c r="F263" s="12"/>
      <c r="G263" s="12"/>
      <c r="H263" s="12"/>
      <c r="I263" s="13"/>
    </row>
    <row r="264" spans="4:9" x14ac:dyDescent="0.3">
      <c r="D264" s="11"/>
      <c r="E264" s="12"/>
      <c r="F264" s="12"/>
      <c r="G264" s="12"/>
      <c r="H264" s="12"/>
      <c r="I264" s="13"/>
    </row>
    <row r="265" spans="4:9" x14ac:dyDescent="0.3">
      <c r="D265" s="11"/>
      <c r="E265" s="12"/>
      <c r="F265" s="12"/>
      <c r="G265" s="12"/>
      <c r="H265" s="12"/>
      <c r="I265" s="13"/>
    </row>
    <row r="266" spans="4:9" x14ac:dyDescent="0.3">
      <c r="D266" s="11"/>
      <c r="E266" s="12"/>
      <c r="F266" s="12"/>
      <c r="G266" s="12"/>
      <c r="H266" s="12"/>
      <c r="I266" s="13"/>
    </row>
    <row r="267" spans="4:9" x14ac:dyDescent="0.3">
      <c r="D267" s="11"/>
      <c r="E267" s="12"/>
      <c r="F267" s="12"/>
      <c r="G267" s="12"/>
      <c r="H267" s="12"/>
      <c r="I267" s="13"/>
    </row>
    <row r="268" spans="4:9" x14ac:dyDescent="0.3">
      <c r="D268" s="11"/>
      <c r="E268" s="12"/>
      <c r="F268" s="12"/>
      <c r="G268" s="12"/>
      <c r="H268" s="12"/>
      <c r="I268" s="13"/>
    </row>
    <row r="269" spans="4:9" x14ac:dyDescent="0.3">
      <c r="D269" s="11"/>
      <c r="E269" s="12"/>
      <c r="F269" s="12"/>
      <c r="G269" s="12"/>
      <c r="H269" s="12"/>
      <c r="I269" s="13"/>
    </row>
    <row r="270" spans="4:9" x14ac:dyDescent="0.3">
      <c r="D270" s="11"/>
      <c r="E270" s="12"/>
      <c r="F270" s="12"/>
      <c r="G270" s="12"/>
      <c r="H270" s="12"/>
      <c r="I270" s="13"/>
    </row>
    <row r="271" spans="4:9" x14ac:dyDescent="0.3">
      <c r="D271" s="11"/>
      <c r="E271" s="12"/>
      <c r="F271" s="12"/>
      <c r="G271" s="12"/>
      <c r="H271" s="12"/>
      <c r="I271" s="13"/>
    </row>
    <row r="272" spans="4:9" x14ac:dyDescent="0.3">
      <c r="D272" s="11"/>
      <c r="E272" s="12"/>
      <c r="F272" s="12"/>
      <c r="G272" s="12"/>
      <c r="H272" s="12"/>
      <c r="I272" s="13"/>
    </row>
    <row r="273" spans="4:9" x14ac:dyDescent="0.3">
      <c r="D273" s="11"/>
      <c r="E273" s="12"/>
      <c r="F273" s="12"/>
      <c r="G273" s="12"/>
      <c r="H273" s="12"/>
      <c r="I273" s="13"/>
    </row>
    <row r="274" spans="4:9" x14ac:dyDescent="0.3">
      <c r="D274" s="11"/>
      <c r="E274" s="12"/>
      <c r="F274" s="12"/>
      <c r="G274" s="12"/>
      <c r="H274" s="12"/>
      <c r="I274" s="13"/>
    </row>
    <row r="275" spans="4:9" x14ac:dyDescent="0.3">
      <c r="D275" s="11"/>
      <c r="E275" s="12"/>
      <c r="F275" s="12"/>
      <c r="G275" s="12"/>
      <c r="H275" s="12"/>
      <c r="I275" s="13"/>
    </row>
    <row r="276" spans="4:9" x14ac:dyDescent="0.3">
      <c r="D276" s="11"/>
      <c r="E276" s="12"/>
      <c r="F276" s="12"/>
      <c r="G276" s="12"/>
      <c r="H276" s="12"/>
      <c r="I276" s="13"/>
    </row>
    <row r="277" spans="4:9" x14ac:dyDescent="0.3">
      <c r="D277" s="11"/>
      <c r="E277" s="12"/>
      <c r="F277" s="12"/>
      <c r="G277" s="12"/>
      <c r="H277" s="12"/>
      <c r="I277" s="13"/>
    </row>
    <row r="278" spans="4:9" x14ac:dyDescent="0.3">
      <c r="D278" s="11"/>
      <c r="E278" s="12"/>
      <c r="F278" s="12"/>
      <c r="G278" s="12"/>
      <c r="H278" s="12"/>
      <c r="I278" s="13"/>
    </row>
    <row r="279" spans="4:9" x14ac:dyDescent="0.3">
      <c r="D279" s="11"/>
      <c r="E279" s="12"/>
      <c r="F279" s="12"/>
      <c r="G279" s="12"/>
      <c r="H279" s="12"/>
      <c r="I279" s="13"/>
    </row>
    <row r="280" spans="4:9" x14ac:dyDescent="0.3">
      <c r="D280" s="11"/>
      <c r="E280" s="12"/>
      <c r="F280" s="12"/>
      <c r="G280" s="12"/>
      <c r="H280" s="12"/>
      <c r="I280" s="13"/>
    </row>
    <row r="281" spans="4:9" x14ac:dyDescent="0.3">
      <c r="D281" s="11"/>
      <c r="E281" s="12"/>
      <c r="F281" s="12"/>
      <c r="G281" s="12"/>
      <c r="H281" s="12"/>
      <c r="I281" s="13"/>
    </row>
    <row r="282" spans="4:9" x14ac:dyDescent="0.3">
      <c r="D282" s="11"/>
      <c r="E282" s="12"/>
      <c r="F282" s="12"/>
      <c r="G282" s="12"/>
      <c r="H282" s="12"/>
      <c r="I282" s="13"/>
    </row>
    <row r="283" spans="4:9" x14ac:dyDescent="0.3">
      <c r="D283" s="11"/>
      <c r="E283" s="12"/>
      <c r="F283" s="12"/>
      <c r="G283" s="12"/>
      <c r="H283" s="12"/>
      <c r="I283" s="13"/>
    </row>
    <row r="284" spans="4:9" x14ac:dyDescent="0.3">
      <c r="D284" s="11"/>
      <c r="E284" s="12"/>
      <c r="F284" s="12"/>
      <c r="G284" s="12"/>
      <c r="H284" s="12"/>
      <c r="I284" s="13"/>
    </row>
    <row r="285" spans="4:9" x14ac:dyDescent="0.3">
      <c r="D285" s="11"/>
      <c r="E285" s="12"/>
      <c r="F285" s="12"/>
      <c r="G285" s="12"/>
      <c r="H285" s="12"/>
      <c r="I285" s="13"/>
    </row>
    <row r="286" spans="4:9" x14ac:dyDescent="0.3">
      <c r="D286" s="11"/>
      <c r="E286" s="12"/>
      <c r="F286" s="12"/>
      <c r="G286" s="12"/>
      <c r="H286" s="12"/>
      <c r="I286" s="13"/>
    </row>
    <row r="287" spans="4:9" x14ac:dyDescent="0.3">
      <c r="D287" s="11"/>
      <c r="E287" s="12"/>
      <c r="F287" s="12"/>
      <c r="G287" s="12"/>
      <c r="H287" s="12"/>
      <c r="I287" s="13"/>
    </row>
    <row r="288" spans="4:9" x14ac:dyDescent="0.3">
      <c r="D288" s="11"/>
      <c r="E288" s="12"/>
      <c r="F288" s="12"/>
      <c r="G288" s="12"/>
      <c r="H288" s="12"/>
      <c r="I288" s="13"/>
    </row>
    <row r="289" spans="3:9" x14ac:dyDescent="0.3">
      <c r="D289" s="11"/>
      <c r="E289" s="12"/>
      <c r="F289" s="12"/>
      <c r="G289" s="12"/>
      <c r="H289" s="12"/>
      <c r="I289" s="13"/>
    </row>
    <row r="290" spans="3:9" x14ac:dyDescent="0.3">
      <c r="D290" s="11"/>
      <c r="E290" s="12"/>
      <c r="F290" s="12"/>
      <c r="G290" s="12"/>
      <c r="H290" s="12"/>
      <c r="I290" s="13"/>
    </row>
    <row r="291" spans="3:9" x14ac:dyDescent="0.3">
      <c r="D291" s="11"/>
      <c r="E291" s="12"/>
      <c r="F291" s="12"/>
      <c r="G291" s="12"/>
      <c r="H291" s="12"/>
      <c r="I291" s="13"/>
    </row>
    <row r="292" spans="3:9" x14ac:dyDescent="0.3">
      <c r="D292" s="11"/>
      <c r="E292" s="12"/>
      <c r="F292" s="12"/>
      <c r="G292" s="12"/>
      <c r="H292" s="12"/>
      <c r="I292" s="13"/>
    </row>
    <row r="293" spans="3:9" x14ac:dyDescent="0.3">
      <c r="D293" s="11"/>
      <c r="E293" s="12"/>
      <c r="F293" s="12"/>
      <c r="G293" s="12"/>
      <c r="H293" s="12"/>
      <c r="I293" s="13"/>
    </row>
    <row r="294" spans="3:9" x14ac:dyDescent="0.3">
      <c r="D294" s="11"/>
      <c r="E294" s="12"/>
      <c r="F294" s="12"/>
      <c r="G294" s="12"/>
      <c r="H294" s="12"/>
      <c r="I294" s="13"/>
    </row>
    <row r="295" spans="3:9" x14ac:dyDescent="0.3">
      <c r="D295" s="11"/>
      <c r="E295" s="12"/>
      <c r="F295" s="12"/>
      <c r="G295" s="12"/>
      <c r="H295" s="12"/>
      <c r="I295" s="13"/>
    </row>
    <row r="296" spans="3:9" x14ac:dyDescent="0.3">
      <c r="C296" s="11"/>
      <c r="D296" s="12"/>
      <c r="E296" s="12"/>
      <c r="F296" s="12"/>
      <c r="G296" s="12"/>
      <c r="H296" s="13"/>
    </row>
    <row r="297" spans="3:9" x14ac:dyDescent="0.3">
      <c r="C297" s="11"/>
      <c r="D297" s="12"/>
      <c r="E297" s="12"/>
      <c r="F297" s="12"/>
      <c r="G297" s="12"/>
      <c r="H297" s="13"/>
    </row>
    <row r="298" spans="3:9" x14ac:dyDescent="0.3">
      <c r="C298" s="11"/>
      <c r="D298" s="12"/>
      <c r="E298" s="12"/>
      <c r="F298" s="12"/>
      <c r="G298" s="12"/>
      <c r="H298" s="13"/>
    </row>
    <row r="299" spans="3:9" x14ac:dyDescent="0.3">
      <c r="C299" s="11"/>
      <c r="D299" s="12"/>
      <c r="E299" s="12"/>
      <c r="F299" s="12"/>
      <c r="G299" s="12"/>
      <c r="H299" s="13"/>
    </row>
  </sheetData>
  <sortState ref="A35:L44">
    <sortCondition ref="B24:B33"/>
  </sortState>
  <dataConsolidate/>
  <mergeCells count="18">
    <mergeCell ref="D28:F28"/>
    <mergeCell ref="D29:F29"/>
    <mergeCell ref="D30:F30"/>
    <mergeCell ref="B27:C27"/>
    <mergeCell ref="B28:C28"/>
    <mergeCell ref="B29:C29"/>
    <mergeCell ref="B30:C30"/>
    <mergeCell ref="L1:M1"/>
    <mergeCell ref="L2:M2"/>
    <mergeCell ref="L3:M3"/>
    <mergeCell ref="B26:C26"/>
    <mergeCell ref="D27:F27"/>
    <mergeCell ref="B2:C2"/>
    <mergeCell ref="B1:C1"/>
    <mergeCell ref="I1:J1"/>
    <mergeCell ref="I2:J2"/>
    <mergeCell ref="I3:J3"/>
    <mergeCell ref="B3:C3"/>
  </mergeCells>
  <dataValidations count="2">
    <dataValidation type="list" allowBlank="1" showInputMessage="1" showErrorMessage="1" sqref="A35:A56">
      <formula1>BUFFS</formula1>
    </dataValidation>
    <dataValidation type="list" allowBlank="1" showInputMessage="1" showErrorMessage="1" sqref="O4 J4:M4 Q4:AK4">
      <formula1>$A$5:$A$37</formula1>
    </dataValidation>
  </dataValidations>
  <pageMargins left="0.7" right="0.7" top="0.75" bottom="0.75" header="0.3" footer="0.3"/>
  <pageSetup orientation="portrait" verticalDpi="0" r:id="rId1"/>
  <ignoredErrors>
    <ignoredError sqref="D45:H57 J45:T63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99"/>
  <sheetViews>
    <sheetView topLeftCell="A17" zoomScale="85" zoomScaleNormal="85" workbookViewId="0">
      <selection activeCell="A9" sqref="A9"/>
    </sheetView>
  </sheetViews>
  <sheetFormatPr defaultRowHeight="18.75" x14ac:dyDescent="0.3"/>
  <cols>
    <col min="1" max="1" width="25.28515625" style="3" bestFit="1" customWidth="1"/>
    <col min="2" max="2" width="11.42578125" bestFit="1" customWidth="1"/>
    <col min="3" max="3" width="11.140625" customWidth="1"/>
    <col min="4" max="4" width="13.5703125" customWidth="1"/>
    <col min="5" max="5" width="20.42578125" customWidth="1"/>
    <col min="6" max="6" width="15.7109375" customWidth="1"/>
    <col min="7" max="7" width="15" customWidth="1"/>
    <col min="8" max="8" width="11" bestFit="1" customWidth="1"/>
    <col min="9" max="9" width="17.85546875" bestFit="1" customWidth="1"/>
    <col min="10" max="10" width="20.85546875" customWidth="1"/>
    <col min="11" max="11" width="15.5703125" customWidth="1"/>
    <col min="12" max="12" width="13.42578125" bestFit="1" customWidth="1"/>
    <col min="13" max="13" width="13.5703125" bestFit="1" customWidth="1"/>
    <col min="14" max="14" width="21.85546875" bestFit="1" customWidth="1"/>
    <col min="15" max="15" width="20.140625" bestFit="1" customWidth="1"/>
    <col min="16" max="16" width="14.140625" bestFit="1" customWidth="1"/>
    <col min="17" max="17" width="26.85546875" customWidth="1"/>
    <col min="18" max="18" width="26.85546875" bestFit="1" customWidth="1"/>
    <col min="19" max="19" width="14.42578125" bestFit="1" customWidth="1"/>
    <col min="20" max="20" width="18" bestFit="1" customWidth="1"/>
    <col min="21" max="21" width="16.7109375" bestFit="1" customWidth="1"/>
    <col min="22" max="22" width="12.5703125" customWidth="1"/>
    <col min="23" max="23" width="25.7109375" customWidth="1"/>
    <col min="24" max="24" width="17.28515625" bestFit="1" customWidth="1"/>
  </cols>
  <sheetData>
    <row r="1" spans="1:38" ht="21" x14ac:dyDescent="0.35">
      <c r="A1" s="3" t="s">
        <v>59</v>
      </c>
      <c r="B1" s="88" t="s">
        <v>126</v>
      </c>
      <c r="C1" s="88"/>
      <c r="D1" s="48">
        <v>3</v>
      </c>
      <c r="E1" s="52" t="s">
        <v>128</v>
      </c>
      <c r="F1" s="50">
        <v>0</v>
      </c>
      <c r="G1" s="54" t="s">
        <v>129</v>
      </c>
      <c r="H1" s="50">
        <v>0</v>
      </c>
      <c r="I1" s="89"/>
      <c r="J1" s="90"/>
      <c r="K1" s="18">
        <v>0</v>
      </c>
      <c r="L1" s="91" t="s">
        <v>131</v>
      </c>
      <c r="M1" s="91"/>
      <c r="N1" s="57" t="s">
        <v>134</v>
      </c>
      <c r="O1" s="58">
        <v>20</v>
      </c>
    </row>
    <row r="2" spans="1:38" x14ac:dyDescent="0.3">
      <c r="B2" s="87" t="s">
        <v>127</v>
      </c>
      <c r="C2" s="87"/>
      <c r="D2" s="49">
        <v>1</v>
      </c>
      <c r="E2" s="59" t="s">
        <v>135</v>
      </c>
      <c r="F2" s="50">
        <v>0</v>
      </c>
      <c r="G2" s="51" t="s">
        <v>132</v>
      </c>
      <c r="H2" s="50">
        <v>0</v>
      </c>
      <c r="I2" s="89"/>
      <c r="J2" s="90"/>
      <c r="K2" s="18">
        <v>0</v>
      </c>
      <c r="L2" s="91" t="s">
        <v>137</v>
      </c>
      <c r="M2" s="91"/>
      <c r="N2" s="56" t="str">
        <f>IF(O1&lt;&gt;0,"+","")</f>
        <v>+</v>
      </c>
      <c r="O2" s="56">
        <f>IF(O1&lt;&gt;0,O1,"")</f>
        <v>20</v>
      </c>
    </row>
    <row r="3" spans="1:38" x14ac:dyDescent="0.3">
      <c r="B3" s="91" t="s">
        <v>120</v>
      </c>
      <c r="C3" s="91"/>
      <c r="D3" s="53">
        <v>0</v>
      </c>
      <c r="E3" s="60">
        <v>1</v>
      </c>
      <c r="F3" s="50">
        <v>0</v>
      </c>
      <c r="G3" s="51" t="s">
        <v>133</v>
      </c>
      <c r="H3" s="50">
        <v>0</v>
      </c>
      <c r="I3" s="89"/>
      <c r="J3" s="90"/>
      <c r="K3" s="18">
        <v>0</v>
      </c>
      <c r="L3" s="91"/>
      <c r="M3" s="91"/>
    </row>
    <row r="4" spans="1:38" x14ac:dyDescent="0.3">
      <c r="A4" s="3" t="s">
        <v>67</v>
      </c>
      <c r="B4" s="1" t="s">
        <v>86</v>
      </c>
      <c r="C4" t="s">
        <v>72</v>
      </c>
      <c r="D4" t="s">
        <v>103</v>
      </c>
      <c r="E4" t="s">
        <v>105</v>
      </c>
      <c r="F4" t="s">
        <v>93</v>
      </c>
      <c r="G4" t="s">
        <v>123</v>
      </c>
      <c r="H4" t="s">
        <v>130</v>
      </c>
      <c r="I4" t="s">
        <v>136</v>
      </c>
      <c r="J4" t="s">
        <v>1</v>
      </c>
      <c r="K4" t="s">
        <v>2</v>
      </c>
      <c r="L4" t="s">
        <v>3</v>
      </c>
      <c r="M4" t="s">
        <v>4</v>
      </c>
      <c r="N4" t="s">
        <v>139</v>
      </c>
      <c r="O4" t="s">
        <v>6</v>
      </c>
      <c r="P4" t="s">
        <v>7</v>
      </c>
      <c r="Q4" t="s">
        <v>8</v>
      </c>
      <c r="R4" t="s">
        <v>9</v>
      </c>
      <c r="S4" t="s">
        <v>10</v>
      </c>
      <c r="T4" t="s">
        <v>11</v>
      </c>
      <c r="U4" t="s">
        <v>12</v>
      </c>
      <c r="V4" t="s">
        <v>13</v>
      </c>
      <c r="W4" t="s">
        <v>14</v>
      </c>
      <c r="X4" t="s">
        <v>15</v>
      </c>
      <c r="Y4" t="s">
        <v>16</v>
      </c>
      <c r="Z4" t="s">
        <v>17</v>
      </c>
      <c r="AA4" t="s">
        <v>18</v>
      </c>
      <c r="AB4" t="s">
        <v>19</v>
      </c>
      <c r="AC4" t="s">
        <v>20</v>
      </c>
      <c r="AD4" t="s">
        <v>21</v>
      </c>
      <c r="AE4" t="s">
        <v>22</v>
      </c>
      <c r="AF4" t="s">
        <v>23</v>
      </c>
      <c r="AG4" t="s">
        <v>24</v>
      </c>
      <c r="AH4" t="s">
        <v>25</v>
      </c>
      <c r="AI4" t="s">
        <v>81</v>
      </c>
      <c r="AJ4" t="s">
        <v>5</v>
      </c>
    </row>
    <row r="6" spans="1:38" x14ac:dyDescent="0.3">
      <c r="A6" s="3" t="s">
        <v>60</v>
      </c>
      <c r="B6">
        <f>SUM(D6:AJ6)</f>
        <v>12</v>
      </c>
      <c r="J6" s="18">
        <v>0</v>
      </c>
      <c r="K6" s="18">
        <v>0</v>
      </c>
      <c r="L6" s="18">
        <v>0</v>
      </c>
      <c r="M6" s="18">
        <v>0</v>
      </c>
      <c r="N6" s="18">
        <v>0</v>
      </c>
      <c r="O6" s="18">
        <v>0</v>
      </c>
      <c r="P6" s="18">
        <v>0</v>
      </c>
      <c r="Q6" s="18">
        <v>0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0</v>
      </c>
      <c r="AF6" s="18">
        <v>0</v>
      </c>
      <c r="AG6" s="18">
        <v>0</v>
      </c>
      <c r="AH6" s="18">
        <v>0</v>
      </c>
      <c r="AI6" s="18">
        <v>0</v>
      </c>
      <c r="AJ6" s="18">
        <v>12</v>
      </c>
      <c r="AK6" s="18"/>
      <c r="AL6" s="18"/>
    </row>
    <row r="7" spans="1:38" ht="21" x14ac:dyDescent="0.35">
      <c r="A7" s="3" t="s">
        <v>26</v>
      </c>
      <c r="B7" s="55" t="str">
        <f>CONCATENATE(SUM(D7,G7,I7),N2,O2)</f>
        <v>35+20</v>
      </c>
      <c r="D7">
        <v>50</v>
      </c>
      <c r="G7" s="18">
        <f>D1*(-5)</f>
        <v>-15</v>
      </c>
      <c r="I7" s="18"/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18">
        <v>0</v>
      </c>
      <c r="P7" s="18">
        <v>0</v>
      </c>
      <c r="Q7" s="18">
        <v>0</v>
      </c>
      <c r="R7" s="18">
        <v>0</v>
      </c>
      <c r="S7" s="18">
        <v>0</v>
      </c>
      <c r="T7" s="18">
        <v>0</v>
      </c>
      <c r="U7" s="18">
        <v>0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8">
        <v>0</v>
      </c>
      <c r="AB7" s="18">
        <v>0</v>
      </c>
      <c r="AC7" s="18">
        <v>0</v>
      </c>
      <c r="AD7" s="18">
        <v>0</v>
      </c>
      <c r="AE7" s="18">
        <v>0</v>
      </c>
      <c r="AF7" s="18">
        <v>0</v>
      </c>
      <c r="AG7" s="18">
        <v>0</v>
      </c>
      <c r="AH7" s="18">
        <v>0</v>
      </c>
      <c r="AI7" s="18">
        <v>0</v>
      </c>
      <c r="AJ7" s="18">
        <v>0</v>
      </c>
      <c r="AK7" s="18"/>
      <c r="AL7" s="18"/>
    </row>
    <row r="8" spans="1:38" x14ac:dyDescent="0.3">
      <c r="A8" s="3" t="s">
        <v>107</v>
      </c>
      <c r="B8">
        <f>SUM(D8:AJ8,D2)</f>
        <v>6</v>
      </c>
      <c r="D8">
        <v>5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8">
        <v>0</v>
      </c>
      <c r="AB8" s="18">
        <v>0</v>
      </c>
      <c r="AC8" s="18">
        <v>0</v>
      </c>
      <c r="AD8" s="18">
        <v>0</v>
      </c>
      <c r="AE8" s="18">
        <v>0</v>
      </c>
      <c r="AF8" s="18">
        <v>0</v>
      </c>
      <c r="AG8" s="18">
        <v>0</v>
      </c>
      <c r="AH8" s="18">
        <v>0</v>
      </c>
      <c r="AI8" s="18">
        <v>0</v>
      </c>
      <c r="AJ8" s="18">
        <v>0</v>
      </c>
      <c r="AK8" s="18"/>
      <c r="AL8" s="18"/>
    </row>
    <row r="9" spans="1:38" x14ac:dyDescent="0.3">
      <c r="A9" s="3" t="s">
        <v>109</v>
      </c>
      <c r="B9">
        <f>SUM(D9:F9,I9,J9:AJ9)</f>
        <v>123</v>
      </c>
      <c r="C9">
        <f>ROUNDDOWN(B9/2,0)</f>
        <v>61</v>
      </c>
      <c r="D9">
        <v>18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105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18">
        <v>0</v>
      </c>
      <c r="AG9" s="18">
        <v>0</v>
      </c>
      <c r="AH9" s="18">
        <v>0</v>
      </c>
      <c r="AI9" s="18">
        <v>0</v>
      </c>
      <c r="AJ9" s="18">
        <v>0</v>
      </c>
      <c r="AK9" s="18"/>
      <c r="AL9" s="18"/>
    </row>
    <row r="10" spans="1:38" x14ac:dyDescent="0.3">
      <c r="A10" s="3" t="s">
        <v>113</v>
      </c>
      <c r="B10">
        <f t="shared" ref="B10:B14" si="0">SUM(D10:F10,I10,J10:AJ10)</f>
        <v>18</v>
      </c>
      <c r="C10">
        <f t="shared" ref="C10:C14" si="1">ROUNDDOWN(B10/2,0)</f>
        <v>9</v>
      </c>
      <c r="D10">
        <v>18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  <c r="AD10" s="18">
        <v>0</v>
      </c>
      <c r="AE10" s="18">
        <v>0</v>
      </c>
      <c r="AF10" s="18">
        <v>0</v>
      </c>
      <c r="AG10" s="18">
        <v>0</v>
      </c>
      <c r="AH10" s="18">
        <v>0</v>
      </c>
      <c r="AI10" s="18">
        <v>0</v>
      </c>
      <c r="AJ10" s="18">
        <v>0</v>
      </c>
      <c r="AK10" s="18"/>
      <c r="AL10" s="18"/>
    </row>
    <row r="11" spans="1:38" x14ac:dyDescent="0.3">
      <c r="A11" s="3" t="s">
        <v>112</v>
      </c>
      <c r="B11">
        <f>SUM(D11:F11,I11,J11:AJ11)</f>
        <v>18</v>
      </c>
      <c r="C11">
        <f t="shared" si="1"/>
        <v>9</v>
      </c>
      <c r="D11">
        <v>18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0</v>
      </c>
      <c r="AD11" s="18">
        <v>0</v>
      </c>
      <c r="AE11" s="18">
        <v>0</v>
      </c>
      <c r="AF11" s="18">
        <v>0</v>
      </c>
      <c r="AG11" s="18">
        <v>0</v>
      </c>
      <c r="AH11" s="18">
        <v>0</v>
      </c>
      <c r="AI11" s="18">
        <v>0</v>
      </c>
      <c r="AJ11" s="18">
        <v>0</v>
      </c>
      <c r="AK11" s="18"/>
      <c r="AL11" s="18"/>
    </row>
    <row r="12" spans="1:38" x14ac:dyDescent="0.3">
      <c r="A12" s="3" t="s">
        <v>110</v>
      </c>
      <c r="B12">
        <f t="shared" si="0"/>
        <v>16</v>
      </c>
      <c r="C12">
        <f t="shared" si="1"/>
        <v>8</v>
      </c>
      <c r="D12">
        <v>16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  <c r="O12" s="18">
        <v>0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18">
        <v>0</v>
      </c>
      <c r="AB12" s="18">
        <v>0</v>
      </c>
      <c r="AC12" s="18">
        <v>0</v>
      </c>
      <c r="AD12" s="18">
        <v>0</v>
      </c>
      <c r="AE12" s="18">
        <v>0</v>
      </c>
      <c r="AF12" s="18">
        <v>0</v>
      </c>
      <c r="AG12" s="18">
        <v>0</v>
      </c>
      <c r="AH12" s="18">
        <v>0</v>
      </c>
      <c r="AI12" s="18">
        <v>0</v>
      </c>
      <c r="AJ12" s="18">
        <v>0</v>
      </c>
      <c r="AK12" s="18"/>
      <c r="AL12" s="18"/>
    </row>
    <row r="13" spans="1:38" x14ac:dyDescent="0.3">
      <c r="A13" s="3" t="s">
        <v>108</v>
      </c>
      <c r="B13">
        <f>SUM(D13:F13,I13,J13:AJ13)</f>
        <v>23</v>
      </c>
      <c r="C13">
        <f t="shared" si="1"/>
        <v>11</v>
      </c>
      <c r="D13">
        <v>15</v>
      </c>
      <c r="J13" s="18">
        <v>0</v>
      </c>
      <c r="K13" s="18">
        <v>8</v>
      </c>
      <c r="L13" s="18">
        <v>0</v>
      </c>
      <c r="M13" s="18">
        <v>0</v>
      </c>
      <c r="N13" s="18">
        <v>0</v>
      </c>
      <c r="O13" s="18">
        <v>0</v>
      </c>
      <c r="P13" s="18">
        <v>0</v>
      </c>
      <c r="Q13" s="18">
        <v>0</v>
      </c>
      <c r="R13" s="18">
        <v>0</v>
      </c>
      <c r="S13" s="18">
        <v>0</v>
      </c>
      <c r="T13" s="18">
        <v>0</v>
      </c>
      <c r="U13" s="18">
        <v>0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18">
        <v>0</v>
      </c>
      <c r="AG13" s="18">
        <v>0</v>
      </c>
      <c r="AH13" s="18">
        <v>0</v>
      </c>
      <c r="AI13" s="18">
        <v>0</v>
      </c>
      <c r="AJ13" s="18">
        <v>0</v>
      </c>
      <c r="AK13" s="18"/>
      <c r="AL13" s="18"/>
    </row>
    <row r="14" spans="1:38" x14ac:dyDescent="0.3">
      <c r="A14" s="3" t="s">
        <v>111</v>
      </c>
      <c r="B14">
        <f t="shared" si="0"/>
        <v>14</v>
      </c>
      <c r="C14">
        <f t="shared" si="1"/>
        <v>7</v>
      </c>
      <c r="D14">
        <v>14</v>
      </c>
      <c r="J14" s="18">
        <v>0</v>
      </c>
      <c r="K14" s="18">
        <v>0</v>
      </c>
      <c r="L14" s="18">
        <v>0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18">
        <v>0</v>
      </c>
      <c r="AB14" s="18">
        <v>0</v>
      </c>
      <c r="AC14" s="18">
        <v>0</v>
      </c>
      <c r="AD14" s="18">
        <v>0</v>
      </c>
      <c r="AE14" s="18">
        <v>0</v>
      </c>
      <c r="AF14" s="18">
        <v>0</v>
      </c>
      <c r="AG14" s="18">
        <v>0</v>
      </c>
      <c r="AH14" s="18">
        <v>0</v>
      </c>
      <c r="AI14" s="18">
        <v>0</v>
      </c>
      <c r="AJ14" s="18">
        <v>0</v>
      </c>
      <c r="AK14" s="18"/>
      <c r="AL14" s="18"/>
    </row>
    <row r="15" spans="1:38" x14ac:dyDescent="0.3"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8">
        <v>0</v>
      </c>
      <c r="S15" s="18">
        <v>0</v>
      </c>
      <c r="T15" s="18">
        <v>0</v>
      </c>
      <c r="U15" s="18">
        <v>0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0</v>
      </c>
      <c r="AF15" s="18">
        <v>0</v>
      </c>
      <c r="AG15" s="18">
        <v>0</v>
      </c>
      <c r="AH15" s="18">
        <v>0</v>
      </c>
      <c r="AI15" s="18">
        <v>0</v>
      </c>
      <c r="AJ15" s="18">
        <v>0</v>
      </c>
      <c r="AK15" s="18"/>
      <c r="AL15" s="18"/>
    </row>
    <row r="16" spans="1:38" x14ac:dyDescent="0.3">
      <c r="A16" s="3" t="s">
        <v>29</v>
      </c>
      <c r="B16">
        <f>SUM(D16:AJ16)</f>
        <v>5</v>
      </c>
      <c r="D16">
        <v>8</v>
      </c>
      <c r="G16">
        <f>$D$1*(-1)</f>
        <v>-3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8">
        <v>0</v>
      </c>
      <c r="S16" s="18">
        <v>0</v>
      </c>
      <c r="T16" s="18">
        <v>0</v>
      </c>
      <c r="U16" s="18">
        <v>0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18">
        <v>0</v>
      </c>
      <c r="AB16" s="18">
        <v>0</v>
      </c>
      <c r="AC16" s="18">
        <v>0</v>
      </c>
      <c r="AD16" s="18">
        <v>0</v>
      </c>
      <c r="AE16" s="18">
        <v>0</v>
      </c>
      <c r="AF16" s="18">
        <v>0</v>
      </c>
      <c r="AG16" s="18">
        <v>0</v>
      </c>
      <c r="AH16" s="18">
        <v>0</v>
      </c>
      <c r="AI16" s="18">
        <v>0</v>
      </c>
      <c r="AJ16" s="18">
        <v>0</v>
      </c>
      <c r="AK16" s="18"/>
      <c r="AL16" s="18"/>
    </row>
    <row r="17" spans="1:38" x14ac:dyDescent="0.3">
      <c r="A17" s="3" t="s">
        <v>30</v>
      </c>
      <c r="B17">
        <f t="shared" ref="B17:B18" si="2">SUM(D17:AJ17)</f>
        <v>2</v>
      </c>
      <c r="D17">
        <v>5</v>
      </c>
      <c r="G17">
        <f t="shared" ref="G17:G20" si="3">$D$1*(-1)</f>
        <v>-3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8">
        <v>0</v>
      </c>
      <c r="S17" s="18">
        <v>0</v>
      </c>
      <c r="T17" s="18">
        <v>0</v>
      </c>
      <c r="U17" s="18">
        <v>0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18">
        <v>0</v>
      </c>
      <c r="AB17" s="18">
        <v>0</v>
      </c>
      <c r="AC17" s="18">
        <v>0</v>
      </c>
      <c r="AD17" s="18">
        <v>0</v>
      </c>
      <c r="AE17" s="18">
        <v>0</v>
      </c>
      <c r="AF17" s="18">
        <v>0</v>
      </c>
      <c r="AG17" s="18">
        <v>0</v>
      </c>
      <c r="AH17" s="18">
        <v>0</v>
      </c>
      <c r="AI17" s="18">
        <v>0</v>
      </c>
      <c r="AJ17" s="18">
        <v>0</v>
      </c>
      <c r="AK17" s="18"/>
      <c r="AL17" s="18"/>
    </row>
    <row r="18" spans="1:38" x14ac:dyDescent="0.3">
      <c r="A18" s="3" t="s">
        <v>31</v>
      </c>
      <c r="B18">
        <f t="shared" si="2"/>
        <v>2</v>
      </c>
      <c r="D18">
        <v>5</v>
      </c>
      <c r="G18">
        <f t="shared" si="3"/>
        <v>-3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0</v>
      </c>
      <c r="U18" s="18">
        <v>0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18">
        <v>0</v>
      </c>
      <c r="AB18" s="18">
        <v>0</v>
      </c>
      <c r="AC18" s="18">
        <v>0</v>
      </c>
      <c r="AD18" s="18">
        <v>0</v>
      </c>
      <c r="AE18" s="18">
        <v>0</v>
      </c>
      <c r="AF18" s="18">
        <v>0</v>
      </c>
      <c r="AG18" s="18">
        <v>0</v>
      </c>
      <c r="AH18" s="18">
        <v>0</v>
      </c>
      <c r="AI18" s="18">
        <v>0</v>
      </c>
      <c r="AJ18" s="18">
        <v>0</v>
      </c>
      <c r="AK18" s="18"/>
      <c r="AL18" s="18"/>
    </row>
    <row r="19" spans="1:38" x14ac:dyDescent="0.3"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0</v>
      </c>
      <c r="P19" s="18">
        <v>0</v>
      </c>
      <c r="Q19" s="18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8">
        <v>0</v>
      </c>
      <c r="AB19" s="18">
        <v>0</v>
      </c>
      <c r="AC19" s="18">
        <v>0</v>
      </c>
      <c r="AD19" s="18">
        <v>0</v>
      </c>
      <c r="AE19" s="18">
        <v>0</v>
      </c>
      <c r="AF19" s="18">
        <v>0</v>
      </c>
      <c r="AG19" s="18">
        <v>0</v>
      </c>
      <c r="AH19" s="18">
        <v>0</v>
      </c>
      <c r="AI19" s="18">
        <v>0</v>
      </c>
      <c r="AJ19" s="18">
        <v>0</v>
      </c>
      <c r="AK19" s="18"/>
      <c r="AL19" s="18"/>
    </row>
    <row r="20" spans="1:38" x14ac:dyDescent="0.3">
      <c r="A20" s="3" t="s">
        <v>68</v>
      </c>
      <c r="B20">
        <f>SUM(D20:AJ20,B8,D3*(-1),D2,E3*(-1))</f>
        <v>3</v>
      </c>
      <c r="G20">
        <f t="shared" si="3"/>
        <v>-3</v>
      </c>
      <c r="H20">
        <f>SUM(K1*2,F3*(-1))</f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18">
        <v>0</v>
      </c>
      <c r="AB20" s="18">
        <v>0</v>
      </c>
      <c r="AC20" s="18">
        <v>0</v>
      </c>
      <c r="AD20" s="18">
        <v>0</v>
      </c>
      <c r="AE20" s="18">
        <v>0</v>
      </c>
      <c r="AF20" s="18">
        <v>0</v>
      </c>
      <c r="AG20" s="18">
        <v>0</v>
      </c>
      <c r="AH20" s="18">
        <v>0</v>
      </c>
      <c r="AI20" s="18">
        <v>0</v>
      </c>
      <c r="AJ20" s="18">
        <v>0</v>
      </c>
      <c r="AK20" s="18"/>
      <c r="AL20" s="18"/>
    </row>
    <row r="21" spans="1:38" x14ac:dyDescent="0.3">
      <c r="A21" s="3" t="s">
        <v>106</v>
      </c>
      <c r="B21">
        <f>SUM(D21:AJ21,D3*(2))</f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8">
        <v>0</v>
      </c>
      <c r="AG21" s="18">
        <v>0</v>
      </c>
      <c r="AH21" s="18">
        <v>0</v>
      </c>
      <c r="AI21" s="18">
        <v>0</v>
      </c>
      <c r="AJ21" s="18">
        <v>0</v>
      </c>
      <c r="AK21" s="18"/>
      <c r="AL21" s="18"/>
    </row>
    <row r="22" spans="1:38" x14ac:dyDescent="0.3">
      <c r="A22" s="3" t="s">
        <v>114</v>
      </c>
      <c r="B22">
        <f>SUM(C9,D22:AJ22,E3*(4))</f>
        <v>74</v>
      </c>
      <c r="J22" s="18">
        <v>9</v>
      </c>
      <c r="K22" s="18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8">
        <v>0</v>
      </c>
      <c r="AA22" s="18">
        <v>0</v>
      </c>
      <c r="AB22" s="18">
        <v>0</v>
      </c>
      <c r="AC22" s="18">
        <v>0</v>
      </c>
      <c r="AD22" s="18">
        <v>0</v>
      </c>
      <c r="AE22" s="18">
        <v>0</v>
      </c>
      <c r="AF22" s="18">
        <v>0</v>
      </c>
      <c r="AG22" s="18">
        <v>0</v>
      </c>
      <c r="AH22" s="18">
        <v>0</v>
      </c>
      <c r="AI22" s="18">
        <v>0</v>
      </c>
      <c r="AJ22" s="18">
        <v>0</v>
      </c>
      <c r="AK22" s="18"/>
      <c r="AL22" s="18"/>
    </row>
    <row r="23" spans="1:38" x14ac:dyDescent="0.3">
      <c r="A23" s="3" t="s">
        <v>28</v>
      </c>
      <c r="B23">
        <f>SUM(D23:F23,K23:AJ23,C10,H23:I23)</f>
        <v>25</v>
      </c>
      <c r="J23" s="18">
        <v>0</v>
      </c>
      <c r="K23" s="18">
        <v>0</v>
      </c>
      <c r="L23" s="18">
        <v>0</v>
      </c>
      <c r="M23" s="18">
        <v>0</v>
      </c>
      <c r="N23" s="18">
        <v>0</v>
      </c>
      <c r="O23" s="18">
        <v>5</v>
      </c>
      <c r="P23" s="18">
        <v>1</v>
      </c>
      <c r="Q23" s="18">
        <v>5</v>
      </c>
      <c r="R23" s="18">
        <v>5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8">
        <v>0</v>
      </c>
      <c r="AG23" s="18">
        <v>0</v>
      </c>
      <c r="AH23" s="18">
        <v>0</v>
      </c>
      <c r="AI23" s="18">
        <v>0</v>
      </c>
      <c r="AJ23" s="18">
        <v>0</v>
      </c>
      <c r="AK23" s="18"/>
      <c r="AL23" s="18"/>
    </row>
    <row r="24" spans="1:38" x14ac:dyDescent="0.3">
      <c r="A24" s="3" t="s">
        <v>115</v>
      </c>
      <c r="B24">
        <f>B23-L23-AB23-V23-Q23-R23-W23</f>
        <v>15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8">
        <v>0</v>
      </c>
      <c r="AG24" s="18">
        <v>0</v>
      </c>
      <c r="AH24" s="18">
        <v>0</v>
      </c>
      <c r="AI24" s="18">
        <v>0</v>
      </c>
      <c r="AJ24" s="18">
        <v>0</v>
      </c>
      <c r="AK24" s="18"/>
      <c r="AL24" s="18"/>
    </row>
    <row r="25" spans="1:38" x14ac:dyDescent="0.3">
      <c r="A25" s="3" t="s">
        <v>116</v>
      </c>
      <c r="B25">
        <f>B23-C10</f>
        <v>16</v>
      </c>
      <c r="J25" s="18">
        <v>0</v>
      </c>
      <c r="K25" s="18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8">
        <v>0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 s="18">
        <v>0</v>
      </c>
      <c r="AK25" s="18"/>
      <c r="AL25" s="18"/>
    </row>
    <row r="26" spans="1:38" x14ac:dyDescent="0.3">
      <c r="B26" s="92" t="s">
        <v>117</v>
      </c>
      <c r="C26" s="92"/>
      <c r="G26" s="42" t="s">
        <v>121</v>
      </c>
      <c r="H26" s="43" t="s">
        <v>125</v>
      </c>
      <c r="I26" s="43" t="s">
        <v>122</v>
      </c>
      <c r="J26" s="43" t="s">
        <v>125</v>
      </c>
      <c r="K26" s="44" t="s">
        <v>124</v>
      </c>
      <c r="AJ26">
        <v>0</v>
      </c>
    </row>
    <row r="27" spans="1:38" x14ac:dyDescent="0.3">
      <c r="A27" s="3" t="s">
        <v>99</v>
      </c>
      <c r="B27" s="92" t="s">
        <v>118</v>
      </c>
      <c r="C27" s="92"/>
      <c r="D27" s="93" t="str">
        <f>CONCATENATE("Attack roll +",G27,"    Damage ",I27,"+",K27)</f>
        <v>Attack roll +50    Damage 25+1d8</v>
      </c>
      <c r="E27" s="93"/>
      <c r="F27" s="93"/>
      <c r="G27" s="45">
        <v>50</v>
      </c>
      <c r="H27" s="46"/>
      <c r="I27" s="45">
        <v>25</v>
      </c>
      <c r="J27" s="46"/>
      <c r="K27" s="4" t="s">
        <v>119</v>
      </c>
    </row>
    <row r="28" spans="1:38" x14ac:dyDescent="0.3">
      <c r="A28" s="3" t="s">
        <v>100</v>
      </c>
      <c r="B28" s="92"/>
      <c r="C28" s="92"/>
      <c r="D28" s="93" t="str">
        <f t="shared" ref="D28:D30" si="4">CONCATENATE("Attack roll +",G28,"    Damage ",I28,"+",K28)</f>
        <v>Attack roll +    Damage +</v>
      </c>
      <c r="E28" s="93"/>
      <c r="F28" s="93"/>
      <c r="G28" s="45"/>
      <c r="H28" s="46"/>
      <c r="I28" s="45"/>
      <c r="J28" s="46"/>
      <c r="K28" s="4"/>
    </row>
    <row r="29" spans="1:38" x14ac:dyDescent="0.3">
      <c r="A29" s="3" t="s">
        <v>101</v>
      </c>
      <c r="B29" s="92"/>
      <c r="C29" s="92"/>
      <c r="D29" s="93" t="str">
        <f t="shared" si="4"/>
        <v>Attack roll +    Damage +</v>
      </c>
      <c r="E29" s="93"/>
      <c r="F29" s="93"/>
    </row>
    <row r="30" spans="1:38" x14ac:dyDescent="0.3">
      <c r="A30" s="3" t="s">
        <v>102</v>
      </c>
      <c r="B30" s="92"/>
      <c r="C30" s="92"/>
      <c r="D30" s="93" t="str">
        <f t="shared" si="4"/>
        <v>Attack roll +    Damage +</v>
      </c>
      <c r="E30" s="93"/>
      <c r="F30" s="93"/>
    </row>
    <row r="31" spans="1:38" s="1" customFormat="1" x14ac:dyDescent="0.3">
      <c r="A31" s="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8" x14ac:dyDescent="0.3">
      <c r="A32" s="3" t="s">
        <v>94</v>
      </c>
      <c r="B32">
        <f>COUNTA(A35:A81)</f>
        <v>10</v>
      </c>
    </row>
    <row r="34" spans="1:27" x14ac:dyDescent="0.3">
      <c r="A34" s="3" t="s">
        <v>63</v>
      </c>
      <c r="B34" s="20" t="s">
        <v>78</v>
      </c>
      <c r="C34" s="39" t="s">
        <v>104</v>
      </c>
      <c r="D34" s="22" t="s">
        <v>65</v>
      </c>
      <c r="E34" s="23" t="s">
        <v>72</v>
      </c>
      <c r="F34" s="24" t="s">
        <v>73</v>
      </c>
      <c r="G34" s="25" t="s">
        <v>82</v>
      </c>
      <c r="H34" s="25" t="s">
        <v>83</v>
      </c>
      <c r="I34" s="41" t="s">
        <v>92</v>
      </c>
      <c r="J34" s="27" t="s">
        <v>69</v>
      </c>
      <c r="K34" s="23" t="s">
        <v>72</v>
      </c>
      <c r="L34" s="24" t="s">
        <v>73</v>
      </c>
      <c r="M34" s="25" t="s">
        <v>82</v>
      </c>
      <c r="N34" s="26" t="s">
        <v>83</v>
      </c>
      <c r="O34" s="27" t="s">
        <v>69</v>
      </c>
      <c r="P34" s="23" t="s">
        <v>72</v>
      </c>
      <c r="Q34" s="24" t="s">
        <v>73</v>
      </c>
      <c r="R34" s="25" t="s">
        <v>82</v>
      </c>
      <c r="S34" s="26" t="s">
        <v>83</v>
      </c>
      <c r="T34" s="28" t="s">
        <v>98</v>
      </c>
      <c r="U34" s="1"/>
      <c r="V34" s="1"/>
      <c r="W34" s="1"/>
      <c r="X34" s="1"/>
      <c r="Y34" s="1"/>
      <c r="Z34" s="1"/>
      <c r="AA34" s="1"/>
    </row>
    <row r="35" spans="1:27" x14ac:dyDescent="0.3">
      <c r="A35" s="17" t="s">
        <v>95</v>
      </c>
      <c r="B35" s="19">
        <v>20</v>
      </c>
      <c r="C35" s="13">
        <v>4</v>
      </c>
      <c r="D35" s="29" t="str">
        <f>VLOOKUP(A35,BUFFS!$H$5:$AF$195,5,)</f>
        <v>initiative</v>
      </c>
      <c r="E35" s="30" t="str">
        <f>VLOOKUP(A35,BUFFS!$H$5:$AF$195,6,)</f>
        <v xml:space="preserve">Competence Modifier </v>
      </c>
      <c r="F35" s="31">
        <f>VLOOKUP(A35,BUFFS!$H$5:$AF$195,7,)</f>
        <v>1</v>
      </c>
      <c r="G35" s="30">
        <f>VLOOKUP(A35,BUFFS!$H$5:$AF$195,9,)</f>
        <v>0.25</v>
      </c>
      <c r="H35" s="31">
        <f t="shared" ref="H35:H58" si="5">SUM(F35,ROUNDDOWN(MIN(B35,T$35)*G35,0))</f>
        <v>6</v>
      </c>
      <c r="I35" s="40">
        <f>IFERROR(VLOOKUP(A35,BUFFS!$H$5:$AF$195,8,),"")</f>
        <v>3</v>
      </c>
      <c r="J35" s="29" t="str">
        <f>VLOOKUP(A35,BUFFS!$H$5:$AF$195,10,)</f>
        <v>Grapple</v>
      </c>
      <c r="K35" s="30" t="str">
        <f>VLOOKUP(A35,BUFFS!$H$5:$AF$195,11,)</f>
        <v xml:space="preserve">Ability Modifier </v>
      </c>
      <c r="L35" s="30">
        <f>VLOOKUP(A35,BUFFS!$H$5:$AF$195,12,)</f>
        <v>5</v>
      </c>
      <c r="M35" s="30">
        <f>VLOOKUP(A35,BUFFS!$H$5:$AF$195,14,)</f>
        <v>0.2</v>
      </c>
      <c r="N35" s="32">
        <f t="shared" ref="N35:N58" si="6">SUM(L35,ROUNDDOWN(MIN(B35,T$35)*M35,0))</f>
        <v>9</v>
      </c>
      <c r="O35" s="29" t="str">
        <f>VLOOKUP(A35,BUFFS!$H$5:$AF$195,15,)</f>
        <v>intelligence</v>
      </c>
      <c r="P35" s="30" t="str">
        <f>VLOOKUP(A35,BUFFS!$H$5:$AF$195,16,)</f>
        <v xml:space="preserve">Alchemical Bonus </v>
      </c>
      <c r="Q35" s="30">
        <f>VLOOKUP(A35,BUFFS!$H$5:$AF$195,17,)</f>
        <v>4</v>
      </c>
      <c r="R35" s="30">
        <f>VLOOKUP(A35,BUFFS!$H$5:$AF$195,19,)</f>
        <v>0.2</v>
      </c>
      <c r="S35" s="32">
        <f t="shared" ref="S35:S58" si="7">SUM(Q35,ROUNDDOWN(MIN(B35,T$35)*R35,0))</f>
        <v>8</v>
      </c>
      <c r="T35" s="33">
        <f>VLOOKUP(A35,BUFFS!$H$5:$AF$195,20,)</f>
        <v>20</v>
      </c>
    </row>
    <row r="36" spans="1:27" x14ac:dyDescent="0.3">
      <c r="A36" s="17" t="s">
        <v>95</v>
      </c>
      <c r="B36" s="19">
        <v>20</v>
      </c>
      <c r="C36" s="13">
        <v>4</v>
      </c>
      <c r="D36" s="29" t="str">
        <f>VLOOKUP(A36,BUFFS!$H$5:$AF$195,5,)</f>
        <v>initiative</v>
      </c>
      <c r="E36" s="30" t="str">
        <f>VLOOKUP(A36,BUFFS!$H$5:$AF$195,6,)</f>
        <v xml:space="preserve">Competence Modifier </v>
      </c>
      <c r="F36" s="31">
        <f>VLOOKUP(A36,BUFFS!$H$5:$AF$195,7,)</f>
        <v>1</v>
      </c>
      <c r="G36" s="30">
        <f>VLOOKUP(A36,BUFFS!$H$5:$AF$195,9,)</f>
        <v>0.25</v>
      </c>
      <c r="H36" s="31">
        <f t="shared" si="5"/>
        <v>6</v>
      </c>
      <c r="I36" s="40">
        <f>IFERROR(VLOOKUP(A36,BUFFS!$H$5:$AF$195,8,),"")</f>
        <v>3</v>
      </c>
      <c r="J36" s="29" t="str">
        <f>VLOOKUP(A36,BUFFS!$H$5:$AF$195,10,)</f>
        <v>Grapple</v>
      </c>
      <c r="K36" s="30" t="str">
        <f>VLOOKUP(A36,BUFFS!$H$5:$AF$195,11,)</f>
        <v xml:space="preserve">Ability Modifier </v>
      </c>
      <c r="L36" s="30">
        <f>VLOOKUP(A36,BUFFS!$H$5:$AF$195,12,)</f>
        <v>5</v>
      </c>
      <c r="M36" s="30">
        <f>VLOOKUP(A36,BUFFS!$H$5:$AF$195,14,)</f>
        <v>0.2</v>
      </c>
      <c r="N36" s="32">
        <f t="shared" si="6"/>
        <v>9</v>
      </c>
      <c r="O36" s="29" t="str">
        <f>VLOOKUP(A36,BUFFS!$H$5:$AF$195,15,)</f>
        <v>intelligence</v>
      </c>
      <c r="P36" s="30" t="str">
        <f>VLOOKUP(A36,BUFFS!$H$5:$AF$195,16,)</f>
        <v xml:space="preserve">Alchemical Bonus </v>
      </c>
      <c r="Q36" s="30">
        <f>VLOOKUP(A36,BUFFS!$H$5:$AF$195,17,)</f>
        <v>4</v>
      </c>
      <c r="R36" s="30">
        <f>VLOOKUP(A36,BUFFS!$H$5:$AF$195,19,)</f>
        <v>0.2</v>
      </c>
      <c r="S36" s="32">
        <f t="shared" si="7"/>
        <v>8</v>
      </c>
      <c r="T36" s="33">
        <f>VLOOKUP(A36,BUFFS!$H$5:$AF$195,20,)</f>
        <v>20</v>
      </c>
    </row>
    <row r="37" spans="1:27" x14ac:dyDescent="0.3">
      <c r="A37" s="17" t="s">
        <v>76</v>
      </c>
      <c r="B37" s="19">
        <v>20</v>
      </c>
      <c r="C37" s="13">
        <v>4</v>
      </c>
      <c r="D37" s="29" t="str">
        <f>VLOOKUP(A37,BUFFS!$H$5:$AF$195,5,)</f>
        <v>AC</v>
      </c>
      <c r="E37" s="30" t="str">
        <f>VLOOKUP(A37,BUFFS!$H$5:$AF$195,6,)</f>
        <v xml:space="preserve">Deflection Bonus </v>
      </c>
      <c r="F37" s="31">
        <f>VLOOKUP(A37,BUFFS!$H$5:$AF$195,7,)</f>
        <v>2</v>
      </c>
      <c r="G37" s="30">
        <f>VLOOKUP(A37,BUFFS!$H$5:$AF$195,9,)</f>
        <v>0.16666666666666666</v>
      </c>
      <c r="H37" s="31">
        <f t="shared" si="5"/>
        <v>5</v>
      </c>
      <c r="I37" s="40">
        <f>IFERROR(VLOOKUP(A37,BUFFS!$H$5:$AF$195,8,),"")</f>
        <v>1</v>
      </c>
      <c r="J37" s="29">
        <f>VLOOKUP(A37,BUFFS!$H$5:$AF$195,10,)</f>
        <v>0</v>
      </c>
      <c r="K37" s="30">
        <f>VLOOKUP(A37,BUFFS!$H$5:$AF$195,11,)</f>
        <v>0</v>
      </c>
      <c r="L37" s="30">
        <f>VLOOKUP(A37,BUFFS!$H$5:$AF$195,12,)</f>
        <v>0</v>
      </c>
      <c r="M37" s="30">
        <f>VLOOKUP(A37,BUFFS!$H$5:$AF$195,14,)</f>
        <v>0</v>
      </c>
      <c r="N37" s="32">
        <f t="shared" si="6"/>
        <v>0</v>
      </c>
      <c r="O37" s="29">
        <f>VLOOKUP(A37,BUFFS!$H$5:$AF$195,15,)</f>
        <v>0</v>
      </c>
      <c r="P37" s="30">
        <f>VLOOKUP(A37,BUFFS!$H$5:$AF$195,16,)</f>
        <v>0</v>
      </c>
      <c r="Q37" s="30">
        <f>VLOOKUP(A37,BUFFS!$H$5:$AF$195,17,)</f>
        <v>0</v>
      </c>
      <c r="R37" s="30">
        <f>VLOOKUP(A37,BUFFS!$H$5:$AF$195,19,)</f>
        <v>0</v>
      </c>
      <c r="S37" s="32">
        <f t="shared" si="7"/>
        <v>0</v>
      </c>
      <c r="T37" s="33">
        <f>VLOOKUP(A37,BUFFS!$H$5:$AF$195,20,)</f>
        <v>20</v>
      </c>
    </row>
    <row r="38" spans="1:27" x14ac:dyDescent="0.3">
      <c r="A38" s="17" t="s">
        <v>84</v>
      </c>
      <c r="B38" s="19">
        <v>20</v>
      </c>
      <c r="C38" s="13">
        <v>4</v>
      </c>
      <c r="D38" s="29" t="str">
        <f>VLOOKUP(A38,BUFFS!$H$5:$AF$195,5,)</f>
        <v>AC</v>
      </c>
      <c r="E38" s="30" t="str">
        <f>VLOOKUP(A38,BUFFS!$H$5:$AF$195,6,)</f>
        <v>Enhancement Shield Bonus</v>
      </c>
      <c r="F38" s="31">
        <f>VLOOKUP(A38,BUFFS!$H$5:$AF$195,7,)</f>
        <v>0</v>
      </c>
      <c r="G38" s="30">
        <f>VLOOKUP(A38,BUFFS!$H$5:$AF$195,9,)</f>
        <v>0.25</v>
      </c>
      <c r="H38" s="31">
        <f t="shared" si="5"/>
        <v>5</v>
      </c>
      <c r="I38" s="40">
        <f>IFERROR(VLOOKUP(A38,BUFFS!$H$5:$AF$195,8,),"")</f>
        <v>3</v>
      </c>
      <c r="J38" s="29">
        <f>VLOOKUP(A38,BUFFS!$H$5:$AF$195,10,)</f>
        <v>0</v>
      </c>
      <c r="K38" s="30">
        <f>VLOOKUP(A38,BUFFS!$H$5:$AF$195,11,)</f>
        <v>0</v>
      </c>
      <c r="L38" s="30">
        <f>VLOOKUP(A38,BUFFS!$H$5:$AF$195,12,)</f>
        <v>0</v>
      </c>
      <c r="M38" s="30">
        <f>VLOOKUP(A38,BUFFS!$H$5:$AF$195,14,)</f>
        <v>0</v>
      </c>
      <c r="N38" s="32">
        <f t="shared" si="6"/>
        <v>0</v>
      </c>
      <c r="O38" s="29">
        <f>VLOOKUP(A38,BUFFS!$H$5:$AF$195,15,)</f>
        <v>0</v>
      </c>
      <c r="P38" s="30">
        <f>VLOOKUP(A38,BUFFS!$H$5:$AF$195,16,)</f>
        <v>0</v>
      </c>
      <c r="Q38" s="30">
        <f>VLOOKUP(A38,BUFFS!$H$5:$AF$195,17,)</f>
        <v>0</v>
      </c>
      <c r="R38" s="30">
        <f>VLOOKUP(A38,BUFFS!$H$5:$AF$195,19,)</f>
        <v>0</v>
      </c>
      <c r="S38" s="32">
        <f t="shared" si="7"/>
        <v>0</v>
      </c>
      <c r="T38" s="33">
        <f>VLOOKUP(A38,BUFFS!$H$5:$AF$195,20,)</f>
        <v>20</v>
      </c>
    </row>
    <row r="39" spans="1:27" x14ac:dyDescent="0.3">
      <c r="A39" s="17" t="s">
        <v>85</v>
      </c>
      <c r="B39" s="19">
        <v>20</v>
      </c>
      <c r="C39" s="13">
        <v>4</v>
      </c>
      <c r="D39" s="29" t="str">
        <f>VLOOKUP(A39,BUFFS!$H$5:$AF$195,5,)</f>
        <v>AC</v>
      </c>
      <c r="E39" s="30" t="str">
        <f>VLOOKUP(A39,BUFFS!$H$5:$AF$195,6,)</f>
        <v xml:space="preserve">Enhancement Armor Bonus </v>
      </c>
      <c r="F39" s="31">
        <f>VLOOKUP(A39,BUFFS!$H$5:$AF$195,7,)</f>
        <v>0</v>
      </c>
      <c r="G39" s="30">
        <f>VLOOKUP(A39,BUFFS!$H$5:$AF$195,9,)</f>
        <v>0.25</v>
      </c>
      <c r="H39" s="31">
        <f t="shared" si="5"/>
        <v>5</v>
      </c>
      <c r="I39" s="40">
        <f>IFERROR(VLOOKUP(A39,BUFFS!$H$5:$AF$195,8,),"")</f>
        <v>3</v>
      </c>
      <c r="J39" s="29">
        <f>VLOOKUP(A39,BUFFS!$H$5:$AF$195,10,)</f>
        <v>0</v>
      </c>
      <c r="K39" s="30">
        <f>VLOOKUP(A39,BUFFS!$H$5:$AF$195,11,)</f>
        <v>0</v>
      </c>
      <c r="L39" s="30">
        <f>VLOOKUP(A39,BUFFS!$H$5:$AF$195,12,)</f>
        <v>0</v>
      </c>
      <c r="M39" s="30">
        <f>VLOOKUP(A39,BUFFS!$H$5:$AF$195,14,)</f>
        <v>0</v>
      </c>
      <c r="N39" s="32">
        <f t="shared" si="6"/>
        <v>0</v>
      </c>
      <c r="O39" s="29">
        <f>VLOOKUP(A39,BUFFS!$H$5:$AF$195,15,)</f>
        <v>0</v>
      </c>
      <c r="P39" s="30">
        <f>VLOOKUP(A39,BUFFS!$H$5:$AF$195,16,)</f>
        <v>0</v>
      </c>
      <c r="Q39" s="30">
        <f>VLOOKUP(A39,BUFFS!$H$5:$AF$195,17,)</f>
        <v>0</v>
      </c>
      <c r="R39" s="30">
        <f>VLOOKUP(A39,BUFFS!$H$5:$AF$195,19,)</f>
        <v>0</v>
      </c>
      <c r="S39" s="32">
        <f t="shared" si="7"/>
        <v>0</v>
      </c>
      <c r="T39" s="33">
        <f>VLOOKUP(A39,BUFFS!$H$5:$AF$195,20,)</f>
        <v>20</v>
      </c>
    </row>
    <row r="40" spans="1:27" x14ac:dyDescent="0.3">
      <c r="A40" s="17" t="s">
        <v>89</v>
      </c>
      <c r="B40" s="19">
        <v>20</v>
      </c>
      <c r="C40" s="13">
        <v>4</v>
      </c>
      <c r="D40" s="29" t="str">
        <f>VLOOKUP(A40,BUFFS!$H$5:$AF$195,5,)</f>
        <v>AC</v>
      </c>
      <c r="E40" s="30" t="str">
        <f>VLOOKUP(A40,BUFFS!$H$5:$AF$195,6,)</f>
        <v xml:space="preserve">Dodge Bonus </v>
      </c>
      <c r="F40" s="31">
        <f>VLOOKUP(A40,BUFFS!$H$5:$AF$195,7,)</f>
        <v>1</v>
      </c>
      <c r="G40" s="30">
        <f>VLOOKUP(A40,BUFFS!$H$5:$AF$195,9,)</f>
        <v>0</v>
      </c>
      <c r="H40" s="31">
        <f t="shared" si="5"/>
        <v>1</v>
      </c>
      <c r="I40" s="40">
        <f>IFERROR(VLOOKUP(A40,BUFFS!$H$5:$AF$195,8,),"")</f>
        <v>3</v>
      </c>
      <c r="J40" s="29" t="str">
        <f>VLOOKUP(A40,BUFFS!$H$5:$AF$195,10,)</f>
        <v>Reflex</v>
      </c>
      <c r="K40" s="30" t="str">
        <f>VLOOKUP(A40,BUFFS!$H$5:$AF$195,11,)</f>
        <v xml:space="preserve">Dodge Bonus </v>
      </c>
      <c r="L40" s="30">
        <f>VLOOKUP(A40,BUFFS!$H$5:$AF$195,12,)</f>
        <v>1</v>
      </c>
      <c r="M40" s="30">
        <f>VLOOKUP(A40,BUFFS!$H$5:$AF$195,14,)</f>
        <v>0</v>
      </c>
      <c r="N40" s="32">
        <f t="shared" si="6"/>
        <v>1</v>
      </c>
      <c r="O40" s="29" t="str">
        <f>VLOOKUP(A40,BUFFS!$H$5:$AF$195,15,)</f>
        <v>Strength</v>
      </c>
      <c r="P40" s="30" t="str">
        <f>VLOOKUP(A40,BUFFS!$H$5:$AF$195,16,)</f>
        <v xml:space="preserve">Deflection Bonus </v>
      </c>
      <c r="Q40" s="30">
        <f>VLOOKUP(A40,BUFFS!$H$5:$AF$195,17,)</f>
        <v>5</v>
      </c>
      <c r="R40" s="30">
        <f>VLOOKUP(A40,BUFFS!$H$5:$AF$195,19,)</f>
        <v>5</v>
      </c>
      <c r="S40" s="32">
        <f t="shared" si="7"/>
        <v>105</v>
      </c>
      <c r="T40" s="33">
        <f>VLOOKUP(A40,BUFFS!$H$5:$AF$195,20,)</f>
        <v>20</v>
      </c>
    </row>
    <row r="41" spans="1:27" x14ac:dyDescent="0.3">
      <c r="A41" s="17" t="s">
        <v>89</v>
      </c>
      <c r="B41" s="19">
        <v>20</v>
      </c>
      <c r="C41" s="13">
        <v>4</v>
      </c>
      <c r="D41" s="29" t="str">
        <f>VLOOKUP(A41,BUFFS!$H$5:$AF$195,5,)</f>
        <v>AC</v>
      </c>
      <c r="E41" s="30" t="str">
        <f>VLOOKUP(A41,BUFFS!$H$5:$AF$195,6,)</f>
        <v xml:space="preserve">Dodge Bonus </v>
      </c>
      <c r="F41" s="31">
        <f>VLOOKUP(A41,BUFFS!$H$5:$AF$195,7,)</f>
        <v>1</v>
      </c>
      <c r="G41" s="30">
        <f>VLOOKUP(A41,BUFFS!$H$5:$AF$195,9,)</f>
        <v>0</v>
      </c>
      <c r="H41" s="31">
        <f t="shared" si="5"/>
        <v>1</v>
      </c>
      <c r="I41" s="40">
        <f>IFERROR(VLOOKUP(A41,BUFFS!$H$5:$AF$195,8,),"")</f>
        <v>3</v>
      </c>
      <c r="J41" s="29" t="str">
        <f>VLOOKUP(A41,BUFFS!$H$5:$AF$195,10,)</f>
        <v>Reflex</v>
      </c>
      <c r="K41" s="30" t="str">
        <f>VLOOKUP(A41,BUFFS!$H$5:$AF$195,11,)</f>
        <v xml:space="preserve">Dodge Bonus </v>
      </c>
      <c r="L41" s="30">
        <f>VLOOKUP(A41,BUFFS!$H$5:$AF$195,12,)</f>
        <v>1</v>
      </c>
      <c r="M41" s="30">
        <f>VLOOKUP(A41,BUFFS!$H$5:$AF$195,14,)</f>
        <v>0</v>
      </c>
      <c r="N41" s="32">
        <f t="shared" si="6"/>
        <v>1</v>
      </c>
      <c r="O41" s="29" t="str">
        <f>VLOOKUP(A41,BUFFS!$H$5:$AF$195,15,)</f>
        <v>Strength</v>
      </c>
      <c r="P41" s="30" t="str">
        <f>VLOOKUP(A41,BUFFS!$H$5:$AF$195,16,)</f>
        <v xml:space="preserve">Deflection Bonus </v>
      </c>
      <c r="Q41" s="30">
        <f>VLOOKUP(A41,BUFFS!$H$5:$AF$195,17,)</f>
        <v>5</v>
      </c>
      <c r="R41" s="30">
        <f>VLOOKUP(A41,BUFFS!$H$5:$AF$195,19,)</f>
        <v>5</v>
      </c>
      <c r="S41" s="32">
        <f t="shared" si="7"/>
        <v>105</v>
      </c>
      <c r="T41" s="33">
        <f>VLOOKUP(A41,BUFFS!$H$5:$AF$195,20,)</f>
        <v>20</v>
      </c>
    </row>
    <row r="42" spans="1:27" x14ac:dyDescent="0.3">
      <c r="A42" s="17" t="s">
        <v>80</v>
      </c>
      <c r="B42" s="19">
        <v>20</v>
      </c>
      <c r="C42" s="13">
        <v>4</v>
      </c>
      <c r="D42" s="29" t="str">
        <f>VLOOKUP(A42,BUFFS!$H$5:$AF$195,5,)</f>
        <v>damage</v>
      </c>
      <c r="E42" s="30" t="str">
        <f>VLOOKUP(A42,BUFFS!$H$5:$AF$195,6,)</f>
        <v>Enhancement</v>
      </c>
      <c r="F42" s="31">
        <f>VLOOKUP(A42,BUFFS!$H$5:$AF$195,7,)</f>
        <v>0</v>
      </c>
      <c r="G42" s="30">
        <f>VLOOKUP(A42,BUFFS!$H$5:$AF$195,9,)</f>
        <v>0.25</v>
      </c>
      <c r="H42" s="31">
        <f t="shared" si="5"/>
        <v>5</v>
      </c>
      <c r="I42" s="40">
        <f>IFERROR(VLOOKUP(A42,BUFFS!$H$5:$AF$195,8,),"")</f>
        <v>3</v>
      </c>
      <c r="J42" s="29">
        <f>VLOOKUP(A42,BUFFS!$H$5:$AF$195,10,)</f>
        <v>0</v>
      </c>
      <c r="K42" s="30">
        <f>VLOOKUP(A42,BUFFS!$H$5:$AF$195,11,)</f>
        <v>0</v>
      </c>
      <c r="L42" s="30">
        <f>VLOOKUP(A42,BUFFS!$H$5:$AF$195,12,)</f>
        <v>0</v>
      </c>
      <c r="M42" s="30">
        <f>VLOOKUP(A42,BUFFS!$H$5:$AF$195,14,)</f>
        <v>0</v>
      </c>
      <c r="N42" s="32">
        <f t="shared" si="6"/>
        <v>0</v>
      </c>
      <c r="O42" s="29">
        <f>VLOOKUP(A42,BUFFS!$H$5:$AF$195,15,)</f>
        <v>0</v>
      </c>
      <c r="P42" s="30">
        <f>VLOOKUP(A42,BUFFS!$H$5:$AF$195,16,)</f>
        <v>0</v>
      </c>
      <c r="Q42" s="30">
        <f>VLOOKUP(A42,BUFFS!$H$5:$AF$195,17,)</f>
        <v>0</v>
      </c>
      <c r="R42" s="30">
        <f>VLOOKUP(A42,BUFFS!$H$5:$AF$195,19,)</f>
        <v>0</v>
      </c>
      <c r="S42" s="32">
        <f t="shared" si="7"/>
        <v>0</v>
      </c>
      <c r="T42" s="33">
        <f>VLOOKUP(A42,BUFFS!$H$5:$AF$195,20,)</f>
        <v>20</v>
      </c>
    </row>
    <row r="43" spans="1:27" x14ac:dyDescent="0.3">
      <c r="A43" s="17" t="s">
        <v>84</v>
      </c>
      <c r="B43" s="19">
        <v>20</v>
      </c>
      <c r="C43" s="13">
        <v>4</v>
      </c>
      <c r="D43" s="29" t="str">
        <f>VLOOKUP(A43,BUFFS!$H$5:$AF$195,5,)</f>
        <v>AC</v>
      </c>
      <c r="E43" s="30" t="str">
        <f>VLOOKUP(A43,BUFFS!$H$5:$AF$195,6,)</f>
        <v>Enhancement Shield Bonus</v>
      </c>
      <c r="F43" s="31">
        <f>VLOOKUP(A43,BUFFS!$H$5:$AF$195,7,)</f>
        <v>0</v>
      </c>
      <c r="G43" s="30">
        <f>VLOOKUP(A43,BUFFS!$H$5:$AF$195,9,)</f>
        <v>0.25</v>
      </c>
      <c r="H43" s="31">
        <f t="shared" si="5"/>
        <v>5</v>
      </c>
      <c r="I43" s="40">
        <f>IFERROR(VLOOKUP(A43,BUFFS!$H$5:$AF$195,8,),"")</f>
        <v>3</v>
      </c>
      <c r="J43" s="29">
        <f>VLOOKUP(A43,BUFFS!$H$5:$AF$195,10,)</f>
        <v>0</v>
      </c>
      <c r="K43" s="30">
        <f>VLOOKUP(A43,BUFFS!$H$5:$AF$195,11,)</f>
        <v>0</v>
      </c>
      <c r="L43" s="30">
        <f>VLOOKUP(A43,BUFFS!$H$5:$AF$195,12,)</f>
        <v>0</v>
      </c>
      <c r="M43" s="30">
        <f>VLOOKUP(A43,BUFFS!$H$5:$AF$195,14,)</f>
        <v>0</v>
      </c>
      <c r="N43" s="32">
        <f t="shared" si="6"/>
        <v>0</v>
      </c>
      <c r="O43" s="29">
        <f>VLOOKUP(A43,BUFFS!$H$5:$AF$195,15,)</f>
        <v>0</v>
      </c>
      <c r="P43" s="30">
        <f>VLOOKUP(A43,BUFFS!$H$5:$AF$195,16,)</f>
        <v>0</v>
      </c>
      <c r="Q43" s="30">
        <f>VLOOKUP(A43,BUFFS!$H$5:$AF$195,17,)</f>
        <v>0</v>
      </c>
      <c r="R43" s="30">
        <f>VLOOKUP(A43,BUFFS!$H$5:$AF$195,19,)</f>
        <v>0</v>
      </c>
      <c r="S43" s="32">
        <f t="shared" si="7"/>
        <v>0</v>
      </c>
      <c r="T43" s="33">
        <f>VLOOKUP(A43,BUFFS!$H$5:$AF$195,20,)</f>
        <v>20</v>
      </c>
    </row>
    <row r="44" spans="1:27" x14ac:dyDescent="0.3">
      <c r="A44" s="17" t="s">
        <v>84</v>
      </c>
      <c r="B44" s="19">
        <v>20</v>
      </c>
      <c r="C44" s="13">
        <v>4</v>
      </c>
      <c r="D44" s="29" t="str">
        <f>VLOOKUP(A44,BUFFS!$H$5:$AF$195,5,)</f>
        <v>AC</v>
      </c>
      <c r="E44" s="30" t="str">
        <f>VLOOKUP(A44,BUFFS!$H$5:$AF$195,6,)</f>
        <v>Enhancement Shield Bonus</v>
      </c>
      <c r="F44" s="31">
        <f>VLOOKUP(A44,BUFFS!$H$5:$AF$195,7,)</f>
        <v>0</v>
      </c>
      <c r="G44" s="30">
        <f>VLOOKUP(A44,BUFFS!$H$5:$AF$195,9,)</f>
        <v>0.25</v>
      </c>
      <c r="H44" s="31">
        <f t="shared" si="5"/>
        <v>5</v>
      </c>
      <c r="I44" s="40">
        <f>IFERROR(VLOOKUP(A44,BUFFS!$H$5:$AF$195,8,),"")</f>
        <v>3</v>
      </c>
      <c r="J44" s="29">
        <f>VLOOKUP(A44,BUFFS!$H$5:$AF$195,10,)</f>
        <v>0</v>
      </c>
      <c r="K44" s="30">
        <f>VLOOKUP(A44,BUFFS!$H$5:$AF$195,11,)</f>
        <v>0</v>
      </c>
      <c r="L44" s="30">
        <f>VLOOKUP(A44,BUFFS!$H$5:$AF$195,12,)</f>
        <v>0</v>
      </c>
      <c r="M44" s="30">
        <f>VLOOKUP(A44,BUFFS!$H$5:$AF$195,14,)</f>
        <v>0</v>
      </c>
      <c r="N44" s="32">
        <f t="shared" si="6"/>
        <v>0</v>
      </c>
      <c r="O44" s="29">
        <f>VLOOKUP(A44,BUFFS!$H$5:$AF$195,15,)</f>
        <v>0</v>
      </c>
      <c r="P44" s="30">
        <f>VLOOKUP(A44,BUFFS!$H$5:$AF$195,16,)</f>
        <v>0</v>
      </c>
      <c r="Q44" s="30">
        <f>VLOOKUP(A44,BUFFS!$H$5:$AF$195,17,)</f>
        <v>0</v>
      </c>
      <c r="R44" s="30">
        <f>VLOOKUP(A44,BUFFS!$H$5:$AF$195,19,)</f>
        <v>0</v>
      </c>
      <c r="S44" s="32">
        <f t="shared" si="7"/>
        <v>0</v>
      </c>
      <c r="T44" s="33">
        <f>VLOOKUP(A44,BUFFS!$H$5:$AF$195,20,)</f>
        <v>20</v>
      </c>
    </row>
    <row r="45" spans="1:27" x14ac:dyDescent="0.3">
      <c r="A45" s="17"/>
      <c r="B45" s="19"/>
      <c r="C45" s="13">
        <v>4</v>
      </c>
      <c r="D45" s="29" t="e">
        <f>VLOOKUP(A45,BUFFS!$H$5:$AF$195,5,)</f>
        <v>#N/A</v>
      </c>
      <c r="E45" s="30" t="e">
        <f>VLOOKUP(A45,BUFFS!$H$5:$AF$195,6,)</f>
        <v>#N/A</v>
      </c>
      <c r="F45" s="31" t="e">
        <f>VLOOKUP(A45,BUFFS!$H$5:$AF$195,7,)</f>
        <v>#N/A</v>
      </c>
      <c r="G45" s="30" t="e">
        <f>VLOOKUP(A45,BUFFS!$H$5:$AF$195,9,)</f>
        <v>#N/A</v>
      </c>
      <c r="H45" s="31" t="e">
        <f t="shared" si="5"/>
        <v>#N/A</v>
      </c>
      <c r="I45" s="40" t="str">
        <f>IFERROR(VLOOKUP(A45,BUFFS!$H$5:$AF$195,8,),"")</f>
        <v/>
      </c>
      <c r="J45" s="29" t="e">
        <f>VLOOKUP(A45,BUFFS!$H$5:$AF$195,10,)</f>
        <v>#N/A</v>
      </c>
      <c r="K45" s="30" t="e">
        <f>VLOOKUP(A45,BUFFS!$H$5:$AF$195,11,)</f>
        <v>#N/A</v>
      </c>
      <c r="L45" s="30" t="e">
        <f>VLOOKUP(A45,BUFFS!$H$5:$AF$195,12,)</f>
        <v>#N/A</v>
      </c>
      <c r="M45" s="30" t="e">
        <f>VLOOKUP(A45,BUFFS!$H$5:$AF$195,14,)</f>
        <v>#N/A</v>
      </c>
      <c r="N45" s="32" t="e">
        <f t="shared" si="6"/>
        <v>#N/A</v>
      </c>
      <c r="O45" s="29" t="e">
        <f>VLOOKUP(A45,BUFFS!$H$5:$AF$195,15,)</f>
        <v>#N/A</v>
      </c>
      <c r="P45" s="30" t="e">
        <f>VLOOKUP(A45,BUFFS!$H$5:$AF$195,16,)</f>
        <v>#N/A</v>
      </c>
      <c r="Q45" s="30" t="e">
        <f>VLOOKUP(A45,BUFFS!$H$5:$AF$195,17,)</f>
        <v>#N/A</v>
      </c>
      <c r="R45" s="30" t="e">
        <f>VLOOKUP(A45,BUFFS!$H$5:$AF$195,19,)</f>
        <v>#N/A</v>
      </c>
      <c r="S45" s="32" t="e">
        <f t="shared" si="7"/>
        <v>#N/A</v>
      </c>
      <c r="T45" s="33" t="e">
        <f>VLOOKUP(A45,BUFFS!$H$5:$AF$195,20,)</f>
        <v>#N/A</v>
      </c>
    </row>
    <row r="46" spans="1:27" x14ac:dyDescent="0.3">
      <c r="A46" s="17"/>
      <c r="B46" s="19"/>
      <c r="C46" s="13">
        <v>4</v>
      </c>
      <c r="D46" s="29" t="e">
        <f>VLOOKUP(A46,BUFFS!$H$5:$AF$195,5,)</f>
        <v>#N/A</v>
      </c>
      <c r="E46" s="30" t="e">
        <f>VLOOKUP(A46,BUFFS!$H$5:$AF$195,6,)</f>
        <v>#N/A</v>
      </c>
      <c r="F46" s="31" t="e">
        <f>VLOOKUP(A46,BUFFS!$H$5:$AF$195,7,)</f>
        <v>#N/A</v>
      </c>
      <c r="G46" s="30" t="e">
        <f>VLOOKUP(A46,BUFFS!$H$5:$AF$195,9,)</f>
        <v>#N/A</v>
      </c>
      <c r="H46" s="31" t="e">
        <f t="shared" si="5"/>
        <v>#N/A</v>
      </c>
      <c r="I46" s="40" t="str">
        <f>IFERROR(VLOOKUP(A46,BUFFS!$H$5:$AF$195,8,),"")</f>
        <v/>
      </c>
      <c r="J46" s="29" t="e">
        <f>VLOOKUP(A46,BUFFS!$H$5:$AF$195,10,)</f>
        <v>#N/A</v>
      </c>
      <c r="K46" s="30" t="e">
        <f>VLOOKUP(A46,BUFFS!$H$5:$AF$195,11,)</f>
        <v>#N/A</v>
      </c>
      <c r="L46" s="30" t="e">
        <f>VLOOKUP(A46,BUFFS!$H$5:$AF$195,12,)</f>
        <v>#N/A</v>
      </c>
      <c r="M46" s="30" t="e">
        <f>VLOOKUP(A46,BUFFS!$H$5:$AF$195,14,)</f>
        <v>#N/A</v>
      </c>
      <c r="N46" s="32" t="e">
        <f t="shared" si="6"/>
        <v>#N/A</v>
      </c>
      <c r="O46" s="29" t="e">
        <f>VLOOKUP(A46,BUFFS!$H$5:$AF$195,15,)</f>
        <v>#N/A</v>
      </c>
      <c r="P46" s="30" t="e">
        <f>VLOOKUP(A46,BUFFS!$H$5:$AF$195,16,)</f>
        <v>#N/A</v>
      </c>
      <c r="Q46" s="30" t="e">
        <f>VLOOKUP(A46,BUFFS!$H$5:$AF$195,17,)</f>
        <v>#N/A</v>
      </c>
      <c r="R46" s="30" t="e">
        <f>VLOOKUP(A46,BUFFS!$H$5:$AF$195,19,)</f>
        <v>#N/A</v>
      </c>
      <c r="S46" s="32" t="e">
        <f t="shared" si="7"/>
        <v>#N/A</v>
      </c>
      <c r="T46" s="33" t="e">
        <f>VLOOKUP(A46,BUFFS!$H$5:$AF$195,20,)</f>
        <v>#N/A</v>
      </c>
    </row>
    <row r="47" spans="1:27" x14ac:dyDescent="0.3">
      <c r="A47" s="17"/>
      <c r="B47" s="19"/>
      <c r="C47" s="13">
        <v>4</v>
      </c>
      <c r="D47" s="29" t="e">
        <f>VLOOKUP(A47,BUFFS!$H$5:$AF$195,5,)</f>
        <v>#N/A</v>
      </c>
      <c r="E47" s="30" t="e">
        <f>VLOOKUP(A47,BUFFS!$H$5:$AF$195,6,)</f>
        <v>#N/A</v>
      </c>
      <c r="F47" s="31" t="e">
        <f>VLOOKUP(A47,BUFFS!$H$5:$AF$195,7,)</f>
        <v>#N/A</v>
      </c>
      <c r="G47" s="30" t="e">
        <f>VLOOKUP(A47,BUFFS!$H$5:$AF$195,9,)</f>
        <v>#N/A</v>
      </c>
      <c r="H47" s="31" t="e">
        <f t="shared" si="5"/>
        <v>#N/A</v>
      </c>
      <c r="I47" s="40" t="str">
        <f>IFERROR(VLOOKUP(A47,BUFFS!$H$5:$AF$195,8,),"")</f>
        <v/>
      </c>
      <c r="J47" s="29" t="e">
        <f>VLOOKUP(A47,BUFFS!$H$5:$AF$195,10,)</f>
        <v>#N/A</v>
      </c>
      <c r="K47" s="30" t="e">
        <f>VLOOKUP(A47,BUFFS!$H$5:$AF$195,11,)</f>
        <v>#N/A</v>
      </c>
      <c r="L47" s="30" t="e">
        <f>VLOOKUP(A47,BUFFS!$H$5:$AF$195,12,)</f>
        <v>#N/A</v>
      </c>
      <c r="M47" s="30" t="e">
        <f>VLOOKUP(A47,BUFFS!$H$5:$AF$195,14,)</f>
        <v>#N/A</v>
      </c>
      <c r="N47" s="32" t="e">
        <f t="shared" si="6"/>
        <v>#N/A</v>
      </c>
      <c r="O47" s="29" t="e">
        <f>VLOOKUP(A47,BUFFS!$H$5:$AF$195,15,)</f>
        <v>#N/A</v>
      </c>
      <c r="P47" s="30" t="e">
        <f>VLOOKUP(A47,BUFFS!$H$5:$AF$195,16,)</f>
        <v>#N/A</v>
      </c>
      <c r="Q47" s="30" t="e">
        <f>VLOOKUP(A47,BUFFS!$H$5:$AF$195,17,)</f>
        <v>#N/A</v>
      </c>
      <c r="R47" s="30" t="e">
        <f>VLOOKUP(A47,BUFFS!$H$5:$AF$195,19,)</f>
        <v>#N/A</v>
      </c>
      <c r="S47" s="32" t="e">
        <f t="shared" si="7"/>
        <v>#N/A</v>
      </c>
      <c r="T47" s="33" t="e">
        <f>VLOOKUP(A47,BUFFS!$H$5:$AF$195,20,)</f>
        <v>#N/A</v>
      </c>
    </row>
    <row r="48" spans="1:27" x14ac:dyDescent="0.3">
      <c r="A48" s="17"/>
      <c r="B48" s="19"/>
      <c r="C48" s="13"/>
      <c r="D48" s="29" t="e">
        <f>VLOOKUP(A48,BUFFS!$H$5:$AF$195,5,)</f>
        <v>#N/A</v>
      </c>
      <c r="E48" s="30" t="e">
        <f>VLOOKUP(A48,BUFFS!$H$5:$AF$195,6,)</f>
        <v>#N/A</v>
      </c>
      <c r="F48" s="31" t="e">
        <f>VLOOKUP(A48,BUFFS!$H$5:$AF$195,7,)</f>
        <v>#N/A</v>
      </c>
      <c r="G48" s="30" t="e">
        <f>VLOOKUP(A48,BUFFS!$H$5:$AF$195,9,)</f>
        <v>#N/A</v>
      </c>
      <c r="H48" s="31" t="e">
        <f t="shared" si="5"/>
        <v>#N/A</v>
      </c>
      <c r="I48" s="40" t="str">
        <f>IFERROR(VLOOKUP(A48,BUFFS!$H$5:$AF$195,8,),"")</f>
        <v/>
      </c>
      <c r="J48" s="29" t="e">
        <f>VLOOKUP(A48,BUFFS!$H$5:$AF$195,10,)</f>
        <v>#N/A</v>
      </c>
      <c r="K48" s="30" t="e">
        <f>VLOOKUP(A48,BUFFS!$H$5:$AF$195,11,)</f>
        <v>#N/A</v>
      </c>
      <c r="L48" s="30" t="e">
        <f>VLOOKUP(A48,BUFFS!$H$5:$AF$195,12,)</f>
        <v>#N/A</v>
      </c>
      <c r="M48" s="30" t="e">
        <f>VLOOKUP(A48,BUFFS!$H$5:$AF$195,14,)</f>
        <v>#N/A</v>
      </c>
      <c r="N48" s="32" t="e">
        <f t="shared" si="6"/>
        <v>#N/A</v>
      </c>
      <c r="O48" s="29" t="e">
        <f>VLOOKUP(A48,BUFFS!$H$5:$AF$195,15,)</f>
        <v>#N/A</v>
      </c>
      <c r="P48" s="30" t="e">
        <f>VLOOKUP(A48,BUFFS!$H$5:$AF$195,16,)</f>
        <v>#N/A</v>
      </c>
      <c r="Q48" s="30" t="e">
        <f>VLOOKUP(A48,BUFFS!$H$5:$AF$195,17,)</f>
        <v>#N/A</v>
      </c>
      <c r="R48" s="30" t="e">
        <f>VLOOKUP(A48,BUFFS!$H$5:$AF$195,19,)</f>
        <v>#N/A</v>
      </c>
      <c r="S48" s="32" t="e">
        <f t="shared" si="7"/>
        <v>#N/A</v>
      </c>
      <c r="T48" s="33" t="e">
        <f>VLOOKUP(A48,BUFFS!$H$5:$AF$195,20,)</f>
        <v>#N/A</v>
      </c>
    </row>
    <row r="49" spans="1:20" x14ac:dyDescent="0.3">
      <c r="A49" s="17"/>
      <c r="B49" s="19"/>
      <c r="C49" s="13"/>
      <c r="D49" s="29" t="e">
        <f>VLOOKUP(A49,BUFFS!$H$5:$AF$195,5,)</f>
        <v>#N/A</v>
      </c>
      <c r="E49" s="30" t="e">
        <f>VLOOKUP(A49,BUFFS!$H$5:$AF$195,6,)</f>
        <v>#N/A</v>
      </c>
      <c r="F49" s="31" t="e">
        <f>VLOOKUP(A49,BUFFS!$H$5:$AF$195,7,)</f>
        <v>#N/A</v>
      </c>
      <c r="G49" s="30" t="e">
        <f>VLOOKUP(A49,BUFFS!$H$5:$AF$195,9,)</f>
        <v>#N/A</v>
      </c>
      <c r="H49" s="31" t="e">
        <f t="shared" si="5"/>
        <v>#N/A</v>
      </c>
      <c r="I49" s="40" t="str">
        <f>IFERROR(VLOOKUP(A49,BUFFS!$H$5:$AF$195,8,),"")</f>
        <v/>
      </c>
      <c r="J49" s="29" t="e">
        <f>VLOOKUP(A49,BUFFS!$H$5:$AF$195,10,)</f>
        <v>#N/A</v>
      </c>
      <c r="K49" s="30" t="e">
        <f>VLOOKUP(A49,BUFFS!$H$5:$AF$195,11,)</f>
        <v>#N/A</v>
      </c>
      <c r="L49" s="30" t="e">
        <f>VLOOKUP(A49,BUFFS!$H$5:$AF$195,12,)</f>
        <v>#N/A</v>
      </c>
      <c r="M49" s="30" t="e">
        <f>VLOOKUP(A49,BUFFS!$H$5:$AF$195,14,)</f>
        <v>#N/A</v>
      </c>
      <c r="N49" s="32" t="e">
        <f t="shared" si="6"/>
        <v>#N/A</v>
      </c>
      <c r="O49" s="29" t="e">
        <f>VLOOKUP(A49,BUFFS!$H$5:$AF$195,15,)</f>
        <v>#N/A</v>
      </c>
      <c r="P49" s="30" t="e">
        <f>VLOOKUP(A49,BUFFS!$H$5:$AF$195,16,)</f>
        <v>#N/A</v>
      </c>
      <c r="Q49" s="30" t="e">
        <f>VLOOKUP(A49,BUFFS!$H$5:$AF$195,17,)</f>
        <v>#N/A</v>
      </c>
      <c r="R49" s="30" t="e">
        <f>VLOOKUP(A49,BUFFS!$H$5:$AF$195,19,)</f>
        <v>#N/A</v>
      </c>
      <c r="S49" s="32" t="e">
        <f t="shared" si="7"/>
        <v>#N/A</v>
      </c>
      <c r="T49" s="33" t="e">
        <f>VLOOKUP(A49,BUFFS!$H$5:$AF$195,20,)</f>
        <v>#N/A</v>
      </c>
    </row>
    <row r="50" spans="1:20" x14ac:dyDescent="0.3">
      <c r="A50" s="17"/>
      <c r="B50" s="19"/>
      <c r="C50" s="13"/>
      <c r="D50" s="29" t="e">
        <f>VLOOKUP(A50,BUFFS!$H$5:$AF$195,5,)</f>
        <v>#N/A</v>
      </c>
      <c r="E50" s="30" t="e">
        <f>VLOOKUP(A50,BUFFS!$H$5:$AF$195,6,)</f>
        <v>#N/A</v>
      </c>
      <c r="F50" s="31" t="e">
        <f>VLOOKUP(A50,BUFFS!$H$5:$AF$195,7,)</f>
        <v>#N/A</v>
      </c>
      <c r="G50" s="30" t="e">
        <f>VLOOKUP(A50,BUFFS!$H$5:$AF$195,9,)</f>
        <v>#N/A</v>
      </c>
      <c r="H50" s="31" t="e">
        <f t="shared" si="5"/>
        <v>#N/A</v>
      </c>
      <c r="I50" s="40" t="str">
        <f>IFERROR(VLOOKUP(A50,BUFFS!$H$5:$AF$195,8,),"")</f>
        <v/>
      </c>
      <c r="J50" s="29" t="e">
        <f>VLOOKUP(A50,BUFFS!$H$5:$AF$195,10,)</f>
        <v>#N/A</v>
      </c>
      <c r="K50" s="30" t="e">
        <f>VLOOKUP(A50,BUFFS!$H$5:$AF$195,11,)</f>
        <v>#N/A</v>
      </c>
      <c r="L50" s="30" t="e">
        <f>VLOOKUP(A50,BUFFS!$H$5:$AF$195,12,)</f>
        <v>#N/A</v>
      </c>
      <c r="M50" s="30" t="e">
        <f>VLOOKUP(A50,BUFFS!$H$5:$AF$195,14,)</f>
        <v>#N/A</v>
      </c>
      <c r="N50" s="32" t="e">
        <f t="shared" si="6"/>
        <v>#N/A</v>
      </c>
      <c r="O50" s="29" t="e">
        <f>VLOOKUP(A50,BUFFS!$H$5:$AF$195,15,)</f>
        <v>#N/A</v>
      </c>
      <c r="P50" s="30" t="e">
        <f>VLOOKUP(A50,BUFFS!$H$5:$AF$195,16,)</f>
        <v>#N/A</v>
      </c>
      <c r="Q50" s="30" t="e">
        <f>VLOOKUP(A50,BUFFS!$H$5:$AF$195,17,)</f>
        <v>#N/A</v>
      </c>
      <c r="R50" s="30" t="e">
        <f>VLOOKUP(A50,BUFFS!$H$5:$AF$195,19,)</f>
        <v>#N/A</v>
      </c>
      <c r="S50" s="32" t="e">
        <f t="shared" si="7"/>
        <v>#N/A</v>
      </c>
      <c r="T50" s="33" t="e">
        <f>VLOOKUP(A50,BUFFS!$H$5:$AF$195,20,)</f>
        <v>#N/A</v>
      </c>
    </row>
    <row r="51" spans="1:20" x14ac:dyDescent="0.3">
      <c r="A51" s="17"/>
      <c r="B51" s="19"/>
      <c r="C51" s="13"/>
      <c r="D51" s="29" t="e">
        <f>VLOOKUP(A51,BUFFS!$H$5:$AF$195,5,)</f>
        <v>#N/A</v>
      </c>
      <c r="E51" s="30" t="e">
        <f>VLOOKUP(A51,BUFFS!$H$5:$AF$195,6,)</f>
        <v>#N/A</v>
      </c>
      <c r="F51" s="31" t="e">
        <f>VLOOKUP(A51,BUFFS!$H$5:$AF$195,7,)</f>
        <v>#N/A</v>
      </c>
      <c r="G51" s="30" t="e">
        <f>VLOOKUP(A51,BUFFS!$H$5:$AF$195,9,)</f>
        <v>#N/A</v>
      </c>
      <c r="H51" s="31" t="e">
        <f t="shared" si="5"/>
        <v>#N/A</v>
      </c>
      <c r="I51" s="40" t="str">
        <f>IFERROR(VLOOKUP(A51,BUFFS!$H$5:$AF$195,8,),"")</f>
        <v/>
      </c>
      <c r="J51" s="29" t="e">
        <f>VLOOKUP(A51,BUFFS!$H$5:$AF$195,10,)</f>
        <v>#N/A</v>
      </c>
      <c r="K51" s="30" t="e">
        <f>VLOOKUP(A51,BUFFS!$H$5:$AF$195,11,)</f>
        <v>#N/A</v>
      </c>
      <c r="L51" s="30" t="e">
        <f>VLOOKUP(A51,BUFFS!$H$5:$AF$195,12,)</f>
        <v>#N/A</v>
      </c>
      <c r="M51" s="30" t="e">
        <f>VLOOKUP(A51,BUFFS!$H$5:$AF$195,14,)</f>
        <v>#N/A</v>
      </c>
      <c r="N51" s="32" t="e">
        <f t="shared" si="6"/>
        <v>#N/A</v>
      </c>
      <c r="O51" s="29" t="e">
        <f>VLOOKUP(A51,BUFFS!$H$5:$AF$195,15,)</f>
        <v>#N/A</v>
      </c>
      <c r="P51" s="30" t="e">
        <f>VLOOKUP(A51,BUFFS!$H$5:$AF$195,16,)</f>
        <v>#N/A</v>
      </c>
      <c r="Q51" s="30" t="e">
        <f>VLOOKUP(A51,BUFFS!$H$5:$AF$195,17,)</f>
        <v>#N/A</v>
      </c>
      <c r="R51" s="30" t="e">
        <f>VLOOKUP(A51,BUFFS!$H$5:$AF$195,19,)</f>
        <v>#N/A</v>
      </c>
      <c r="S51" s="32" t="e">
        <f t="shared" si="7"/>
        <v>#N/A</v>
      </c>
      <c r="T51" s="33" t="e">
        <f>VLOOKUP(A51,BUFFS!$H$5:$AF$195,20,)</f>
        <v>#N/A</v>
      </c>
    </row>
    <row r="52" spans="1:20" x14ac:dyDescent="0.3">
      <c r="A52" s="17"/>
      <c r="B52" s="19"/>
      <c r="C52" s="13"/>
      <c r="D52" s="29" t="e">
        <f>VLOOKUP(A52,BUFFS!$H$5:$AF$195,5,)</f>
        <v>#N/A</v>
      </c>
      <c r="E52" s="30" t="e">
        <f>VLOOKUP(A52,BUFFS!$H$5:$AF$195,6,)</f>
        <v>#N/A</v>
      </c>
      <c r="F52" s="31" t="e">
        <f>VLOOKUP(A52,BUFFS!$H$5:$AF$195,7,)</f>
        <v>#N/A</v>
      </c>
      <c r="G52" s="30" t="e">
        <f>VLOOKUP(A52,BUFFS!$H$5:$AF$195,9,)</f>
        <v>#N/A</v>
      </c>
      <c r="H52" s="31" t="e">
        <f t="shared" si="5"/>
        <v>#N/A</v>
      </c>
      <c r="I52" s="40" t="str">
        <f>IFERROR(VLOOKUP(A52,BUFFS!$H$5:$AF$195,8,),"")</f>
        <v/>
      </c>
      <c r="J52" s="29" t="e">
        <f>VLOOKUP(A52,BUFFS!$H$5:$AF$195,10,)</f>
        <v>#N/A</v>
      </c>
      <c r="K52" s="30" t="e">
        <f>VLOOKUP(A52,BUFFS!$H$5:$AF$195,11,)</f>
        <v>#N/A</v>
      </c>
      <c r="L52" s="30" t="e">
        <f>VLOOKUP(A52,BUFFS!$H$5:$AF$195,12,)</f>
        <v>#N/A</v>
      </c>
      <c r="M52" s="30" t="e">
        <f>VLOOKUP(A52,BUFFS!$H$5:$AF$195,14,)</f>
        <v>#N/A</v>
      </c>
      <c r="N52" s="32" t="e">
        <f t="shared" si="6"/>
        <v>#N/A</v>
      </c>
      <c r="O52" s="29" t="e">
        <f>VLOOKUP(A52,BUFFS!$H$5:$AF$195,15,)</f>
        <v>#N/A</v>
      </c>
      <c r="P52" s="30" t="e">
        <f>VLOOKUP(A52,BUFFS!$H$5:$AF$195,16,)</f>
        <v>#N/A</v>
      </c>
      <c r="Q52" s="30" t="e">
        <f>VLOOKUP(A52,BUFFS!$H$5:$AF$195,17,)</f>
        <v>#N/A</v>
      </c>
      <c r="R52" s="30" t="e">
        <f>VLOOKUP(A52,BUFFS!$H$5:$AF$195,19,)</f>
        <v>#N/A</v>
      </c>
      <c r="S52" s="32" t="e">
        <f t="shared" si="7"/>
        <v>#N/A</v>
      </c>
      <c r="T52" s="33" t="e">
        <f>VLOOKUP(A52,BUFFS!$H$5:$AF$195,20,)</f>
        <v>#N/A</v>
      </c>
    </row>
    <row r="53" spans="1:20" x14ac:dyDescent="0.3">
      <c r="A53" s="17"/>
      <c r="B53" s="19"/>
      <c r="C53" s="13"/>
      <c r="D53" s="29" t="e">
        <f>VLOOKUP(A53,BUFFS!$H$5:$AF$195,5,)</f>
        <v>#N/A</v>
      </c>
      <c r="E53" s="30" t="e">
        <f>VLOOKUP(A53,BUFFS!$H$5:$AF$195,6,)</f>
        <v>#N/A</v>
      </c>
      <c r="F53" s="31" t="e">
        <f>VLOOKUP(A53,BUFFS!$H$5:$AF$195,7,)</f>
        <v>#N/A</v>
      </c>
      <c r="G53" s="30" t="e">
        <f>VLOOKUP(A53,BUFFS!$H$5:$AF$195,9,)</f>
        <v>#N/A</v>
      </c>
      <c r="H53" s="31" t="e">
        <f t="shared" si="5"/>
        <v>#N/A</v>
      </c>
      <c r="I53" s="40" t="str">
        <f>IFERROR(VLOOKUP(A53,BUFFS!$H$5:$AF$195,8,),"")</f>
        <v/>
      </c>
      <c r="J53" s="29" t="e">
        <f>VLOOKUP(A53,BUFFS!$H$5:$AF$195,10,)</f>
        <v>#N/A</v>
      </c>
      <c r="K53" s="30" t="e">
        <f>VLOOKUP(A53,BUFFS!$H$5:$AF$195,11,)</f>
        <v>#N/A</v>
      </c>
      <c r="L53" s="30" t="e">
        <f>VLOOKUP(A53,BUFFS!$H$5:$AF$195,12,)</f>
        <v>#N/A</v>
      </c>
      <c r="M53" s="30" t="e">
        <f>VLOOKUP(A53,BUFFS!$H$5:$AF$195,14,)</f>
        <v>#N/A</v>
      </c>
      <c r="N53" s="32" t="e">
        <f t="shared" si="6"/>
        <v>#N/A</v>
      </c>
      <c r="O53" s="29" t="e">
        <f>VLOOKUP(A53,BUFFS!$H$5:$AF$195,15,)</f>
        <v>#N/A</v>
      </c>
      <c r="P53" s="30" t="e">
        <f>VLOOKUP(A53,BUFFS!$H$5:$AF$195,16,)</f>
        <v>#N/A</v>
      </c>
      <c r="Q53" s="30" t="e">
        <f>VLOOKUP(A53,BUFFS!$H$5:$AF$195,17,)</f>
        <v>#N/A</v>
      </c>
      <c r="R53" s="30" t="e">
        <f>VLOOKUP(A53,BUFFS!$H$5:$AF$195,19,)</f>
        <v>#N/A</v>
      </c>
      <c r="S53" s="32" t="e">
        <f t="shared" si="7"/>
        <v>#N/A</v>
      </c>
      <c r="T53" s="33" t="e">
        <f>VLOOKUP(A53,BUFFS!$H$5:$AF$195,20,)</f>
        <v>#N/A</v>
      </c>
    </row>
    <row r="54" spans="1:20" x14ac:dyDescent="0.3">
      <c r="A54" s="17"/>
      <c r="B54" s="19"/>
      <c r="C54" s="13"/>
      <c r="D54" s="29" t="e">
        <f>VLOOKUP(A54,BUFFS!$H$5:$AF$195,5,)</f>
        <v>#N/A</v>
      </c>
      <c r="E54" s="30" t="e">
        <f>VLOOKUP(A54,BUFFS!$H$5:$AF$195,6,)</f>
        <v>#N/A</v>
      </c>
      <c r="F54" s="31" t="e">
        <f>VLOOKUP(A54,BUFFS!$H$5:$AF$195,7,)</f>
        <v>#N/A</v>
      </c>
      <c r="G54" s="30" t="e">
        <f>VLOOKUP(A54,BUFFS!$H$5:$AF$195,9,)</f>
        <v>#N/A</v>
      </c>
      <c r="H54" s="31" t="e">
        <f t="shared" si="5"/>
        <v>#N/A</v>
      </c>
      <c r="I54" s="40" t="str">
        <f>IFERROR(VLOOKUP(A54,BUFFS!$H$5:$AF$195,8,),"")</f>
        <v/>
      </c>
      <c r="J54" s="29" t="e">
        <f>VLOOKUP(A54,BUFFS!$H$5:$AF$195,10,)</f>
        <v>#N/A</v>
      </c>
      <c r="K54" s="30" t="e">
        <f>VLOOKUP(A54,BUFFS!$H$5:$AF$195,11,)</f>
        <v>#N/A</v>
      </c>
      <c r="L54" s="30" t="e">
        <f>VLOOKUP(A54,BUFFS!$H$5:$AF$195,12,)</f>
        <v>#N/A</v>
      </c>
      <c r="M54" s="30" t="e">
        <f>VLOOKUP(A54,BUFFS!$H$5:$AF$195,14,)</f>
        <v>#N/A</v>
      </c>
      <c r="N54" s="32" t="e">
        <f t="shared" si="6"/>
        <v>#N/A</v>
      </c>
      <c r="O54" s="29" t="e">
        <f>VLOOKUP(A54,BUFFS!$H$5:$AF$195,15,)</f>
        <v>#N/A</v>
      </c>
      <c r="P54" s="30" t="e">
        <f>VLOOKUP(A54,BUFFS!$H$5:$AF$195,16,)</f>
        <v>#N/A</v>
      </c>
      <c r="Q54" s="30" t="e">
        <f>VLOOKUP(A54,BUFFS!$H$5:$AF$195,17,)</f>
        <v>#N/A</v>
      </c>
      <c r="R54" s="30" t="e">
        <f>VLOOKUP(A54,BUFFS!$H$5:$AF$195,19,)</f>
        <v>#N/A</v>
      </c>
      <c r="S54" s="32" t="e">
        <f t="shared" si="7"/>
        <v>#N/A</v>
      </c>
      <c r="T54" s="33" t="e">
        <f>VLOOKUP(A54,BUFFS!$H$5:$AF$195,20,)</f>
        <v>#N/A</v>
      </c>
    </row>
    <row r="55" spans="1:20" x14ac:dyDescent="0.3">
      <c r="A55" s="17"/>
      <c r="B55" s="19"/>
      <c r="C55" s="13"/>
      <c r="D55" s="29" t="e">
        <f>VLOOKUP(A55,BUFFS!$H$5:$AF$195,5,)</f>
        <v>#N/A</v>
      </c>
      <c r="E55" s="30" t="e">
        <f>VLOOKUP(A55,BUFFS!$H$5:$AF$195,6,)</f>
        <v>#N/A</v>
      </c>
      <c r="F55" s="31" t="e">
        <f>VLOOKUP(A55,BUFFS!$H$5:$AF$195,7,)</f>
        <v>#N/A</v>
      </c>
      <c r="G55" s="30" t="e">
        <f>VLOOKUP(A55,BUFFS!$H$5:$AF$195,9,)</f>
        <v>#N/A</v>
      </c>
      <c r="H55" s="31" t="e">
        <f t="shared" si="5"/>
        <v>#N/A</v>
      </c>
      <c r="I55" s="40" t="str">
        <f>IFERROR(VLOOKUP(A55,BUFFS!$H$5:$AF$195,8,),"")</f>
        <v/>
      </c>
      <c r="J55" s="29" t="e">
        <f>VLOOKUP(A55,BUFFS!$H$5:$AF$195,10,)</f>
        <v>#N/A</v>
      </c>
      <c r="K55" s="30" t="e">
        <f>VLOOKUP(A55,BUFFS!$H$5:$AF$195,11,)</f>
        <v>#N/A</v>
      </c>
      <c r="L55" s="30" t="e">
        <f>VLOOKUP(A55,BUFFS!$H$5:$AF$195,12,)</f>
        <v>#N/A</v>
      </c>
      <c r="M55" s="30" t="e">
        <f>VLOOKUP(A55,BUFFS!$H$5:$AF$195,14,)</f>
        <v>#N/A</v>
      </c>
      <c r="N55" s="32" t="e">
        <f t="shared" si="6"/>
        <v>#N/A</v>
      </c>
      <c r="O55" s="29" t="e">
        <f>VLOOKUP(A55,BUFFS!$H$5:$AF$195,15,)</f>
        <v>#N/A</v>
      </c>
      <c r="P55" s="30" t="e">
        <f>VLOOKUP(A55,BUFFS!$H$5:$AF$195,16,)</f>
        <v>#N/A</v>
      </c>
      <c r="Q55" s="30" t="e">
        <f>VLOOKUP(A55,BUFFS!$H$5:$AF$195,17,)</f>
        <v>#N/A</v>
      </c>
      <c r="R55" s="30" t="e">
        <f>VLOOKUP(A55,BUFFS!$H$5:$AF$195,19,)</f>
        <v>#N/A</v>
      </c>
      <c r="S55" s="32" t="e">
        <f t="shared" si="7"/>
        <v>#N/A</v>
      </c>
      <c r="T55" s="33" t="e">
        <f>VLOOKUP(A55,BUFFS!$H$5:$AF$195,20,)</f>
        <v>#N/A</v>
      </c>
    </row>
    <row r="56" spans="1:20" x14ac:dyDescent="0.3">
      <c r="A56" s="17"/>
      <c r="B56" s="19"/>
      <c r="C56" s="13"/>
      <c r="D56" s="29" t="e">
        <f>VLOOKUP(A56,BUFFS!$H$5:$AF$195,5,)</f>
        <v>#N/A</v>
      </c>
      <c r="E56" s="30" t="e">
        <f>VLOOKUP(A56,BUFFS!$H$5:$AF$195,6,)</f>
        <v>#N/A</v>
      </c>
      <c r="F56" s="31" t="e">
        <f>VLOOKUP(A56,BUFFS!$H$5:$AF$195,7,)</f>
        <v>#N/A</v>
      </c>
      <c r="G56" s="30" t="e">
        <f>VLOOKUP(A56,BUFFS!$H$5:$AF$195,9,)</f>
        <v>#N/A</v>
      </c>
      <c r="H56" s="31" t="e">
        <f t="shared" si="5"/>
        <v>#N/A</v>
      </c>
      <c r="I56" s="40" t="str">
        <f>IFERROR(VLOOKUP(A56,BUFFS!$H$5:$AF$195,8,),"")</f>
        <v/>
      </c>
      <c r="J56" s="29" t="e">
        <f>VLOOKUP(A56,BUFFS!$H$5:$AF$195,10,)</f>
        <v>#N/A</v>
      </c>
      <c r="K56" s="30" t="e">
        <f>VLOOKUP(A56,BUFFS!$H$5:$AF$195,11,)</f>
        <v>#N/A</v>
      </c>
      <c r="L56" s="30" t="e">
        <f>VLOOKUP(A56,BUFFS!$H$5:$AF$195,12,)</f>
        <v>#N/A</v>
      </c>
      <c r="M56" s="30" t="e">
        <f>VLOOKUP(A56,BUFFS!$H$5:$AF$195,14,)</f>
        <v>#N/A</v>
      </c>
      <c r="N56" s="32" t="e">
        <f t="shared" si="6"/>
        <v>#N/A</v>
      </c>
      <c r="O56" s="29" t="e">
        <f>VLOOKUP(A56,BUFFS!$H$5:$AF$195,15,)</f>
        <v>#N/A</v>
      </c>
      <c r="P56" s="30" t="e">
        <f>VLOOKUP(A56,BUFFS!$H$5:$AF$195,16,)</f>
        <v>#N/A</v>
      </c>
      <c r="Q56" s="30" t="e">
        <f>VLOOKUP(A56,BUFFS!$H$5:$AF$195,17,)</f>
        <v>#N/A</v>
      </c>
      <c r="R56" s="30" t="e">
        <f>VLOOKUP(A56,BUFFS!$H$5:$AF$195,19,)</f>
        <v>#N/A</v>
      </c>
      <c r="S56" s="32" t="e">
        <f t="shared" si="7"/>
        <v>#N/A</v>
      </c>
      <c r="T56" s="33" t="e">
        <f>VLOOKUP(A56,BUFFS!$H$5:$AF$195,20,)</f>
        <v>#N/A</v>
      </c>
    </row>
    <row r="57" spans="1:20" x14ac:dyDescent="0.3">
      <c r="B57" s="19"/>
      <c r="C57" s="13"/>
      <c r="D57" s="29" t="e">
        <f>VLOOKUP(A57,BUFFS!$H$5:$AF$195,5,)</f>
        <v>#N/A</v>
      </c>
      <c r="E57" s="30" t="e">
        <f>VLOOKUP(A57,BUFFS!$H$5:$AF$195,6,)</f>
        <v>#N/A</v>
      </c>
      <c r="F57" s="31" t="e">
        <f>VLOOKUP(A57,BUFFS!$H$5:$AF$195,7,)</f>
        <v>#N/A</v>
      </c>
      <c r="G57" s="30" t="e">
        <f>VLOOKUP(A57,BUFFS!$H$5:$AF$195,9,)</f>
        <v>#N/A</v>
      </c>
      <c r="H57" s="31" t="e">
        <f t="shared" si="5"/>
        <v>#N/A</v>
      </c>
      <c r="I57" s="40" t="str">
        <f>IFERROR(VLOOKUP(A57,BUFFS!$H$5:$AF$195,8,),"")</f>
        <v/>
      </c>
      <c r="J57" s="29" t="e">
        <f>VLOOKUP(A57,BUFFS!$H$5:$AF$195,10,)</f>
        <v>#N/A</v>
      </c>
      <c r="K57" s="30" t="e">
        <f>VLOOKUP(A57,BUFFS!$H$5:$AF$195,11,)</f>
        <v>#N/A</v>
      </c>
      <c r="L57" s="30" t="e">
        <f>VLOOKUP(A57,BUFFS!$H$5:$AF$195,12,)</f>
        <v>#N/A</v>
      </c>
      <c r="M57" s="30" t="e">
        <f>VLOOKUP(A57,BUFFS!$H$5:$AF$195,14,)</f>
        <v>#N/A</v>
      </c>
      <c r="N57" s="32" t="e">
        <f t="shared" si="6"/>
        <v>#N/A</v>
      </c>
      <c r="O57" s="29" t="e">
        <f>VLOOKUP(A57,BUFFS!$H$5:$AF$195,15,)</f>
        <v>#N/A</v>
      </c>
      <c r="P57" s="30" t="e">
        <f>VLOOKUP(A57,BUFFS!$H$5:$AF$195,16,)</f>
        <v>#N/A</v>
      </c>
      <c r="Q57" s="30" t="e">
        <f>VLOOKUP(A57,BUFFS!$H$5:$AF$195,17,)</f>
        <v>#N/A</v>
      </c>
      <c r="R57" s="30" t="e">
        <f>VLOOKUP(A57,BUFFS!$H$5:$AF$195,19,)</f>
        <v>#N/A</v>
      </c>
      <c r="S57" s="32" t="e">
        <f t="shared" si="7"/>
        <v>#N/A</v>
      </c>
      <c r="T57" s="33" t="e">
        <f>VLOOKUP(A57,BUFFS!$H$5:$AF$195,20,)</f>
        <v>#N/A</v>
      </c>
    </row>
    <row r="58" spans="1:20" x14ac:dyDescent="0.3">
      <c r="B58" s="19"/>
      <c r="C58" s="13"/>
      <c r="D58" s="29" t="e">
        <f>VLOOKUP(A58,BUFFS!$H$5:$AF$195,5,)</f>
        <v>#N/A</v>
      </c>
      <c r="E58" s="30" t="e">
        <f>VLOOKUP(A58,BUFFS!$H$5:$AF$195,6,)</f>
        <v>#N/A</v>
      </c>
      <c r="F58" s="31" t="e">
        <f>VLOOKUP(A58,BUFFS!$H$5:$AF$195,7,)</f>
        <v>#N/A</v>
      </c>
      <c r="G58" s="30" t="e">
        <f>VLOOKUP(A58,BUFFS!$H$5:$AF$195,9,)</f>
        <v>#N/A</v>
      </c>
      <c r="H58" s="31" t="e">
        <f t="shared" si="5"/>
        <v>#N/A</v>
      </c>
      <c r="I58" s="40" t="str">
        <f>IFERROR(VLOOKUP(A58,BUFFS!$H$5:$AF$195,8,),"")</f>
        <v/>
      </c>
      <c r="J58" s="29" t="e">
        <f>VLOOKUP(A58,BUFFS!$H$5:$AF$195,10,)</f>
        <v>#N/A</v>
      </c>
      <c r="K58" s="30" t="e">
        <f>VLOOKUP(A58,BUFFS!$H$5:$AF$195,11,)</f>
        <v>#N/A</v>
      </c>
      <c r="L58" s="30" t="e">
        <f>VLOOKUP(A58,BUFFS!$H$5:$AF$195,12,)</f>
        <v>#N/A</v>
      </c>
      <c r="M58" s="30" t="e">
        <f>VLOOKUP(A58,BUFFS!$H$5:$AF$195,14,)</f>
        <v>#N/A</v>
      </c>
      <c r="N58" s="32" t="e">
        <f t="shared" si="6"/>
        <v>#N/A</v>
      </c>
      <c r="O58" s="29" t="e">
        <f>VLOOKUP(A58,BUFFS!$H$5:$AF$195,15,)</f>
        <v>#N/A</v>
      </c>
      <c r="P58" s="30" t="e">
        <f>VLOOKUP(A58,BUFFS!$H$5:$AF$195,16,)</f>
        <v>#N/A</v>
      </c>
      <c r="Q58" s="30" t="e">
        <f>VLOOKUP(A58,BUFFS!$H$5:$AF$195,17,)</f>
        <v>#N/A</v>
      </c>
      <c r="R58" s="30" t="e">
        <f>VLOOKUP(A58,BUFFS!$H$5:$AF$195,19,)</f>
        <v>#N/A</v>
      </c>
      <c r="S58" s="32" t="e">
        <f t="shared" si="7"/>
        <v>#N/A</v>
      </c>
      <c r="T58" s="33" t="e">
        <f>VLOOKUP(A58,BUFFS!$H$5:$AF$195,20,)</f>
        <v>#N/A</v>
      </c>
    </row>
    <row r="59" spans="1:20" x14ac:dyDescent="0.3">
      <c r="B59" s="19"/>
      <c r="C59" s="13"/>
      <c r="D59" s="34"/>
      <c r="E59" s="30"/>
      <c r="F59" s="30"/>
      <c r="G59" s="30"/>
      <c r="H59" s="30"/>
      <c r="I59" s="40" t="str">
        <f>IFERROR(VLOOKUP(A59,BUFFS!$H$5:$AF$195,8,),"")</f>
        <v/>
      </c>
      <c r="J59" s="34"/>
      <c r="K59" s="30"/>
      <c r="L59" s="30"/>
      <c r="M59" s="30"/>
      <c r="N59" s="32"/>
      <c r="O59" s="34"/>
      <c r="P59" s="30"/>
      <c r="Q59" s="30"/>
      <c r="R59" s="30"/>
      <c r="S59" s="32"/>
      <c r="T59" s="33"/>
    </row>
    <row r="60" spans="1:20" x14ac:dyDescent="0.3">
      <c r="B60" s="19"/>
      <c r="C60" s="13"/>
      <c r="D60" s="34"/>
      <c r="E60" s="30"/>
      <c r="F60" s="30"/>
      <c r="G60" s="30"/>
      <c r="H60" s="30"/>
      <c r="I60" s="40" t="str">
        <f>IFERROR(VLOOKUP(A60,BUFFS!$H$5:$AF$195,8,),"")</f>
        <v/>
      </c>
      <c r="J60" s="34"/>
      <c r="K60" s="30"/>
      <c r="L60" s="30"/>
      <c r="M60" s="30"/>
      <c r="N60" s="32"/>
      <c r="O60" s="34"/>
      <c r="P60" s="30"/>
      <c r="Q60" s="30"/>
      <c r="R60" s="30"/>
      <c r="S60" s="32"/>
      <c r="T60" s="33"/>
    </row>
    <row r="61" spans="1:20" x14ac:dyDescent="0.3">
      <c r="B61" s="19"/>
      <c r="C61" s="13"/>
      <c r="D61" s="34"/>
      <c r="E61" s="30"/>
      <c r="F61" s="30"/>
      <c r="G61" s="30"/>
      <c r="H61" s="30"/>
      <c r="I61" s="40" t="str">
        <f>IFERROR(VLOOKUP(A61,BUFFS!$H$5:$AF$195,8,),"")</f>
        <v/>
      </c>
      <c r="J61" s="34"/>
      <c r="K61" s="30"/>
      <c r="L61" s="30"/>
      <c r="M61" s="30"/>
      <c r="N61" s="32"/>
      <c r="O61" s="34"/>
      <c r="P61" s="30"/>
      <c r="Q61" s="30"/>
      <c r="R61" s="30"/>
      <c r="S61" s="32"/>
      <c r="T61" s="33"/>
    </row>
    <row r="62" spans="1:20" x14ac:dyDescent="0.3">
      <c r="B62" s="19"/>
      <c r="C62" s="13"/>
      <c r="D62" s="34"/>
      <c r="E62" s="30"/>
      <c r="F62" s="30"/>
      <c r="G62" s="30"/>
      <c r="H62" s="30"/>
      <c r="I62" s="40" t="str">
        <f>IFERROR(VLOOKUP(A62,BUFFS!$H$5:$AF$195,8,),"")</f>
        <v/>
      </c>
      <c r="J62" s="34"/>
      <c r="K62" s="30"/>
      <c r="L62" s="30"/>
      <c r="M62" s="30"/>
      <c r="N62" s="32"/>
      <c r="O62" s="34"/>
      <c r="P62" s="30"/>
      <c r="Q62" s="30"/>
      <c r="R62" s="30"/>
      <c r="S62" s="32"/>
      <c r="T62" s="33"/>
    </row>
    <row r="63" spans="1:20" x14ac:dyDescent="0.3">
      <c r="B63" s="19"/>
      <c r="C63" s="13"/>
      <c r="D63" s="34"/>
      <c r="E63" s="30"/>
      <c r="F63" s="30"/>
      <c r="G63" s="30"/>
      <c r="H63" s="30"/>
      <c r="I63" s="40" t="str">
        <f>IFERROR(VLOOKUP(A63,BUFFS!$H$5:$AF$195,8,),"")</f>
        <v/>
      </c>
      <c r="J63" s="34"/>
      <c r="K63" s="30"/>
      <c r="L63" s="30"/>
      <c r="M63" s="30"/>
      <c r="N63" s="32"/>
      <c r="O63" s="34"/>
      <c r="P63" s="30"/>
      <c r="Q63" s="30"/>
      <c r="R63" s="30"/>
      <c r="S63" s="32"/>
      <c r="T63" s="33"/>
    </row>
    <row r="64" spans="1:20" x14ac:dyDescent="0.3">
      <c r="B64" s="19"/>
      <c r="C64" s="13"/>
      <c r="D64" s="34"/>
      <c r="E64" s="30"/>
      <c r="F64" s="30"/>
      <c r="G64" s="30"/>
      <c r="H64" s="30"/>
      <c r="I64" s="40" t="str">
        <f>IFERROR(VLOOKUP(A64,BUFFS!$H$5:$AF$195,8,),"")</f>
        <v/>
      </c>
      <c r="J64" s="34"/>
      <c r="K64" s="30"/>
      <c r="L64" s="30"/>
      <c r="M64" s="30"/>
      <c r="N64" s="32"/>
      <c r="O64" s="34"/>
      <c r="P64" s="30"/>
      <c r="Q64" s="30"/>
      <c r="R64" s="30"/>
      <c r="S64" s="32"/>
      <c r="T64" s="33"/>
    </row>
    <row r="65" spans="2:20" x14ac:dyDescent="0.3">
      <c r="B65" s="19"/>
      <c r="C65" s="13"/>
      <c r="D65" s="34"/>
      <c r="E65" s="30"/>
      <c r="F65" s="30"/>
      <c r="G65" s="30"/>
      <c r="H65" s="30"/>
      <c r="I65" s="40" t="str">
        <f>IFERROR(VLOOKUP(A65,BUFFS!$H$5:$AF$195,8,),"")</f>
        <v/>
      </c>
      <c r="J65" s="34"/>
      <c r="K65" s="30"/>
      <c r="L65" s="30"/>
      <c r="M65" s="30"/>
      <c r="N65" s="32"/>
      <c r="O65" s="34"/>
      <c r="P65" s="30"/>
      <c r="Q65" s="30"/>
      <c r="R65" s="30"/>
      <c r="S65" s="32"/>
      <c r="T65" s="33"/>
    </row>
    <row r="66" spans="2:20" x14ac:dyDescent="0.3">
      <c r="B66" s="19"/>
      <c r="C66" s="13"/>
      <c r="D66" s="34"/>
      <c r="E66" s="30"/>
      <c r="F66" s="30"/>
      <c r="G66" s="30"/>
      <c r="H66" s="30"/>
      <c r="I66" s="40" t="str">
        <f>IFERROR(VLOOKUP(A66,BUFFS!$H$5:$AF$195,8,),"")</f>
        <v/>
      </c>
      <c r="J66" s="34"/>
      <c r="K66" s="30"/>
      <c r="L66" s="30"/>
      <c r="M66" s="30"/>
      <c r="N66" s="32"/>
      <c r="O66" s="34"/>
      <c r="P66" s="30"/>
      <c r="Q66" s="30"/>
      <c r="R66" s="30"/>
      <c r="S66" s="32"/>
      <c r="T66" s="33"/>
    </row>
    <row r="67" spans="2:20" x14ac:dyDescent="0.3">
      <c r="B67" s="19"/>
      <c r="C67" s="13"/>
      <c r="D67" s="34"/>
      <c r="E67" s="30"/>
      <c r="F67" s="30"/>
      <c r="G67" s="30"/>
      <c r="H67" s="30"/>
      <c r="I67" s="40" t="str">
        <f>IFERROR(VLOOKUP(A67,BUFFS!$H$5:$AF$195,8,),"")</f>
        <v/>
      </c>
      <c r="J67" s="34"/>
      <c r="K67" s="30"/>
      <c r="L67" s="30"/>
      <c r="M67" s="30"/>
      <c r="N67" s="32"/>
      <c r="O67" s="34"/>
      <c r="P67" s="30"/>
      <c r="Q67" s="30"/>
      <c r="R67" s="30"/>
      <c r="S67" s="32"/>
      <c r="T67" s="33"/>
    </row>
    <row r="68" spans="2:20" x14ac:dyDescent="0.3">
      <c r="B68" s="19"/>
      <c r="C68" s="13"/>
      <c r="D68" s="34"/>
      <c r="E68" s="30"/>
      <c r="F68" s="30"/>
      <c r="G68" s="30"/>
      <c r="H68" s="30"/>
      <c r="I68" s="40" t="str">
        <f>IFERROR(VLOOKUP(A68,BUFFS!$H$5:$AF$195,8,),"")</f>
        <v/>
      </c>
      <c r="J68" s="34"/>
      <c r="K68" s="30"/>
      <c r="L68" s="30"/>
      <c r="M68" s="30"/>
      <c r="N68" s="32"/>
      <c r="O68" s="34"/>
      <c r="P68" s="30"/>
      <c r="Q68" s="30"/>
      <c r="R68" s="30"/>
      <c r="S68" s="32"/>
      <c r="T68" s="33"/>
    </row>
    <row r="69" spans="2:20" x14ac:dyDescent="0.3">
      <c r="B69" s="19"/>
      <c r="C69" s="13"/>
      <c r="D69" s="34"/>
      <c r="E69" s="30"/>
      <c r="F69" s="30"/>
      <c r="G69" s="30"/>
      <c r="H69" s="30"/>
      <c r="I69" s="40" t="str">
        <f>IFERROR(VLOOKUP(A69,BUFFS!$H$5:$AF$195,8,),"")</f>
        <v/>
      </c>
      <c r="J69" s="34"/>
      <c r="K69" s="30"/>
      <c r="L69" s="30"/>
      <c r="M69" s="30"/>
      <c r="N69" s="32"/>
      <c r="O69" s="34"/>
      <c r="P69" s="30"/>
      <c r="Q69" s="30"/>
      <c r="R69" s="30"/>
      <c r="S69" s="32"/>
      <c r="T69" s="33"/>
    </row>
    <row r="70" spans="2:20" x14ac:dyDescent="0.3">
      <c r="B70" s="19"/>
      <c r="C70" s="13"/>
      <c r="D70" s="34"/>
      <c r="E70" s="30"/>
      <c r="F70" s="30"/>
      <c r="G70" s="30"/>
      <c r="H70" s="30"/>
      <c r="I70" s="40" t="str">
        <f>IFERROR(VLOOKUP(A70,BUFFS!$H$5:$AF$195,8,),"")</f>
        <v/>
      </c>
      <c r="J70" s="34"/>
      <c r="K70" s="30"/>
      <c r="L70" s="30"/>
      <c r="M70" s="30"/>
      <c r="N70" s="32"/>
      <c r="O70" s="34"/>
      <c r="P70" s="30"/>
      <c r="Q70" s="30"/>
      <c r="R70" s="30"/>
      <c r="S70" s="32"/>
      <c r="T70" s="33"/>
    </row>
    <row r="71" spans="2:20" x14ac:dyDescent="0.3">
      <c r="B71" s="19"/>
      <c r="C71" s="13"/>
      <c r="D71" s="34"/>
      <c r="E71" s="30"/>
      <c r="F71" s="30"/>
      <c r="G71" s="30"/>
      <c r="H71" s="30"/>
      <c r="I71" s="40" t="str">
        <f>IFERROR(VLOOKUP(A71,BUFFS!$H$5:$AF$195,8,),"")</f>
        <v/>
      </c>
      <c r="J71" s="34"/>
      <c r="K71" s="30"/>
      <c r="L71" s="30"/>
      <c r="M71" s="30"/>
      <c r="N71" s="32"/>
      <c r="O71" s="34"/>
      <c r="P71" s="30"/>
      <c r="Q71" s="30"/>
      <c r="R71" s="30"/>
      <c r="S71" s="32"/>
      <c r="T71" s="33"/>
    </row>
    <row r="72" spans="2:20" x14ac:dyDescent="0.3">
      <c r="B72" s="19"/>
      <c r="C72" s="13"/>
      <c r="D72" s="34"/>
      <c r="E72" s="30"/>
      <c r="F72" s="30"/>
      <c r="G72" s="30"/>
      <c r="H72" s="30"/>
      <c r="I72" s="40" t="str">
        <f>IFERROR(VLOOKUP(A72,BUFFS!$H$5:$AF$195,8,),"")</f>
        <v/>
      </c>
      <c r="J72" s="34"/>
      <c r="K72" s="30"/>
      <c r="L72" s="30"/>
      <c r="M72" s="30"/>
      <c r="N72" s="32"/>
      <c r="O72" s="34"/>
      <c r="P72" s="30"/>
      <c r="Q72" s="30"/>
      <c r="R72" s="30"/>
      <c r="S72" s="32"/>
      <c r="T72" s="33"/>
    </row>
    <row r="73" spans="2:20" x14ac:dyDescent="0.3">
      <c r="B73" s="19"/>
      <c r="C73" s="13"/>
      <c r="D73" s="34"/>
      <c r="E73" s="30"/>
      <c r="F73" s="30"/>
      <c r="G73" s="30"/>
      <c r="H73" s="30"/>
      <c r="I73" s="40" t="str">
        <f>IFERROR(VLOOKUP(A73,BUFFS!$H$5:$AF$195,8,),"")</f>
        <v/>
      </c>
      <c r="J73" s="34"/>
      <c r="K73" s="30"/>
      <c r="L73" s="30"/>
      <c r="M73" s="30"/>
      <c r="N73" s="32"/>
      <c r="O73" s="34"/>
      <c r="P73" s="30"/>
      <c r="Q73" s="30"/>
      <c r="R73" s="30"/>
      <c r="S73" s="32"/>
      <c r="T73" s="33"/>
    </row>
    <row r="74" spans="2:20" x14ac:dyDescent="0.3">
      <c r="B74" s="19"/>
      <c r="C74" s="13"/>
      <c r="D74" s="34"/>
      <c r="E74" s="30"/>
      <c r="F74" s="30"/>
      <c r="G74" s="30"/>
      <c r="H74" s="30"/>
      <c r="I74" s="40" t="str">
        <f>IFERROR(VLOOKUP(A74,BUFFS!$H$5:$AF$195,8,),"")</f>
        <v/>
      </c>
      <c r="J74" s="34"/>
      <c r="K74" s="30"/>
      <c r="L74" s="30"/>
      <c r="M74" s="30"/>
      <c r="N74" s="32"/>
      <c r="O74" s="34"/>
      <c r="P74" s="30"/>
      <c r="Q74" s="30"/>
      <c r="R74" s="30"/>
      <c r="S74" s="32"/>
      <c r="T74" s="33"/>
    </row>
    <row r="75" spans="2:20" x14ac:dyDescent="0.3">
      <c r="B75" s="19"/>
      <c r="C75" s="13"/>
      <c r="D75" s="34"/>
      <c r="E75" s="30"/>
      <c r="F75" s="30"/>
      <c r="G75" s="30"/>
      <c r="H75" s="30"/>
      <c r="I75" s="40" t="str">
        <f>IFERROR(VLOOKUP(A75,BUFFS!$H$5:$AF$195,8,),"")</f>
        <v/>
      </c>
      <c r="J75" s="34"/>
      <c r="K75" s="30"/>
      <c r="L75" s="30"/>
      <c r="M75" s="30"/>
      <c r="N75" s="32"/>
      <c r="O75" s="34"/>
      <c r="P75" s="30"/>
      <c r="Q75" s="30"/>
      <c r="R75" s="30"/>
      <c r="S75" s="32"/>
      <c r="T75" s="33"/>
    </row>
    <row r="76" spans="2:20" x14ac:dyDescent="0.3">
      <c r="B76" s="19"/>
      <c r="C76" s="13"/>
      <c r="D76" s="34"/>
      <c r="E76" s="30"/>
      <c r="F76" s="30"/>
      <c r="G76" s="30"/>
      <c r="H76" s="30"/>
      <c r="I76" s="40" t="str">
        <f>IFERROR(VLOOKUP(A76,BUFFS!$H$5:$AF$195,8,),"")</f>
        <v/>
      </c>
      <c r="J76" s="34"/>
      <c r="K76" s="30"/>
      <c r="L76" s="30"/>
      <c r="M76" s="30"/>
      <c r="N76" s="32"/>
      <c r="O76" s="34"/>
      <c r="P76" s="30"/>
      <c r="Q76" s="30"/>
      <c r="R76" s="30"/>
      <c r="S76" s="32"/>
      <c r="T76" s="33"/>
    </row>
    <row r="77" spans="2:20" x14ac:dyDescent="0.3">
      <c r="B77" s="19"/>
      <c r="C77" s="13"/>
      <c r="D77" s="34"/>
      <c r="E77" s="30"/>
      <c r="F77" s="30"/>
      <c r="G77" s="30"/>
      <c r="H77" s="30"/>
      <c r="I77" s="40" t="str">
        <f>IFERROR(VLOOKUP(A77,BUFFS!$H$5:$AF$195,8,),"")</f>
        <v/>
      </c>
      <c r="J77" s="34"/>
      <c r="K77" s="30"/>
      <c r="L77" s="30"/>
      <c r="M77" s="30"/>
      <c r="N77" s="32"/>
      <c r="O77" s="34"/>
      <c r="P77" s="30"/>
      <c r="Q77" s="30"/>
      <c r="R77" s="30"/>
      <c r="S77" s="32"/>
      <c r="T77" s="33"/>
    </row>
    <row r="78" spans="2:20" x14ac:dyDescent="0.3">
      <c r="B78" s="19"/>
      <c r="C78" s="13"/>
      <c r="D78" s="34"/>
      <c r="E78" s="30"/>
      <c r="F78" s="30"/>
      <c r="G78" s="30"/>
      <c r="H78" s="30"/>
      <c r="I78" s="40" t="str">
        <f>IFERROR(VLOOKUP(A78,BUFFS!$H$5:$AF$195,8,),"")</f>
        <v/>
      </c>
      <c r="J78" s="34"/>
      <c r="K78" s="30"/>
      <c r="L78" s="30"/>
      <c r="M78" s="30"/>
      <c r="N78" s="32"/>
      <c r="O78" s="34"/>
      <c r="P78" s="30"/>
      <c r="Q78" s="30"/>
      <c r="R78" s="30"/>
      <c r="S78" s="32"/>
      <c r="T78" s="33"/>
    </row>
    <row r="79" spans="2:20" x14ac:dyDescent="0.3">
      <c r="B79" s="19"/>
      <c r="C79" s="13"/>
      <c r="D79" s="34"/>
      <c r="E79" s="30"/>
      <c r="F79" s="30"/>
      <c r="G79" s="30"/>
      <c r="H79" s="30"/>
      <c r="I79" s="40" t="str">
        <f>IFERROR(VLOOKUP(A79,BUFFS!$H$5:$AF$195,8,),"")</f>
        <v/>
      </c>
      <c r="J79" s="34"/>
      <c r="K79" s="30"/>
      <c r="L79" s="30"/>
      <c r="M79" s="30"/>
      <c r="N79" s="32"/>
      <c r="O79" s="34"/>
      <c r="P79" s="30"/>
      <c r="Q79" s="30"/>
      <c r="R79" s="30"/>
      <c r="S79" s="32"/>
      <c r="T79" s="33"/>
    </row>
    <row r="80" spans="2:20" x14ac:dyDescent="0.3">
      <c r="B80" s="19"/>
      <c r="C80" s="13"/>
      <c r="D80" s="34"/>
      <c r="E80" s="30"/>
      <c r="F80" s="30"/>
      <c r="G80" s="30"/>
      <c r="H80" s="30"/>
      <c r="I80" s="40" t="str">
        <f>IFERROR(VLOOKUP(A80,BUFFS!$H$5:$AF$195,8,),"")</f>
        <v/>
      </c>
      <c r="J80" s="34"/>
      <c r="K80" s="30"/>
      <c r="L80" s="30"/>
      <c r="M80" s="30"/>
      <c r="N80" s="32"/>
      <c r="O80" s="34"/>
      <c r="P80" s="30"/>
      <c r="Q80" s="30"/>
      <c r="R80" s="30"/>
      <c r="S80" s="32"/>
      <c r="T80" s="33"/>
    </row>
    <row r="81" spans="2:20" x14ac:dyDescent="0.3">
      <c r="B81" s="19"/>
      <c r="C81" s="13"/>
      <c r="D81" s="34"/>
      <c r="E81" s="30"/>
      <c r="F81" s="30"/>
      <c r="G81" s="30"/>
      <c r="H81" s="30"/>
      <c r="I81" s="40" t="str">
        <f>IFERROR(VLOOKUP(A81,BUFFS!$H$5:$AF$195,8,),"")</f>
        <v/>
      </c>
      <c r="J81" s="34"/>
      <c r="K81" s="30"/>
      <c r="L81" s="30"/>
      <c r="M81" s="30"/>
      <c r="N81" s="32"/>
      <c r="O81" s="34"/>
      <c r="P81" s="30"/>
      <c r="Q81" s="30"/>
      <c r="R81" s="30"/>
      <c r="S81" s="32"/>
      <c r="T81" s="33"/>
    </row>
    <row r="82" spans="2:20" x14ac:dyDescent="0.3">
      <c r="B82" s="19"/>
      <c r="C82" s="13"/>
      <c r="D82" s="34"/>
      <c r="E82" s="30"/>
      <c r="F82" s="30"/>
      <c r="G82" s="30"/>
      <c r="H82" s="30"/>
      <c r="I82" s="40" t="str">
        <f>IFERROR(VLOOKUP(A82,BUFFS!$H$5:$AF$195,8,),"")</f>
        <v/>
      </c>
      <c r="J82" s="34"/>
      <c r="K82" s="30"/>
      <c r="L82" s="30"/>
      <c r="M82" s="30"/>
      <c r="N82" s="32"/>
      <c r="O82" s="34"/>
      <c r="P82" s="30"/>
      <c r="Q82" s="30"/>
      <c r="R82" s="30"/>
      <c r="S82" s="32"/>
      <c r="T82" s="33"/>
    </row>
    <row r="83" spans="2:20" x14ac:dyDescent="0.3">
      <c r="B83" s="19"/>
      <c r="C83" s="13"/>
      <c r="D83" s="34"/>
      <c r="E83" s="30"/>
      <c r="F83" s="30"/>
      <c r="G83" s="30"/>
      <c r="H83" s="30"/>
      <c r="I83" s="40" t="str">
        <f>IFERROR(VLOOKUP(A83,BUFFS!$H$5:$AF$195,8,),"")</f>
        <v/>
      </c>
      <c r="J83" s="34"/>
      <c r="K83" s="30"/>
      <c r="L83" s="30"/>
      <c r="M83" s="30"/>
      <c r="N83" s="32"/>
      <c r="O83" s="34"/>
      <c r="P83" s="30"/>
      <c r="Q83" s="30"/>
      <c r="R83" s="30"/>
      <c r="S83" s="32"/>
      <c r="T83" s="35"/>
    </row>
    <row r="84" spans="2:20" x14ac:dyDescent="0.3">
      <c r="B84" s="19"/>
      <c r="C84" s="13"/>
      <c r="D84" s="34"/>
      <c r="E84" s="30"/>
      <c r="F84" s="30"/>
      <c r="G84" s="30"/>
      <c r="H84" s="30"/>
      <c r="I84" s="40" t="str">
        <f>IFERROR(VLOOKUP(A84,BUFFS!$H$5:$AF$195,8,),"")</f>
        <v/>
      </c>
      <c r="J84" s="34"/>
      <c r="K84" s="30"/>
      <c r="L84" s="30"/>
      <c r="M84" s="30"/>
      <c r="N84" s="32"/>
      <c r="O84" s="34"/>
      <c r="P84" s="30"/>
      <c r="Q84" s="30"/>
      <c r="R84" s="30"/>
      <c r="S84" s="32"/>
      <c r="T84" s="35"/>
    </row>
    <row r="85" spans="2:20" x14ac:dyDescent="0.3">
      <c r="B85" s="19"/>
      <c r="C85" s="13"/>
      <c r="D85" s="34"/>
      <c r="E85" s="30"/>
      <c r="F85" s="30"/>
      <c r="G85" s="30"/>
      <c r="H85" s="30"/>
      <c r="I85" s="40" t="str">
        <f>IFERROR(VLOOKUP(A85,BUFFS!$H$5:$AF$195,8,),"")</f>
        <v/>
      </c>
      <c r="J85" s="34"/>
      <c r="K85" s="30"/>
      <c r="L85" s="30"/>
      <c r="M85" s="30"/>
      <c r="N85" s="32"/>
      <c r="O85" s="34"/>
      <c r="P85" s="30"/>
      <c r="Q85" s="30"/>
      <c r="R85" s="30"/>
      <c r="S85" s="32"/>
      <c r="T85" s="35"/>
    </row>
    <row r="86" spans="2:20" x14ac:dyDescent="0.3">
      <c r="B86" s="19"/>
      <c r="C86" s="13"/>
      <c r="D86" s="34"/>
      <c r="E86" s="30"/>
      <c r="F86" s="30"/>
      <c r="G86" s="30"/>
      <c r="H86" s="30"/>
      <c r="I86" s="40" t="str">
        <f>IFERROR(VLOOKUP(A86,BUFFS!$H$5:$AF$195,8,),"")</f>
        <v/>
      </c>
      <c r="J86" s="34"/>
      <c r="K86" s="30"/>
      <c r="L86" s="30"/>
      <c r="M86" s="30"/>
      <c r="N86" s="32"/>
      <c r="O86" s="34"/>
      <c r="P86" s="30"/>
      <c r="Q86" s="30"/>
      <c r="R86" s="30"/>
      <c r="S86" s="32"/>
      <c r="T86" s="35"/>
    </row>
    <row r="87" spans="2:20" x14ac:dyDescent="0.3">
      <c r="B87" s="19"/>
      <c r="C87" s="13"/>
      <c r="D87" s="34"/>
      <c r="E87" s="30"/>
      <c r="F87" s="30"/>
      <c r="G87" s="30"/>
      <c r="H87" s="30"/>
      <c r="I87" s="40" t="str">
        <f>IFERROR(VLOOKUP(A87,BUFFS!$H$5:$AF$195,8,),"")</f>
        <v/>
      </c>
      <c r="J87" s="34"/>
      <c r="K87" s="30"/>
      <c r="L87" s="30"/>
      <c r="M87" s="30"/>
      <c r="N87" s="32"/>
      <c r="O87" s="34"/>
      <c r="P87" s="30"/>
      <c r="Q87" s="30"/>
      <c r="R87" s="30"/>
      <c r="S87" s="32"/>
      <c r="T87" s="35"/>
    </row>
    <row r="88" spans="2:20" x14ac:dyDescent="0.3">
      <c r="B88" s="19"/>
      <c r="C88" s="13"/>
      <c r="D88" s="34"/>
      <c r="E88" s="30"/>
      <c r="F88" s="30"/>
      <c r="G88" s="30"/>
      <c r="H88" s="30"/>
      <c r="I88" s="40" t="str">
        <f>IFERROR(VLOOKUP(A88,BUFFS!$H$5:$AF$195,8,),"")</f>
        <v/>
      </c>
      <c r="J88" s="34"/>
      <c r="K88" s="30"/>
      <c r="L88" s="30"/>
      <c r="M88" s="30"/>
      <c r="N88" s="32"/>
      <c r="O88" s="34"/>
      <c r="P88" s="30"/>
      <c r="Q88" s="30"/>
      <c r="R88" s="30"/>
      <c r="S88" s="32"/>
      <c r="T88" s="35"/>
    </row>
    <row r="89" spans="2:20" x14ac:dyDescent="0.3">
      <c r="B89" s="19"/>
      <c r="C89" s="13"/>
      <c r="D89" s="34"/>
      <c r="E89" s="30"/>
      <c r="F89" s="30"/>
      <c r="G89" s="30"/>
      <c r="H89" s="30"/>
      <c r="I89" s="40" t="str">
        <f>IFERROR(VLOOKUP(A89,BUFFS!$H$5:$AF$195,8,),"")</f>
        <v/>
      </c>
      <c r="J89" s="34"/>
      <c r="K89" s="30"/>
      <c r="L89" s="30"/>
      <c r="M89" s="30"/>
      <c r="N89" s="32"/>
      <c r="O89" s="34"/>
      <c r="P89" s="30"/>
      <c r="Q89" s="30"/>
      <c r="R89" s="30"/>
      <c r="S89" s="32"/>
      <c r="T89" s="35"/>
    </row>
    <row r="90" spans="2:20" x14ac:dyDescent="0.3">
      <c r="B90" s="19"/>
      <c r="C90" s="13"/>
      <c r="D90" s="34"/>
      <c r="E90" s="30"/>
      <c r="F90" s="30"/>
      <c r="G90" s="30"/>
      <c r="H90" s="30"/>
      <c r="I90" s="40" t="str">
        <f>IFERROR(VLOOKUP(A90,BUFFS!$H$5:$AF$195,8,),"")</f>
        <v/>
      </c>
      <c r="J90" s="34"/>
      <c r="K90" s="30"/>
      <c r="L90" s="30"/>
      <c r="M90" s="30"/>
      <c r="N90" s="32"/>
      <c r="O90" s="34"/>
      <c r="P90" s="30"/>
      <c r="Q90" s="30"/>
      <c r="R90" s="30"/>
      <c r="S90" s="32"/>
      <c r="T90" s="35"/>
    </row>
    <row r="91" spans="2:20" x14ac:dyDescent="0.3">
      <c r="B91" s="19"/>
      <c r="C91" s="13"/>
      <c r="D91" s="34"/>
      <c r="E91" s="30"/>
      <c r="F91" s="30"/>
      <c r="G91" s="30"/>
      <c r="H91" s="30"/>
      <c r="I91" s="40" t="str">
        <f>IFERROR(VLOOKUP(A91,BUFFS!$H$5:$AF$195,8,),"")</f>
        <v/>
      </c>
      <c r="J91" s="34"/>
      <c r="K91" s="30"/>
      <c r="L91" s="30"/>
      <c r="M91" s="30"/>
      <c r="N91" s="32"/>
      <c r="O91" s="34"/>
      <c r="P91" s="30"/>
      <c r="Q91" s="30"/>
      <c r="R91" s="30"/>
      <c r="S91" s="32"/>
      <c r="T91" s="35"/>
    </row>
    <row r="92" spans="2:20" x14ac:dyDescent="0.3">
      <c r="B92" s="19"/>
      <c r="C92" s="13"/>
      <c r="D92" s="34"/>
      <c r="E92" s="30"/>
      <c r="F92" s="30"/>
      <c r="G92" s="30"/>
      <c r="H92" s="30"/>
      <c r="I92" s="40" t="str">
        <f>IFERROR(VLOOKUP(A92,BUFFS!$H$5:$AF$195,8,),"")</f>
        <v/>
      </c>
      <c r="J92" s="34"/>
      <c r="K92" s="30"/>
      <c r="L92" s="30"/>
      <c r="M92" s="30"/>
      <c r="N92" s="32"/>
      <c r="O92" s="34"/>
      <c r="P92" s="30"/>
      <c r="Q92" s="30"/>
      <c r="R92" s="30"/>
      <c r="S92" s="32"/>
      <c r="T92" s="35"/>
    </row>
    <row r="93" spans="2:20" x14ac:dyDescent="0.3">
      <c r="B93" s="19"/>
      <c r="C93" s="13"/>
      <c r="D93" s="34"/>
      <c r="E93" s="30"/>
      <c r="F93" s="30"/>
      <c r="G93" s="30"/>
      <c r="H93" s="30"/>
      <c r="I93" s="40" t="str">
        <f>IFERROR(VLOOKUP(A93,BUFFS!$H$5:$AF$195,8,),"")</f>
        <v/>
      </c>
      <c r="J93" s="34"/>
      <c r="K93" s="30"/>
      <c r="L93" s="30"/>
      <c r="M93" s="30"/>
      <c r="N93" s="32"/>
      <c r="O93" s="34"/>
      <c r="P93" s="30"/>
      <c r="Q93" s="30"/>
      <c r="R93" s="30"/>
      <c r="S93" s="32"/>
      <c r="T93" s="35"/>
    </row>
    <row r="94" spans="2:20" x14ac:dyDescent="0.3">
      <c r="B94" s="19"/>
      <c r="C94" s="13"/>
      <c r="D94" s="34"/>
      <c r="E94" s="30"/>
      <c r="F94" s="30"/>
      <c r="G94" s="30"/>
      <c r="H94" s="30"/>
      <c r="I94" s="40" t="str">
        <f>IFERROR(VLOOKUP(A94,BUFFS!$H$5:$AF$195,8,),"")</f>
        <v/>
      </c>
      <c r="J94" s="34"/>
      <c r="K94" s="30"/>
      <c r="L94" s="30"/>
      <c r="M94" s="30"/>
      <c r="N94" s="32"/>
      <c r="O94" s="34"/>
      <c r="P94" s="30"/>
      <c r="Q94" s="30"/>
      <c r="R94" s="30"/>
      <c r="S94" s="32"/>
      <c r="T94" s="35"/>
    </row>
    <row r="95" spans="2:20" x14ac:dyDescent="0.3">
      <c r="B95" s="19"/>
      <c r="C95" s="13"/>
      <c r="D95" s="34"/>
      <c r="E95" s="30"/>
      <c r="F95" s="30"/>
      <c r="G95" s="30"/>
      <c r="H95" s="30"/>
      <c r="I95" s="40" t="str">
        <f>IFERROR(VLOOKUP(A95,BUFFS!$H$5:$AF$195,8,),"")</f>
        <v/>
      </c>
      <c r="J95" s="34"/>
      <c r="K95" s="30"/>
      <c r="L95" s="30"/>
      <c r="M95" s="30"/>
      <c r="N95" s="32"/>
      <c r="O95" s="34"/>
      <c r="P95" s="30"/>
      <c r="Q95" s="30"/>
      <c r="R95" s="30"/>
      <c r="S95" s="32"/>
      <c r="T95" s="35"/>
    </row>
    <row r="96" spans="2:20" x14ac:dyDescent="0.3">
      <c r="B96" s="19"/>
      <c r="C96" s="13"/>
      <c r="D96" s="34"/>
      <c r="E96" s="30"/>
      <c r="F96" s="30"/>
      <c r="G96" s="30"/>
      <c r="H96" s="30"/>
      <c r="I96" s="40" t="str">
        <f>IFERROR(VLOOKUP(A96,BUFFS!$H$5:$AF$195,8,),"")</f>
        <v/>
      </c>
      <c r="J96" s="34"/>
      <c r="K96" s="30"/>
      <c r="L96" s="30"/>
      <c r="M96" s="30"/>
      <c r="N96" s="32"/>
      <c r="O96" s="34"/>
      <c r="P96" s="30"/>
      <c r="Q96" s="30"/>
      <c r="R96" s="30"/>
      <c r="S96" s="32"/>
      <c r="T96" s="35"/>
    </row>
    <row r="97" spans="2:20" x14ac:dyDescent="0.3">
      <c r="B97" s="19"/>
      <c r="C97" s="13"/>
      <c r="D97" s="34"/>
      <c r="E97" s="30"/>
      <c r="F97" s="30"/>
      <c r="G97" s="30"/>
      <c r="H97" s="30"/>
      <c r="I97" s="40" t="str">
        <f>IFERROR(VLOOKUP(A97,BUFFS!$H$5:$AF$195,8,),"")</f>
        <v/>
      </c>
      <c r="J97" s="34"/>
      <c r="K97" s="30"/>
      <c r="L97" s="30"/>
      <c r="M97" s="30"/>
      <c r="N97" s="32"/>
      <c r="O97" s="34"/>
      <c r="P97" s="30"/>
      <c r="Q97" s="30"/>
      <c r="R97" s="30"/>
      <c r="S97" s="32"/>
      <c r="T97" s="35"/>
    </row>
    <row r="98" spans="2:20" x14ac:dyDescent="0.3">
      <c r="B98" s="19"/>
      <c r="C98" s="13"/>
      <c r="D98" s="34"/>
      <c r="E98" s="30"/>
      <c r="F98" s="30"/>
      <c r="G98" s="30"/>
      <c r="H98" s="30"/>
      <c r="I98" s="40" t="str">
        <f>IFERROR(VLOOKUP(A98,BUFFS!$H$5:$AF$195,8,),"")</f>
        <v/>
      </c>
      <c r="J98" s="34"/>
      <c r="K98" s="30"/>
      <c r="L98" s="30"/>
      <c r="M98" s="30"/>
      <c r="N98" s="32"/>
      <c r="O98" s="34"/>
      <c r="P98" s="30"/>
      <c r="Q98" s="30"/>
      <c r="R98" s="30"/>
      <c r="S98" s="32"/>
      <c r="T98" s="35"/>
    </row>
    <row r="99" spans="2:20" x14ac:dyDescent="0.3">
      <c r="B99" s="19"/>
      <c r="C99" s="13"/>
      <c r="D99" s="34"/>
      <c r="E99" s="30"/>
      <c r="F99" s="30"/>
      <c r="G99" s="30"/>
      <c r="H99" s="30"/>
      <c r="I99" s="40" t="str">
        <f>IFERROR(VLOOKUP(A99,BUFFS!$H$5:$AF$195,8,),"")</f>
        <v/>
      </c>
      <c r="J99" s="34"/>
      <c r="K99" s="30"/>
      <c r="L99" s="30"/>
      <c r="M99" s="30"/>
      <c r="N99" s="32"/>
      <c r="O99" s="34"/>
      <c r="P99" s="30"/>
      <c r="Q99" s="30"/>
      <c r="R99" s="30"/>
      <c r="S99" s="32"/>
      <c r="T99" s="35"/>
    </row>
    <row r="100" spans="2:20" x14ac:dyDescent="0.3">
      <c r="B100" s="19"/>
      <c r="C100" s="13"/>
      <c r="D100" s="34"/>
      <c r="E100" s="30"/>
      <c r="F100" s="30"/>
      <c r="G100" s="30"/>
      <c r="H100" s="30"/>
      <c r="I100" s="40" t="str">
        <f>IFERROR(VLOOKUP(A100,BUFFS!$H$5:$AF$195,8,),"")</f>
        <v/>
      </c>
      <c r="J100" s="34"/>
      <c r="K100" s="30"/>
      <c r="L100" s="30"/>
      <c r="M100" s="30"/>
      <c r="N100" s="32"/>
      <c r="O100" s="34"/>
      <c r="P100" s="30"/>
      <c r="Q100" s="30"/>
      <c r="R100" s="30"/>
      <c r="S100" s="32"/>
      <c r="T100" s="35"/>
    </row>
    <row r="101" spans="2:20" x14ac:dyDescent="0.3">
      <c r="B101" s="19"/>
      <c r="D101" s="34"/>
      <c r="E101" s="30"/>
      <c r="F101" s="30"/>
      <c r="G101" s="30"/>
      <c r="H101" s="30"/>
      <c r="I101" s="40" t="str">
        <f>IFERROR(VLOOKUP(A101,BUFFS!$H$5:$AF$195,8,),"")</f>
        <v/>
      </c>
      <c r="J101" s="34"/>
      <c r="K101" s="30"/>
      <c r="L101" s="30"/>
      <c r="M101" s="30"/>
      <c r="N101" s="32"/>
      <c r="O101" s="34"/>
      <c r="P101" s="30"/>
      <c r="Q101" s="30"/>
      <c r="R101" s="30"/>
      <c r="S101" s="32"/>
      <c r="T101" s="35"/>
    </row>
    <row r="102" spans="2:20" x14ac:dyDescent="0.3">
      <c r="B102" s="19"/>
      <c r="D102" s="34"/>
      <c r="E102" s="30"/>
      <c r="F102" s="30"/>
      <c r="G102" s="30"/>
      <c r="H102" s="30"/>
      <c r="I102" s="40" t="str">
        <f>IFERROR(VLOOKUP(A102,BUFFS!$H$5:$AF$195,8,),"")</f>
        <v/>
      </c>
      <c r="J102" s="34"/>
      <c r="K102" s="30"/>
      <c r="L102" s="30"/>
      <c r="M102" s="30"/>
      <c r="N102" s="32"/>
      <c r="O102" s="34"/>
      <c r="P102" s="30"/>
      <c r="Q102" s="30"/>
      <c r="R102" s="30"/>
      <c r="S102" s="32"/>
      <c r="T102" s="35"/>
    </row>
    <row r="103" spans="2:20" x14ac:dyDescent="0.3">
      <c r="B103" s="19"/>
      <c r="D103" s="34"/>
      <c r="E103" s="30"/>
      <c r="F103" s="30"/>
      <c r="G103" s="30"/>
      <c r="H103" s="30"/>
      <c r="I103" s="40" t="str">
        <f>IFERROR(VLOOKUP(A103,BUFFS!$H$5:$AF$195,8,),"")</f>
        <v/>
      </c>
      <c r="J103" s="34"/>
      <c r="K103" s="30"/>
      <c r="L103" s="30"/>
      <c r="M103" s="30"/>
      <c r="N103" s="32"/>
      <c r="O103" s="34"/>
      <c r="P103" s="30"/>
      <c r="Q103" s="30"/>
      <c r="R103" s="30"/>
      <c r="S103" s="32"/>
      <c r="T103" s="35"/>
    </row>
    <row r="104" spans="2:20" x14ac:dyDescent="0.3">
      <c r="B104" s="19"/>
      <c r="D104" s="34"/>
      <c r="E104" s="30"/>
      <c r="F104" s="30"/>
      <c r="G104" s="30"/>
      <c r="H104" s="30"/>
      <c r="I104" s="40" t="str">
        <f>IFERROR(VLOOKUP(A104,BUFFS!$H$5:$AF$195,8,),"")</f>
        <v/>
      </c>
      <c r="J104" s="34"/>
      <c r="K104" s="30"/>
      <c r="L104" s="30"/>
      <c r="M104" s="30"/>
      <c r="N104" s="32"/>
      <c r="O104" s="34"/>
      <c r="P104" s="30"/>
      <c r="Q104" s="30"/>
      <c r="R104" s="30"/>
      <c r="S104" s="32"/>
      <c r="T104" s="35"/>
    </row>
    <row r="105" spans="2:20" x14ac:dyDescent="0.3">
      <c r="B105" s="19"/>
      <c r="D105" s="34"/>
      <c r="E105" s="30"/>
      <c r="F105" s="30"/>
      <c r="G105" s="30"/>
      <c r="H105" s="30"/>
      <c r="I105" s="40" t="str">
        <f>IFERROR(VLOOKUP(A105,BUFFS!$H$5:$AF$195,8,),"")</f>
        <v/>
      </c>
      <c r="J105" s="34"/>
      <c r="K105" s="30"/>
      <c r="L105" s="30"/>
      <c r="M105" s="30"/>
      <c r="N105" s="32"/>
      <c r="O105" s="34"/>
      <c r="P105" s="30"/>
      <c r="Q105" s="30"/>
      <c r="R105" s="30"/>
      <c r="S105" s="32"/>
      <c r="T105" s="35"/>
    </row>
    <row r="106" spans="2:20" x14ac:dyDescent="0.3">
      <c r="B106" s="19"/>
      <c r="D106" s="34"/>
      <c r="E106" s="30"/>
      <c r="F106" s="30"/>
      <c r="G106" s="30"/>
      <c r="H106" s="30"/>
      <c r="I106" s="40" t="str">
        <f>IFERROR(VLOOKUP(A106,BUFFS!$H$5:$AF$195,8,),"")</f>
        <v/>
      </c>
      <c r="J106" s="34"/>
      <c r="K106" s="30"/>
      <c r="L106" s="30"/>
      <c r="M106" s="30"/>
      <c r="N106" s="32"/>
      <c r="O106" s="34"/>
      <c r="P106" s="30"/>
      <c r="Q106" s="30"/>
      <c r="R106" s="30"/>
      <c r="S106" s="32"/>
      <c r="T106" s="35"/>
    </row>
    <row r="107" spans="2:20" x14ac:dyDescent="0.3">
      <c r="B107" s="19"/>
      <c r="D107" s="34"/>
      <c r="E107" s="30"/>
      <c r="F107" s="30"/>
      <c r="G107" s="30"/>
      <c r="H107" s="30"/>
      <c r="I107" s="40" t="str">
        <f>IFERROR(VLOOKUP(A107,BUFFS!$H$5:$AF$195,8,),"")</f>
        <v/>
      </c>
      <c r="J107" s="34"/>
      <c r="K107" s="30"/>
      <c r="L107" s="30"/>
      <c r="M107" s="30"/>
      <c r="N107" s="32"/>
      <c r="O107" s="34"/>
      <c r="P107" s="30"/>
      <c r="Q107" s="30"/>
      <c r="R107" s="30"/>
      <c r="S107" s="32"/>
      <c r="T107" s="35"/>
    </row>
    <row r="108" spans="2:20" x14ac:dyDescent="0.3">
      <c r="B108" s="19"/>
      <c r="D108" s="34"/>
      <c r="E108" s="30"/>
      <c r="F108" s="30"/>
      <c r="G108" s="30"/>
      <c r="H108" s="30"/>
      <c r="I108" s="40" t="str">
        <f>IFERROR(VLOOKUP(A108,BUFFS!$H$5:$AF$195,8,),"")</f>
        <v/>
      </c>
      <c r="J108" s="34"/>
      <c r="K108" s="30"/>
      <c r="L108" s="30"/>
      <c r="M108" s="30"/>
      <c r="N108" s="32"/>
      <c r="O108" s="34"/>
      <c r="P108" s="30"/>
      <c r="Q108" s="30"/>
      <c r="R108" s="30"/>
      <c r="S108" s="32"/>
      <c r="T108" s="35"/>
    </row>
    <row r="109" spans="2:20" x14ac:dyDescent="0.3">
      <c r="B109" s="19"/>
      <c r="D109" s="34"/>
      <c r="E109" s="30"/>
      <c r="F109" s="30"/>
      <c r="G109" s="30"/>
      <c r="H109" s="30"/>
      <c r="I109" s="40" t="str">
        <f>IFERROR(VLOOKUP(A109,BUFFS!$H$5:$AF$195,8,),"")</f>
        <v/>
      </c>
      <c r="J109" s="34"/>
      <c r="K109" s="30"/>
      <c r="L109" s="30"/>
      <c r="M109" s="30"/>
      <c r="N109" s="32"/>
      <c r="O109" s="34"/>
      <c r="P109" s="30"/>
      <c r="Q109" s="30"/>
      <c r="R109" s="30"/>
      <c r="S109" s="32"/>
      <c r="T109" s="35"/>
    </row>
    <row r="110" spans="2:20" x14ac:dyDescent="0.3">
      <c r="B110" s="19"/>
      <c r="D110" s="34"/>
      <c r="E110" s="30"/>
      <c r="F110" s="30"/>
      <c r="G110" s="30"/>
      <c r="H110" s="30"/>
      <c r="I110" s="40" t="str">
        <f>IFERROR(VLOOKUP(A110,BUFFS!$H$5:$AF$195,8,),"")</f>
        <v/>
      </c>
      <c r="J110" s="34"/>
      <c r="K110" s="30"/>
      <c r="L110" s="30"/>
      <c r="M110" s="30"/>
      <c r="N110" s="32"/>
      <c r="O110" s="34"/>
      <c r="P110" s="30"/>
      <c r="Q110" s="30"/>
      <c r="R110" s="30"/>
      <c r="S110" s="32"/>
      <c r="T110" s="35"/>
    </row>
    <row r="111" spans="2:20" x14ac:dyDescent="0.3">
      <c r="B111" s="19"/>
      <c r="D111" s="34"/>
      <c r="E111" s="30"/>
      <c r="F111" s="30"/>
      <c r="G111" s="30"/>
      <c r="H111" s="30"/>
      <c r="I111" s="40" t="str">
        <f>IFERROR(VLOOKUP(A111,BUFFS!$H$5:$AF$195,8,),"")</f>
        <v/>
      </c>
      <c r="J111" s="34"/>
      <c r="K111" s="30"/>
      <c r="L111" s="30"/>
      <c r="M111" s="30"/>
      <c r="N111" s="32"/>
      <c r="O111" s="34"/>
      <c r="P111" s="30"/>
      <c r="Q111" s="30"/>
      <c r="R111" s="30"/>
      <c r="S111" s="32"/>
      <c r="T111" s="35"/>
    </row>
    <row r="112" spans="2:20" x14ac:dyDescent="0.3">
      <c r="B112" s="19"/>
      <c r="D112" s="34"/>
      <c r="E112" s="30"/>
      <c r="F112" s="30"/>
      <c r="G112" s="30"/>
      <c r="H112" s="30"/>
      <c r="I112" s="40" t="str">
        <f>IFERROR(VLOOKUP(A112,BUFFS!$H$5:$AF$195,8,),"")</f>
        <v/>
      </c>
      <c r="J112" s="34"/>
      <c r="K112" s="30"/>
      <c r="L112" s="30"/>
      <c r="M112" s="30"/>
      <c r="N112" s="32"/>
      <c r="O112" s="34"/>
      <c r="P112" s="30"/>
      <c r="Q112" s="30"/>
      <c r="R112" s="30"/>
      <c r="S112" s="32"/>
      <c r="T112" s="35"/>
    </row>
    <row r="113" spans="2:20" x14ac:dyDescent="0.3">
      <c r="B113" s="19"/>
      <c r="D113" s="34"/>
      <c r="E113" s="30"/>
      <c r="F113" s="30"/>
      <c r="G113" s="30"/>
      <c r="H113" s="30"/>
      <c r="I113" s="40" t="str">
        <f>IFERROR(VLOOKUP(A113,BUFFS!$H$5:$AF$195,8,),"")</f>
        <v/>
      </c>
      <c r="J113" s="34"/>
      <c r="K113" s="30"/>
      <c r="L113" s="30"/>
      <c r="M113" s="30"/>
      <c r="N113" s="32"/>
      <c r="O113" s="34"/>
      <c r="P113" s="30"/>
      <c r="Q113" s="30"/>
      <c r="R113" s="30"/>
      <c r="S113" s="32"/>
      <c r="T113" s="35"/>
    </row>
    <row r="114" spans="2:20" x14ac:dyDescent="0.3">
      <c r="B114" s="19"/>
      <c r="D114" s="34"/>
      <c r="E114" s="30"/>
      <c r="F114" s="30"/>
      <c r="G114" s="30"/>
      <c r="H114" s="30"/>
      <c r="I114" s="40" t="str">
        <f>IFERROR(VLOOKUP(A114,BUFFS!$H$5:$AF$195,8,),"")</f>
        <v/>
      </c>
      <c r="J114" s="34"/>
      <c r="K114" s="30"/>
      <c r="L114" s="30"/>
      <c r="M114" s="30"/>
      <c r="N114" s="32"/>
      <c r="O114" s="34"/>
      <c r="P114" s="30"/>
      <c r="Q114" s="30"/>
      <c r="R114" s="30"/>
      <c r="S114" s="32"/>
      <c r="T114" s="35"/>
    </row>
    <row r="115" spans="2:20" x14ac:dyDescent="0.3">
      <c r="B115" s="19"/>
      <c r="D115" s="34"/>
      <c r="E115" s="30"/>
      <c r="F115" s="30"/>
      <c r="G115" s="30"/>
      <c r="H115" s="30"/>
      <c r="I115" s="40" t="str">
        <f>IFERROR(VLOOKUP(A115,BUFFS!$H$5:$AF$195,8,),"")</f>
        <v/>
      </c>
      <c r="J115" s="34"/>
      <c r="K115" s="30"/>
      <c r="L115" s="30"/>
      <c r="M115" s="30"/>
      <c r="N115" s="32"/>
      <c r="O115" s="34"/>
      <c r="P115" s="30"/>
      <c r="Q115" s="30"/>
      <c r="R115" s="30"/>
      <c r="S115" s="32"/>
      <c r="T115" s="35"/>
    </row>
    <row r="116" spans="2:20" x14ac:dyDescent="0.3">
      <c r="B116" s="19"/>
      <c r="D116" s="34"/>
      <c r="E116" s="30"/>
      <c r="F116" s="30"/>
      <c r="G116" s="30"/>
      <c r="H116" s="30"/>
      <c r="I116" s="40" t="str">
        <f>IFERROR(VLOOKUP(A116,BUFFS!$H$5:$AF$195,8,),"")</f>
        <v/>
      </c>
      <c r="J116" s="34"/>
      <c r="K116" s="30"/>
      <c r="L116" s="30"/>
      <c r="M116" s="30"/>
      <c r="N116" s="32"/>
      <c r="O116" s="34"/>
      <c r="P116" s="30"/>
      <c r="Q116" s="30"/>
      <c r="R116" s="30"/>
      <c r="S116" s="32"/>
      <c r="T116" s="35"/>
    </row>
    <row r="117" spans="2:20" x14ac:dyDescent="0.3">
      <c r="B117" s="19"/>
      <c r="D117" s="34"/>
      <c r="E117" s="30"/>
      <c r="F117" s="30"/>
      <c r="G117" s="30"/>
      <c r="H117" s="30"/>
      <c r="I117" s="40" t="str">
        <f>IFERROR(VLOOKUP(A117,BUFFS!$H$5:$AF$195,8,),"")</f>
        <v/>
      </c>
      <c r="J117" s="34"/>
      <c r="K117" s="30"/>
      <c r="L117" s="30"/>
      <c r="M117" s="30"/>
      <c r="N117" s="32"/>
      <c r="O117" s="34"/>
      <c r="P117" s="30"/>
      <c r="Q117" s="30"/>
      <c r="R117" s="30"/>
      <c r="S117" s="32"/>
      <c r="T117" s="35"/>
    </row>
    <row r="118" spans="2:20" x14ac:dyDescent="0.3">
      <c r="B118" s="19"/>
      <c r="D118" s="34"/>
      <c r="E118" s="30"/>
      <c r="F118" s="30"/>
      <c r="G118" s="30"/>
      <c r="H118" s="30"/>
      <c r="I118" s="40" t="str">
        <f>IFERROR(VLOOKUP(A118,BUFFS!$H$5:$AF$195,8,),"")</f>
        <v/>
      </c>
      <c r="J118" s="34"/>
      <c r="K118" s="30"/>
      <c r="L118" s="30"/>
      <c r="M118" s="30"/>
      <c r="N118" s="32"/>
      <c r="O118" s="34"/>
      <c r="P118" s="30"/>
      <c r="Q118" s="30"/>
      <c r="R118" s="30"/>
      <c r="S118" s="32"/>
      <c r="T118" s="35"/>
    </row>
    <row r="119" spans="2:20" x14ac:dyDescent="0.3">
      <c r="B119" s="19"/>
      <c r="D119" s="34"/>
      <c r="E119" s="30"/>
      <c r="F119" s="30"/>
      <c r="G119" s="30"/>
      <c r="H119" s="30"/>
      <c r="I119" s="40" t="str">
        <f>IFERROR(VLOOKUP(A119,BUFFS!$H$5:$AF$195,8,),"")</f>
        <v/>
      </c>
      <c r="J119" s="34"/>
      <c r="K119" s="30"/>
      <c r="L119" s="30"/>
      <c r="M119" s="30"/>
      <c r="N119" s="32"/>
      <c r="O119" s="34"/>
      <c r="P119" s="30"/>
      <c r="Q119" s="30"/>
      <c r="R119" s="30"/>
      <c r="S119" s="32"/>
      <c r="T119" s="35"/>
    </row>
    <row r="120" spans="2:20" x14ac:dyDescent="0.3">
      <c r="B120" s="19"/>
      <c r="D120" s="34"/>
      <c r="E120" s="30"/>
      <c r="F120" s="30"/>
      <c r="G120" s="30"/>
      <c r="H120" s="30"/>
      <c r="I120" s="40" t="str">
        <f>IFERROR(VLOOKUP(A120,BUFFS!$H$5:$AF$195,8,),"")</f>
        <v/>
      </c>
      <c r="J120" s="34"/>
      <c r="K120" s="30"/>
      <c r="L120" s="30"/>
      <c r="M120" s="30"/>
      <c r="N120" s="32"/>
      <c r="O120" s="34"/>
      <c r="P120" s="30"/>
      <c r="Q120" s="30"/>
      <c r="R120" s="30"/>
      <c r="S120" s="32"/>
      <c r="T120" s="35"/>
    </row>
    <row r="121" spans="2:20" x14ac:dyDescent="0.3">
      <c r="B121" s="19"/>
      <c r="D121" s="34"/>
      <c r="E121" s="30"/>
      <c r="F121" s="30"/>
      <c r="G121" s="30"/>
      <c r="H121" s="30"/>
      <c r="I121" s="40" t="str">
        <f>IFERROR(VLOOKUP(A121,BUFFS!$H$5:$AF$195,8,),"")</f>
        <v/>
      </c>
      <c r="J121" s="34"/>
      <c r="K121" s="30"/>
      <c r="L121" s="30"/>
      <c r="M121" s="30"/>
      <c r="N121" s="32"/>
      <c r="O121" s="34"/>
      <c r="P121" s="30"/>
      <c r="Q121" s="30"/>
      <c r="R121" s="30"/>
      <c r="S121" s="32"/>
      <c r="T121" s="35"/>
    </row>
    <row r="122" spans="2:20" x14ac:dyDescent="0.3">
      <c r="B122" s="19"/>
      <c r="D122" s="34"/>
      <c r="E122" s="30"/>
      <c r="F122" s="30"/>
      <c r="G122" s="30"/>
      <c r="H122" s="30"/>
      <c r="I122" s="40" t="str">
        <f>IFERROR(VLOOKUP(A122,BUFFS!$H$5:$AF$195,8,),"")</f>
        <v/>
      </c>
      <c r="J122" s="34"/>
      <c r="K122" s="30"/>
      <c r="L122" s="30"/>
      <c r="M122" s="30"/>
      <c r="N122" s="32"/>
      <c r="O122" s="34"/>
      <c r="P122" s="30"/>
      <c r="Q122" s="30"/>
      <c r="R122" s="30"/>
      <c r="S122" s="32"/>
      <c r="T122" s="35"/>
    </row>
    <row r="123" spans="2:20" x14ac:dyDescent="0.3">
      <c r="B123" s="19"/>
      <c r="D123" s="34"/>
      <c r="E123" s="30"/>
      <c r="F123" s="30"/>
      <c r="G123" s="30"/>
      <c r="H123" s="30"/>
      <c r="I123" s="40" t="str">
        <f>IFERROR(VLOOKUP(A123,BUFFS!$H$5:$AF$195,8,),"")</f>
        <v/>
      </c>
      <c r="J123" s="34"/>
      <c r="K123" s="30"/>
      <c r="L123" s="30"/>
      <c r="M123" s="30"/>
      <c r="N123" s="32"/>
      <c r="O123" s="34"/>
      <c r="P123" s="30"/>
      <c r="Q123" s="30"/>
      <c r="R123" s="30"/>
      <c r="S123" s="32"/>
      <c r="T123" s="35"/>
    </row>
    <row r="124" spans="2:20" x14ac:dyDescent="0.3">
      <c r="B124" s="19"/>
      <c r="D124" s="34"/>
      <c r="E124" s="30"/>
      <c r="F124" s="30"/>
      <c r="G124" s="30"/>
      <c r="H124" s="30"/>
      <c r="I124" s="40" t="str">
        <f>IFERROR(VLOOKUP(A124,BUFFS!$H$5:$AF$195,8,),"")</f>
        <v/>
      </c>
      <c r="J124" s="34"/>
      <c r="K124" s="30"/>
      <c r="L124" s="30"/>
      <c r="M124" s="30"/>
      <c r="N124" s="32"/>
      <c r="O124" s="34"/>
      <c r="P124" s="30"/>
      <c r="Q124" s="30"/>
      <c r="R124" s="30"/>
      <c r="S124" s="32"/>
      <c r="T124" s="35"/>
    </row>
    <row r="125" spans="2:20" x14ac:dyDescent="0.3">
      <c r="B125" s="19"/>
      <c r="D125" s="34"/>
      <c r="E125" s="30"/>
      <c r="F125" s="30"/>
      <c r="G125" s="30"/>
      <c r="H125" s="30"/>
      <c r="I125" s="40" t="str">
        <f>IFERROR(VLOOKUP(A125,BUFFS!$H$5:$AF$195,8,),"")</f>
        <v/>
      </c>
      <c r="J125" s="34"/>
      <c r="K125" s="30"/>
      <c r="L125" s="30"/>
      <c r="M125" s="30"/>
      <c r="N125" s="32"/>
      <c r="O125" s="34"/>
      <c r="P125" s="30"/>
      <c r="Q125" s="30"/>
      <c r="R125" s="30"/>
      <c r="S125" s="32"/>
      <c r="T125" s="35"/>
    </row>
    <row r="126" spans="2:20" x14ac:dyDescent="0.3">
      <c r="B126" s="19"/>
      <c r="D126" s="34"/>
      <c r="E126" s="30"/>
      <c r="F126" s="30"/>
      <c r="G126" s="30"/>
      <c r="H126" s="30"/>
      <c r="I126" s="40" t="str">
        <f>IFERROR(VLOOKUP(A126,BUFFS!$H$5:$AF$195,8,),"")</f>
        <v/>
      </c>
      <c r="J126" s="34"/>
      <c r="K126" s="30"/>
      <c r="L126" s="30"/>
      <c r="M126" s="30"/>
      <c r="N126" s="32"/>
      <c r="O126" s="34"/>
      <c r="P126" s="30"/>
      <c r="Q126" s="30"/>
      <c r="R126" s="30"/>
      <c r="S126" s="32"/>
      <c r="T126" s="35"/>
    </row>
    <row r="127" spans="2:20" x14ac:dyDescent="0.3">
      <c r="B127" s="19"/>
      <c r="D127" s="34"/>
      <c r="E127" s="30"/>
      <c r="F127" s="30"/>
      <c r="G127" s="30"/>
      <c r="H127" s="30"/>
      <c r="I127" s="40" t="str">
        <f>IFERROR(VLOOKUP(A127,BUFFS!$H$5:$AF$195,8,),"")</f>
        <v/>
      </c>
      <c r="J127" s="34"/>
      <c r="K127" s="30"/>
      <c r="L127" s="30"/>
      <c r="M127" s="30"/>
      <c r="N127" s="32"/>
      <c r="O127" s="34"/>
      <c r="P127" s="30"/>
      <c r="Q127" s="30"/>
      <c r="R127" s="30"/>
      <c r="S127" s="32"/>
      <c r="T127" s="35"/>
    </row>
    <row r="128" spans="2:20" x14ac:dyDescent="0.3">
      <c r="B128" s="19"/>
      <c r="D128" s="34"/>
      <c r="E128" s="30"/>
      <c r="F128" s="30"/>
      <c r="G128" s="30"/>
      <c r="H128" s="30"/>
      <c r="I128" s="40" t="str">
        <f>IFERROR(VLOOKUP(A128,BUFFS!$H$5:$AF$195,8,),"")</f>
        <v/>
      </c>
      <c r="J128" s="34"/>
      <c r="K128" s="30"/>
      <c r="L128" s="30"/>
      <c r="M128" s="30"/>
      <c r="N128" s="32"/>
      <c r="O128" s="34"/>
      <c r="P128" s="30"/>
      <c r="Q128" s="30"/>
      <c r="R128" s="30"/>
      <c r="S128" s="32"/>
      <c r="T128" s="35"/>
    </row>
    <row r="129" spans="2:20" x14ac:dyDescent="0.3">
      <c r="B129" s="19"/>
      <c r="D129" s="34"/>
      <c r="E129" s="30"/>
      <c r="F129" s="30"/>
      <c r="G129" s="30"/>
      <c r="H129" s="30"/>
      <c r="I129" s="40" t="str">
        <f>IFERROR(VLOOKUP(A129,BUFFS!$H$5:$AF$195,8,),"")</f>
        <v/>
      </c>
      <c r="J129" s="34"/>
      <c r="K129" s="30"/>
      <c r="L129" s="30"/>
      <c r="M129" s="30"/>
      <c r="N129" s="32"/>
      <c r="O129" s="34"/>
      <c r="P129" s="30"/>
      <c r="Q129" s="30"/>
      <c r="R129" s="30"/>
      <c r="S129" s="32"/>
      <c r="T129" s="35"/>
    </row>
    <row r="130" spans="2:20" x14ac:dyDescent="0.3">
      <c r="B130" s="19"/>
      <c r="D130" s="34"/>
      <c r="E130" s="30"/>
      <c r="F130" s="30"/>
      <c r="G130" s="30"/>
      <c r="H130" s="30"/>
      <c r="I130" s="40" t="str">
        <f>IFERROR(VLOOKUP(A130,BUFFS!$H$5:$AF$195,8,),"")</f>
        <v/>
      </c>
      <c r="J130" s="34"/>
      <c r="K130" s="30"/>
      <c r="L130" s="30"/>
      <c r="M130" s="30"/>
      <c r="N130" s="32"/>
      <c r="O130" s="34"/>
      <c r="P130" s="30"/>
      <c r="Q130" s="30"/>
      <c r="R130" s="30"/>
      <c r="S130" s="32"/>
      <c r="T130" s="35"/>
    </row>
    <row r="131" spans="2:20" x14ac:dyDescent="0.3">
      <c r="B131" s="19"/>
      <c r="D131" s="34"/>
      <c r="E131" s="30"/>
      <c r="F131" s="30"/>
      <c r="G131" s="30"/>
      <c r="H131" s="30"/>
      <c r="I131" s="40" t="str">
        <f>IFERROR(VLOOKUP(A131,BUFFS!$H$5:$AF$195,8,),"")</f>
        <v/>
      </c>
      <c r="J131" s="34"/>
      <c r="K131" s="30"/>
      <c r="L131" s="30"/>
      <c r="M131" s="30"/>
      <c r="N131" s="32"/>
      <c r="O131" s="34"/>
      <c r="P131" s="30"/>
      <c r="Q131" s="30"/>
      <c r="R131" s="30"/>
      <c r="S131" s="32"/>
      <c r="T131" s="35"/>
    </row>
    <row r="132" spans="2:20" x14ac:dyDescent="0.3">
      <c r="B132" s="19"/>
      <c r="D132" s="34"/>
      <c r="E132" s="30"/>
      <c r="F132" s="30"/>
      <c r="G132" s="30"/>
      <c r="H132" s="30"/>
      <c r="I132" s="40" t="str">
        <f>IFERROR(VLOOKUP(A132,BUFFS!$H$5:$AF$195,8,),"")</f>
        <v/>
      </c>
      <c r="J132" s="34"/>
      <c r="K132" s="30"/>
      <c r="L132" s="30"/>
      <c r="M132" s="30"/>
      <c r="N132" s="32"/>
      <c r="O132" s="34"/>
      <c r="P132" s="30"/>
      <c r="Q132" s="30"/>
      <c r="R132" s="30"/>
      <c r="S132" s="32"/>
      <c r="T132" s="35"/>
    </row>
    <row r="133" spans="2:20" x14ac:dyDescent="0.3">
      <c r="B133" s="19"/>
      <c r="D133" s="34"/>
      <c r="E133" s="30"/>
      <c r="F133" s="30"/>
      <c r="G133" s="30"/>
      <c r="H133" s="30"/>
      <c r="I133" s="40" t="str">
        <f>IFERROR(VLOOKUP(A133,BUFFS!$H$5:$AF$195,8,),"")</f>
        <v/>
      </c>
      <c r="J133" s="34"/>
      <c r="K133" s="30"/>
      <c r="L133" s="30"/>
      <c r="M133" s="30"/>
      <c r="N133" s="32"/>
      <c r="O133" s="34"/>
      <c r="P133" s="30"/>
      <c r="Q133" s="30"/>
      <c r="R133" s="30"/>
      <c r="S133" s="32"/>
      <c r="T133" s="35"/>
    </row>
    <row r="134" spans="2:20" x14ac:dyDescent="0.3">
      <c r="B134" s="19"/>
      <c r="D134" s="34"/>
      <c r="E134" s="30"/>
      <c r="F134" s="30"/>
      <c r="G134" s="30"/>
      <c r="H134" s="30"/>
      <c r="I134" s="40" t="str">
        <f>IFERROR(VLOOKUP(A134,BUFFS!$H$5:$AF$195,8,),"")</f>
        <v/>
      </c>
      <c r="J134" s="34"/>
      <c r="K134" s="30"/>
      <c r="L134" s="30"/>
      <c r="M134" s="30"/>
      <c r="N134" s="32"/>
      <c r="O134" s="34"/>
      <c r="P134" s="30"/>
      <c r="Q134" s="30"/>
      <c r="R134" s="30"/>
      <c r="S134" s="32"/>
      <c r="T134" s="35"/>
    </row>
    <row r="135" spans="2:20" x14ac:dyDescent="0.3">
      <c r="B135" s="19"/>
      <c r="D135" s="34"/>
      <c r="E135" s="30"/>
      <c r="F135" s="30"/>
      <c r="G135" s="30"/>
      <c r="H135" s="30"/>
      <c r="I135" s="40" t="str">
        <f>IFERROR(VLOOKUP(A135,BUFFS!$H$5:$AF$195,8,),"")</f>
        <v/>
      </c>
      <c r="J135" s="34"/>
      <c r="K135" s="30"/>
      <c r="L135" s="30"/>
      <c r="M135" s="30"/>
      <c r="N135" s="32"/>
      <c r="O135" s="34"/>
      <c r="P135" s="30"/>
      <c r="Q135" s="30"/>
      <c r="R135" s="30"/>
      <c r="S135" s="32"/>
      <c r="T135" s="35"/>
    </row>
    <row r="136" spans="2:20" x14ac:dyDescent="0.3">
      <c r="B136" s="19"/>
      <c r="D136" s="34"/>
      <c r="E136" s="30"/>
      <c r="F136" s="30"/>
      <c r="G136" s="30"/>
      <c r="H136" s="30"/>
      <c r="I136" s="40" t="str">
        <f>IFERROR(VLOOKUP(A136,BUFFS!$H$5:$AF$195,8,),"")</f>
        <v/>
      </c>
      <c r="J136" s="34"/>
      <c r="K136" s="30"/>
      <c r="L136" s="30"/>
      <c r="M136" s="30"/>
      <c r="N136" s="32"/>
      <c r="O136" s="34"/>
      <c r="P136" s="30"/>
      <c r="Q136" s="30"/>
      <c r="R136" s="30"/>
      <c r="S136" s="32"/>
      <c r="T136" s="35"/>
    </row>
    <row r="137" spans="2:20" x14ac:dyDescent="0.3">
      <c r="B137" s="19"/>
      <c r="D137" s="34"/>
      <c r="E137" s="30"/>
      <c r="F137" s="30"/>
      <c r="G137" s="30"/>
      <c r="H137" s="30"/>
      <c r="I137" s="40" t="str">
        <f>IFERROR(VLOOKUP(A137,BUFFS!$H$5:$AF$195,8,),"")</f>
        <v/>
      </c>
      <c r="J137" s="34"/>
      <c r="K137" s="30"/>
      <c r="L137" s="30"/>
      <c r="M137" s="30"/>
      <c r="N137" s="32"/>
      <c r="O137" s="34"/>
      <c r="P137" s="30"/>
      <c r="Q137" s="30"/>
      <c r="R137" s="30"/>
      <c r="S137" s="32"/>
      <c r="T137" s="35"/>
    </row>
    <row r="138" spans="2:20" x14ac:dyDescent="0.3">
      <c r="B138" s="19"/>
      <c r="D138" s="34"/>
      <c r="E138" s="30"/>
      <c r="F138" s="30"/>
      <c r="G138" s="30"/>
      <c r="H138" s="30"/>
      <c r="I138" s="40" t="str">
        <f>IFERROR(VLOOKUP(A138,BUFFS!$H$5:$AF$195,8,),"")</f>
        <v/>
      </c>
      <c r="J138" s="34"/>
      <c r="K138" s="30"/>
      <c r="L138" s="30"/>
      <c r="M138" s="30"/>
      <c r="N138" s="32"/>
      <c r="O138" s="34"/>
      <c r="P138" s="30"/>
      <c r="Q138" s="30"/>
      <c r="R138" s="30"/>
      <c r="S138" s="32"/>
      <c r="T138" s="35"/>
    </row>
    <row r="139" spans="2:20" x14ac:dyDescent="0.3">
      <c r="B139" s="19"/>
      <c r="D139" s="34"/>
      <c r="E139" s="30"/>
      <c r="F139" s="30"/>
      <c r="G139" s="30"/>
      <c r="H139" s="30"/>
      <c r="I139" s="40" t="str">
        <f>IFERROR(VLOOKUP(A139,BUFFS!$H$5:$AF$195,8,),"")</f>
        <v/>
      </c>
      <c r="J139" s="34"/>
      <c r="K139" s="30"/>
      <c r="L139" s="30"/>
      <c r="M139" s="30"/>
      <c r="N139" s="32"/>
      <c r="O139" s="34"/>
      <c r="P139" s="30"/>
      <c r="Q139" s="30"/>
      <c r="R139" s="30"/>
      <c r="S139" s="32"/>
      <c r="T139" s="35"/>
    </row>
    <row r="140" spans="2:20" x14ac:dyDescent="0.3">
      <c r="B140" s="19"/>
      <c r="D140" s="34"/>
      <c r="E140" s="30"/>
      <c r="F140" s="30"/>
      <c r="G140" s="30"/>
      <c r="H140" s="30"/>
      <c r="I140" s="40" t="str">
        <f>IFERROR(VLOOKUP(A140,BUFFS!$H$5:$AF$195,8,),"")</f>
        <v/>
      </c>
      <c r="J140" s="34"/>
      <c r="K140" s="30"/>
      <c r="L140" s="30"/>
      <c r="M140" s="30"/>
      <c r="N140" s="32"/>
      <c r="O140" s="34"/>
      <c r="P140" s="30"/>
      <c r="Q140" s="30"/>
      <c r="R140" s="30"/>
      <c r="S140" s="32"/>
      <c r="T140" s="35"/>
    </row>
    <row r="141" spans="2:20" x14ac:dyDescent="0.3">
      <c r="B141" s="19"/>
      <c r="D141" s="34"/>
      <c r="E141" s="30"/>
      <c r="F141" s="30"/>
      <c r="G141" s="30"/>
      <c r="H141" s="30"/>
      <c r="I141" s="40" t="str">
        <f>IFERROR(VLOOKUP(A141,BUFFS!$H$5:$AF$195,8,),"")</f>
        <v/>
      </c>
      <c r="J141" s="34"/>
      <c r="K141" s="30"/>
      <c r="L141" s="30"/>
      <c r="M141" s="30"/>
      <c r="N141" s="32"/>
      <c r="O141" s="34"/>
      <c r="P141" s="30"/>
      <c r="Q141" s="30"/>
      <c r="R141" s="30"/>
      <c r="S141" s="32"/>
      <c r="T141" s="35"/>
    </row>
    <row r="142" spans="2:20" x14ac:dyDescent="0.3">
      <c r="B142" s="19"/>
      <c r="D142" s="34"/>
      <c r="E142" s="30"/>
      <c r="F142" s="30"/>
      <c r="G142" s="30"/>
      <c r="H142" s="30"/>
      <c r="I142" s="40" t="str">
        <f>IFERROR(VLOOKUP(A142,BUFFS!$H$5:$AF$195,8,),"")</f>
        <v/>
      </c>
      <c r="J142" s="34"/>
      <c r="K142" s="30"/>
      <c r="L142" s="30"/>
      <c r="M142" s="30"/>
      <c r="N142" s="32"/>
      <c r="O142" s="34"/>
      <c r="P142" s="30"/>
      <c r="Q142" s="30"/>
      <c r="R142" s="30"/>
      <c r="S142" s="32"/>
      <c r="T142" s="35"/>
    </row>
    <row r="143" spans="2:20" x14ac:dyDescent="0.3">
      <c r="B143" s="19"/>
      <c r="D143" s="34"/>
      <c r="E143" s="30"/>
      <c r="F143" s="30"/>
      <c r="G143" s="30"/>
      <c r="H143" s="30"/>
      <c r="I143" s="40" t="str">
        <f>IFERROR(VLOOKUP(A143,BUFFS!$H$5:$AF$195,8,),"")</f>
        <v/>
      </c>
      <c r="J143" s="34"/>
      <c r="K143" s="30"/>
      <c r="L143" s="30"/>
      <c r="M143" s="30"/>
      <c r="N143" s="32"/>
      <c r="O143" s="34"/>
      <c r="P143" s="30"/>
      <c r="Q143" s="30"/>
      <c r="R143" s="30"/>
      <c r="S143" s="32"/>
      <c r="T143" s="35"/>
    </row>
    <row r="144" spans="2:20" x14ac:dyDescent="0.3">
      <c r="B144" s="19"/>
      <c r="D144" s="34"/>
      <c r="E144" s="30"/>
      <c r="F144" s="30"/>
      <c r="G144" s="30"/>
      <c r="H144" s="30"/>
      <c r="I144" s="40" t="str">
        <f>IFERROR(VLOOKUP(A144,BUFFS!$H$5:$AF$195,8,),"")</f>
        <v/>
      </c>
      <c r="J144" s="34"/>
      <c r="K144" s="30"/>
      <c r="L144" s="30"/>
      <c r="M144" s="30"/>
      <c r="N144" s="32"/>
      <c r="O144" s="34"/>
      <c r="P144" s="30"/>
      <c r="Q144" s="30"/>
      <c r="R144" s="30"/>
      <c r="S144" s="32"/>
      <c r="T144" s="35"/>
    </row>
    <row r="145" spans="2:20" x14ac:dyDescent="0.3">
      <c r="B145" s="19"/>
      <c r="D145" s="34"/>
      <c r="E145" s="30"/>
      <c r="F145" s="30"/>
      <c r="G145" s="30"/>
      <c r="H145" s="30"/>
      <c r="I145" s="40" t="str">
        <f>IFERROR(VLOOKUP(A145,BUFFS!$H$5:$AF$195,8,),"")</f>
        <v/>
      </c>
      <c r="J145" s="34"/>
      <c r="K145" s="30"/>
      <c r="L145" s="30"/>
      <c r="M145" s="30"/>
      <c r="N145" s="32"/>
      <c r="O145" s="34"/>
      <c r="P145" s="30"/>
      <c r="Q145" s="30"/>
      <c r="R145" s="30"/>
      <c r="S145" s="32"/>
      <c r="T145" s="35"/>
    </row>
    <row r="146" spans="2:20" x14ac:dyDescent="0.3">
      <c r="B146" s="19"/>
      <c r="D146" s="34"/>
      <c r="E146" s="30"/>
      <c r="F146" s="30"/>
      <c r="G146" s="30"/>
      <c r="H146" s="30"/>
      <c r="I146" s="40" t="str">
        <f>IFERROR(VLOOKUP(A146,BUFFS!$H$5:$AF$195,8,),"")</f>
        <v/>
      </c>
      <c r="J146" s="34"/>
      <c r="K146" s="30"/>
      <c r="L146" s="30"/>
      <c r="M146" s="30"/>
      <c r="N146" s="32"/>
      <c r="O146" s="34"/>
      <c r="P146" s="30"/>
      <c r="Q146" s="30"/>
      <c r="R146" s="30"/>
      <c r="S146" s="32"/>
      <c r="T146" s="35"/>
    </row>
    <row r="147" spans="2:20" x14ac:dyDescent="0.3">
      <c r="B147" s="19"/>
      <c r="D147" s="34"/>
      <c r="E147" s="30"/>
      <c r="F147" s="30"/>
      <c r="G147" s="30"/>
      <c r="H147" s="30"/>
      <c r="I147" s="40" t="str">
        <f>IFERROR(VLOOKUP(A147,BUFFS!$H$5:$AF$195,8,),"")</f>
        <v/>
      </c>
      <c r="J147" s="34"/>
      <c r="K147" s="30"/>
      <c r="L147" s="30"/>
      <c r="M147" s="30"/>
      <c r="N147" s="32"/>
      <c r="O147" s="34"/>
      <c r="P147" s="30"/>
      <c r="Q147" s="30"/>
      <c r="R147" s="30"/>
      <c r="S147" s="32"/>
      <c r="T147" s="35"/>
    </row>
    <row r="148" spans="2:20" x14ac:dyDescent="0.3">
      <c r="B148" s="19"/>
      <c r="D148" s="34"/>
      <c r="E148" s="30"/>
      <c r="F148" s="30"/>
      <c r="G148" s="30"/>
      <c r="H148" s="30"/>
      <c r="I148" s="40" t="str">
        <f>IFERROR(VLOOKUP(A148,BUFFS!$H$5:$AF$195,8,),"")</f>
        <v/>
      </c>
      <c r="J148" s="34"/>
      <c r="K148" s="30"/>
      <c r="L148" s="30"/>
      <c r="M148" s="30"/>
      <c r="N148" s="32"/>
      <c r="O148" s="34"/>
      <c r="P148" s="30"/>
      <c r="Q148" s="30"/>
      <c r="R148" s="30"/>
      <c r="S148" s="32"/>
      <c r="T148" s="35"/>
    </row>
    <row r="149" spans="2:20" x14ac:dyDescent="0.3">
      <c r="B149" s="19"/>
      <c r="D149" s="34"/>
      <c r="E149" s="30"/>
      <c r="F149" s="30"/>
      <c r="G149" s="30"/>
      <c r="H149" s="30"/>
      <c r="I149" s="40" t="str">
        <f>IFERROR(VLOOKUP(A149,BUFFS!$H$5:$AF$195,8,),"")</f>
        <v/>
      </c>
      <c r="J149" s="34"/>
      <c r="K149" s="30"/>
      <c r="L149" s="30"/>
      <c r="M149" s="30"/>
      <c r="N149" s="32"/>
      <c r="O149" s="34"/>
      <c r="P149" s="30"/>
      <c r="Q149" s="30"/>
      <c r="R149" s="30"/>
      <c r="S149" s="32"/>
      <c r="T149" s="35"/>
    </row>
    <row r="150" spans="2:20" x14ac:dyDescent="0.3">
      <c r="B150" s="19"/>
      <c r="D150" s="34"/>
      <c r="E150" s="30"/>
      <c r="F150" s="30"/>
      <c r="G150" s="30"/>
      <c r="H150" s="30"/>
      <c r="I150" s="40" t="str">
        <f>IFERROR(VLOOKUP(A150,BUFFS!$H$5:$AF$195,8,),"")</f>
        <v/>
      </c>
      <c r="J150" s="34"/>
      <c r="K150" s="30"/>
      <c r="L150" s="30"/>
      <c r="M150" s="30"/>
      <c r="N150" s="32"/>
      <c r="O150" s="34"/>
      <c r="P150" s="30"/>
      <c r="Q150" s="30"/>
      <c r="R150" s="30"/>
      <c r="S150" s="32"/>
      <c r="T150" s="35"/>
    </row>
    <row r="151" spans="2:20" x14ac:dyDescent="0.3">
      <c r="B151" s="19"/>
      <c r="D151" s="34"/>
      <c r="E151" s="30"/>
      <c r="F151" s="30"/>
      <c r="G151" s="30"/>
      <c r="H151" s="30"/>
      <c r="I151" s="40" t="str">
        <f>IFERROR(VLOOKUP(A151,BUFFS!$H$5:$AF$195,8,),"")</f>
        <v/>
      </c>
      <c r="J151" s="34"/>
      <c r="K151" s="30"/>
      <c r="L151" s="30"/>
      <c r="M151" s="30"/>
      <c r="N151" s="32"/>
      <c r="O151" s="34"/>
      <c r="P151" s="30"/>
      <c r="Q151" s="30"/>
      <c r="R151" s="30"/>
      <c r="S151" s="32"/>
      <c r="T151" s="35"/>
    </row>
    <row r="152" spans="2:20" x14ac:dyDescent="0.3">
      <c r="B152" s="19"/>
      <c r="D152" s="34"/>
      <c r="E152" s="30"/>
      <c r="F152" s="30"/>
      <c r="G152" s="30"/>
      <c r="H152" s="30"/>
      <c r="I152" s="40" t="str">
        <f>IFERROR(VLOOKUP(A152,BUFFS!$H$5:$AF$195,8,),"")</f>
        <v/>
      </c>
      <c r="J152" s="34"/>
      <c r="K152" s="30"/>
      <c r="L152" s="30"/>
      <c r="M152" s="30"/>
      <c r="N152" s="32"/>
      <c r="O152" s="34"/>
      <c r="P152" s="30"/>
      <c r="Q152" s="30"/>
      <c r="R152" s="30"/>
      <c r="S152" s="32"/>
      <c r="T152" s="35"/>
    </row>
    <row r="153" spans="2:20" x14ac:dyDescent="0.3">
      <c r="B153" s="19"/>
      <c r="D153" s="34"/>
      <c r="E153" s="30"/>
      <c r="F153" s="30"/>
      <c r="G153" s="30"/>
      <c r="H153" s="30"/>
      <c r="I153" s="40" t="str">
        <f>IFERROR(VLOOKUP(A153,BUFFS!$H$5:$AF$195,8,),"")</f>
        <v/>
      </c>
      <c r="J153" s="34"/>
      <c r="K153" s="30"/>
      <c r="L153" s="30"/>
      <c r="M153" s="30"/>
      <c r="N153" s="32"/>
      <c r="O153" s="34"/>
      <c r="P153" s="30"/>
      <c r="Q153" s="30"/>
      <c r="R153" s="30"/>
      <c r="S153" s="32"/>
      <c r="T153" s="35"/>
    </row>
    <row r="154" spans="2:20" x14ac:dyDescent="0.3">
      <c r="B154" s="19"/>
      <c r="D154" s="34"/>
      <c r="E154" s="30"/>
      <c r="F154" s="30"/>
      <c r="G154" s="30"/>
      <c r="H154" s="30"/>
      <c r="I154" s="40" t="str">
        <f>IFERROR(VLOOKUP(A154,BUFFS!$H$5:$AF$195,8,),"")</f>
        <v/>
      </c>
      <c r="J154" s="34"/>
      <c r="K154" s="30"/>
      <c r="L154" s="30"/>
      <c r="M154" s="30"/>
      <c r="N154" s="32"/>
      <c r="O154" s="34"/>
      <c r="P154" s="30"/>
      <c r="Q154" s="30"/>
      <c r="R154" s="30"/>
      <c r="S154" s="32"/>
      <c r="T154" s="35"/>
    </row>
    <row r="155" spans="2:20" x14ac:dyDescent="0.3">
      <c r="B155" s="19"/>
      <c r="D155" s="34"/>
      <c r="E155" s="30"/>
      <c r="F155" s="30"/>
      <c r="G155" s="30"/>
      <c r="H155" s="30"/>
      <c r="I155" s="40" t="str">
        <f>IFERROR(VLOOKUP(A155,BUFFS!$H$5:$AF$195,8,),"")</f>
        <v/>
      </c>
      <c r="J155" s="34"/>
      <c r="K155" s="30"/>
      <c r="L155" s="30"/>
      <c r="M155" s="30"/>
      <c r="N155" s="32"/>
      <c r="O155" s="34"/>
      <c r="P155" s="30"/>
      <c r="Q155" s="30"/>
      <c r="R155" s="30"/>
      <c r="S155" s="32"/>
      <c r="T155" s="35"/>
    </row>
    <row r="156" spans="2:20" x14ac:dyDescent="0.3">
      <c r="B156" s="19"/>
      <c r="D156" s="34"/>
      <c r="E156" s="30"/>
      <c r="F156" s="30"/>
      <c r="G156" s="30"/>
      <c r="H156" s="30"/>
      <c r="I156" s="40" t="str">
        <f>IFERROR(VLOOKUP(A156,BUFFS!$H$5:$AF$195,8,),"")</f>
        <v/>
      </c>
      <c r="J156" s="34"/>
      <c r="K156" s="30"/>
      <c r="L156" s="30"/>
      <c r="M156" s="30"/>
      <c r="N156" s="32"/>
      <c r="O156" s="34"/>
      <c r="P156" s="30"/>
      <c r="Q156" s="30"/>
      <c r="R156" s="30"/>
      <c r="S156" s="32"/>
      <c r="T156" s="35"/>
    </row>
    <row r="157" spans="2:20" x14ac:dyDescent="0.3">
      <c r="B157" s="19"/>
      <c r="D157" s="34"/>
      <c r="E157" s="30"/>
      <c r="F157" s="30"/>
      <c r="G157" s="30"/>
      <c r="H157" s="30"/>
      <c r="I157" s="40" t="str">
        <f>IFERROR(VLOOKUP(A157,BUFFS!$H$5:$AF$195,8,),"")</f>
        <v/>
      </c>
      <c r="J157" s="34"/>
      <c r="K157" s="30"/>
      <c r="L157" s="30"/>
      <c r="M157" s="30"/>
      <c r="N157" s="32"/>
      <c r="O157" s="34"/>
      <c r="P157" s="30"/>
      <c r="Q157" s="30"/>
      <c r="R157" s="30"/>
      <c r="S157" s="32"/>
      <c r="T157" s="35"/>
    </row>
    <row r="158" spans="2:20" x14ac:dyDescent="0.3">
      <c r="B158" s="19"/>
      <c r="D158" s="34"/>
      <c r="E158" s="30"/>
      <c r="F158" s="30"/>
      <c r="G158" s="30"/>
      <c r="H158" s="30"/>
      <c r="I158" s="40" t="str">
        <f>IFERROR(VLOOKUP(A158,BUFFS!$H$5:$AF$195,8,),"")</f>
        <v/>
      </c>
      <c r="J158" s="34"/>
      <c r="K158" s="30"/>
      <c r="L158" s="30"/>
      <c r="M158" s="30"/>
      <c r="N158" s="32"/>
      <c r="O158" s="34"/>
      <c r="P158" s="30"/>
      <c r="Q158" s="30"/>
      <c r="R158" s="30"/>
      <c r="S158" s="32"/>
      <c r="T158" s="35"/>
    </row>
    <row r="159" spans="2:20" x14ac:dyDescent="0.3">
      <c r="B159" s="19"/>
      <c r="D159" s="34"/>
      <c r="E159" s="30"/>
      <c r="F159" s="30"/>
      <c r="G159" s="30"/>
      <c r="H159" s="30"/>
      <c r="I159" s="40" t="str">
        <f>IFERROR(VLOOKUP(A159,BUFFS!$H$5:$AF$195,8,),"")</f>
        <v/>
      </c>
      <c r="J159" s="34"/>
      <c r="K159" s="30"/>
      <c r="L159" s="30"/>
      <c r="M159" s="30"/>
      <c r="N159" s="32"/>
      <c r="O159" s="34"/>
      <c r="P159" s="30"/>
      <c r="Q159" s="30"/>
      <c r="R159" s="30"/>
      <c r="S159" s="32"/>
      <c r="T159" s="35"/>
    </row>
    <row r="160" spans="2:20" x14ac:dyDescent="0.3">
      <c r="B160" s="19"/>
      <c r="D160" s="34"/>
      <c r="E160" s="30"/>
      <c r="F160" s="30"/>
      <c r="G160" s="30"/>
      <c r="H160" s="30"/>
      <c r="I160" s="40" t="str">
        <f>IFERROR(VLOOKUP(A160,BUFFS!$H$5:$AF$195,8,),"")</f>
        <v/>
      </c>
      <c r="J160" s="34"/>
      <c r="K160" s="30"/>
      <c r="L160" s="30"/>
      <c r="M160" s="30"/>
      <c r="N160" s="32"/>
      <c r="O160" s="34"/>
      <c r="P160" s="30"/>
      <c r="Q160" s="30"/>
      <c r="R160" s="30"/>
      <c r="S160" s="32"/>
      <c r="T160" s="35"/>
    </row>
    <row r="161" spans="2:20" x14ac:dyDescent="0.3">
      <c r="B161" s="19"/>
      <c r="D161" s="34"/>
      <c r="E161" s="30"/>
      <c r="F161" s="30"/>
      <c r="G161" s="30"/>
      <c r="H161" s="30"/>
      <c r="I161" s="40" t="str">
        <f>IFERROR(VLOOKUP(A161,BUFFS!$H$5:$AF$195,8,),"")</f>
        <v/>
      </c>
      <c r="J161" s="34"/>
      <c r="K161" s="30"/>
      <c r="L161" s="30"/>
      <c r="M161" s="30"/>
      <c r="N161" s="32"/>
      <c r="O161" s="34"/>
      <c r="P161" s="30"/>
      <c r="Q161" s="30"/>
      <c r="R161" s="30"/>
      <c r="S161" s="32"/>
      <c r="T161" s="35"/>
    </row>
    <row r="162" spans="2:20" x14ac:dyDescent="0.3">
      <c r="B162" s="19"/>
      <c r="D162" s="34"/>
      <c r="E162" s="30"/>
      <c r="F162" s="30"/>
      <c r="G162" s="30"/>
      <c r="H162" s="30"/>
      <c r="I162" s="40" t="str">
        <f>IFERROR(VLOOKUP(A162,BUFFS!$H$5:$AF$195,8,),"")</f>
        <v/>
      </c>
      <c r="J162" s="34"/>
      <c r="K162" s="30"/>
      <c r="L162" s="30"/>
      <c r="M162" s="30"/>
      <c r="N162" s="32"/>
      <c r="O162" s="34"/>
      <c r="P162" s="30"/>
      <c r="Q162" s="30"/>
      <c r="R162" s="30"/>
      <c r="S162" s="32"/>
      <c r="T162" s="35"/>
    </row>
    <row r="163" spans="2:20" x14ac:dyDescent="0.3">
      <c r="B163" s="19"/>
      <c r="D163" s="34"/>
      <c r="E163" s="30"/>
      <c r="F163" s="30"/>
      <c r="G163" s="30"/>
      <c r="H163" s="30"/>
      <c r="I163" s="40" t="str">
        <f>IFERROR(VLOOKUP(A163,BUFFS!$H$5:$AF$195,8,),"")</f>
        <v/>
      </c>
      <c r="J163" s="34"/>
      <c r="K163" s="30"/>
      <c r="L163" s="30"/>
      <c r="M163" s="30"/>
      <c r="N163" s="32"/>
      <c r="O163" s="34"/>
      <c r="P163" s="30"/>
      <c r="Q163" s="30"/>
      <c r="R163" s="30"/>
      <c r="S163" s="32"/>
      <c r="T163" s="35"/>
    </row>
    <row r="164" spans="2:20" x14ac:dyDescent="0.3">
      <c r="B164" s="19"/>
      <c r="D164" s="34"/>
      <c r="E164" s="30"/>
      <c r="F164" s="30"/>
      <c r="G164" s="30"/>
      <c r="H164" s="30"/>
      <c r="I164" s="40" t="str">
        <f>IFERROR(VLOOKUP(A164,BUFFS!$H$5:$AF$195,8,),"")</f>
        <v/>
      </c>
      <c r="J164" s="34"/>
      <c r="K164" s="30"/>
      <c r="L164" s="30"/>
      <c r="M164" s="30"/>
      <c r="N164" s="32"/>
      <c r="O164" s="34"/>
      <c r="P164" s="30"/>
      <c r="Q164" s="30"/>
      <c r="R164" s="30"/>
      <c r="S164" s="32"/>
      <c r="T164" s="35"/>
    </row>
    <row r="165" spans="2:20" x14ac:dyDescent="0.3">
      <c r="B165" s="19"/>
      <c r="D165" s="34"/>
      <c r="E165" s="30"/>
      <c r="F165" s="30"/>
      <c r="G165" s="30"/>
      <c r="H165" s="30"/>
      <c r="I165" s="40" t="str">
        <f>IFERROR(VLOOKUP(A165,BUFFS!$H$5:$AF$195,8,),"")</f>
        <v/>
      </c>
      <c r="J165" s="34"/>
      <c r="K165" s="30"/>
      <c r="L165" s="30"/>
      <c r="M165" s="30"/>
      <c r="N165" s="32"/>
      <c r="O165" s="34"/>
      <c r="P165" s="30"/>
      <c r="Q165" s="30"/>
      <c r="R165" s="30"/>
      <c r="S165" s="32"/>
      <c r="T165" s="35"/>
    </row>
    <row r="166" spans="2:20" x14ac:dyDescent="0.3">
      <c r="B166" s="19"/>
      <c r="D166" s="34"/>
      <c r="E166" s="30"/>
      <c r="F166" s="30"/>
      <c r="G166" s="30"/>
      <c r="H166" s="30"/>
      <c r="I166" s="40" t="str">
        <f>IFERROR(VLOOKUP(A166,BUFFS!$H$5:$AF$195,8,),"")</f>
        <v/>
      </c>
      <c r="J166" s="34"/>
      <c r="K166" s="30"/>
      <c r="L166" s="30"/>
      <c r="M166" s="30"/>
      <c r="N166" s="32"/>
      <c r="O166" s="34"/>
      <c r="P166" s="30"/>
      <c r="Q166" s="30"/>
      <c r="R166" s="30"/>
      <c r="S166" s="32"/>
      <c r="T166" s="35"/>
    </row>
    <row r="167" spans="2:20" x14ac:dyDescent="0.3">
      <c r="B167" s="19"/>
      <c r="D167" s="34"/>
      <c r="E167" s="30"/>
      <c r="F167" s="30"/>
      <c r="G167" s="30"/>
      <c r="H167" s="30"/>
      <c r="I167" s="40" t="str">
        <f>IFERROR(VLOOKUP(A167,BUFFS!$H$5:$AF$195,8,),"")</f>
        <v/>
      </c>
      <c r="J167" s="34"/>
      <c r="K167" s="30"/>
      <c r="L167" s="30"/>
      <c r="M167" s="30"/>
      <c r="N167" s="32"/>
      <c r="O167" s="34"/>
      <c r="P167" s="30"/>
      <c r="Q167" s="30"/>
      <c r="R167" s="30"/>
      <c r="S167" s="32"/>
      <c r="T167" s="35"/>
    </row>
    <row r="168" spans="2:20" x14ac:dyDescent="0.3">
      <c r="B168" s="19"/>
      <c r="D168" s="34"/>
      <c r="E168" s="30"/>
      <c r="F168" s="30"/>
      <c r="G168" s="30"/>
      <c r="H168" s="30"/>
      <c r="I168" s="40" t="str">
        <f>IFERROR(VLOOKUP(A168,BUFFS!$H$5:$AF$195,8,),"")</f>
        <v/>
      </c>
      <c r="J168" s="34"/>
      <c r="K168" s="30"/>
      <c r="L168" s="30"/>
      <c r="M168" s="30"/>
      <c r="N168" s="32"/>
      <c r="O168" s="34"/>
      <c r="P168" s="30"/>
      <c r="Q168" s="30"/>
      <c r="R168" s="30"/>
      <c r="S168" s="32"/>
      <c r="T168" s="35"/>
    </row>
    <row r="169" spans="2:20" x14ac:dyDescent="0.3">
      <c r="B169" s="19"/>
      <c r="D169" s="34"/>
      <c r="E169" s="30"/>
      <c r="F169" s="30"/>
      <c r="G169" s="30"/>
      <c r="H169" s="30"/>
      <c r="I169" s="40" t="str">
        <f>IFERROR(VLOOKUP(A169,BUFFS!$H$5:$AF$195,8,),"")</f>
        <v/>
      </c>
      <c r="J169" s="34"/>
      <c r="K169" s="30"/>
      <c r="L169" s="30"/>
      <c r="M169" s="30"/>
      <c r="N169" s="32"/>
      <c r="O169" s="34"/>
      <c r="P169" s="30"/>
      <c r="Q169" s="30"/>
      <c r="R169" s="30"/>
      <c r="S169" s="32"/>
      <c r="T169" s="35"/>
    </row>
    <row r="170" spans="2:20" x14ac:dyDescent="0.3">
      <c r="B170" s="19"/>
      <c r="D170" s="34"/>
      <c r="E170" s="30"/>
      <c r="F170" s="30"/>
      <c r="G170" s="30"/>
      <c r="H170" s="30"/>
      <c r="I170" s="40" t="str">
        <f>IFERROR(VLOOKUP(A170,BUFFS!$H$5:$AF$195,8,),"")</f>
        <v/>
      </c>
      <c r="J170" s="34"/>
      <c r="K170" s="30"/>
      <c r="L170" s="30"/>
      <c r="M170" s="30"/>
      <c r="N170" s="32"/>
      <c r="O170" s="34"/>
      <c r="P170" s="30"/>
      <c r="Q170" s="30"/>
      <c r="R170" s="30"/>
      <c r="S170" s="32"/>
      <c r="T170" s="35"/>
    </row>
    <row r="171" spans="2:20" x14ac:dyDescent="0.3">
      <c r="B171" s="19"/>
      <c r="D171" s="34"/>
      <c r="E171" s="30"/>
      <c r="F171" s="30"/>
      <c r="G171" s="30"/>
      <c r="H171" s="30"/>
      <c r="I171" s="40" t="str">
        <f>IFERROR(VLOOKUP(A171,BUFFS!$H$5:$AF$195,8,),"")</f>
        <v/>
      </c>
      <c r="J171" s="34"/>
      <c r="K171" s="30"/>
      <c r="L171" s="30"/>
      <c r="M171" s="30"/>
      <c r="N171" s="32"/>
      <c r="O171" s="34"/>
      <c r="P171" s="30"/>
      <c r="Q171" s="30"/>
      <c r="R171" s="30"/>
      <c r="S171" s="32"/>
      <c r="T171" s="35"/>
    </row>
    <row r="172" spans="2:20" x14ac:dyDescent="0.3">
      <c r="B172" s="19"/>
      <c r="D172" s="34"/>
      <c r="E172" s="30"/>
      <c r="F172" s="30"/>
      <c r="G172" s="30"/>
      <c r="H172" s="30"/>
      <c r="I172" s="40" t="str">
        <f>IFERROR(VLOOKUP(A172,BUFFS!$H$5:$AF$195,8,),"")</f>
        <v/>
      </c>
      <c r="J172" s="34"/>
      <c r="K172" s="30"/>
      <c r="L172" s="30"/>
      <c r="M172" s="30"/>
      <c r="N172" s="32"/>
      <c r="O172" s="34"/>
      <c r="P172" s="30"/>
      <c r="Q172" s="30"/>
      <c r="R172" s="30"/>
      <c r="S172" s="32"/>
      <c r="T172" s="35"/>
    </row>
    <row r="173" spans="2:20" x14ac:dyDescent="0.3">
      <c r="B173" s="19"/>
      <c r="D173" s="34"/>
      <c r="E173" s="30"/>
      <c r="F173" s="30"/>
      <c r="G173" s="30"/>
      <c r="H173" s="30"/>
      <c r="I173" s="40" t="str">
        <f>IFERROR(VLOOKUP(A173,BUFFS!$H$5:$AF$195,8,),"")</f>
        <v/>
      </c>
      <c r="J173" s="34"/>
      <c r="K173" s="30"/>
      <c r="L173" s="30"/>
      <c r="M173" s="30"/>
      <c r="N173" s="32"/>
      <c r="O173" s="34"/>
      <c r="P173" s="30"/>
      <c r="Q173" s="30"/>
      <c r="R173" s="30"/>
      <c r="S173" s="32"/>
      <c r="T173" s="35"/>
    </row>
    <row r="174" spans="2:20" x14ac:dyDescent="0.3">
      <c r="B174" s="19"/>
      <c r="D174" s="34"/>
      <c r="E174" s="30"/>
      <c r="F174" s="30"/>
      <c r="G174" s="30"/>
      <c r="H174" s="30"/>
      <c r="I174" s="40" t="str">
        <f>IFERROR(VLOOKUP(A174,BUFFS!$H$5:$AF$195,8,),"")</f>
        <v/>
      </c>
      <c r="J174" s="34"/>
      <c r="K174" s="30"/>
      <c r="L174" s="30"/>
      <c r="M174" s="30"/>
      <c r="N174" s="32"/>
      <c r="O174" s="34"/>
      <c r="P174" s="30"/>
      <c r="Q174" s="30"/>
      <c r="R174" s="30"/>
      <c r="S174" s="32"/>
      <c r="T174" s="35"/>
    </row>
    <row r="175" spans="2:20" x14ac:dyDescent="0.3">
      <c r="B175" s="19"/>
      <c r="D175" s="34"/>
      <c r="E175" s="30"/>
      <c r="F175" s="30"/>
      <c r="G175" s="30"/>
      <c r="H175" s="30"/>
      <c r="I175" s="40" t="str">
        <f>IFERROR(VLOOKUP(A175,BUFFS!$H$5:$AF$195,8,),"")</f>
        <v/>
      </c>
      <c r="J175" s="34"/>
      <c r="K175" s="30"/>
      <c r="L175" s="30"/>
      <c r="M175" s="30"/>
      <c r="N175" s="32"/>
      <c r="O175" s="34"/>
      <c r="P175" s="30"/>
      <c r="Q175" s="30"/>
      <c r="R175" s="30"/>
      <c r="S175" s="32"/>
      <c r="T175" s="35"/>
    </row>
    <row r="176" spans="2:20" x14ac:dyDescent="0.3">
      <c r="B176" s="19"/>
      <c r="D176" s="34"/>
      <c r="E176" s="30"/>
      <c r="F176" s="30"/>
      <c r="G176" s="30"/>
      <c r="H176" s="30"/>
      <c r="I176" s="40" t="str">
        <f>IFERROR(VLOOKUP(A176,BUFFS!$H$5:$AF$195,8,),"")</f>
        <v/>
      </c>
      <c r="J176" s="34"/>
      <c r="K176" s="30"/>
      <c r="L176" s="30"/>
      <c r="M176" s="30"/>
      <c r="N176" s="32"/>
      <c r="O176" s="35"/>
      <c r="P176" s="35"/>
      <c r="Q176" s="35"/>
      <c r="R176" s="35"/>
      <c r="S176" s="35"/>
      <c r="T176" s="35"/>
    </row>
    <row r="177" spans="2:20" x14ac:dyDescent="0.3">
      <c r="B177" s="19"/>
      <c r="D177" s="34"/>
      <c r="E177" s="30"/>
      <c r="F177" s="30"/>
      <c r="G177" s="30"/>
      <c r="H177" s="30"/>
      <c r="I177" s="40" t="str">
        <f>IFERROR(VLOOKUP(A177,BUFFS!$H$5:$AF$195,8,),"")</f>
        <v/>
      </c>
      <c r="J177" s="34"/>
      <c r="K177" s="30"/>
      <c r="L177" s="30"/>
      <c r="M177" s="30"/>
      <c r="N177" s="32"/>
      <c r="O177" s="35"/>
      <c r="P177" s="35"/>
      <c r="Q177" s="35"/>
      <c r="R177" s="35"/>
      <c r="S177" s="35"/>
      <c r="T177" s="35"/>
    </row>
    <row r="178" spans="2:20" x14ac:dyDescent="0.3">
      <c r="B178" s="19"/>
      <c r="D178" s="34"/>
      <c r="E178" s="30"/>
      <c r="F178" s="30"/>
      <c r="G178" s="30"/>
      <c r="H178" s="30"/>
      <c r="I178" s="40" t="str">
        <f>IFERROR(VLOOKUP(A178,BUFFS!$H$5:$AF$195,8,),"")</f>
        <v/>
      </c>
      <c r="J178" s="34"/>
      <c r="K178" s="30"/>
      <c r="L178" s="30"/>
      <c r="M178" s="30"/>
      <c r="N178" s="32"/>
      <c r="O178" s="35"/>
      <c r="P178" s="35"/>
      <c r="Q178" s="35"/>
      <c r="R178" s="35"/>
      <c r="S178" s="35"/>
      <c r="T178" s="35"/>
    </row>
    <row r="179" spans="2:20" x14ac:dyDescent="0.3">
      <c r="B179" s="19"/>
      <c r="D179" s="34"/>
      <c r="E179" s="30"/>
      <c r="F179" s="30"/>
      <c r="G179" s="30"/>
      <c r="H179" s="30"/>
      <c r="I179" s="40" t="str">
        <f>IFERROR(VLOOKUP(A179,BUFFS!$H$5:$AF$195,8,),"")</f>
        <v/>
      </c>
      <c r="J179" s="34"/>
      <c r="K179" s="30"/>
      <c r="L179" s="30"/>
      <c r="M179" s="30"/>
      <c r="N179" s="32"/>
      <c r="O179" s="35"/>
      <c r="P179" s="35"/>
      <c r="Q179" s="35"/>
      <c r="R179" s="35"/>
      <c r="S179" s="35"/>
      <c r="T179" s="35"/>
    </row>
    <row r="180" spans="2:20" x14ac:dyDescent="0.3">
      <c r="B180" s="19"/>
      <c r="D180" s="34"/>
      <c r="E180" s="30"/>
      <c r="F180" s="30"/>
      <c r="G180" s="30"/>
      <c r="H180" s="30"/>
      <c r="I180" s="40" t="str">
        <f>IFERROR(VLOOKUP(A180,BUFFS!$H$5:$AF$195,8,),"")</f>
        <v/>
      </c>
      <c r="J180" s="34"/>
      <c r="K180" s="30"/>
      <c r="L180" s="30"/>
      <c r="M180" s="30"/>
      <c r="N180" s="32"/>
      <c r="O180" s="35"/>
      <c r="P180" s="35"/>
      <c r="Q180" s="35"/>
      <c r="R180" s="35"/>
      <c r="S180" s="35"/>
      <c r="T180" s="35"/>
    </row>
    <row r="181" spans="2:20" x14ac:dyDescent="0.3">
      <c r="B181" s="19"/>
      <c r="D181" s="34"/>
      <c r="E181" s="30"/>
      <c r="F181" s="30"/>
      <c r="G181" s="30"/>
      <c r="H181" s="30"/>
      <c r="I181" s="40" t="str">
        <f>IFERROR(VLOOKUP(A181,BUFFS!$H$5:$AF$195,8,),"")</f>
        <v/>
      </c>
      <c r="J181" s="34"/>
      <c r="K181" s="30"/>
      <c r="L181" s="30"/>
      <c r="M181" s="30"/>
      <c r="N181" s="32"/>
      <c r="O181" s="35"/>
      <c r="P181" s="35"/>
      <c r="Q181" s="35"/>
      <c r="R181" s="35"/>
      <c r="S181" s="35"/>
      <c r="T181" s="35"/>
    </row>
    <row r="182" spans="2:20" x14ac:dyDescent="0.3">
      <c r="B182" s="19"/>
      <c r="D182" s="34"/>
      <c r="E182" s="30"/>
      <c r="F182" s="30"/>
      <c r="G182" s="30"/>
      <c r="H182" s="30"/>
      <c r="I182" s="40" t="str">
        <f>IFERROR(VLOOKUP(A182,BUFFS!$H$5:$AF$195,8,),"")</f>
        <v/>
      </c>
      <c r="J182" s="34"/>
      <c r="K182" s="30"/>
      <c r="L182" s="30"/>
      <c r="M182" s="30"/>
      <c r="N182" s="32"/>
      <c r="O182" s="35"/>
      <c r="P182" s="35"/>
      <c r="Q182" s="35"/>
      <c r="R182" s="35"/>
      <c r="S182" s="35"/>
      <c r="T182" s="35"/>
    </row>
    <row r="183" spans="2:20" x14ac:dyDescent="0.3">
      <c r="B183" s="19"/>
      <c r="D183" s="34"/>
      <c r="E183" s="30"/>
      <c r="F183" s="30"/>
      <c r="G183" s="30"/>
      <c r="H183" s="30"/>
      <c r="I183" s="40" t="str">
        <f>IFERROR(VLOOKUP(A183,BUFFS!$H$5:$AF$195,8,),"")</f>
        <v/>
      </c>
      <c r="J183" s="34"/>
      <c r="K183" s="30"/>
      <c r="L183" s="30"/>
      <c r="M183" s="30"/>
      <c r="N183" s="32"/>
      <c r="O183" s="35"/>
      <c r="P183" s="35"/>
      <c r="Q183" s="35"/>
      <c r="R183" s="35"/>
      <c r="S183" s="35"/>
      <c r="T183" s="35"/>
    </row>
    <row r="184" spans="2:20" x14ac:dyDescent="0.3">
      <c r="B184" s="19"/>
      <c r="D184" s="34"/>
      <c r="E184" s="30"/>
      <c r="F184" s="30"/>
      <c r="G184" s="30"/>
      <c r="H184" s="30"/>
      <c r="I184" s="40" t="str">
        <f>IFERROR(VLOOKUP(A184,BUFFS!$H$5:$AF$195,8,),"")</f>
        <v/>
      </c>
      <c r="J184" s="34"/>
      <c r="K184" s="30"/>
      <c r="L184" s="30"/>
      <c r="M184" s="30"/>
      <c r="N184" s="32"/>
      <c r="O184" s="35"/>
      <c r="P184" s="35"/>
      <c r="Q184" s="35"/>
      <c r="R184" s="35"/>
      <c r="S184" s="35"/>
      <c r="T184" s="35"/>
    </row>
    <row r="185" spans="2:20" x14ac:dyDescent="0.3">
      <c r="B185" s="19"/>
      <c r="D185" s="34"/>
      <c r="E185" s="30"/>
      <c r="F185" s="30"/>
      <c r="G185" s="30"/>
      <c r="H185" s="30"/>
      <c r="I185" s="40" t="str">
        <f>IFERROR(VLOOKUP(A185,BUFFS!$H$5:$AF$195,8,),"")</f>
        <v/>
      </c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</row>
    <row r="186" spans="2:20" x14ac:dyDescent="0.3">
      <c r="B186" s="19"/>
      <c r="D186" s="34"/>
      <c r="E186" s="30"/>
      <c r="F186" s="30"/>
      <c r="G186" s="30"/>
      <c r="H186" s="30"/>
      <c r="I186" s="40" t="str">
        <f>IFERROR(VLOOKUP(A186,BUFFS!$H$5:$AF$195,8,),"")</f>
        <v/>
      </c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</row>
    <row r="187" spans="2:20" x14ac:dyDescent="0.3">
      <c r="B187" s="19"/>
      <c r="D187" s="11"/>
      <c r="E187" s="12"/>
      <c r="F187" s="12"/>
      <c r="G187" s="12"/>
      <c r="H187" s="12"/>
      <c r="I187" s="40" t="str">
        <f>IFERROR(VLOOKUP(A187,BUFFS!$H$5:$AF$195,8,),"")</f>
        <v/>
      </c>
    </row>
    <row r="188" spans="2:20" x14ac:dyDescent="0.3">
      <c r="B188" s="19"/>
      <c r="D188" s="11"/>
      <c r="E188" s="12"/>
      <c r="F188" s="12"/>
      <c r="G188" s="12"/>
      <c r="H188" s="12"/>
      <c r="I188" s="40" t="str">
        <f>IFERROR(VLOOKUP(A188,BUFFS!$H$5:$AF$195,8,),"")</f>
        <v/>
      </c>
    </row>
    <row r="189" spans="2:20" x14ac:dyDescent="0.3">
      <c r="B189" s="19"/>
      <c r="D189" s="11"/>
      <c r="E189" s="12"/>
      <c r="F189" s="12"/>
      <c r="G189" s="12"/>
      <c r="H189" s="12"/>
      <c r="I189" s="40" t="str">
        <f>IFERROR(VLOOKUP(A189,BUFFS!$H$5:$AF$195,8,),"")</f>
        <v/>
      </c>
    </row>
    <row r="190" spans="2:20" x14ac:dyDescent="0.3">
      <c r="B190" s="19"/>
      <c r="D190" s="11"/>
      <c r="E190" s="12"/>
      <c r="F190" s="12"/>
      <c r="G190" s="12"/>
      <c r="H190" s="12"/>
      <c r="I190" s="40" t="str">
        <f>IFERROR(VLOOKUP(A190,BUFFS!$H$5:$AF$195,8,),"")</f>
        <v/>
      </c>
    </row>
    <row r="191" spans="2:20" x14ac:dyDescent="0.3">
      <c r="B191" s="19"/>
      <c r="D191" s="11"/>
      <c r="E191" s="12"/>
      <c r="F191" s="12"/>
      <c r="G191" s="12"/>
      <c r="H191" s="12"/>
      <c r="I191" s="40" t="str">
        <f>IFERROR(VLOOKUP(A191,BUFFS!$H$5:$AF$195,8,),"")</f>
        <v/>
      </c>
    </row>
    <row r="192" spans="2:20" x14ac:dyDescent="0.3">
      <c r="B192" s="19"/>
      <c r="D192" s="11"/>
      <c r="E192" s="12"/>
      <c r="F192" s="12"/>
      <c r="G192" s="12"/>
      <c r="H192" s="12"/>
      <c r="I192" s="40" t="str">
        <f>IFERROR(VLOOKUP(A192,BUFFS!$H$5:$AF$195,8,),"")</f>
        <v/>
      </c>
    </row>
    <row r="193" spans="2:9" x14ac:dyDescent="0.3">
      <c r="B193" s="19"/>
      <c r="D193" s="11"/>
      <c r="E193" s="12"/>
      <c r="F193" s="12"/>
      <c r="G193" s="12"/>
      <c r="H193" s="12"/>
      <c r="I193" s="40" t="str">
        <f>IFERROR(VLOOKUP(A193,BUFFS!$H$5:$AF$195,8,),"")</f>
        <v/>
      </c>
    </row>
    <row r="194" spans="2:9" x14ac:dyDescent="0.3">
      <c r="B194" s="19"/>
      <c r="D194" s="11"/>
      <c r="E194" s="12"/>
      <c r="F194" s="12"/>
      <c r="G194" s="12"/>
      <c r="H194" s="12"/>
      <c r="I194" s="40" t="str">
        <f>IFERROR(VLOOKUP(A194,BUFFS!$H$5:$AF$195,8,),"")</f>
        <v/>
      </c>
    </row>
    <row r="195" spans="2:9" x14ac:dyDescent="0.3">
      <c r="B195" s="19"/>
      <c r="D195" s="11"/>
      <c r="E195" s="12"/>
      <c r="F195" s="12"/>
      <c r="G195" s="12"/>
      <c r="H195" s="12"/>
      <c r="I195" s="40" t="str">
        <f>IFERROR(VLOOKUP(A195,BUFFS!$H$5:$AF$195,8,),"")</f>
        <v/>
      </c>
    </row>
    <row r="196" spans="2:9" x14ac:dyDescent="0.3">
      <c r="B196" s="19"/>
      <c r="D196" s="11"/>
      <c r="E196" s="12"/>
      <c r="F196" s="12"/>
      <c r="G196" s="12"/>
      <c r="H196" s="12"/>
      <c r="I196" s="40" t="str">
        <f>IFERROR(VLOOKUP(A196,BUFFS!$H$5:$AF$195,8,),"")</f>
        <v/>
      </c>
    </row>
    <row r="197" spans="2:9" x14ac:dyDescent="0.3">
      <c r="B197" s="19"/>
      <c r="D197" s="11"/>
      <c r="E197" s="12"/>
      <c r="F197" s="12"/>
      <c r="G197" s="12"/>
      <c r="H197" s="12"/>
      <c r="I197" s="40" t="str">
        <f>IFERROR(VLOOKUP(A197,BUFFS!$H$5:$AF$195,8,),"")</f>
        <v/>
      </c>
    </row>
    <row r="198" spans="2:9" x14ac:dyDescent="0.3">
      <c r="B198" s="19"/>
      <c r="D198" s="11"/>
      <c r="E198" s="12"/>
      <c r="F198" s="12"/>
      <c r="G198" s="12"/>
      <c r="H198" s="12"/>
      <c r="I198" s="40" t="str">
        <f>IFERROR(VLOOKUP(A198,BUFFS!$H$5:$AF$195,8,),"")</f>
        <v/>
      </c>
    </row>
    <row r="199" spans="2:9" x14ac:dyDescent="0.3">
      <c r="B199" s="19"/>
      <c r="D199" s="11"/>
      <c r="E199" s="12"/>
      <c r="F199" s="12"/>
      <c r="G199" s="12"/>
      <c r="H199" s="12"/>
      <c r="I199" s="40" t="str">
        <f>IFERROR(VLOOKUP(A199,BUFFS!$H$5:$AF$195,8,),"")</f>
        <v/>
      </c>
    </row>
    <row r="200" spans="2:9" x14ac:dyDescent="0.3">
      <c r="B200" s="19"/>
      <c r="D200" s="11"/>
      <c r="E200" s="12"/>
      <c r="F200" s="12"/>
      <c r="G200" s="12"/>
      <c r="H200" s="12"/>
      <c r="I200" s="40" t="str">
        <f>IFERROR(VLOOKUP(A200,BUFFS!$H$5:$AF$195,8,),"")</f>
        <v/>
      </c>
    </row>
    <row r="201" spans="2:9" x14ac:dyDescent="0.3">
      <c r="B201" s="19"/>
      <c r="D201" s="11"/>
      <c r="E201" s="12"/>
      <c r="F201" s="12"/>
      <c r="G201" s="12"/>
      <c r="H201" s="12"/>
      <c r="I201" s="40" t="str">
        <f>IFERROR(VLOOKUP(A201,BUFFS!$H$5:$AF$195,8,),"")</f>
        <v/>
      </c>
    </row>
    <row r="202" spans="2:9" x14ac:dyDescent="0.3">
      <c r="B202" s="19"/>
      <c r="D202" s="11"/>
      <c r="E202" s="12"/>
      <c r="F202" s="12"/>
      <c r="G202" s="12"/>
      <c r="H202" s="12"/>
      <c r="I202" s="40" t="str">
        <f>IFERROR(VLOOKUP(A202,BUFFS!$H$5:$AF$195,8,),"")</f>
        <v/>
      </c>
    </row>
    <row r="203" spans="2:9" x14ac:dyDescent="0.3">
      <c r="B203" s="19"/>
      <c r="D203" s="11"/>
      <c r="E203" s="12"/>
      <c r="F203" s="12"/>
      <c r="G203" s="12"/>
      <c r="H203" s="12"/>
      <c r="I203" s="40" t="str">
        <f>IFERROR(VLOOKUP(A203,BUFFS!$H$5:$AF$195,8,),"")</f>
        <v/>
      </c>
    </row>
    <row r="204" spans="2:9" x14ac:dyDescent="0.3">
      <c r="B204" s="19"/>
      <c r="D204" s="11"/>
      <c r="E204" s="12"/>
      <c r="F204" s="12"/>
      <c r="G204" s="12"/>
      <c r="H204" s="12"/>
      <c r="I204" s="40" t="str">
        <f>IFERROR(VLOOKUP(A204,BUFFS!$H$5:$AF$195,8,),"")</f>
        <v/>
      </c>
    </row>
    <row r="205" spans="2:9" x14ac:dyDescent="0.3">
      <c r="D205" s="11"/>
      <c r="E205" s="12"/>
      <c r="F205" s="12"/>
      <c r="G205" s="12"/>
      <c r="H205" s="12"/>
      <c r="I205" s="32" t="str">
        <f>IFERROR(VLOOKUP(A205,BUFFS!$H$5:$AF$195,8,),"")</f>
        <v/>
      </c>
    </row>
    <row r="206" spans="2:9" x14ac:dyDescent="0.3">
      <c r="D206" s="11"/>
      <c r="E206" s="12"/>
      <c r="F206" s="12"/>
      <c r="G206" s="12"/>
      <c r="H206" s="12"/>
      <c r="I206" s="32" t="str">
        <f>IFERROR(VLOOKUP(A206,BUFFS!$H$5:$AF$195,8,),"")</f>
        <v/>
      </c>
    </row>
    <row r="207" spans="2:9" x14ac:dyDescent="0.3">
      <c r="D207" s="11"/>
      <c r="E207" s="12"/>
      <c r="F207" s="12"/>
      <c r="G207" s="12"/>
      <c r="H207" s="12"/>
      <c r="I207" s="32" t="str">
        <f>IFERROR(VLOOKUP(A207,BUFFS!$H$5:$AF$195,8,),"")</f>
        <v/>
      </c>
    </row>
    <row r="208" spans="2:9" x14ac:dyDescent="0.3">
      <c r="D208" s="11"/>
      <c r="E208" s="12"/>
      <c r="F208" s="12"/>
      <c r="G208" s="12"/>
      <c r="H208" s="12"/>
      <c r="I208" s="32" t="str">
        <f>IFERROR(VLOOKUP(A208,BUFFS!$H$5:$AF$195,8,),"")</f>
        <v/>
      </c>
    </row>
    <row r="209" spans="4:9" x14ac:dyDescent="0.3">
      <c r="D209" s="11"/>
      <c r="E209" s="12"/>
      <c r="F209" s="12"/>
      <c r="G209" s="12"/>
      <c r="H209" s="12"/>
      <c r="I209" s="32" t="str">
        <f>IFERROR(VLOOKUP(A209,BUFFS!$H$5:$AF$195,8,),"")</f>
        <v/>
      </c>
    </row>
    <row r="210" spans="4:9" x14ac:dyDescent="0.3">
      <c r="D210" s="11"/>
      <c r="E210" s="12"/>
      <c r="F210" s="12"/>
      <c r="G210" s="12"/>
      <c r="H210" s="12"/>
      <c r="I210" s="32" t="str">
        <f>IFERROR(VLOOKUP(A210,BUFFS!$H$5:$AF$195,8,),"")</f>
        <v/>
      </c>
    </row>
    <row r="211" spans="4:9" x14ac:dyDescent="0.3">
      <c r="D211" s="11"/>
      <c r="E211" s="12"/>
      <c r="F211" s="12"/>
      <c r="G211" s="12"/>
      <c r="H211" s="12"/>
      <c r="I211" s="32" t="str">
        <f>IFERROR(VLOOKUP(A211,BUFFS!$H$5:$AF$195,8,),"")</f>
        <v/>
      </c>
    </row>
    <row r="212" spans="4:9" x14ac:dyDescent="0.3">
      <c r="D212" s="11"/>
      <c r="E212" s="12"/>
      <c r="F212" s="12"/>
      <c r="G212" s="12"/>
      <c r="H212" s="12"/>
      <c r="I212" s="32" t="str">
        <f>IFERROR(VLOOKUP(A212,BUFFS!$H$5:$AF$195,8,),"")</f>
        <v/>
      </c>
    </row>
    <row r="213" spans="4:9" x14ac:dyDescent="0.3">
      <c r="D213" s="11"/>
      <c r="E213" s="12"/>
      <c r="F213" s="12"/>
      <c r="G213" s="12"/>
      <c r="H213" s="12"/>
      <c r="I213" s="13"/>
    </row>
    <row r="214" spans="4:9" x14ac:dyDescent="0.3">
      <c r="D214" s="11"/>
      <c r="E214" s="12"/>
      <c r="F214" s="12"/>
      <c r="G214" s="12"/>
      <c r="H214" s="12"/>
      <c r="I214" s="13"/>
    </row>
    <row r="215" spans="4:9" x14ac:dyDescent="0.3">
      <c r="D215" s="11"/>
      <c r="E215" s="12"/>
      <c r="F215" s="12"/>
      <c r="G215" s="12"/>
      <c r="H215" s="12"/>
      <c r="I215" s="13"/>
    </row>
    <row r="216" spans="4:9" x14ac:dyDescent="0.3">
      <c r="D216" s="11"/>
      <c r="E216" s="12"/>
      <c r="F216" s="12"/>
      <c r="G216" s="12"/>
      <c r="H216" s="12"/>
      <c r="I216" s="13"/>
    </row>
    <row r="217" spans="4:9" x14ac:dyDescent="0.3">
      <c r="D217" s="11"/>
      <c r="E217" s="12"/>
      <c r="F217" s="12"/>
      <c r="G217" s="12"/>
      <c r="H217" s="12"/>
      <c r="I217" s="13"/>
    </row>
    <row r="218" spans="4:9" x14ac:dyDescent="0.3">
      <c r="D218" s="11"/>
      <c r="E218" s="12"/>
      <c r="F218" s="12"/>
      <c r="G218" s="12"/>
      <c r="H218" s="12"/>
      <c r="I218" s="13"/>
    </row>
    <row r="219" spans="4:9" x14ac:dyDescent="0.3">
      <c r="D219" s="11"/>
      <c r="E219" s="12"/>
      <c r="F219" s="12"/>
      <c r="G219" s="12"/>
      <c r="H219" s="12"/>
      <c r="I219" s="13"/>
    </row>
    <row r="220" spans="4:9" x14ac:dyDescent="0.3">
      <c r="D220" s="11"/>
      <c r="E220" s="12"/>
      <c r="F220" s="12"/>
      <c r="G220" s="12"/>
      <c r="H220" s="12"/>
      <c r="I220" s="13"/>
    </row>
    <row r="221" spans="4:9" x14ac:dyDescent="0.3">
      <c r="D221" s="11"/>
      <c r="E221" s="12"/>
      <c r="F221" s="12"/>
      <c r="G221" s="12"/>
      <c r="H221" s="12"/>
      <c r="I221" s="13"/>
    </row>
    <row r="222" spans="4:9" x14ac:dyDescent="0.3">
      <c r="D222" s="11"/>
      <c r="E222" s="12"/>
      <c r="F222" s="12"/>
      <c r="G222" s="12"/>
      <c r="H222" s="12"/>
      <c r="I222" s="13"/>
    </row>
    <row r="223" spans="4:9" x14ac:dyDescent="0.3">
      <c r="D223" s="11"/>
      <c r="E223" s="12"/>
      <c r="F223" s="12"/>
      <c r="G223" s="12"/>
      <c r="H223" s="12"/>
      <c r="I223" s="13"/>
    </row>
    <row r="224" spans="4:9" x14ac:dyDescent="0.3">
      <c r="D224" s="11"/>
      <c r="E224" s="12"/>
      <c r="F224" s="12"/>
      <c r="G224" s="12"/>
      <c r="H224" s="12"/>
      <c r="I224" s="13"/>
    </row>
    <row r="225" spans="4:9" x14ac:dyDescent="0.3">
      <c r="D225" s="11"/>
      <c r="E225" s="12"/>
      <c r="F225" s="12"/>
      <c r="G225" s="12"/>
      <c r="H225" s="12"/>
      <c r="I225" s="13"/>
    </row>
    <row r="226" spans="4:9" x14ac:dyDescent="0.3">
      <c r="D226" s="11"/>
      <c r="E226" s="12"/>
      <c r="F226" s="12"/>
      <c r="G226" s="12"/>
      <c r="H226" s="12"/>
      <c r="I226" s="13"/>
    </row>
    <row r="227" spans="4:9" x14ac:dyDescent="0.3">
      <c r="D227" s="11"/>
      <c r="E227" s="12"/>
      <c r="F227" s="12"/>
      <c r="G227" s="12"/>
      <c r="H227" s="12"/>
      <c r="I227" s="13"/>
    </row>
    <row r="228" spans="4:9" x14ac:dyDescent="0.3">
      <c r="D228" s="11"/>
      <c r="E228" s="12"/>
      <c r="F228" s="12"/>
      <c r="G228" s="12"/>
      <c r="H228" s="12"/>
      <c r="I228" s="13"/>
    </row>
    <row r="229" spans="4:9" x14ac:dyDescent="0.3">
      <c r="D229" s="11"/>
      <c r="E229" s="12"/>
      <c r="F229" s="12"/>
      <c r="G229" s="12"/>
      <c r="H229" s="12"/>
      <c r="I229" s="13"/>
    </row>
    <row r="230" spans="4:9" x14ac:dyDescent="0.3">
      <c r="D230" s="11"/>
      <c r="E230" s="12"/>
      <c r="F230" s="12"/>
      <c r="G230" s="12"/>
      <c r="H230" s="12"/>
      <c r="I230" s="13"/>
    </row>
    <row r="231" spans="4:9" x14ac:dyDescent="0.3">
      <c r="D231" s="11"/>
      <c r="E231" s="12"/>
      <c r="F231" s="12"/>
      <c r="G231" s="12"/>
      <c r="H231" s="12"/>
      <c r="I231" s="13"/>
    </row>
    <row r="232" spans="4:9" x14ac:dyDescent="0.3">
      <c r="D232" s="11"/>
      <c r="E232" s="12"/>
      <c r="F232" s="12"/>
      <c r="G232" s="12"/>
      <c r="H232" s="12"/>
      <c r="I232" s="13"/>
    </row>
    <row r="233" spans="4:9" x14ac:dyDescent="0.3">
      <c r="D233" s="11"/>
      <c r="E233" s="12"/>
      <c r="F233" s="12"/>
      <c r="G233" s="12"/>
      <c r="H233" s="12"/>
      <c r="I233" s="13"/>
    </row>
    <row r="234" spans="4:9" x14ac:dyDescent="0.3">
      <c r="D234" s="11"/>
      <c r="E234" s="12"/>
      <c r="F234" s="12"/>
      <c r="G234" s="12"/>
      <c r="H234" s="12"/>
      <c r="I234" s="13"/>
    </row>
    <row r="235" spans="4:9" x14ac:dyDescent="0.3">
      <c r="D235" s="11"/>
      <c r="E235" s="12"/>
      <c r="F235" s="12"/>
      <c r="G235" s="12"/>
      <c r="H235" s="12"/>
      <c r="I235" s="13"/>
    </row>
    <row r="236" spans="4:9" x14ac:dyDescent="0.3">
      <c r="D236" s="11"/>
      <c r="E236" s="12"/>
      <c r="F236" s="12"/>
      <c r="G236" s="12"/>
      <c r="H236" s="12"/>
      <c r="I236" s="13"/>
    </row>
    <row r="237" spans="4:9" x14ac:dyDescent="0.3">
      <c r="D237" s="11"/>
      <c r="E237" s="12"/>
      <c r="F237" s="12"/>
      <c r="G237" s="12"/>
      <c r="H237" s="12"/>
      <c r="I237" s="13"/>
    </row>
    <row r="238" spans="4:9" x14ac:dyDescent="0.3">
      <c r="D238" s="11"/>
      <c r="E238" s="12"/>
      <c r="F238" s="12"/>
      <c r="G238" s="12"/>
      <c r="H238" s="12"/>
      <c r="I238" s="13"/>
    </row>
    <row r="239" spans="4:9" x14ac:dyDescent="0.3">
      <c r="D239" s="11"/>
      <c r="E239" s="12"/>
      <c r="F239" s="12"/>
      <c r="G239" s="12"/>
      <c r="H239" s="12"/>
      <c r="I239" s="13"/>
    </row>
    <row r="240" spans="4:9" x14ac:dyDescent="0.3">
      <c r="D240" s="11"/>
      <c r="E240" s="12"/>
      <c r="F240" s="12"/>
      <c r="G240" s="12"/>
      <c r="H240" s="12"/>
      <c r="I240" s="13"/>
    </row>
    <row r="241" spans="4:9" x14ac:dyDescent="0.3">
      <c r="D241" s="11"/>
      <c r="E241" s="12"/>
      <c r="F241" s="12"/>
      <c r="G241" s="12"/>
      <c r="H241" s="12"/>
      <c r="I241" s="13"/>
    </row>
    <row r="242" spans="4:9" x14ac:dyDescent="0.3">
      <c r="D242" s="11"/>
      <c r="E242" s="12"/>
      <c r="F242" s="12"/>
      <c r="G242" s="12"/>
      <c r="H242" s="12"/>
      <c r="I242" s="13"/>
    </row>
    <row r="243" spans="4:9" x14ac:dyDescent="0.3">
      <c r="D243" s="11"/>
      <c r="E243" s="12"/>
      <c r="F243" s="12"/>
      <c r="G243" s="12"/>
      <c r="H243" s="12"/>
      <c r="I243" s="13"/>
    </row>
    <row r="244" spans="4:9" x14ac:dyDescent="0.3">
      <c r="D244" s="11"/>
      <c r="E244" s="12"/>
      <c r="F244" s="12"/>
      <c r="G244" s="12"/>
      <c r="H244" s="12"/>
      <c r="I244" s="13"/>
    </row>
    <row r="245" spans="4:9" x14ac:dyDescent="0.3">
      <c r="D245" s="11"/>
      <c r="E245" s="12"/>
      <c r="F245" s="12"/>
      <c r="G245" s="12"/>
      <c r="H245" s="12"/>
      <c r="I245" s="13"/>
    </row>
    <row r="246" spans="4:9" x14ac:dyDescent="0.3">
      <c r="D246" s="11"/>
      <c r="E246" s="12"/>
      <c r="F246" s="12"/>
      <c r="G246" s="12"/>
      <c r="H246" s="12"/>
      <c r="I246" s="13"/>
    </row>
    <row r="247" spans="4:9" x14ac:dyDescent="0.3">
      <c r="D247" s="11"/>
      <c r="E247" s="12"/>
      <c r="F247" s="12"/>
      <c r="G247" s="12"/>
      <c r="H247" s="12"/>
      <c r="I247" s="13"/>
    </row>
    <row r="248" spans="4:9" x14ac:dyDescent="0.3">
      <c r="D248" s="11"/>
      <c r="E248" s="12"/>
      <c r="F248" s="12"/>
      <c r="G248" s="12"/>
      <c r="H248" s="12"/>
      <c r="I248" s="13"/>
    </row>
    <row r="249" spans="4:9" x14ac:dyDescent="0.3">
      <c r="D249" s="11"/>
      <c r="E249" s="12"/>
      <c r="F249" s="12"/>
      <c r="G249" s="12"/>
      <c r="H249" s="12"/>
      <c r="I249" s="13"/>
    </row>
    <row r="250" spans="4:9" x14ac:dyDescent="0.3">
      <c r="D250" s="11"/>
      <c r="E250" s="12"/>
      <c r="F250" s="12"/>
      <c r="G250" s="12"/>
      <c r="H250" s="12"/>
      <c r="I250" s="13"/>
    </row>
    <row r="251" spans="4:9" x14ac:dyDescent="0.3">
      <c r="D251" s="11"/>
      <c r="E251" s="12"/>
      <c r="F251" s="12"/>
      <c r="G251" s="12"/>
      <c r="H251" s="12"/>
      <c r="I251" s="13"/>
    </row>
    <row r="252" spans="4:9" x14ac:dyDescent="0.3">
      <c r="D252" s="11"/>
      <c r="E252" s="12"/>
      <c r="F252" s="12"/>
      <c r="G252" s="12"/>
      <c r="H252" s="12"/>
      <c r="I252" s="13"/>
    </row>
    <row r="253" spans="4:9" x14ac:dyDescent="0.3">
      <c r="D253" s="11"/>
      <c r="E253" s="12"/>
      <c r="F253" s="12"/>
      <c r="G253" s="12"/>
      <c r="H253" s="12"/>
      <c r="I253" s="13"/>
    </row>
    <row r="254" spans="4:9" x14ac:dyDescent="0.3">
      <c r="D254" s="11"/>
      <c r="E254" s="12"/>
      <c r="F254" s="12"/>
      <c r="G254" s="12"/>
      <c r="H254" s="12"/>
      <c r="I254" s="13"/>
    </row>
    <row r="255" spans="4:9" x14ac:dyDescent="0.3">
      <c r="D255" s="11"/>
      <c r="E255" s="12"/>
      <c r="F255" s="12"/>
      <c r="G255" s="12"/>
      <c r="H255" s="12"/>
      <c r="I255" s="13"/>
    </row>
    <row r="256" spans="4:9" x14ac:dyDescent="0.3">
      <c r="D256" s="11"/>
      <c r="E256" s="12"/>
      <c r="F256" s="12"/>
      <c r="G256" s="12"/>
      <c r="H256" s="12"/>
      <c r="I256" s="13"/>
    </row>
    <row r="257" spans="4:9" x14ac:dyDescent="0.3">
      <c r="D257" s="11"/>
      <c r="E257" s="12"/>
      <c r="F257" s="12"/>
      <c r="G257" s="12"/>
      <c r="H257" s="12"/>
      <c r="I257" s="13"/>
    </row>
    <row r="258" spans="4:9" x14ac:dyDescent="0.3">
      <c r="D258" s="11"/>
      <c r="E258" s="12"/>
      <c r="F258" s="12"/>
      <c r="G258" s="12"/>
      <c r="H258" s="12"/>
      <c r="I258" s="13"/>
    </row>
    <row r="259" spans="4:9" x14ac:dyDescent="0.3">
      <c r="D259" s="11"/>
      <c r="E259" s="12"/>
      <c r="F259" s="12"/>
      <c r="G259" s="12"/>
      <c r="H259" s="12"/>
      <c r="I259" s="13"/>
    </row>
    <row r="260" spans="4:9" x14ac:dyDescent="0.3">
      <c r="D260" s="11"/>
      <c r="E260" s="12"/>
      <c r="F260" s="12"/>
      <c r="G260" s="12"/>
      <c r="H260" s="12"/>
      <c r="I260" s="13"/>
    </row>
    <row r="261" spans="4:9" x14ac:dyDescent="0.3">
      <c r="D261" s="11"/>
      <c r="E261" s="12"/>
      <c r="F261" s="12"/>
      <c r="G261" s="12"/>
      <c r="H261" s="12"/>
      <c r="I261" s="13"/>
    </row>
    <row r="262" spans="4:9" x14ac:dyDescent="0.3">
      <c r="D262" s="11"/>
      <c r="E262" s="12"/>
      <c r="F262" s="12"/>
      <c r="G262" s="12"/>
      <c r="H262" s="12"/>
      <c r="I262" s="13"/>
    </row>
    <row r="263" spans="4:9" x14ac:dyDescent="0.3">
      <c r="D263" s="11"/>
      <c r="E263" s="12"/>
      <c r="F263" s="12"/>
      <c r="G263" s="12"/>
      <c r="H263" s="12"/>
      <c r="I263" s="13"/>
    </row>
    <row r="264" spans="4:9" x14ac:dyDescent="0.3">
      <c r="D264" s="11"/>
      <c r="E264" s="12"/>
      <c r="F264" s="12"/>
      <c r="G264" s="12"/>
      <c r="H264" s="12"/>
      <c r="I264" s="13"/>
    </row>
    <row r="265" spans="4:9" x14ac:dyDescent="0.3">
      <c r="D265" s="11"/>
      <c r="E265" s="12"/>
      <c r="F265" s="12"/>
      <c r="G265" s="12"/>
      <c r="H265" s="12"/>
      <c r="I265" s="13"/>
    </row>
    <row r="266" spans="4:9" x14ac:dyDescent="0.3">
      <c r="D266" s="11"/>
      <c r="E266" s="12"/>
      <c r="F266" s="12"/>
      <c r="G266" s="12"/>
      <c r="H266" s="12"/>
      <c r="I266" s="13"/>
    </row>
    <row r="267" spans="4:9" x14ac:dyDescent="0.3">
      <c r="D267" s="11"/>
      <c r="E267" s="12"/>
      <c r="F267" s="12"/>
      <c r="G267" s="12"/>
      <c r="H267" s="12"/>
      <c r="I267" s="13"/>
    </row>
    <row r="268" spans="4:9" x14ac:dyDescent="0.3">
      <c r="D268" s="11"/>
      <c r="E268" s="12"/>
      <c r="F268" s="12"/>
      <c r="G268" s="12"/>
      <c r="H268" s="12"/>
      <c r="I268" s="13"/>
    </row>
    <row r="269" spans="4:9" x14ac:dyDescent="0.3">
      <c r="D269" s="11"/>
      <c r="E269" s="12"/>
      <c r="F269" s="12"/>
      <c r="G269" s="12"/>
      <c r="H269" s="12"/>
      <c r="I269" s="13"/>
    </row>
    <row r="270" spans="4:9" x14ac:dyDescent="0.3">
      <c r="D270" s="11"/>
      <c r="E270" s="12"/>
      <c r="F270" s="12"/>
      <c r="G270" s="12"/>
      <c r="H270" s="12"/>
      <c r="I270" s="13"/>
    </row>
    <row r="271" spans="4:9" x14ac:dyDescent="0.3">
      <c r="D271" s="11"/>
      <c r="E271" s="12"/>
      <c r="F271" s="12"/>
      <c r="G271" s="12"/>
      <c r="H271" s="12"/>
      <c r="I271" s="13"/>
    </row>
    <row r="272" spans="4:9" x14ac:dyDescent="0.3">
      <c r="D272" s="11"/>
      <c r="E272" s="12"/>
      <c r="F272" s="12"/>
      <c r="G272" s="12"/>
      <c r="H272" s="12"/>
      <c r="I272" s="13"/>
    </row>
    <row r="273" spans="4:9" x14ac:dyDescent="0.3">
      <c r="D273" s="11"/>
      <c r="E273" s="12"/>
      <c r="F273" s="12"/>
      <c r="G273" s="12"/>
      <c r="H273" s="12"/>
      <c r="I273" s="13"/>
    </row>
    <row r="274" spans="4:9" x14ac:dyDescent="0.3">
      <c r="D274" s="11"/>
      <c r="E274" s="12"/>
      <c r="F274" s="12"/>
      <c r="G274" s="12"/>
      <c r="H274" s="12"/>
      <c r="I274" s="13"/>
    </row>
    <row r="275" spans="4:9" x14ac:dyDescent="0.3">
      <c r="D275" s="11"/>
      <c r="E275" s="12"/>
      <c r="F275" s="12"/>
      <c r="G275" s="12"/>
      <c r="H275" s="12"/>
      <c r="I275" s="13"/>
    </row>
    <row r="276" spans="4:9" x14ac:dyDescent="0.3">
      <c r="D276" s="11"/>
      <c r="E276" s="12"/>
      <c r="F276" s="12"/>
      <c r="G276" s="12"/>
      <c r="H276" s="12"/>
      <c r="I276" s="13"/>
    </row>
    <row r="277" spans="4:9" x14ac:dyDescent="0.3">
      <c r="D277" s="11"/>
      <c r="E277" s="12"/>
      <c r="F277" s="12"/>
      <c r="G277" s="12"/>
      <c r="H277" s="12"/>
      <c r="I277" s="13"/>
    </row>
    <row r="278" spans="4:9" x14ac:dyDescent="0.3">
      <c r="D278" s="11"/>
      <c r="E278" s="12"/>
      <c r="F278" s="12"/>
      <c r="G278" s="12"/>
      <c r="H278" s="12"/>
      <c r="I278" s="13"/>
    </row>
    <row r="279" spans="4:9" x14ac:dyDescent="0.3">
      <c r="D279" s="11"/>
      <c r="E279" s="12"/>
      <c r="F279" s="12"/>
      <c r="G279" s="12"/>
      <c r="H279" s="12"/>
      <c r="I279" s="13"/>
    </row>
    <row r="280" spans="4:9" x14ac:dyDescent="0.3">
      <c r="D280" s="11"/>
      <c r="E280" s="12"/>
      <c r="F280" s="12"/>
      <c r="G280" s="12"/>
      <c r="H280" s="12"/>
      <c r="I280" s="13"/>
    </row>
    <row r="281" spans="4:9" x14ac:dyDescent="0.3">
      <c r="D281" s="11"/>
      <c r="E281" s="12"/>
      <c r="F281" s="12"/>
      <c r="G281" s="12"/>
      <c r="H281" s="12"/>
      <c r="I281" s="13"/>
    </row>
    <row r="282" spans="4:9" x14ac:dyDescent="0.3">
      <c r="D282" s="11"/>
      <c r="E282" s="12"/>
      <c r="F282" s="12"/>
      <c r="G282" s="12"/>
      <c r="H282" s="12"/>
      <c r="I282" s="13"/>
    </row>
    <row r="283" spans="4:9" x14ac:dyDescent="0.3">
      <c r="D283" s="11"/>
      <c r="E283" s="12"/>
      <c r="F283" s="12"/>
      <c r="G283" s="12"/>
      <c r="H283" s="12"/>
      <c r="I283" s="13"/>
    </row>
    <row r="284" spans="4:9" x14ac:dyDescent="0.3">
      <c r="D284" s="11"/>
      <c r="E284" s="12"/>
      <c r="F284" s="12"/>
      <c r="G284" s="12"/>
      <c r="H284" s="12"/>
      <c r="I284" s="13"/>
    </row>
    <row r="285" spans="4:9" x14ac:dyDescent="0.3">
      <c r="D285" s="11"/>
      <c r="E285" s="12"/>
      <c r="F285" s="12"/>
      <c r="G285" s="12"/>
      <c r="H285" s="12"/>
      <c r="I285" s="13"/>
    </row>
    <row r="286" spans="4:9" x14ac:dyDescent="0.3">
      <c r="D286" s="11"/>
      <c r="E286" s="12"/>
      <c r="F286" s="12"/>
      <c r="G286" s="12"/>
      <c r="H286" s="12"/>
      <c r="I286" s="13"/>
    </row>
    <row r="287" spans="4:9" x14ac:dyDescent="0.3">
      <c r="D287" s="11"/>
      <c r="E287" s="12"/>
      <c r="F287" s="12"/>
      <c r="G287" s="12"/>
      <c r="H287" s="12"/>
      <c r="I287" s="13"/>
    </row>
    <row r="288" spans="4:9" x14ac:dyDescent="0.3">
      <c r="D288" s="11"/>
      <c r="E288" s="12"/>
      <c r="F288" s="12"/>
      <c r="G288" s="12"/>
      <c r="H288" s="12"/>
      <c r="I288" s="13"/>
    </row>
    <row r="289" spans="3:9" x14ac:dyDescent="0.3">
      <c r="D289" s="11"/>
      <c r="E289" s="12"/>
      <c r="F289" s="12"/>
      <c r="G289" s="12"/>
      <c r="H289" s="12"/>
      <c r="I289" s="13"/>
    </row>
    <row r="290" spans="3:9" x14ac:dyDescent="0.3">
      <c r="D290" s="11"/>
      <c r="E290" s="12"/>
      <c r="F290" s="12"/>
      <c r="G290" s="12"/>
      <c r="H290" s="12"/>
      <c r="I290" s="13"/>
    </row>
    <row r="291" spans="3:9" x14ac:dyDescent="0.3">
      <c r="D291" s="11"/>
      <c r="E291" s="12"/>
      <c r="F291" s="12"/>
      <c r="G291" s="12"/>
      <c r="H291" s="12"/>
      <c r="I291" s="13"/>
    </row>
    <row r="292" spans="3:9" x14ac:dyDescent="0.3">
      <c r="D292" s="11"/>
      <c r="E292" s="12"/>
      <c r="F292" s="12"/>
      <c r="G292" s="12"/>
      <c r="H292" s="12"/>
      <c r="I292" s="13"/>
    </row>
    <row r="293" spans="3:9" x14ac:dyDescent="0.3">
      <c r="D293" s="11"/>
      <c r="E293" s="12"/>
      <c r="F293" s="12"/>
      <c r="G293" s="12"/>
      <c r="H293" s="12"/>
      <c r="I293" s="13"/>
    </row>
    <row r="294" spans="3:9" x14ac:dyDescent="0.3">
      <c r="D294" s="11"/>
      <c r="E294" s="12"/>
      <c r="F294" s="12"/>
      <c r="G294" s="12"/>
      <c r="H294" s="12"/>
      <c r="I294" s="13"/>
    </row>
    <row r="295" spans="3:9" x14ac:dyDescent="0.3">
      <c r="D295" s="11"/>
      <c r="E295" s="12"/>
      <c r="F295" s="12"/>
      <c r="G295" s="12"/>
      <c r="H295" s="12"/>
      <c r="I295" s="13"/>
    </row>
    <row r="296" spans="3:9" x14ac:dyDescent="0.3">
      <c r="C296" s="11"/>
      <c r="D296" s="12"/>
      <c r="E296" s="12"/>
      <c r="F296" s="12"/>
      <c r="G296" s="12"/>
      <c r="H296" s="13"/>
    </row>
    <row r="297" spans="3:9" x14ac:dyDescent="0.3">
      <c r="C297" s="11"/>
      <c r="D297" s="12"/>
      <c r="E297" s="12"/>
      <c r="F297" s="12"/>
      <c r="G297" s="12"/>
      <c r="H297" s="13"/>
    </row>
    <row r="298" spans="3:9" x14ac:dyDescent="0.3">
      <c r="C298" s="11"/>
      <c r="D298" s="12"/>
      <c r="E298" s="12"/>
      <c r="F298" s="12"/>
      <c r="G298" s="12"/>
      <c r="H298" s="13"/>
    </row>
    <row r="299" spans="3:9" x14ac:dyDescent="0.3">
      <c r="C299" s="11"/>
      <c r="D299" s="12"/>
      <c r="E299" s="12"/>
      <c r="F299" s="12"/>
      <c r="G299" s="12"/>
      <c r="H299" s="13"/>
    </row>
  </sheetData>
  <mergeCells count="18">
    <mergeCell ref="B1:C1"/>
    <mergeCell ref="I1:J1"/>
    <mergeCell ref="L1:M1"/>
    <mergeCell ref="B2:C2"/>
    <mergeCell ref="I2:J2"/>
    <mergeCell ref="L2:M2"/>
    <mergeCell ref="B3:C3"/>
    <mergeCell ref="I3:J3"/>
    <mergeCell ref="L3:M3"/>
    <mergeCell ref="B26:C26"/>
    <mergeCell ref="B27:C27"/>
    <mergeCell ref="D27:F27"/>
    <mergeCell ref="B28:C28"/>
    <mergeCell ref="D28:F28"/>
    <mergeCell ref="B29:C29"/>
    <mergeCell ref="D29:F29"/>
    <mergeCell ref="B30:C30"/>
    <mergeCell ref="D30:F30"/>
  </mergeCells>
  <dataValidations count="2">
    <dataValidation type="list" allowBlank="1" showInputMessage="1" showErrorMessage="1" sqref="A35:A56">
      <formula1>BUFFS</formula1>
    </dataValidation>
    <dataValidation type="list" allowBlank="1" showInputMessage="1" showErrorMessage="1" sqref="J4:M4 O4:AH4 AJ4:AK4">
      <formula1>$A$5:$A$37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299"/>
  <sheetViews>
    <sheetView workbookViewId="0">
      <selection activeCell="E14" sqref="E14"/>
    </sheetView>
  </sheetViews>
  <sheetFormatPr defaultRowHeight="18.75" x14ac:dyDescent="0.3"/>
  <cols>
    <col min="1" max="1" width="25.28515625" style="3" bestFit="1" customWidth="1"/>
    <col min="2" max="2" width="11.42578125" bestFit="1" customWidth="1"/>
    <col min="3" max="3" width="11.140625" customWidth="1"/>
    <col min="4" max="4" width="13.5703125" customWidth="1"/>
    <col min="5" max="5" width="20.42578125" customWidth="1"/>
    <col min="6" max="6" width="15.7109375" customWidth="1"/>
    <col min="7" max="7" width="15" customWidth="1"/>
    <col min="8" max="8" width="11" bestFit="1" customWidth="1"/>
    <col min="9" max="9" width="17.85546875" bestFit="1" customWidth="1"/>
    <col min="10" max="10" width="20.85546875" customWidth="1"/>
    <col min="11" max="11" width="15.5703125" customWidth="1"/>
    <col min="12" max="12" width="13.42578125" bestFit="1" customWidth="1"/>
    <col min="13" max="13" width="13.5703125" bestFit="1" customWidth="1"/>
    <col min="14" max="14" width="21.85546875" bestFit="1" customWidth="1"/>
    <col min="15" max="15" width="20.140625" bestFit="1" customWidth="1"/>
    <col min="16" max="16" width="14.140625" bestFit="1" customWidth="1"/>
    <col min="17" max="17" width="26.85546875" customWidth="1"/>
    <col min="18" max="18" width="26.85546875" bestFit="1" customWidth="1"/>
    <col min="19" max="19" width="14.42578125" bestFit="1" customWidth="1"/>
    <col min="20" max="20" width="18" bestFit="1" customWidth="1"/>
    <col min="21" max="21" width="16.7109375" bestFit="1" customWidth="1"/>
    <col min="22" max="22" width="12.5703125" customWidth="1"/>
    <col min="23" max="23" width="25.7109375" customWidth="1"/>
    <col min="24" max="24" width="17.28515625" bestFit="1" customWidth="1"/>
  </cols>
  <sheetData>
    <row r="1" spans="1:38" ht="21" x14ac:dyDescent="0.35">
      <c r="A1" s="3" t="s">
        <v>59</v>
      </c>
      <c r="B1" s="88" t="s">
        <v>126</v>
      </c>
      <c r="C1" s="88"/>
      <c r="D1" s="48">
        <v>3</v>
      </c>
      <c r="E1" s="52" t="s">
        <v>128</v>
      </c>
      <c r="F1" s="50">
        <v>0</v>
      </c>
      <c r="G1" s="54" t="s">
        <v>129</v>
      </c>
      <c r="H1" s="50">
        <v>0</v>
      </c>
      <c r="I1" s="89"/>
      <c r="J1" s="90"/>
      <c r="K1" s="18">
        <v>0</v>
      </c>
      <c r="L1" s="91" t="s">
        <v>131</v>
      </c>
      <c r="M1" s="91"/>
      <c r="N1" s="57" t="s">
        <v>134</v>
      </c>
      <c r="O1" s="58">
        <v>20</v>
      </c>
    </row>
    <row r="2" spans="1:38" x14ac:dyDescent="0.3">
      <c r="B2" s="87" t="s">
        <v>127</v>
      </c>
      <c r="C2" s="87"/>
      <c r="D2" s="49">
        <v>1</v>
      </c>
      <c r="E2" s="59" t="s">
        <v>135</v>
      </c>
      <c r="F2" s="50">
        <v>0</v>
      </c>
      <c r="G2" s="51" t="s">
        <v>132</v>
      </c>
      <c r="H2" s="50">
        <v>0</v>
      </c>
      <c r="I2" s="89"/>
      <c r="J2" s="90"/>
      <c r="K2" s="18">
        <v>0</v>
      </c>
      <c r="L2" s="91" t="s">
        <v>137</v>
      </c>
      <c r="M2" s="91"/>
      <c r="N2" s="56" t="str">
        <f>IF(O1&lt;&gt;0,"+","")</f>
        <v>+</v>
      </c>
      <c r="O2" s="56">
        <f>IF(O1&lt;&gt;0,O1,"")</f>
        <v>20</v>
      </c>
    </row>
    <row r="3" spans="1:38" x14ac:dyDescent="0.3">
      <c r="B3" s="91" t="s">
        <v>120</v>
      </c>
      <c r="C3" s="91"/>
      <c r="D3" s="53">
        <v>0</v>
      </c>
      <c r="E3" s="60">
        <v>1</v>
      </c>
      <c r="F3" s="50">
        <v>0</v>
      </c>
      <c r="G3" s="51" t="s">
        <v>133</v>
      </c>
      <c r="H3" s="50">
        <v>0</v>
      </c>
      <c r="I3" s="89"/>
      <c r="J3" s="90"/>
      <c r="K3" s="18">
        <v>0</v>
      </c>
      <c r="L3" s="91"/>
      <c r="M3" s="91"/>
    </row>
    <row r="4" spans="1:38" x14ac:dyDescent="0.3">
      <c r="A4" s="3" t="s">
        <v>67</v>
      </c>
      <c r="B4" s="1" t="s">
        <v>86</v>
      </c>
      <c r="C4" t="s">
        <v>72</v>
      </c>
      <c r="D4" t="s">
        <v>103</v>
      </c>
      <c r="E4" t="s">
        <v>105</v>
      </c>
      <c r="F4" t="s">
        <v>93</v>
      </c>
      <c r="G4" t="s">
        <v>123</v>
      </c>
      <c r="H4" t="s">
        <v>130</v>
      </c>
      <c r="I4" t="s">
        <v>136</v>
      </c>
      <c r="J4" t="s">
        <v>1</v>
      </c>
      <c r="K4" t="s">
        <v>2</v>
      </c>
      <c r="L4" t="s">
        <v>3</v>
      </c>
      <c r="M4" t="s">
        <v>4</v>
      </c>
      <c r="N4" t="s">
        <v>139</v>
      </c>
      <c r="O4" t="s">
        <v>6</v>
      </c>
      <c r="P4" t="s">
        <v>7</v>
      </c>
      <c r="Q4" t="s">
        <v>8</v>
      </c>
      <c r="R4" t="s">
        <v>9</v>
      </c>
      <c r="S4" t="s">
        <v>10</v>
      </c>
      <c r="T4" t="s">
        <v>11</v>
      </c>
      <c r="U4" t="s">
        <v>12</v>
      </c>
      <c r="V4" t="s">
        <v>13</v>
      </c>
      <c r="W4" t="s">
        <v>14</v>
      </c>
      <c r="X4" t="s">
        <v>15</v>
      </c>
      <c r="Y4" t="s">
        <v>16</v>
      </c>
      <c r="Z4" t="s">
        <v>17</v>
      </c>
      <c r="AA4" t="s">
        <v>18</v>
      </c>
      <c r="AB4" t="s">
        <v>19</v>
      </c>
      <c r="AC4" t="s">
        <v>20</v>
      </c>
      <c r="AD4" t="s">
        <v>21</v>
      </c>
      <c r="AE4" t="s">
        <v>22</v>
      </c>
      <c r="AF4" t="s">
        <v>23</v>
      </c>
      <c r="AG4" t="s">
        <v>24</v>
      </c>
      <c r="AH4" t="s">
        <v>25</v>
      </c>
      <c r="AI4" t="s">
        <v>81</v>
      </c>
      <c r="AJ4" t="s">
        <v>5</v>
      </c>
    </row>
    <row r="6" spans="1:38" x14ac:dyDescent="0.3">
      <c r="A6" s="3" t="s">
        <v>60</v>
      </c>
      <c r="B6">
        <f>SUM(D6:AJ6)</f>
        <v>12</v>
      </c>
      <c r="J6" s="18">
        <v>0</v>
      </c>
      <c r="K6" s="18">
        <v>0</v>
      </c>
      <c r="L6" s="18">
        <v>0</v>
      </c>
      <c r="M6" s="18">
        <v>0</v>
      </c>
      <c r="N6" s="18">
        <v>0</v>
      </c>
      <c r="O6" s="18">
        <v>0</v>
      </c>
      <c r="P6" s="18">
        <v>0</v>
      </c>
      <c r="Q6" s="18">
        <v>0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0</v>
      </c>
      <c r="AF6" s="18">
        <v>0</v>
      </c>
      <c r="AG6" s="18">
        <v>0</v>
      </c>
      <c r="AH6" s="18">
        <v>0</v>
      </c>
      <c r="AI6" s="18">
        <v>0</v>
      </c>
      <c r="AJ6" s="18">
        <v>12</v>
      </c>
      <c r="AK6" s="18"/>
      <c r="AL6" s="18"/>
    </row>
    <row r="7" spans="1:38" ht="21" x14ac:dyDescent="0.35">
      <c r="A7" s="3" t="s">
        <v>26</v>
      </c>
      <c r="B7" s="55" t="str">
        <f>CONCATENATE(SUM(D7,G7,I7),N2,O2)</f>
        <v>35+20</v>
      </c>
      <c r="D7">
        <v>50</v>
      </c>
      <c r="G7" s="18">
        <f>D1*(-5)</f>
        <v>-15</v>
      </c>
      <c r="I7" s="18"/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18">
        <v>0</v>
      </c>
      <c r="P7" s="18">
        <v>0</v>
      </c>
      <c r="Q7" s="18">
        <v>0</v>
      </c>
      <c r="R7" s="18">
        <v>0</v>
      </c>
      <c r="S7" s="18">
        <v>0</v>
      </c>
      <c r="T7" s="18">
        <v>0</v>
      </c>
      <c r="U7" s="18">
        <v>0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8">
        <v>0</v>
      </c>
      <c r="AB7" s="18">
        <v>0</v>
      </c>
      <c r="AC7" s="18">
        <v>0</v>
      </c>
      <c r="AD7" s="18">
        <v>0</v>
      </c>
      <c r="AE7" s="18">
        <v>0</v>
      </c>
      <c r="AF7" s="18">
        <v>0</v>
      </c>
      <c r="AG7" s="18">
        <v>0</v>
      </c>
      <c r="AH7" s="18">
        <v>0</v>
      </c>
      <c r="AI7" s="18">
        <v>0</v>
      </c>
      <c r="AJ7" s="18">
        <v>0</v>
      </c>
      <c r="AK7" s="18"/>
      <c r="AL7" s="18"/>
    </row>
    <row r="8" spans="1:38" x14ac:dyDescent="0.3">
      <c r="A8" s="3" t="s">
        <v>107</v>
      </c>
      <c r="B8">
        <f>SUM(D8:AJ8,D2)</f>
        <v>6</v>
      </c>
      <c r="D8">
        <v>5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8">
        <v>0</v>
      </c>
      <c r="AB8" s="18">
        <v>0</v>
      </c>
      <c r="AC8" s="18">
        <v>0</v>
      </c>
      <c r="AD8" s="18">
        <v>0</v>
      </c>
      <c r="AE8" s="18">
        <v>0</v>
      </c>
      <c r="AF8" s="18">
        <v>0</v>
      </c>
      <c r="AG8" s="18">
        <v>0</v>
      </c>
      <c r="AH8" s="18">
        <v>0</v>
      </c>
      <c r="AI8" s="18">
        <v>0</v>
      </c>
      <c r="AJ8" s="18">
        <v>0</v>
      </c>
      <c r="AK8" s="18"/>
      <c r="AL8" s="18"/>
    </row>
    <row r="9" spans="1:38" x14ac:dyDescent="0.3">
      <c r="A9" s="3" t="s">
        <v>109</v>
      </c>
      <c r="B9">
        <f>SUM(D9:F9,I9,J9:AJ9)</f>
        <v>123</v>
      </c>
      <c r="C9">
        <f>ROUNDDOWN(B9/2,0)</f>
        <v>61</v>
      </c>
      <c r="D9">
        <v>18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105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18">
        <v>0</v>
      </c>
      <c r="AG9" s="18">
        <v>0</v>
      </c>
      <c r="AH9" s="18">
        <v>0</v>
      </c>
      <c r="AI9" s="18">
        <v>0</v>
      </c>
      <c r="AJ9" s="18">
        <v>0</v>
      </c>
      <c r="AK9" s="18"/>
      <c r="AL9" s="18"/>
    </row>
    <row r="10" spans="1:38" x14ac:dyDescent="0.3">
      <c r="A10" s="3" t="s">
        <v>113</v>
      </c>
      <c r="B10">
        <f t="shared" ref="B10:B14" si="0">SUM(D10:F10,I10,J10:AJ10)</f>
        <v>18</v>
      </c>
      <c r="C10">
        <f t="shared" ref="C10:C14" si="1">ROUNDDOWN(B10/2,0)</f>
        <v>9</v>
      </c>
      <c r="D10">
        <v>18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  <c r="AD10" s="18">
        <v>0</v>
      </c>
      <c r="AE10" s="18">
        <v>0</v>
      </c>
      <c r="AF10" s="18">
        <v>0</v>
      </c>
      <c r="AG10" s="18">
        <v>0</v>
      </c>
      <c r="AH10" s="18">
        <v>0</v>
      </c>
      <c r="AI10" s="18">
        <v>0</v>
      </c>
      <c r="AJ10" s="18">
        <v>0</v>
      </c>
      <c r="AK10" s="18"/>
      <c r="AL10" s="18"/>
    </row>
    <row r="11" spans="1:38" x14ac:dyDescent="0.3">
      <c r="A11" s="3" t="s">
        <v>112</v>
      </c>
      <c r="B11">
        <f>SUM(D11:F11,I11,J11:AJ11)</f>
        <v>18</v>
      </c>
      <c r="C11">
        <f t="shared" si="1"/>
        <v>9</v>
      </c>
      <c r="D11">
        <v>18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0</v>
      </c>
      <c r="AD11" s="18">
        <v>0</v>
      </c>
      <c r="AE11" s="18">
        <v>0</v>
      </c>
      <c r="AF11" s="18">
        <v>0</v>
      </c>
      <c r="AG11" s="18">
        <v>0</v>
      </c>
      <c r="AH11" s="18">
        <v>0</v>
      </c>
      <c r="AI11" s="18">
        <v>0</v>
      </c>
      <c r="AJ11" s="18">
        <v>0</v>
      </c>
      <c r="AK11" s="18"/>
      <c r="AL11" s="18"/>
    </row>
    <row r="12" spans="1:38" x14ac:dyDescent="0.3">
      <c r="A12" s="3" t="s">
        <v>110</v>
      </c>
      <c r="B12">
        <f t="shared" si="0"/>
        <v>16</v>
      </c>
      <c r="C12">
        <f t="shared" si="1"/>
        <v>8</v>
      </c>
      <c r="D12">
        <v>16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  <c r="O12" s="18">
        <v>0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18">
        <v>0</v>
      </c>
      <c r="AB12" s="18">
        <v>0</v>
      </c>
      <c r="AC12" s="18">
        <v>0</v>
      </c>
      <c r="AD12" s="18">
        <v>0</v>
      </c>
      <c r="AE12" s="18">
        <v>0</v>
      </c>
      <c r="AF12" s="18">
        <v>0</v>
      </c>
      <c r="AG12" s="18">
        <v>0</v>
      </c>
      <c r="AH12" s="18">
        <v>0</v>
      </c>
      <c r="AI12" s="18">
        <v>0</v>
      </c>
      <c r="AJ12" s="18">
        <v>0</v>
      </c>
      <c r="AK12" s="18"/>
      <c r="AL12" s="18"/>
    </row>
    <row r="13" spans="1:38" x14ac:dyDescent="0.3">
      <c r="A13" s="3" t="s">
        <v>108</v>
      </c>
      <c r="B13">
        <f>SUM(D13:F13,I13,J13:AJ13)</f>
        <v>23</v>
      </c>
      <c r="C13">
        <f t="shared" si="1"/>
        <v>11</v>
      </c>
      <c r="D13">
        <v>15</v>
      </c>
      <c r="J13" s="18">
        <v>0</v>
      </c>
      <c r="K13" s="18">
        <v>8</v>
      </c>
      <c r="L13" s="18">
        <v>0</v>
      </c>
      <c r="M13" s="18">
        <v>0</v>
      </c>
      <c r="N13" s="18">
        <v>0</v>
      </c>
      <c r="O13" s="18">
        <v>0</v>
      </c>
      <c r="P13" s="18">
        <v>0</v>
      </c>
      <c r="Q13" s="18">
        <v>0</v>
      </c>
      <c r="R13" s="18">
        <v>0</v>
      </c>
      <c r="S13" s="18">
        <v>0</v>
      </c>
      <c r="T13" s="18">
        <v>0</v>
      </c>
      <c r="U13" s="18">
        <v>0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18">
        <v>0</v>
      </c>
      <c r="AG13" s="18">
        <v>0</v>
      </c>
      <c r="AH13" s="18">
        <v>0</v>
      </c>
      <c r="AI13" s="18">
        <v>0</v>
      </c>
      <c r="AJ13" s="18">
        <v>0</v>
      </c>
      <c r="AK13" s="18"/>
      <c r="AL13" s="18"/>
    </row>
    <row r="14" spans="1:38" x14ac:dyDescent="0.3">
      <c r="A14" s="3" t="s">
        <v>111</v>
      </c>
      <c r="B14">
        <f t="shared" si="0"/>
        <v>14</v>
      </c>
      <c r="C14">
        <f t="shared" si="1"/>
        <v>7</v>
      </c>
      <c r="D14">
        <v>14</v>
      </c>
      <c r="J14" s="18">
        <v>0</v>
      </c>
      <c r="K14" s="18">
        <v>0</v>
      </c>
      <c r="L14" s="18">
        <v>0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18">
        <v>0</v>
      </c>
      <c r="AB14" s="18">
        <v>0</v>
      </c>
      <c r="AC14" s="18">
        <v>0</v>
      </c>
      <c r="AD14" s="18">
        <v>0</v>
      </c>
      <c r="AE14" s="18">
        <v>0</v>
      </c>
      <c r="AF14" s="18">
        <v>0</v>
      </c>
      <c r="AG14" s="18">
        <v>0</v>
      </c>
      <c r="AH14" s="18">
        <v>0</v>
      </c>
      <c r="AI14" s="18">
        <v>0</v>
      </c>
      <c r="AJ14" s="18">
        <v>0</v>
      </c>
      <c r="AK14" s="18"/>
      <c r="AL14" s="18"/>
    </row>
    <row r="15" spans="1:38" x14ac:dyDescent="0.3"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8">
        <v>0</v>
      </c>
      <c r="S15" s="18">
        <v>0</v>
      </c>
      <c r="T15" s="18">
        <v>0</v>
      </c>
      <c r="U15" s="18">
        <v>0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0</v>
      </c>
      <c r="AF15" s="18">
        <v>0</v>
      </c>
      <c r="AG15" s="18">
        <v>0</v>
      </c>
      <c r="AH15" s="18">
        <v>0</v>
      </c>
      <c r="AI15" s="18">
        <v>0</v>
      </c>
      <c r="AJ15" s="18">
        <v>0</v>
      </c>
      <c r="AK15" s="18"/>
      <c r="AL15" s="18"/>
    </row>
    <row r="16" spans="1:38" x14ac:dyDescent="0.3">
      <c r="A16" s="3" t="s">
        <v>29</v>
      </c>
      <c r="B16">
        <f>SUM(D16:AJ16)</f>
        <v>5</v>
      </c>
      <c r="D16">
        <v>8</v>
      </c>
      <c r="G16">
        <f>$D$1*(-1)</f>
        <v>-3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8">
        <v>0</v>
      </c>
      <c r="S16" s="18">
        <v>0</v>
      </c>
      <c r="T16" s="18">
        <v>0</v>
      </c>
      <c r="U16" s="18">
        <v>0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18">
        <v>0</v>
      </c>
      <c r="AB16" s="18">
        <v>0</v>
      </c>
      <c r="AC16" s="18">
        <v>0</v>
      </c>
      <c r="AD16" s="18">
        <v>0</v>
      </c>
      <c r="AE16" s="18">
        <v>0</v>
      </c>
      <c r="AF16" s="18">
        <v>0</v>
      </c>
      <c r="AG16" s="18">
        <v>0</v>
      </c>
      <c r="AH16" s="18">
        <v>0</v>
      </c>
      <c r="AI16" s="18">
        <v>0</v>
      </c>
      <c r="AJ16" s="18">
        <v>0</v>
      </c>
      <c r="AK16" s="18"/>
      <c r="AL16" s="18"/>
    </row>
    <row r="17" spans="1:38" x14ac:dyDescent="0.3">
      <c r="A17" s="3" t="s">
        <v>30</v>
      </c>
      <c r="B17">
        <f t="shared" ref="B17:B18" si="2">SUM(D17:AJ17)</f>
        <v>2</v>
      </c>
      <c r="D17">
        <v>5</v>
      </c>
      <c r="G17">
        <f t="shared" ref="G17:G20" si="3">$D$1*(-1)</f>
        <v>-3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8">
        <v>0</v>
      </c>
      <c r="S17" s="18">
        <v>0</v>
      </c>
      <c r="T17" s="18">
        <v>0</v>
      </c>
      <c r="U17" s="18">
        <v>0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18">
        <v>0</v>
      </c>
      <c r="AB17" s="18">
        <v>0</v>
      </c>
      <c r="AC17" s="18">
        <v>0</v>
      </c>
      <c r="AD17" s="18">
        <v>0</v>
      </c>
      <c r="AE17" s="18">
        <v>0</v>
      </c>
      <c r="AF17" s="18">
        <v>0</v>
      </c>
      <c r="AG17" s="18">
        <v>0</v>
      </c>
      <c r="AH17" s="18">
        <v>0</v>
      </c>
      <c r="AI17" s="18">
        <v>0</v>
      </c>
      <c r="AJ17" s="18">
        <v>0</v>
      </c>
      <c r="AK17" s="18"/>
      <c r="AL17" s="18"/>
    </row>
    <row r="18" spans="1:38" x14ac:dyDescent="0.3">
      <c r="A18" s="3" t="s">
        <v>31</v>
      </c>
      <c r="B18">
        <f t="shared" si="2"/>
        <v>2</v>
      </c>
      <c r="D18">
        <v>5</v>
      </c>
      <c r="G18">
        <f t="shared" si="3"/>
        <v>-3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0</v>
      </c>
      <c r="U18" s="18">
        <v>0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18">
        <v>0</v>
      </c>
      <c r="AB18" s="18">
        <v>0</v>
      </c>
      <c r="AC18" s="18">
        <v>0</v>
      </c>
      <c r="AD18" s="18">
        <v>0</v>
      </c>
      <c r="AE18" s="18">
        <v>0</v>
      </c>
      <c r="AF18" s="18">
        <v>0</v>
      </c>
      <c r="AG18" s="18">
        <v>0</v>
      </c>
      <c r="AH18" s="18">
        <v>0</v>
      </c>
      <c r="AI18" s="18">
        <v>0</v>
      </c>
      <c r="AJ18" s="18">
        <v>0</v>
      </c>
      <c r="AK18" s="18"/>
      <c r="AL18" s="18"/>
    </row>
    <row r="19" spans="1:38" x14ac:dyDescent="0.3"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0</v>
      </c>
      <c r="P19" s="18">
        <v>0</v>
      </c>
      <c r="Q19" s="18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8">
        <v>0</v>
      </c>
      <c r="AB19" s="18">
        <v>0</v>
      </c>
      <c r="AC19" s="18">
        <v>0</v>
      </c>
      <c r="AD19" s="18">
        <v>0</v>
      </c>
      <c r="AE19" s="18">
        <v>0</v>
      </c>
      <c r="AF19" s="18">
        <v>0</v>
      </c>
      <c r="AG19" s="18">
        <v>0</v>
      </c>
      <c r="AH19" s="18">
        <v>0</v>
      </c>
      <c r="AI19" s="18">
        <v>0</v>
      </c>
      <c r="AJ19" s="18">
        <v>0</v>
      </c>
      <c r="AK19" s="18"/>
      <c r="AL19" s="18"/>
    </row>
    <row r="20" spans="1:38" x14ac:dyDescent="0.3">
      <c r="A20" s="3" t="s">
        <v>68</v>
      </c>
      <c r="B20">
        <f>SUM(D20:AJ20,B8,D3*(-1),D2,E3*(-1))</f>
        <v>3</v>
      </c>
      <c r="G20">
        <f t="shared" si="3"/>
        <v>-3</v>
      </c>
      <c r="H20">
        <f>SUM(K1*2,F3*(-1))</f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18">
        <v>0</v>
      </c>
      <c r="AB20" s="18">
        <v>0</v>
      </c>
      <c r="AC20" s="18">
        <v>0</v>
      </c>
      <c r="AD20" s="18">
        <v>0</v>
      </c>
      <c r="AE20" s="18">
        <v>0</v>
      </c>
      <c r="AF20" s="18">
        <v>0</v>
      </c>
      <c r="AG20" s="18">
        <v>0</v>
      </c>
      <c r="AH20" s="18">
        <v>0</v>
      </c>
      <c r="AI20" s="18">
        <v>0</v>
      </c>
      <c r="AJ20" s="18">
        <v>0</v>
      </c>
      <c r="AK20" s="18"/>
      <c r="AL20" s="18"/>
    </row>
    <row r="21" spans="1:38" x14ac:dyDescent="0.3">
      <c r="A21" s="3" t="s">
        <v>106</v>
      </c>
      <c r="B21">
        <f>SUM(D21:AJ21,D3*(2))</f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8">
        <v>0</v>
      </c>
      <c r="AG21" s="18">
        <v>0</v>
      </c>
      <c r="AH21" s="18">
        <v>0</v>
      </c>
      <c r="AI21" s="18">
        <v>0</v>
      </c>
      <c r="AJ21" s="18">
        <v>0</v>
      </c>
      <c r="AK21" s="18"/>
      <c r="AL21" s="18"/>
    </row>
    <row r="22" spans="1:38" x14ac:dyDescent="0.3">
      <c r="A22" s="3" t="s">
        <v>114</v>
      </c>
      <c r="B22">
        <f>SUM(C9,D22:AJ22,E3*(4))</f>
        <v>74</v>
      </c>
      <c r="J22" s="18">
        <v>9</v>
      </c>
      <c r="K22" s="18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8">
        <v>0</v>
      </c>
      <c r="AA22" s="18">
        <v>0</v>
      </c>
      <c r="AB22" s="18">
        <v>0</v>
      </c>
      <c r="AC22" s="18">
        <v>0</v>
      </c>
      <c r="AD22" s="18">
        <v>0</v>
      </c>
      <c r="AE22" s="18">
        <v>0</v>
      </c>
      <c r="AF22" s="18">
        <v>0</v>
      </c>
      <c r="AG22" s="18">
        <v>0</v>
      </c>
      <c r="AH22" s="18">
        <v>0</v>
      </c>
      <c r="AI22" s="18">
        <v>0</v>
      </c>
      <c r="AJ22" s="18">
        <v>0</v>
      </c>
      <c r="AK22" s="18"/>
      <c r="AL22" s="18"/>
    </row>
    <row r="23" spans="1:38" x14ac:dyDescent="0.3">
      <c r="A23" s="3" t="s">
        <v>28</v>
      </c>
      <c r="B23">
        <f>SUM(D23:F23,K23:AJ23,C10,H23:I23)</f>
        <v>25</v>
      </c>
      <c r="J23" s="18">
        <v>0</v>
      </c>
      <c r="K23" s="18">
        <v>0</v>
      </c>
      <c r="L23" s="18">
        <v>0</v>
      </c>
      <c r="M23" s="18">
        <v>0</v>
      </c>
      <c r="N23" s="18">
        <v>0</v>
      </c>
      <c r="O23" s="18">
        <v>5</v>
      </c>
      <c r="P23" s="18">
        <v>1</v>
      </c>
      <c r="Q23" s="18">
        <v>5</v>
      </c>
      <c r="R23" s="18">
        <v>5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8">
        <v>0</v>
      </c>
      <c r="AG23" s="18">
        <v>0</v>
      </c>
      <c r="AH23" s="18">
        <v>0</v>
      </c>
      <c r="AI23" s="18">
        <v>0</v>
      </c>
      <c r="AJ23" s="18">
        <v>0</v>
      </c>
      <c r="AK23" s="18"/>
      <c r="AL23" s="18"/>
    </row>
    <row r="24" spans="1:38" x14ac:dyDescent="0.3">
      <c r="A24" s="3" t="s">
        <v>115</v>
      </c>
      <c r="B24">
        <f>B23-L23-AB23-V23-Q23-R23-W23</f>
        <v>15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8">
        <v>0</v>
      </c>
      <c r="AG24" s="18">
        <v>0</v>
      </c>
      <c r="AH24" s="18">
        <v>0</v>
      </c>
      <c r="AI24" s="18">
        <v>0</v>
      </c>
      <c r="AJ24" s="18">
        <v>0</v>
      </c>
      <c r="AK24" s="18"/>
      <c r="AL24" s="18"/>
    </row>
    <row r="25" spans="1:38" x14ac:dyDescent="0.3">
      <c r="A25" s="3" t="s">
        <v>116</v>
      </c>
      <c r="B25">
        <f>B23-C10</f>
        <v>16</v>
      </c>
      <c r="J25" s="18">
        <v>0</v>
      </c>
      <c r="K25" s="18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8">
        <v>0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 s="18">
        <v>0</v>
      </c>
      <c r="AK25" s="18"/>
      <c r="AL25" s="18"/>
    </row>
    <row r="26" spans="1:38" x14ac:dyDescent="0.3">
      <c r="B26" s="92" t="s">
        <v>117</v>
      </c>
      <c r="C26" s="92"/>
      <c r="G26" s="42" t="s">
        <v>121</v>
      </c>
      <c r="H26" s="43" t="s">
        <v>125</v>
      </c>
      <c r="I26" s="43" t="s">
        <v>122</v>
      </c>
      <c r="J26" s="43" t="s">
        <v>125</v>
      </c>
      <c r="K26" s="44" t="s">
        <v>124</v>
      </c>
      <c r="AJ26">
        <v>0</v>
      </c>
    </row>
    <row r="27" spans="1:38" x14ac:dyDescent="0.3">
      <c r="A27" s="3" t="s">
        <v>99</v>
      </c>
      <c r="B27" s="92" t="s">
        <v>118</v>
      </c>
      <c r="C27" s="92"/>
      <c r="D27" s="93" t="str">
        <f>CONCATENATE("Attack roll +",G27,"    Damage ",I27,"+",K27)</f>
        <v>Attack roll +50    Damage 25+1d8</v>
      </c>
      <c r="E27" s="93"/>
      <c r="F27" s="93"/>
      <c r="G27" s="45">
        <v>50</v>
      </c>
      <c r="H27" s="46"/>
      <c r="I27" s="45">
        <v>25</v>
      </c>
      <c r="J27" s="46"/>
      <c r="K27" s="4" t="s">
        <v>119</v>
      </c>
    </row>
    <row r="28" spans="1:38" x14ac:dyDescent="0.3">
      <c r="A28" s="3" t="s">
        <v>100</v>
      </c>
      <c r="B28" s="92"/>
      <c r="C28" s="92"/>
      <c r="D28" s="93" t="str">
        <f t="shared" ref="D28:D30" si="4">CONCATENATE("Attack roll +",G28,"    Damage ",I28,"+",K28)</f>
        <v>Attack roll +    Damage +</v>
      </c>
      <c r="E28" s="93"/>
      <c r="F28" s="93"/>
      <c r="G28" s="45"/>
      <c r="H28" s="46"/>
      <c r="I28" s="45"/>
      <c r="J28" s="46"/>
      <c r="K28" s="4"/>
    </row>
    <row r="29" spans="1:38" x14ac:dyDescent="0.3">
      <c r="A29" s="3" t="s">
        <v>101</v>
      </c>
      <c r="B29" s="92"/>
      <c r="C29" s="92"/>
      <c r="D29" s="93" t="str">
        <f t="shared" si="4"/>
        <v>Attack roll +    Damage +</v>
      </c>
      <c r="E29" s="93"/>
      <c r="F29" s="93"/>
    </row>
    <row r="30" spans="1:38" x14ac:dyDescent="0.3">
      <c r="A30" s="3" t="s">
        <v>102</v>
      </c>
      <c r="B30" s="92"/>
      <c r="C30" s="92"/>
      <c r="D30" s="93" t="str">
        <f t="shared" si="4"/>
        <v>Attack roll +    Damage +</v>
      </c>
      <c r="E30" s="93"/>
      <c r="F30" s="93"/>
    </row>
    <row r="31" spans="1:38" s="1" customFormat="1" x14ac:dyDescent="0.3">
      <c r="A31" s="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8" x14ac:dyDescent="0.3">
      <c r="A32" s="3" t="s">
        <v>94</v>
      </c>
      <c r="B32">
        <f>COUNTA(A35:A81)</f>
        <v>10</v>
      </c>
    </row>
    <row r="34" spans="1:27" x14ac:dyDescent="0.3">
      <c r="A34" s="3" t="s">
        <v>63</v>
      </c>
      <c r="B34" s="20" t="s">
        <v>78</v>
      </c>
      <c r="C34" s="39" t="s">
        <v>104</v>
      </c>
      <c r="D34" s="22" t="s">
        <v>65</v>
      </c>
      <c r="E34" s="23" t="s">
        <v>72</v>
      </c>
      <c r="F34" s="24" t="s">
        <v>73</v>
      </c>
      <c r="G34" s="25" t="s">
        <v>82</v>
      </c>
      <c r="H34" s="25" t="s">
        <v>83</v>
      </c>
      <c r="I34" s="41" t="s">
        <v>92</v>
      </c>
      <c r="J34" s="27" t="s">
        <v>69</v>
      </c>
      <c r="K34" s="23" t="s">
        <v>72</v>
      </c>
      <c r="L34" s="24" t="s">
        <v>73</v>
      </c>
      <c r="M34" s="25" t="s">
        <v>82</v>
      </c>
      <c r="N34" s="26" t="s">
        <v>83</v>
      </c>
      <c r="O34" s="27" t="s">
        <v>69</v>
      </c>
      <c r="P34" s="23" t="s">
        <v>72</v>
      </c>
      <c r="Q34" s="24" t="s">
        <v>73</v>
      </c>
      <c r="R34" s="25" t="s">
        <v>82</v>
      </c>
      <c r="S34" s="26" t="s">
        <v>83</v>
      </c>
      <c r="T34" s="28" t="s">
        <v>98</v>
      </c>
      <c r="U34" s="1"/>
      <c r="V34" s="1"/>
      <c r="W34" s="1"/>
      <c r="X34" s="1"/>
      <c r="Y34" s="1"/>
      <c r="Z34" s="1"/>
      <c r="AA34" s="1"/>
    </row>
    <row r="35" spans="1:27" x14ac:dyDescent="0.3">
      <c r="A35" s="17" t="s">
        <v>95</v>
      </c>
      <c r="B35" s="19">
        <v>20</v>
      </c>
      <c r="C35" s="13">
        <v>4</v>
      </c>
      <c r="D35" s="29" t="str">
        <f>VLOOKUP(A35,BUFFS!$H$5:$AF$195,5,)</f>
        <v>initiative</v>
      </c>
      <c r="E35" s="30" t="str">
        <f>VLOOKUP(A35,BUFFS!$H$5:$AF$195,6,)</f>
        <v xml:space="preserve">Competence Modifier </v>
      </c>
      <c r="F35" s="31">
        <f>VLOOKUP(A35,BUFFS!$H$5:$AF$195,7,)</f>
        <v>1</v>
      </c>
      <c r="G35" s="30">
        <f>VLOOKUP(A35,BUFFS!$H$5:$AF$195,9,)</f>
        <v>0.25</v>
      </c>
      <c r="H35" s="31">
        <f t="shared" ref="H35:H58" si="5">SUM(F35,ROUNDDOWN(MIN(B35,T$35)*G35,0))</f>
        <v>6</v>
      </c>
      <c r="I35" s="40">
        <f>IFERROR(VLOOKUP(A35,BUFFS!$H$5:$AF$195,8,),"")</f>
        <v>3</v>
      </c>
      <c r="J35" s="29" t="str">
        <f>VLOOKUP(A35,BUFFS!$H$5:$AF$195,10,)</f>
        <v>Grapple</v>
      </c>
      <c r="K35" s="30" t="str">
        <f>VLOOKUP(A35,BUFFS!$H$5:$AF$195,11,)</f>
        <v xml:space="preserve">Ability Modifier </v>
      </c>
      <c r="L35" s="30">
        <f>VLOOKUP(A35,BUFFS!$H$5:$AF$195,12,)</f>
        <v>5</v>
      </c>
      <c r="M35" s="30">
        <f>VLOOKUP(A35,BUFFS!$H$5:$AF$195,14,)</f>
        <v>0.2</v>
      </c>
      <c r="N35" s="32">
        <f t="shared" ref="N35:N58" si="6">SUM(L35,ROUNDDOWN(MIN(B35,T$35)*M35,0))</f>
        <v>9</v>
      </c>
      <c r="O35" s="29" t="str">
        <f>VLOOKUP(A35,BUFFS!$H$5:$AF$195,15,)</f>
        <v>intelligence</v>
      </c>
      <c r="P35" s="30" t="str">
        <f>VLOOKUP(A35,BUFFS!$H$5:$AF$195,16,)</f>
        <v xml:space="preserve">Alchemical Bonus </v>
      </c>
      <c r="Q35" s="30">
        <f>VLOOKUP(A35,BUFFS!$H$5:$AF$195,17,)</f>
        <v>4</v>
      </c>
      <c r="R35" s="30">
        <f>VLOOKUP(A35,BUFFS!$H$5:$AF$195,19,)</f>
        <v>0.2</v>
      </c>
      <c r="S35" s="32">
        <f t="shared" ref="S35:S58" si="7">SUM(Q35,ROUNDDOWN(MIN(B35,T$35)*R35,0))</f>
        <v>8</v>
      </c>
      <c r="T35" s="33">
        <f>VLOOKUP(A35,BUFFS!$H$5:$AF$195,20,)</f>
        <v>20</v>
      </c>
    </row>
    <row r="36" spans="1:27" x14ac:dyDescent="0.3">
      <c r="A36" s="17" t="s">
        <v>95</v>
      </c>
      <c r="B36" s="19">
        <v>20</v>
      </c>
      <c r="C36" s="13">
        <v>4</v>
      </c>
      <c r="D36" s="29" t="str">
        <f>VLOOKUP(A36,BUFFS!$H$5:$AF$195,5,)</f>
        <v>initiative</v>
      </c>
      <c r="E36" s="30" t="str">
        <f>VLOOKUP(A36,BUFFS!$H$5:$AF$195,6,)</f>
        <v xml:space="preserve">Competence Modifier </v>
      </c>
      <c r="F36" s="31">
        <f>VLOOKUP(A36,BUFFS!$H$5:$AF$195,7,)</f>
        <v>1</v>
      </c>
      <c r="G36" s="30">
        <f>VLOOKUP(A36,BUFFS!$H$5:$AF$195,9,)</f>
        <v>0.25</v>
      </c>
      <c r="H36" s="31">
        <f t="shared" si="5"/>
        <v>6</v>
      </c>
      <c r="I36" s="40">
        <f>IFERROR(VLOOKUP(A36,BUFFS!$H$5:$AF$195,8,),"")</f>
        <v>3</v>
      </c>
      <c r="J36" s="29" t="str">
        <f>VLOOKUP(A36,BUFFS!$H$5:$AF$195,10,)</f>
        <v>Grapple</v>
      </c>
      <c r="K36" s="30" t="str">
        <f>VLOOKUP(A36,BUFFS!$H$5:$AF$195,11,)</f>
        <v xml:space="preserve">Ability Modifier </v>
      </c>
      <c r="L36" s="30">
        <f>VLOOKUP(A36,BUFFS!$H$5:$AF$195,12,)</f>
        <v>5</v>
      </c>
      <c r="M36" s="30">
        <f>VLOOKUP(A36,BUFFS!$H$5:$AF$195,14,)</f>
        <v>0.2</v>
      </c>
      <c r="N36" s="32">
        <f t="shared" si="6"/>
        <v>9</v>
      </c>
      <c r="O36" s="29" t="str">
        <f>VLOOKUP(A36,BUFFS!$H$5:$AF$195,15,)</f>
        <v>intelligence</v>
      </c>
      <c r="P36" s="30" t="str">
        <f>VLOOKUP(A36,BUFFS!$H$5:$AF$195,16,)</f>
        <v xml:space="preserve">Alchemical Bonus </v>
      </c>
      <c r="Q36" s="30">
        <f>VLOOKUP(A36,BUFFS!$H$5:$AF$195,17,)</f>
        <v>4</v>
      </c>
      <c r="R36" s="30">
        <f>VLOOKUP(A36,BUFFS!$H$5:$AF$195,19,)</f>
        <v>0.2</v>
      </c>
      <c r="S36" s="32">
        <f t="shared" si="7"/>
        <v>8</v>
      </c>
      <c r="T36" s="33">
        <f>VLOOKUP(A36,BUFFS!$H$5:$AF$195,20,)</f>
        <v>20</v>
      </c>
    </row>
    <row r="37" spans="1:27" x14ac:dyDescent="0.3">
      <c r="A37" s="17" t="s">
        <v>76</v>
      </c>
      <c r="B37" s="19">
        <v>20</v>
      </c>
      <c r="C37" s="13">
        <v>4</v>
      </c>
      <c r="D37" s="29" t="str">
        <f>VLOOKUP(A37,BUFFS!$H$5:$AF$195,5,)</f>
        <v>AC</v>
      </c>
      <c r="E37" s="30" t="str">
        <f>VLOOKUP(A37,BUFFS!$H$5:$AF$195,6,)</f>
        <v xml:space="preserve">Deflection Bonus </v>
      </c>
      <c r="F37" s="31">
        <f>VLOOKUP(A37,BUFFS!$H$5:$AF$195,7,)</f>
        <v>2</v>
      </c>
      <c r="G37" s="30">
        <f>VLOOKUP(A37,BUFFS!$H$5:$AF$195,9,)</f>
        <v>0.16666666666666666</v>
      </c>
      <c r="H37" s="31">
        <f t="shared" si="5"/>
        <v>5</v>
      </c>
      <c r="I37" s="40">
        <f>IFERROR(VLOOKUP(A37,BUFFS!$H$5:$AF$195,8,),"")</f>
        <v>1</v>
      </c>
      <c r="J37" s="29">
        <f>VLOOKUP(A37,BUFFS!$H$5:$AF$195,10,)</f>
        <v>0</v>
      </c>
      <c r="K37" s="30">
        <f>VLOOKUP(A37,BUFFS!$H$5:$AF$195,11,)</f>
        <v>0</v>
      </c>
      <c r="L37" s="30">
        <f>VLOOKUP(A37,BUFFS!$H$5:$AF$195,12,)</f>
        <v>0</v>
      </c>
      <c r="M37" s="30">
        <f>VLOOKUP(A37,BUFFS!$H$5:$AF$195,14,)</f>
        <v>0</v>
      </c>
      <c r="N37" s="32">
        <f t="shared" si="6"/>
        <v>0</v>
      </c>
      <c r="O37" s="29">
        <f>VLOOKUP(A37,BUFFS!$H$5:$AF$195,15,)</f>
        <v>0</v>
      </c>
      <c r="P37" s="30">
        <f>VLOOKUP(A37,BUFFS!$H$5:$AF$195,16,)</f>
        <v>0</v>
      </c>
      <c r="Q37" s="30">
        <f>VLOOKUP(A37,BUFFS!$H$5:$AF$195,17,)</f>
        <v>0</v>
      </c>
      <c r="R37" s="30">
        <f>VLOOKUP(A37,BUFFS!$H$5:$AF$195,19,)</f>
        <v>0</v>
      </c>
      <c r="S37" s="32">
        <f t="shared" si="7"/>
        <v>0</v>
      </c>
      <c r="T37" s="33">
        <f>VLOOKUP(A37,BUFFS!$H$5:$AF$195,20,)</f>
        <v>20</v>
      </c>
    </row>
    <row r="38" spans="1:27" x14ac:dyDescent="0.3">
      <c r="A38" s="17" t="s">
        <v>84</v>
      </c>
      <c r="B38" s="19">
        <v>20</v>
      </c>
      <c r="C38" s="13">
        <v>4</v>
      </c>
      <c r="D38" s="29" t="str">
        <f>VLOOKUP(A38,BUFFS!$H$5:$AF$195,5,)</f>
        <v>AC</v>
      </c>
      <c r="E38" s="30" t="str">
        <f>VLOOKUP(A38,BUFFS!$H$5:$AF$195,6,)</f>
        <v>Enhancement Shield Bonus</v>
      </c>
      <c r="F38" s="31">
        <f>VLOOKUP(A38,BUFFS!$H$5:$AF$195,7,)</f>
        <v>0</v>
      </c>
      <c r="G38" s="30">
        <f>VLOOKUP(A38,BUFFS!$H$5:$AF$195,9,)</f>
        <v>0.25</v>
      </c>
      <c r="H38" s="31">
        <f t="shared" si="5"/>
        <v>5</v>
      </c>
      <c r="I38" s="40">
        <f>IFERROR(VLOOKUP(A38,BUFFS!$H$5:$AF$195,8,),"")</f>
        <v>3</v>
      </c>
      <c r="J38" s="29">
        <f>VLOOKUP(A38,BUFFS!$H$5:$AF$195,10,)</f>
        <v>0</v>
      </c>
      <c r="K38" s="30">
        <f>VLOOKUP(A38,BUFFS!$H$5:$AF$195,11,)</f>
        <v>0</v>
      </c>
      <c r="L38" s="30">
        <f>VLOOKUP(A38,BUFFS!$H$5:$AF$195,12,)</f>
        <v>0</v>
      </c>
      <c r="M38" s="30">
        <f>VLOOKUP(A38,BUFFS!$H$5:$AF$195,14,)</f>
        <v>0</v>
      </c>
      <c r="N38" s="32">
        <f t="shared" si="6"/>
        <v>0</v>
      </c>
      <c r="O38" s="29">
        <f>VLOOKUP(A38,BUFFS!$H$5:$AF$195,15,)</f>
        <v>0</v>
      </c>
      <c r="P38" s="30">
        <f>VLOOKUP(A38,BUFFS!$H$5:$AF$195,16,)</f>
        <v>0</v>
      </c>
      <c r="Q38" s="30">
        <f>VLOOKUP(A38,BUFFS!$H$5:$AF$195,17,)</f>
        <v>0</v>
      </c>
      <c r="R38" s="30">
        <f>VLOOKUP(A38,BUFFS!$H$5:$AF$195,19,)</f>
        <v>0</v>
      </c>
      <c r="S38" s="32">
        <f t="shared" si="7"/>
        <v>0</v>
      </c>
      <c r="T38" s="33">
        <f>VLOOKUP(A38,BUFFS!$H$5:$AF$195,20,)</f>
        <v>20</v>
      </c>
    </row>
    <row r="39" spans="1:27" x14ac:dyDescent="0.3">
      <c r="A39" s="17" t="s">
        <v>85</v>
      </c>
      <c r="B39" s="19">
        <v>20</v>
      </c>
      <c r="C39" s="13">
        <v>4</v>
      </c>
      <c r="D39" s="29" t="str">
        <f>VLOOKUP(A39,BUFFS!$H$5:$AF$195,5,)</f>
        <v>AC</v>
      </c>
      <c r="E39" s="30" t="str">
        <f>VLOOKUP(A39,BUFFS!$H$5:$AF$195,6,)</f>
        <v xml:space="preserve">Enhancement Armor Bonus </v>
      </c>
      <c r="F39" s="31">
        <f>VLOOKUP(A39,BUFFS!$H$5:$AF$195,7,)</f>
        <v>0</v>
      </c>
      <c r="G39" s="30">
        <f>VLOOKUP(A39,BUFFS!$H$5:$AF$195,9,)</f>
        <v>0.25</v>
      </c>
      <c r="H39" s="31">
        <f t="shared" si="5"/>
        <v>5</v>
      </c>
      <c r="I39" s="40">
        <f>IFERROR(VLOOKUP(A39,BUFFS!$H$5:$AF$195,8,),"")</f>
        <v>3</v>
      </c>
      <c r="J39" s="29">
        <f>VLOOKUP(A39,BUFFS!$H$5:$AF$195,10,)</f>
        <v>0</v>
      </c>
      <c r="K39" s="30">
        <f>VLOOKUP(A39,BUFFS!$H$5:$AF$195,11,)</f>
        <v>0</v>
      </c>
      <c r="L39" s="30">
        <f>VLOOKUP(A39,BUFFS!$H$5:$AF$195,12,)</f>
        <v>0</v>
      </c>
      <c r="M39" s="30">
        <f>VLOOKUP(A39,BUFFS!$H$5:$AF$195,14,)</f>
        <v>0</v>
      </c>
      <c r="N39" s="32">
        <f t="shared" si="6"/>
        <v>0</v>
      </c>
      <c r="O39" s="29">
        <f>VLOOKUP(A39,BUFFS!$H$5:$AF$195,15,)</f>
        <v>0</v>
      </c>
      <c r="P39" s="30">
        <f>VLOOKUP(A39,BUFFS!$H$5:$AF$195,16,)</f>
        <v>0</v>
      </c>
      <c r="Q39" s="30">
        <f>VLOOKUP(A39,BUFFS!$H$5:$AF$195,17,)</f>
        <v>0</v>
      </c>
      <c r="R39" s="30">
        <f>VLOOKUP(A39,BUFFS!$H$5:$AF$195,19,)</f>
        <v>0</v>
      </c>
      <c r="S39" s="32">
        <f t="shared" si="7"/>
        <v>0</v>
      </c>
      <c r="T39" s="33">
        <f>VLOOKUP(A39,BUFFS!$H$5:$AF$195,20,)</f>
        <v>20</v>
      </c>
    </row>
    <row r="40" spans="1:27" x14ac:dyDescent="0.3">
      <c r="A40" s="17" t="s">
        <v>89</v>
      </c>
      <c r="B40" s="19">
        <v>20</v>
      </c>
      <c r="C40" s="13">
        <v>4</v>
      </c>
      <c r="D40" s="29" t="str">
        <f>VLOOKUP(A40,BUFFS!$H$5:$AF$195,5,)</f>
        <v>AC</v>
      </c>
      <c r="E40" s="30" t="str">
        <f>VLOOKUP(A40,BUFFS!$H$5:$AF$195,6,)</f>
        <v xml:space="preserve">Dodge Bonus </v>
      </c>
      <c r="F40" s="31">
        <f>VLOOKUP(A40,BUFFS!$H$5:$AF$195,7,)</f>
        <v>1</v>
      </c>
      <c r="G40" s="30">
        <f>VLOOKUP(A40,BUFFS!$H$5:$AF$195,9,)</f>
        <v>0</v>
      </c>
      <c r="H40" s="31">
        <f t="shared" si="5"/>
        <v>1</v>
      </c>
      <c r="I40" s="40">
        <f>IFERROR(VLOOKUP(A40,BUFFS!$H$5:$AF$195,8,),"")</f>
        <v>3</v>
      </c>
      <c r="J40" s="29" t="str">
        <f>VLOOKUP(A40,BUFFS!$H$5:$AF$195,10,)</f>
        <v>Reflex</v>
      </c>
      <c r="K40" s="30" t="str">
        <f>VLOOKUP(A40,BUFFS!$H$5:$AF$195,11,)</f>
        <v xml:space="preserve">Dodge Bonus </v>
      </c>
      <c r="L40" s="30">
        <f>VLOOKUP(A40,BUFFS!$H$5:$AF$195,12,)</f>
        <v>1</v>
      </c>
      <c r="M40" s="30">
        <f>VLOOKUP(A40,BUFFS!$H$5:$AF$195,14,)</f>
        <v>0</v>
      </c>
      <c r="N40" s="32">
        <f t="shared" si="6"/>
        <v>1</v>
      </c>
      <c r="O40" s="29" t="str">
        <f>VLOOKUP(A40,BUFFS!$H$5:$AF$195,15,)</f>
        <v>Strength</v>
      </c>
      <c r="P40" s="30" t="str">
        <f>VLOOKUP(A40,BUFFS!$H$5:$AF$195,16,)</f>
        <v xml:space="preserve">Deflection Bonus </v>
      </c>
      <c r="Q40" s="30">
        <f>VLOOKUP(A40,BUFFS!$H$5:$AF$195,17,)</f>
        <v>5</v>
      </c>
      <c r="R40" s="30">
        <f>VLOOKUP(A40,BUFFS!$H$5:$AF$195,19,)</f>
        <v>5</v>
      </c>
      <c r="S40" s="32">
        <f t="shared" si="7"/>
        <v>105</v>
      </c>
      <c r="T40" s="33">
        <f>VLOOKUP(A40,BUFFS!$H$5:$AF$195,20,)</f>
        <v>20</v>
      </c>
    </row>
    <row r="41" spans="1:27" x14ac:dyDescent="0.3">
      <c r="A41" s="17" t="s">
        <v>89</v>
      </c>
      <c r="B41" s="19">
        <v>20</v>
      </c>
      <c r="C41" s="13">
        <v>4</v>
      </c>
      <c r="D41" s="29" t="str">
        <f>VLOOKUP(A41,BUFFS!$H$5:$AF$195,5,)</f>
        <v>AC</v>
      </c>
      <c r="E41" s="30" t="str">
        <f>VLOOKUP(A41,BUFFS!$H$5:$AF$195,6,)</f>
        <v xml:space="preserve">Dodge Bonus </v>
      </c>
      <c r="F41" s="31">
        <f>VLOOKUP(A41,BUFFS!$H$5:$AF$195,7,)</f>
        <v>1</v>
      </c>
      <c r="G41" s="30">
        <f>VLOOKUP(A41,BUFFS!$H$5:$AF$195,9,)</f>
        <v>0</v>
      </c>
      <c r="H41" s="31">
        <f t="shared" si="5"/>
        <v>1</v>
      </c>
      <c r="I41" s="40">
        <f>IFERROR(VLOOKUP(A41,BUFFS!$H$5:$AF$195,8,),"")</f>
        <v>3</v>
      </c>
      <c r="J41" s="29" t="str">
        <f>VLOOKUP(A41,BUFFS!$H$5:$AF$195,10,)</f>
        <v>Reflex</v>
      </c>
      <c r="K41" s="30" t="str">
        <f>VLOOKUP(A41,BUFFS!$H$5:$AF$195,11,)</f>
        <v xml:space="preserve">Dodge Bonus </v>
      </c>
      <c r="L41" s="30">
        <f>VLOOKUP(A41,BUFFS!$H$5:$AF$195,12,)</f>
        <v>1</v>
      </c>
      <c r="M41" s="30">
        <f>VLOOKUP(A41,BUFFS!$H$5:$AF$195,14,)</f>
        <v>0</v>
      </c>
      <c r="N41" s="32">
        <f t="shared" si="6"/>
        <v>1</v>
      </c>
      <c r="O41" s="29" t="str">
        <f>VLOOKUP(A41,BUFFS!$H$5:$AF$195,15,)</f>
        <v>Strength</v>
      </c>
      <c r="P41" s="30" t="str">
        <f>VLOOKUP(A41,BUFFS!$H$5:$AF$195,16,)</f>
        <v xml:space="preserve">Deflection Bonus </v>
      </c>
      <c r="Q41" s="30">
        <f>VLOOKUP(A41,BUFFS!$H$5:$AF$195,17,)</f>
        <v>5</v>
      </c>
      <c r="R41" s="30">
        <f>VLOOKUP(A41,BUFFS!$H$5:$AF$195,19,)</f>
        <v>5</v>
      </c>
      <c r="S41" s="32">
        <f t="shared" si="7"/>
        <v>105</v>
      </c>
      <c r="T41" s="33">
        <f>VLOOKUP(A41,BUFFS!$H$5:$AF$195,20,)</f>
        <v>20</v>
      </c>
    </row>
    <row r="42" spans="1:27" x14ac:dyDescent="0.3">
      <c r="A42" s="17" t="s">
        <v>80</v>
      </c>
      <c r="B42" s="19">
        <v>20</v>
      </c>
      <c r="C42" s="13">
        <v>4</v>
      </c>
      <c r="D42" s="29" t="str">
        <f>VLOOKUP(A42,BUFFS!$H$5:$AF$195,5,)</f>
        <v>damage</v>
      </c>
      <c r="E42" s="30" t="str">
        <f>VLOOKUP(A42,BUFFS!$H$5:$AF$195,6,)</f>
        <v>Enhancement</v>
      </c>
      <c r="F42" s="31">
        <f>VLOOKUP(A42,BUFFS!$H$5:$AF$195,7,)</f>
        <v>0</v>
      </c>
      <c r="G42" s="30">
        <f>VLOOKUP(A42,BUFFS!$H$5:$AF$195,9,)</f>
        <v>0.25</v>
      </c>
      <c r="H42" s="31">
        <f t="shared" si="5"/>
        <v>5</v>
      </c>
      <c r="I42" s="40">
        <f>IFERROR(VLOOKUP(A42,BUFFS!$H$5:$AF$195,8,),"")</f>
        <v>3</v>
      </c>
      <c r="J42" s="29">
        <f>VLOOKUP(A42,BUFFS!$H$5:$AF$195,10,)</f>
        <v>0</v>
      </c>
      <c r="K42" s="30">
        <f>VLOOKUP(A42,BUFFS!$H$5:$AF$195,11,)</f>
        <v>0</v>
      </c>
      <c r="L42" s="30">
        <f>VLOOKUP(A42,BUFFS!$H$5:$AF$195,12,)</f>
        <v>0</v>
      </c>
      <c r="M42" s="30">
        <f>VLOOKUP(A42,BUFFS!$H$5:$AF$195,14,)</f>
        <v>0</v>
      </c>
      <c r="N42" s="32">
        <f t="shared" si="6"/>
        <v>0</v>
      </c>
      <c r="O42" s="29">
        <f>VLOOKUP(A42,BUFFS!$H$5:$AF$195,15,)</f>
        <v>0</v>
      </c>
      <c r="P42" s="30">
        <f>VLOOKUP(A42,BUFFS!$H$5:$AF$195,16,)</f>
        <v>0</v>
      </c>
      <c r="Q42" s="30">
        <f>VLOOKUP(A42,BUFFS!$H$5:$AF$195,17,)</f>
        <v>0</v>
      </c>
      <c r="R42" s="30">
        <f>VLOOKUP(A42,BUFFS!$H$5:$AF$195,19,)</f>
        <v>0</v>
      </c>
      <c r="S42" s="32">
        <f t="shared" si="7"/>
        <v>0</v>
      </c>
      <c r="T42" s="33">
        <f>VLOOKUP(A42,BUFFS!$H$5:$AF$195,20,)</f>
        <v>20</v>
      </c>
    </row>
    <row r="43" spans="1:27" x14ac:dyDescent="0.3">
      <c r="A43" s="17" t="s">
        <v>84</v>
      </c>
      <c r="B43" s="19">
        <v>20</v>
      </c>
      <c r="C43" s="13">
        <v>4</v>
      </c>
      <c r="D43" s="29" t="str">
        <f>VLOOKUP(A43,BUFFS!$H$5:$AF$195,5,)</f>
        <v>AC</v>
      </c>
      <c r="E43" s="30" t="str">
        <f>VLOOKUP(A43,BUFFS!$H$5:$AF$195,6,)</f>
        <v>Enhancement Shield Bonus</v>
      </c>
      <c r="F43" s="31">
        <f>VLOOKUP(A43,BUFFS!$H$5:$AF$195,7,)</f>
        <v>0</v>
      </c>
      <c r="G43" s="30">
        <f>VLOOKUP(A43,BUFFS!$H$5:$AF$195,9,)</f>
        <v>0.25</v>
      </c>
      <c r="H43" s="31">
        <f t="shared" si="5"/>
        <v>5</v>
      </c>
      <c r="I43" s="40">
        <f>IFERROR(VLOOKUP(A43,BUFFS!$H$5:$AF$195,8,),"")</f>
        <v>3</v>
      </c>
      <c r="J43" s="29">
        <f>VLOOKUP(A43,BUFFS!$H$5:$AF$195,10,)</f>
        <v>0</v>
      </c>
      <c r="K43" s="30">
        <f>VLOOKUP(A43,BUFFS!$H$5:$AF$195,11,)</f>
        <v>0</v>
      </c>
      <c r="L43" s="30">
        <f>VLOOKUP(A43,BUFFS!$H$5:$AF$195,12,)</f>
        <v>0</v>
      </c>
      <c r="M43" s="30">
        <f>VLOOKUP(A43,BUFFS!$H$5:$AF$195,14,)</f>
        <v>0</v>
      </c>
      <c r="N43" s="32">
        <f t="shared" si="6"/>
        <v>0</v>
      </c>
      <c r="O43" s="29">
        <f>VLOOKUP(A43,BUFFS!$H$5:$AF$195,15,)</f>
        <v>0</v>
      </c>
      <c r="P43" s="30">
        <f>VLOOKUP(A43,BUFFS!$H$5:$AF$195,16,)</f>
        <v>0</v>
      </c>
      <c r="Q43" s="30">
        <f>VLOOKUP(A43,BUFFS!$H$5:$AF$195,17,)</f>
        <v>0</v>
      </c>
      <c r="R43" s="30">
        <f>VLOOKUP(A43,BUFFS!$H$5:$AF$195,19,)</f>
        <v>0</v>
      </c>
      <c r="S43" s="32">
        <f t="shared" si="7"/>
        <v>0</v>
      </c>
      <c r="T43" s="33">
        <f>VLOOKUP(A43,BUFFS!$H$5:$AF$195,20,)</f>
        <v>20</v>
      </c>
    </row>
    <row r="44" spans="1:27" x14ac:dyDescent="0.3">
      <c r="A44" s="17" t="s">
        <v>84</v>
      </c>
      <c r="B44" s="19">
        <v>20</v>
      </c>
      <c r="C44" s="13">
        <v>4</v>
      </c>
      <c r="D44" s="29" t="str">
        <f>VLOOKUP(A44,BUFFS!$H$5:$AF$195,5,)</f>
        <v>AC</v>
      </c>
      <c r="E44" s="30" t="str">
        <f>VLOOKUP(A44,BUFFS!$H$5:$AF$195,6,)</f>
        <v>Enhancement Shield Bonus</v>
      </c>
      <c r="F44" s="31">
        <f>VLOOKUP(A44,BUFFS!$H$5:$AF$195,7,)</f>
        <v>0</v>
      </c>
      <c r="G44" s="30">
        <f>VLOOKUP(A44,BUFFS!$H$5:$AF$195,9,)</f>
        <v>0.25</v>
      </c>
      <c r="H44" s="31">
        <f t="shared" si="5"/>
        <v>5</v>
      </c>
      <c r="I44" s="40">
        <f>IFERROR(VLOOKUP(A44,BUFFS!$H$5:$AF$195,8,),"")</f>
        <v>3</v>
      </c>
      <c r="J44" s="29">
        <f>VLOOKUP(A44,BUFFS!$H$5:$AF$195,10,)</f>
        <v>0</v>
      </c>
      <c r="K44" s="30">
        <f>VLOOKUP(A44,BUFFS!$H$5:$AF$195,11,)</f>
        <v>0</v>
      </c>
      <c r="L44" s="30">
        <f>VLOOKUP(A44,BUFFS!$H$5:$AF$195,12,)</f>
        <v>0</v>
      </c>
      <c r="M44" s="30">
        <f>VLOOKUP(A44,BUFFS!$H$5:$AF$195,14,)</f>
        <v>0</v>
      </c>
      <c r="N44" s="32">
        <f t="shared" si="6"/>
        <v>0</v>
      </c>
      <c r="O44" s="29">
        <f>VLOOKUP(A44,BUFFS!$H$5:$AF$195,15,)</f>
        <v>0</v>
      </c>
      <c r="P44" s="30">
        <f>VLOOKUP(A44,BUFFS!$H$5:$AF$195,16,)</f>
        <v>0</v>
      </c>
      <c r="Q44" s="30">
        <f>VLOOKUP(A44,BUFFS!$H$5:$AF$195,17,)</f>
        <v>0</v>
      </c>
      <c r="R44" s="30">
        <f>VLOOKUP(A44,BUFFS!$H$5:$AF$195,19,)</f>
        <v>0</v>
      </c>
      <c r="S44" s="32">
        <f t="shared" si="7"/>
        <v>0</v>
      </c>
      <c r="T44" s="33">
        <f>VLOOKUP(A44,BUFFS!$H$5:$AF$195,20,)</f>
        <v>20</v>
      </c>
    </row>
    <row r="45" spans="1:27" x14ac:dyDescent="0.3">
      <c r="A45" s="17"/>
      <c r="B45" s="19"/>
      <c r="C45" s="13">
        <v>4</v>
      </c>
      <c r="D45" s="29" t="e">
        <f>VLOOKUP(A45,BUFFS!$H$5:$AF$195,5,)</f>
        <v>#N/A</v>
      </c>
      <c r="E45" s="30" t="e">
        <f>VLOOKUP(A45,BUFFS!$H$5:$AF$195,6,)</f>
        <v>#N/A</v>
      </c>
      <c r="F45" s="31" t="e">
        <f>VLOOKUP(A45,BUFFS!$H$5:$AF$195,7,)</f>
        <v>#N/A</v>
      </c>
      <c r="G45" s="30" t="e">
        <f>VLOOKUP(A45,BUFFS!$H$5:$AF$195,9,)</f>
        <v>#N/A</v>
      </c>
      <c r="H45" s="31" t="e">
        <f t="shared" si="5"/>
        <v>#N/A</v>
      </c>
      <c r="I45" s="40" t="str">
        <f>IFERROR(VLOOKUP(A45,BUFFS!$H$5:$AF$195,8,),"")</f>
        <v/>
      </c>
      <c r="J45" s="29" t="e">
        <f>VLOOKUP(A45,BUFFS!$H$5:$AF$195,10,)</f>
        <v>#N/A</v>
      </c>
      <c r="K45" s="30" t="e">
        <f>VLOOKUP(A45,BUFFS!$H$5:$AF$195,11,)</f>
        <v>#N/A</v>
      </c>
      <c r="L45" s="30" t="e">
        <f>VLOOKUP(A45,BUFFS!$H$5:$AF$195,12,)</f>
        <v>#N/A</v>
      </c>
      <c r="M45" s="30" t="e">
        <f>VLOOKUP(A45,BUFFS!$H$5:$AF$195,14,)</f>
        <v>#N/A</v>
      </c>
      <c r="N45" s="32" t="e">
        <f t="shared" si="6"/>
        <v>#N/A</v>
      </c>
      <c r="O45" s="29" t="e">
        <f>VLOOKUP(A45,BUFFS!$H$5:$AF$195,15,)</f>
        <v>#N/A</v>
      </c>
      <c r="P45" s="30" t="e">
        <f>VLOOKUP(A45,BUFFS!$H$5:$AF$195,16,)</f>
        <v>#N/A</v>
      </c>
      <c r="Q45" s="30" t="e">
        <f>VLOOKUP(A45,BUFFS!$H$5:$AF$195,17,)</f>
        <v>#N/A</v>
      </c>
      <c r="R45" s="30" t="e">
        <f>VLOOKUP(A45,BUFFS!$H$5:$AF$195,19,)</f>
        <v>#N/A</v>
      </c>
      <c r="S45" s="32" t="e">
        <f t="shared" si="7"/>
        <v>#N/A</v>
      </c>
      <c r="T45" s="33" t="e">
        <f>VLOOKUP(A45,BUFFS!$H$5:$AF$195,20,)</f>
        <v>#N/A</v>
      </c>
    </row>
    <row r="46" spans="1:27" x14ac:dyDescent="0.3">
      <c r="A46" s="17"/>
      <c r="B46" s="19"/>
      <c r="C46" s="13">
        <v>4</v>
      </c>
      <c r="D46" s="29" t="e">
        <f>VLOOKUP(A46,BUFFS!$H$5:$AF$195,5,)</f>
        <v>#N/A</v>
      </c>
      <c r="E46" s="30" t="e">
        <f>VLOOKUP(A46,BUFFS!$H$5:$AF$195,6,)</f>
        <v>#N/A</v>
      </c>
      <c r="F46" s="31" t="e">
        <f>VLOOKUP(A46,BUFFS!$H$5:$AF$195,7,)</f>
        <v>#N/A</v>
      </c>
      <c r="G46" s="30" t="e">
        <f>VLOOKUP(A46,BUFFS!$H$5:$AF$195,9,)</f>
        <v>#N/A</v>
      </c>
      <c r="H46" s="31" t="e">
        <f t="shared" si="5"/>
        <v>#N/A</v>
      </c>
      <c r="I46" s="40" t="str">
        <f>IFERROR(VLOOKUP(A46,BUFFS!$H$5:$AF$195,8,),"")</f>
        <v/>
      </c>
      <c r="J46" s="29" t="e">
        <f>VLOOKUP(A46,BUFFS!$H$5:$AF$195,10,)</f>
        <v>#N/A</v>
      </c>
      <c r="K46" s="30" t="e">
        <f>VLOOKUP(A46,BUFFS!$H$5:$AF$195,11,)</f>
        <v>#N/A</v>
      </c>
      <c r="L46" s="30" t="e">
        <f>VLOOKUP(A46,BUFFS!$H$5:$AF$195,12,)</f>
        <v>#N/A</v>
      </c>
      <c r="M46" s="30" t="e">
        <f>VLOOKUP(A46,BUFFS!$H$5:$AF$195,14,)</f>
        <v>#N/A</v>
      </c>
      <c r="N46" s="32" t="e">
        <f t="shared" si="6"/>
        <v>#N/A</v>
      </c>
      <c r="O46" s="29" t="e">
        <f>VLOOKUP(A46,BUFFS!$H$5:$AF$195,15,)</f>
        <v>#N/A</v>
      </c>
      <c r="P46" s="30" t="e">
        <f>VLOOKUP(A46,BUFFS!$H$5:$AF$195,16,)</f>
        <v>#N/A</v>
      </c>
      <c r="Q46" s="30" t="e">
        <f>VLOOKUP(A46,BUFFS!$H$5:$AF$195,17,)</f>
        <v>#N/A</v>
      </c>
      <c r="R46" s="30" t="e">
        <f>VLOOKUP(A46,BUFFS!$H$5:$AF$195,19,)</f>
        <v>#N/A</v>
      </c>
      <c r="S46" s="32" t="e">
        <f t="shared" si="7"/>
        <v>#N/A</v>
      </c>
      <c r="T46" s="33" t="e">
        <f>VLOOKUP(A46,BUFFS!$H$5:$AF$195,20,)</f>
        <v>#N/A</v>
      </c>
    </row>
    <row r="47" spans="1:27" x14ac:dyDescent="0.3">
      <c r="A47" s="17"/>
      <c r="B47" s="19"/>
      <c r="C47" s="13">
        <v>4</v>
      </c>
      <c r="D47" s="29" t="e">
        <f>VLOOKUP(A47,BUFFS!$H$5:$AF$195,5,)</f>
        <v>#N/A</v>
      </c>
      <c r="E47" s="30" t="e">
        <f>VLOOKUP(A47,BUFFS!$H$5:$AF$195,6,)</f>
        <v>#N/A</v>
      </c>
      <c r="F47" s="31" t="e">
        <f>VLOOKUP(A47,BUFFS!$H$5:$AF$195,7,)</f>
        <v>#N/A</v>
      </c>
      <c r="G47" s="30" t="e">
        <f>VLOOKUP(A47,BUFFS!$H$5:$AF$195,9,)</f>
        <v>#N/A</v>
      </c>
      <c r="H47" s="31" t="e">
        <f t="shared" si="5"/>
        <v>#N/A</v>
      </c>
      <c r="I47" s="40" t="str">
        <f>IFERROR(VLOOKUP(A47,BUFFS!$H$5:$AF$195,8,),"")</f>
        <v/>
      </c>
      <c r="J47" s="29" t="e">
        <f>VLOOKUP(A47,BUFFS!$H$5:$AF$195,10,)</f>
        <v>#N/A</v>
      </c>
      <c r="K47" s="30" t="e">
        <f>VLOOKUP(A47,BUFFS!$H$5:$AF$195,11,)</f>
        <v>#N/A</v>
      </c>
      <c r="L47" s="30" t="e">
        <f>VLOOKUP(A47,BUFFS!$H$5:$AF$195,12,)</f>
        <v>#N/A</v>
      </c>
      <c r="M47" s="30" t="e">
        <f>VLOOKUP(A47,BUFFS!$H$5:$AF$195,14,)</f>
        <v>#N/A</v>
      </c>
      <c r="N47" s="32" t="e">
        <f t="shared" si="6"/>
        <v>#N/A</v>
      </c>
      <c r="O47" s="29" t="e">
        <f>VLOOKUP(A47,BUFFS!$H$5:$AF$195,15,)</f>
        <v>#N/A</v>
      </c>
      <c r="P47" s="30" t="e">
        <f>VLOOKUP(A47,BUFFS!$H$5:$AF$195,16,)</f>
        <v>#N/A</v>
      </c>
      <c r="Q47" s="30" t="e">
        <f>VLOOKUP(A47,BUFFS!$H$5:$AF$195,17,)</f>
        <v>#N/A</v>
      </c>
      <c r="R47" s="30" t="e">
        <f>VLOOKUP(A47,BUFFS!$H$5:$AF$195,19,)</f>
        <v>#N/A</v>
      </c>
      <c r="S47" s="32" t="e">
        <f t="shared" si="7"/>
        <v>#N/A</v>
      </c>
      <c r="T47" s="33" t="e">
        <f>VLOOKUP(A47,BUFFS!$H$5:$AF$195,20,)</f>
        <v>#N/A</v>
      </c>
    </row>
    <row r="48" spans="1:27" x14ac:dyDescent="0.3">
      <c r="A48" s="17"/>
      <c r="B48" s="19"/>
      <c r="C48" s="13"/>
      <c r="D48" s="29" t="e">
        <f>VLOOKUP(A48,BUFFS!$H$5:$AF$195,5,)</f>
        <v>#N/A</v>
      </c>
      <c r="E48" s="30" t="e">
        <f>VLOOKUP(A48,BUFFS!$H$5:$AF$195,6,)</f>
        <v>#N/A</v>
      </c>
      <c r="F48" s="31" t="e">
        <f>VLOOKUP(A48,BUFFS!$H$5:$AF$195,7,)</f>
        <v>#N/A</v>
      </c>
      <c r="G48" s="30" t="e">
        <f>VLOOKUP(A48,BUFFS!$H$5:$AF$195,9,)</f>
        <v>#N/A</v>
      </c>
      <c r="H48" s="31" t="e">
        <f t="shared" si="5"/>
        <v>#N/A</v>
      </c>
      <c r="I48" s="40" t="str">
        <f>IFERROR(VLOOKUP(A48,BUFFS!$H$5:$AF$195,8,),"")</f>
        <v/>
      </c>
      <c r="J48" s="29" t="e">
        <f>VLOOKUP(A48,BUFFS!$H$5:$AF$195,10,)</f>
        <v>#N/A</v>
      </c>
      <c r="K48" s="30" t="e">
        <f>VLOOKUP(A48,BUFFS!$H$5:$AF$195,11,)</f>
        <v>#N/A</v>
      </c>
      <c r="L48" s="30" t="e">
        <f>VLOOKUP(A48,BUFFS!$H$5:$AF$195,12,)</f>
        <v>#N/A</v>
      </c>
      <c r="M48" s="30" t="e">
        <f>VLOOKUP(A48,BUFFS!$H$5:$AF$195,14,)</f>
        <v>#N/A</v>
      </c>
      <c r="N48" s="32" t="e">
        <f t="shared" si="6"/>
        <v>#N/A</v>
      </c>
      <c r="O48" s="29" t="e">
        <f>VLOOKUP(A48,BUFFS!$H$5:$AF$195,15,)</f>
        <v>#N/A</v>
      </c>
      <c r="P48" s="30" t="e">
        <f>VLOOKUP(A48,BUFFS!$H$5:$AF$195,16,)</f>
        <v>#N/A</v>
      </c>
      <c r="Q48" s="30" t="e">
        <f>VLOOKUP(A48,BUFFS!$H$5:$AF$195,17,)</f>
        <v>#N/A</v>
      </c>
      <c r="R48" s="30" t="e">
        <f>VLOOKUP(A48,BUFFS!$H$5:$AF$195,19,)</f>
        <v>#N/A</v>
      </c>
      <c r="S48" s="32" t="e">
        <f t="shared" si="7"/>
        <v>#N/A</v>
      </c>
      <c r="T48" s="33" t="e">
        <f>VLOOKUP(A48,BUFFS!$H$5:$AF$195,20,)</f>
        <v>#N/A</v>
      </c>
    </row>
    <row r="49" spans="1:20" x14ac:dyDescent="0.3">
      <c r="A49" s="17"/>
      <c r="B49" s="19"/>
      <c r="C49" s="13"/>
      <c r="D49" s="29" t="e">
        <f>VLOOKUP(A49,BUFFS!$H$5:$AF$195,5,)</f>
        <v>#N/A</v>
      </c>
      <c r="E49" s="30" t="e">
        <f>VLOOKUP(A49,BUFFS!$H$5:$AF$195,6,)</f>
        <v>#N/A</v>
      </c>
      <c r="F49" s="31" t="e">
        <f>VLOOKUP(A49,BUFFS!$H$5:$AF$195,7,)</f>
        <v>#N/A</v>
      </c>
      <c r="G49" s="30" t="e">
        <f>VLOOKUP(A49,BUFFS!$H$5:$AF$195,9,)</f>
        <v>#N/A</v>
      </c>
      <c r="H49" s="31" t="e">
        <f t="shared" si="5"/>
        <v>#N/A</v>
      </c>
      <c r="I49" s="40" t="str">
        <f>IFERROR(VLOOKUP(A49,BUFFS!$H$5:$AF$195,8,),"")</f>
        <v/>
      </c>
      <c r="J49" s="29" t="e">
        <f>VLOOKUP(A49,BUFFS!$H$5:$AF$195,10,)</f>
        <v>#N/A</v>
      </c>
      <c r="K49" s="30" t="e">
        <f>VLOOKUP(A49,BUFFS!$H$5:$AF$195,11,)</f>
        <v>#N/A</v>
      </c>
      <c r="L49" s="30" t="e">
        <f>VLOOKUP(A49,BUFFS!$H$5:$AF$195,12,)</f>
        <v>#N/A</v>
      </c>
      <c r="M49" s="30" t="e">
        <f>VLOOKUP(A49,BUFFS!$H$5:$AF$195,14,)</f>
        <v>#N/A</v>
      </c>
      <c r="N49" s="32" t="e">
        <f t="shared" si="6"/>
        <v>#N/A</v>
      </c>
      <c r="O49" s="29" t="e">
        <f>VLOOKUP(A49,BUFFS!$H$5:$AF$195,15,)</f>
        <v>#N/A</v>
      </c>
      <c r="P49" s="30" t="e">
        <f>VLOOKUP(A49,BUFFS!$H$5:$AF$195,16,)</f>
        <v>#N/A</v>
      </c>
      <c r="Q49" s="30" t="e">
        <f>VLOOKUP(A49,BUFFS!$H$5:$AF$195,17,)</f>
        <v>#N/A</v>
      </c>
      <c r="R49" s="30" t="e">
        <f>VLOOKUP(A49,BUFFS!$H$5:$AF$195,19,)</f>
        <v>#N/A</v>
      </c>
      <c r="S49" s="32" t="e">
        <f t="shared" si="7"/>
        <v>#N/A</v>
      </c>
      <c r="T49" s="33" t="e">
        <f>VLOOKUP(A49,BUFFS!$H$5:$AF$195,20,)</f>
        <v>#N/A</v>
      </c>
    </row>
    <row r="50" spans="1:20" x14ac:dyDescent="0.3">
      <c r="A50" s="17"/>
      <c r="B50" s="19"/>
      <c r="C50" s="13"/>
      <c r="D50" s="29" t="e">
        <f>VLOOKUP(A50,BUFFS!$H$5:$AF$195,5,)</f>
        <v>#N/A</v>
      </c>
      <c r="E50" s="30" t="e">
        <f>VLOOKUP(A50,BUFFS!$H$5:$AF$195,6,)</f>
        <v>#N/A</v>
      </c>
      <c r="F50" s="31" t="e">
        <f>VLOOKUP(A50,BUFFS!$H$5:$AF$195,7,)</f>
        <v>#N/A</v>
      </c>
      <c r="G50" s="30" t="e">
        <f>VLOOKUP(A50,BUFFS!$H$5:$AF$195,9,)</f>
        <v>#N/A</v>
      </c>
      <c r="H50" s="31" t="e">
        <f t="shared" si="5"/>
        <v>#N/A</v>
      </c>
      <c r="I50" s="40" t="str">
        <f>IFERROR(VLOOKUP(A50,BUFFS!$H$5:$AF$195,8,),"")</f>
        <v/>
      </c>
      <c r="J50" s="29" t="e">
        <f>VLOOKUP(A50,BUFFS!$H$5:$AF$195,10,)</f>
        <v>#N/A</v>
      </c>
      <c r="K50" s="30" t="e">
        <f>VLOOKUP(A50,BUFFS!$H$5:$AF$195,11,)</f>
        <v>#N/A</v>
      </c>
      <c r="L50" s="30" t="e">
        <f>VLOOKUP(A50,BUFFS!$H$5:$AF$195,12,)</f>
        <v>#N/A</v>
      </c>
      <c r="M50" s="30" t="e">
        <f>VLOOKUP(A50,BUFFS!$H$5:$AF$195,14,)</f>
        <v>#N/A</v>
      </c>
      <c r="N50" s="32" t="e">
        <f t="shared" si="6"/>
        <v>#N/A</v>
      </c>
      <c r="O50" s="29" t="e">
        <f>VLOOKUP(A50,BUFFS!$H$5:$AF$195,15,)</f>
        <v>#N/A</v>
      </c>
      <c r="P50" s="30" t="e">
        <f>VLOOKUP(A50,BUFFS!$H$5:$AF$195,16,)</f>
        <v>#N/A</v>
      </c>
      <c r="Q50" s="30" t="e">
        <f>VLOOKUP(A50,BUFFS!$H$5:$AF$195,17,)</f>
        <v>#N/A</v>
      </c>
      <c r="R50" s="30" t="e">
        <f>VLOOKUP(A50,BUFFS!$H$5:$AF$195,19,)</f>
        <v>#N/A</v>
      </c>
      <c r="S50" s="32" t="e">
        <f t="shared" si="7"/>
        <v>#N/A</v>
      </c>
      <c r="T50" s="33" t="e">
        <f>VLOOKUP(A50,BUFFS!$H$5:$AF$195,20,)</f>
        <v>#N/A</v>
      </c>
    </row>
    <row r="51" spans="1:20" x14ac:dyDescent="0.3">
      <c r="A51" s="17"/>
      <c r="B51" s="19"/>
      <c r="C51" s="13"/>
      <c r="D51" s="29" t="e">
        <f>VLOOKUP(A51,BUFFS!$H$5:$AF$195,5,)</f>
        <v>#N/A</v>
      </c>
      <c r="E51" s="30" t="e">
        <f>VLOOKUP(A51,BUFFS!$H$5:$AF$195,6,)</f>
        <v>#N/A</v>
      </c>
      <c r="F51" s="31" t="e">
        <f>VLOOKUP(A51,BUFFS!$H$5:$AF$195,7,)</f>
        <v>#N/A</v>
      </c>
      <c r="G51" s="30" t="e">
        <f>VLOOKUP(A51,BUFFS!$H$5:$AF$195,9,)</f>
        <v>#N/A</v>
      </c>
      <c r="H51" s="31" t="e">
        <f t="shared" si="5"/>
        <v>#N/A</v>
      </c>
      <c r="I51" s="40" t="str">
        <f>IFERROR(VLOOKUP(A51,BUFFS!$H$5:$AF$195,8,),"")</f>
        <v/>
      </c>
      <c r="J51" s="29" t="e">
        <f>VLOOKUP(A51,BUFFS!$H$5:$AF$195,10,)</f>
        <v>#N/A</v>
      </c>
      <c r="K51" s="30" t="e">
        <f>VLOOKUP(A51,BUFFS!$H$5:$AF$195,11,)</f>
        <v>#N/A</v>
      </c>
      <c r="L51" s="30" t="e">
        <f>VLOOKUP(A51,BUFFS!$H$5:$AF$195,12,)</f>
        <v>#N/A</v>
      </c>
      <c r="M51" s="30" t="e">
        <f>VLOOKUP(A51,BUFFS!$H$5:$AF$195,14,)</f>
        <v>#N/A</v>
      </c>
      <c r="N51" s="32" t="e">
        <f t="shared" si="6"/>
        <v>#N/A</v>
      </c>
      <c r="O51" s="29" t="e">
        <f>VLOOKUP(A51,BUFFS!$H$5:$AF$195,15,)</f>
        <v>#N/A</v>
      </c>
      <c r="P51" s="30" t="e">
        <f>VLOOKUP(A51,BUFFS!$H$5:$AF$195,16,)</f>
        <v>#N/A</v>
      </c>
      <c r="Q51" s="30" t="e">
        <f>VLOOKUP(A51,BUFFS!$H$5:$AF$195,17,)</f>
        <v>#N/A</v>
      </c>
      <c r="R51" s="30" t="e">
        <f>VLOOKUP(A51,BUFFS!$H$5:$AF$195,19,)</f>
        <v>#N/A</v>
      </c>
      <c r="S51" s="32" t="e">
        <f t="shared" si="7"/>
        <v>#N/A</v>
      </c>
      <c r="T51" s="33" t="e">
        <f>VLOOKUP(A51,BUFFS!$H$5:$AF$195,20,)</f>
        <v>#N/A</v>
      </c>
    </row>
    <row r="52" spans="1:20" x14ac:dyDescent="0.3">
      <c r="A52" s="17"/>
      <c r="B52" s="19"/>
      <c r="C52" s="13"/>
      <c r="D52" s="29" t="e">
        <f>VLOOKUP(A52,BUFFS!$H$5:$AF$195,5,)</f>
        <v>#N/A</v>
      </c>
      <c r="E52" s="30" t="e">
        <f>VLOOKUP(A52,BUFFS!$H$5:$AF$195,6,)</f>
        <v>#N/A</v>
      </c>
      <c r="F52" s="31" t="e">
        <f>VLOOKUP(A52,BUFFS!$H$5:$AF$195,7,)</f>
        <v>#N/A</v>
      </c>
      <c r="G52" s="30" t="e">
        <f>VLOOKUP(A52,BUFFS!$H$5:$AF$195,9,)</f>
        <v>#N/A</v>
      </c>
      <c r="H52" s="31" t="e">
        <f t="shared" si="5"/>
        <v>#N/A</v>
      </c>
      <c r="I52" s="40" t="str">
        <f>IFERROR(VLOOKUP(A52,BUFFS!$H$5:$AF$195,8,),"")</f>
        <v/>
      </c>
      <c r="J52" s="29" t="e">
        <f>VLOOKUP(A52,BUFFS!$H$5:$AF$195,10,)</f>
        <v>#N/A</v>
      </c>
      <c r="K52" s="30" t="e">
        <f>VLOOKUP(A52,BUFFS!$H$5:$AF$195,11,)</f>
        <v>#N/A</v>
      </c>
      <c r="L52" s="30" t="e">
        <f>VLOOKUP(A52,BUFFS!$H$5:$AF$195,12,)</f>
        <v>#N/A</v>
      </c>
      <c r="M52" s="30" t="e">
        <f>VLOOKUP(A52,BUFFS!$H$5:$AF$195,14,)</f>
        <v>#N/A</v>
      </c>
      <c r="N52" s="32" t="e">
        <f t="shared" si="6"/>
        <v>#N/A</v>
      </c>
      <c r="O52" s="29" t="e">
        <f>VLOOKUP(A52,BUFFS!$H$5:$AF$195,15,)</f>
        <v>#N/A</v>
      </c>
      <c r="P52" s="30" t="e">
        <f>VLOOKUP(A52,BUFFS!$H$5:$AF$195,16,)</f>
        <v>#N/A</v>
      </c>
      <c r="Q52" s="30" t="e">
        <f>VLOOKUP(A52,BUFFS!$H$5:$AF$195,17,)</f>
        <v>#N/A</v>
      </c>
      <c r="R52" s="30" t="e">
        <f>VLOOKUP(A52,BUFFS!$H$5:$AF$195,19,)</f>
        <v>#N/A</v>
      </c>
      <c r="S52" s="32" t="e">
        <f t="shared" si="7"/>
        <v>#N/A</v>
      </c>
      <c r="T52" s="33" t="e">
        <f>VLOOKUP(A52,BUFFS!$H$5:$AF$195,20,)</f>
        <v>#N/A</v>
      </c>
    </row>
    <row r="53" spans="1:20" x14ac:dyDescent="0.3">
      <c r="A53" s="17"/>
      <c r="B53" s="19"/>
      <c r="C53" s="13"/>
      <c r="D53" s="29" t="e">
        <f>VLOOKUP(A53,BUFFS!$H$5:$AF$195,5,)</f>
        <v>#N/A</v>
      </c>
      <c r="E53" s="30" t="e">
        <f>VLOOKUP(A53,BUFFS!$H$5:$AF$195,6,)</f>
        <v>#N/A</v>
      </c>
      <c r="F53" s="31" t="e">
        <f>VLOOKUP(A53,BUFFS!$H$5:$AF$195,7,)</f>
        <v>#N/A</v>
      </c>
      <c r="G53" s="30" t="e">
        <f>VLOOKUP(A53,BUFFS!$H$5:$AF$195,9,)</f>
        <v>#N/A</v>
      </c>
      <c r="H53" s="31" t="e">
        <f t="shared" si="5"/>
        <v>#N/A</v>
      </c>
      <c r="I53" s="40" t="str">
        <f>IFERROR(VLOOKUP(A53,BUFFS!$H$5:$AF$195,8,),"")</f>
        <v/>
      </c>
      <c r="J53" s="29" t="e">
        <f>VLOOKUP(A53,BUFFS!$H$5:$AF$195,10,)</f>
        <v>#N/A</v>
      </c>
      <c r="K53" s="30" t="e">
        <f>VLOOKUP(A53,BUFFS!$H$5:$AF$195,11,)</f>
        <v>#N/A</v>
      </c>
      <c r="L53" s="30" t="e">
        <f>VLOOKUP(A53,BUFFS!$H$5:$AF$195,12,)</f>
        <v>#N/A</v>
      </c>
      <c r="M53" s="30" t="e">
        <f>VLOOKUP(A53,BUFFS!$H$5:$AF$195,14,)</f>
        <v>#N/A</v>
      </c>
      <c r="N53" s="32" t="e">
        <f t="shared" si="6"/>
        <v>#N/A</v>
      </c>
      <c r="O53" s="29" t="e">
        <f>VLOOKUP(A53,BUFFS!$H$5:$AF$195,15,)</f>
        <v>#N/A</v>
      </c>
      <c r="P53" s="30" t="e">
        <f>VLOOKUP(A53,BUFFS!$H$5:$AF$195,16,)</f>
        <v>#N/A</v>
      </c>
      <c r="Q53" s="30" t="e">
        <f>VLOOKUP(A53,BUFFS!$H$5:$AF$195,17,)</f>
        <v>#N/A</v>
      </c>
      <c r="R53" s="30" t="e">
        <f>VLOOKUP(A53,BUFFS!$H$5:$AF$195,19,)</f>
        <v>#N/A</v>
      </c>
      <c r="S53" s="32" t="e">
        <f t="shared" si="7"/>
        <v>#N/A</v>
      </c>
      <c r="T53" s="33" t="e">
        <f>VLOOKUP(A53,BUFFS!$H$5:$AF$195,20,)</f>
        <v>#N/A</v>
      </c>
    </row>
    <row r="54" spans="1:20" x14ac:dyDescent="0.3">
      <c r="A54" s="17"/>
      <c r="B54" s="19"/>
      <c r="C54" s="13"/>
      <c r="D54" s="29" t="e">
        <f>VLOOKUP(A54,BUFFS!$H$5:$AF$195,5,)</f>
        <v>#N/A</v>
      </c>
      <c r="E54" s="30" t="e">
        <f>VLOOKUP(A54,BUFFS!$H$5:$AF$195,6,)</f>
        <v>#N/A</v>
      </c>
      <c r="F54" s="31" t="e">
        <f>VLOOKUP(A54,BUFFS!$H$5:$AF$195,7,)</f>
        <v>#N/A</v>
      </c>
      <c r="G54" s="30" t="e">
        <f>VLOOKUP(A54,BUFFS!$H$5:$AF$195,9,)</f>
        <v>#N/A</v>
      </c>
      <c r="H54" s="31" t="e">
        <f t="shared" si="5"/>
        <v>#N/A</v>
      </c>
      <c r="I54" s="40" t="str">
        <f>IFERROR(VLOOKUP(A54,BUFFS!$H$5:$AF$195,8,),"")</f>
        <v/>
      </c>
      <c r="J54" s="29" t="e">
        <f>VLOOKUP(A54,BUFFS!$H$5:$AF$195,10,)</f>
        <v>#N/A</v>
      </c>
      <c r="K54" s="30" t="e">
        <f>VLOOKUP(A54,BUFFS!$H$5:$AF$195,11,)</f>
        <v>#N/A</v>
      </c>
      <c r="L54" s="30" t="e">
        <f>VLOOKUP(A54,BUFFS!$H$5:$AF$195,12,)</f>
        <v>#N/A</v>
      </c>
      <c r="M54" s="30" t="e">
        <f>VLOOKUP(A54,BUFFS!$H$5:$AF$195,14,)</f>
        <v>#N/A</v>
      </c>
      <c r="N54" s="32" t="e">
        <f t="shared" si="6"/>
        <v>#N/A</v>
      </c>
      <c r="O54" s="29" t="e">
        <f>VLOOKUP(A54,BUFFS!$H$5:$AF$195,15,)</f>
        <v>#N/A</v>
      </c>
      <c r="P54" s="30" t="e">
        <f>VLOOKUP(A54,BUFFS!$H$5:$AF$195,16,)</f>
        <v>#N/A</v>
      </c>
      <c r="Q54" s="30" t="e">
        <f>VLOOKUP(A54,BUFFS!$H$5:$AF$195,17,)</f>
        <v>#N/A</v>
      </c>
      <c r="R54" s="30" t="e">
        <f>VLOOKUP(A54,BUFFS!$H$5:$AF$195,19,)</f>
        <v>#N/A</v>
      </c>
      <c r="S54" s="32" t="e">
        <f t="shared" si="7"/>
        <v>#N/A</v>
      </c>
      <c r="T54" s="33" t="e">
        <f>VLOOKUP(A54,BUFFS!$H$5:$AF$195,20,)</f>
        <v>#N/A</v>
      </c>
    </row>
    <row r="55" spans="1:20" x14ac:dyDescent="0.3">
      <c r="A55" s="17"/>
      <c r="B55" s="19"/>
      <c r="C55" s="13"/>
      <c r="D55" s="29" t="e">
        <f>VLOOKUP(A55,BUFFS!$H$5:$AF$195,5,)</f>
        <v>#N/A</v>
      </c>
      <c r="E55" s="30" t="e">
        <f>VLOOKUP(A55,BUFFS!$H$5:$AF$195,6,)</f>
        <v>#N/A</v>
      </c>
      <c r="F55" s="31" t="e">
        <f>VLOOKUP(A55,BUFFS!$H$5:$AF$195,7,)</f>
        <v>#N/A</v>
      </c>
      <c r="G55" s="30" t="e">
        <f>VLOOKUP(A55,BUFFS!$H$5:$AF$195,9,)</f>
        <v>#N/A</v>
      </c>
      <c r="H55" s="31" t="e">
        <f t="shared" si="5"/>
        <v>#N/A</v>
      </c>
      <c r="I55" s="40" t="str">
        <f>IFERROR(VLOOKUP(A55,BUFFS!$H$5:$AF$195,8,),"")</f>
        <v/>
      </c>
      <c r="J55" s="29" t="e">
        <f>VLOOKUP(A55,BUFFS!$H$5:$AF$195,10,)</f>
        <v>#N/A</v>
      </c>
      <c r="K55" s="30" t="e">
        <f>VLOOKUP(A55,BUFFS!$H$5:$AF$195,11,)</f>
        <v>#N/A</v>
      </c>
      <c r="L55" s="30" t="e">
        <f>VLOOKUP(A55,BUFFS!$H$5:$AF$195,12,)</f>
        <v>#N/A</v>
      </c>
      <c r="M55" s="30" t="e">
        <f>VLOOKUP(A55,BUFFS!$H$5:$AF$195,14,)</f>
        <v>#N/A</v>
      </c>
      <c r="N55" s="32" t="e">
        <f t="shared" si="6"/>
        <v>#N/A</v>
      </c>
      <c r="O55" s="29" t="e">
        <f>VLOOKUP(A55,BUFFS!$H$5:$AF$195,15,)</f>
        <v>#N/A</v>
      </c>
      <c r="P55" s="30" t="e">
        <f>VLOOKUP(A55,BUFFS!$H$5:$AF$195,16,)</f>
        <v>#N/A</v>
      </c>
      <c r="Q55" s="30" t="e">
        <f>VLOOKUP(A55,BUFFS!$H$5:$AF$195,17,)</f>
        <v>#N/A</v>
      </c>
      <c r="R55" s="30" t="e">
        <f>VLOOKUP(A55,BUFFS!$H$5:$AF$195,19,)</f>
        <v>#N/A</v>
      </c>
      <c r="S55" s="32" t="e">
        <f t="shared" si="7"/>
        <v>#N/A</v>
      </c>
      <c r="T55" s="33" t="e">
        <f>VLOOKUP(A55,BUFFS!$H$5:$AF$195,20,)</f>
        <v>#N/A</v>
      </c>
    </row>
    <row r="56" spans="1:20" x14ac:dyDescent="0.3">
      <c r="A56" s="17"/>
      <c r="B56" s="19"/>
      <c r="C56" s="13"/>
      <c r="D56" s="29" t="e">
        <f>VLOOKUP(A56,BUFFS!$H$5:$AF$195,5,)</f>
        <v>#N/A</v>
      </c>
      <c r="E56" s="30" t="e">
        <f>VLOOKUP(A56,BUFFS!$H$5:$AF$195,6,)</f>
        <v>#N/A</v>
      </c>
      <c r="F56" s="31" t="e">
        <f>VLOOKUP(A56,BUFFS!$H$5:$AF$195,7,)</f>
        <v>#N/A</v>
      </c>
      <c r="G56" s="30" t="e">
        <f>VLOOKUP(A56,BUFFS!$H$5:$AF$195,9,)</f>
        <v>#N/A</v>
      </c>
      <c r="H56" s="31" t="e">
        <f t="shared" si="5"/>
        <v>#N/A</v>
      </c>
      <c r="I56" s="40" t="str">
        <f>IFERROR(VLOOKUP(A56,BUFFS!$H$5:$AF$195,8,),"")</f>
        <v/>
      </c>
      <c r="J56" s="29" t="e">
        <f>VLOOKUP(A56,BUFFS!$H$5:$AF$195,10,)</f>
        <v>#N/A</v>
      </c>
      <c r="K56" s="30" t="e">
        <f>VLOOKUP(A56,BUFFS!$H$5:$AF$195,11,)</f>
        <v>#N/A</v>
      </c>
      <c r="L56" s="30" t="e">
        <f>VLOOKUP(A56,BUFFS!$H$5:$AF$195,12,)</f>
        <v>#N/A</v>
      </c>
      <c r="M56" s="30" t="e">
        <f>VLOOKUP(A56,BUFFS!$H$5:$AF$195,14,)</f>
        <v>#N/A</v>
      </c>
      <c r="N56" s="32" t="e">
        <f t="shared" si="6"/>
        <v>#N/A</v>
      </c>
      <c r="O56" s="29" t="e">
        <f>VLOOKUP(A56,BUFFS!$H$5:$AF$195,15,)</f>
        <v>#N/A</v>
      </c>
      <c r="P56" s="30" t="e">
        <f>VLOOKUP(A56,BUFFS!$H$5:$AF$195,16,)</f>
        <v>#N/A</v>
      </c>
      <c r="Q56" s="30" t="e">
        <f>VLOOKUP(A56,BUFFS!$H$5:$AF$195,17,)</f>
        <v>#N/A</v>
      </c>
      <c r="R56" s="30" t="e">
        <f>VLOOKUP(A56,BUFFS!$H$5:$AF$195,19,)</f>
        <v>#N/A</v>
      </c>
      <c r="S56" s="32" t="e">
        <f t="shared" si="7"/>
        <v>#N/A</v>
      </c>
      <c r="T56" s="33" t="e">
        <f>VLOOKUP(A56,BUFFS!$H$5:$AF$195,20,)</f>
        <v>#N/A</v>
      </c>
    </row>
    <row r="57" spans="1:20" x14ac:dyDescent="0.3">
      <c r="B57" s="19"/>
      <c r="C57" s="13"/>
      <c r="D57" s="29" t="e">
        <f>VLOOKUP(A57,BUFFS!$H$5:$AF$195,5,)</f>
        <v>#N/A</v>
      </c>
      <c r="E57" s="30" t="e">
        <f>VLOOKUP(A57,BUFFS!$H$5:$AF$195,6,)</f>
        <v>#N/A</v>
      </c>
      <c r="F57" s="31" t="e">
        <f>VLOOKUP(A57,BUFFS!$H$5:$AF$195,7,)</f>
        <v>#N/A</v>
      </c>
      <c r="G57" s="30" t="e">
        <f>VLOOKUP(A57,BUFFS!$H$5:$AF$195,9,)</f>
        <v>#N/A</v>
      </c>
      <c r="H57" s="31" t="e">
        <f t="shared" si="5"/>
        <v>#N/A</v>
      </c>
      <c r="I57" s="40" t="str">
        <f>IFERROR(VLOOKUP(A57,BUFFS!$H$5:$AF$195,8,),"")</f>
        <v/>
      </c>
      <c r="J57" s="29" t="e">
        <f>VLOOKUP(A57,BUFFS!$H$5:$AF$195,10,)</f>
        <v>#N/A</v>
      </c>
      <c r="K57" s="30" t="e">
        <f>VLOOKUP(A57,BUFFS!$H$5:$AF$195,11,)</f>
        <v>#N/A</v>
      </c>
      <c r="L57" s="30" t="e">
        <f>VLOOKUP(A57,BUFFS!$H$5:$AF$195,12,)</f>
        <v>#N/A</v>
      </c>
      <c r="M57" s="30" t="e">
        <f>VLOOKUP(A57,BUFFS!$H$5:$AF$195,14,)</f>
        <v>#N/A</v>
      </c>
      <c r="N57" s="32" t="e">
        <f t="shared" si="6"/>
        <v>#N/A</v>
      </c>
      <c r="O57" s="29" t="e">
        <f>VLOOKUP(A57,BUFFS!$H$5:$AF$195,15,)</f>
        <v>#N/A</v>
      </c>
      <c r="P57" s="30" t="e">
        <f>VLOOKUP(A57,BUFFS!$H$5:$AF$195,16,)</f>
        <v>#N/A</v>
      </c>
      <c r="Q57" s="30" t="e">
        <f>VLOOKUP(A57,BUFFS!$H$5:$AF$195,17,)</f>
        <v>#N/A</v>
      </c>
      <c r="R57" s="30" t="e">
        <f>VLOOKUP(A57,BUFFS!$H$5:$AF$195,19,)</f>
        <v>#N/A</v>
      </c>
      <c r="S57" s="32" t="e">
        <f t="shared" si="7"/>
        <v>#N/A</v>
      </c>
      <c r="T57" s="33" t="e">
        <f>VLOOKUP(A57,BUFFS!$H$5:$AF$195,20,)</f>
        <v>#N/A</v>
      </c>
    </row>
    <row r="58" spans="1:20" x14ac:dyDescent="0.3">
      <c r="B58" s="19"/>
      <c r="C58" s="13"/>
      <c r="D58" s="29" t="e">
        <f>VLOOKUP(A58,BUFFS!$H$5:$AF$195,5,)</f>
        <v>#N/A</v>
      </c>
      <c r="E58" s="30" t="e">
        <f>VLOOKUP(A58,BUFFS!$H$5:$AF$195,6,)</f>
        <v>#N/A</v>
      </c>
      <c r="F58" s="31" t="e">
        <f>VLOOKUP(A58,BUFFS!$H$5:$AF$195,7,)</f>
        <v>#N/A</v>
      </c>
      <c r="G58" s="30" t="e">
        <f>VLOOKUP(A58,BUFFS!$H$5:$AF$195,9,)</f>
        <v>#N/A</v>
      </c>
      <c r="H58" s="31" t="e">
        <f t="shared" si="5"/>
        <v>#N/A</v>
      </c>
      <c r="I58" s="40" t="str">
        <f>IFERROR(VLOOKUP(A58,BUFFS!$H$5:$AF$195,8,),"")</f>
        <v/>
      </c>
      <c r="J58" s="29" t="e">
        <f>VLOOKUP(A58,BUFFS!$H$5:$AF$195,10,)</f>
        <v>#N/A</v>
      </c>
      <c r="K58" s="30" t="e">
        <f>VLOOKUP(A58,BUFFS!$H$5:$AF$195,11,)</f>
        <v>#N/A</v>
      </c>
      <c r="L58" s="30" t="e">
        <f>VLOOKUP(A58,BUFFS!$H$5:$AF$195,12,)</f>
        <v>#N/A</v>
      </c>
      <c r="M58" s="30" t="e">
        <f>VLOOKUP(A58,BUFFS!$H$5:$AF$195,14,)</f>
        <v>#N/A</v>
      </c>
      <c r="N58" s="32" t="e">
        <f t="shared" si="6"/>
        <v>#N/A</v>
      </c>
      <c r="O58" s="29" t="e">
        <f>VLOOKUP(A58,BUFFS!$H$5:$AF$195,15,)</f>
        <v>#N/A</v>
      </c>
      <c r="P58" s="30" t="e">
        <f>VLOOKUP(A58,BUFFS!$H$5:$AF$195,16,)</f>
        <v>#N/A</v>
      </c>
      <c r="Q58" s="30" t="e">
        <f>VLOOKUP(A58,BUFFS!$H$5:$AF$195,17,)</f>
        <v>#N/A</v>
      </c>
      <c r="R58" s="30" t="e">
        <f>VLOOKUP(A58,BUFFS!$H$5:$AF$195,19,)</f>
        <v>#N/A</v>
      </c>
      <c r="S58" s="32" t="e">
        <f t="shared" si="7"/>
        <v>#N/A</v>
      </c>
      <c r="T58" s="33" t="e">
        <f>VLOOKUP(A58,BUFFS!$H$5:$AF$195,20,)</f>
        <v>#N/A</v>
      </c>
    </row>
    <row r="59" spans="1:20" x14ac:dyDescent="0.3">
      <c r="B59" s="19"/>
      <c r="C59" s="13"/>
      <c r="D59" s="34"/>
      <c r="E59" s="30"/>
      <c r="F59" s="30"/>
      <c r="G59" s="30"/>
      <c r="H59" s="30"/>
      <c r="I59" s="40" t="str">
        <f>IFERROR(VLOOKUP(A59,BUFFS!$H$5:$AF$195,8,),"")</f>
        <v/>
      </c>
      <c r="J59" s="34"/>
      <c r="K59" s="30"/>
      <c r="L59" s="30"/>
      <c r="M59" s="30"/>
      <c r="N59" s="32"/>
      <c r="O59" s="34"/>
      <c r="P59" s="30"/>
      <c r="Q59" s="30"/>
      <c r="R59" s="30"/>
      <c r="S59" s="32"/>
      <c r="T59" s="33"/>
    </row>
    <row r="60" spans="1:20" x14ac:dyDescent="0.3">
      <c r="B60" s="19"/>
      <c r="C60" s="13"/>
      <c r="D60" s="34"/>
      <c r="E60" s="30"/>
      <c r="F60" s="30"/>
      <c r="G60" s="30"/>
      <c r="H60" s="30"/>
      <c r="I60" s="40" t="str">
        <f>IFERROR(VLOOKUP(A60,BUFFS!$H$5:$AF$195,8,),"")</f>
        <v/>
      </c>
      <c r="J60" s="34"/>
      <c r="K60" s="30"/>
      <c r="L60" s="30"/>
      <c r="M60" s="30"/>
      <c r="N60" s="32"/>
      <c r="O60" s="34"/>
      <c r="P60" s="30"/>
      <c r="Q60" s="30"/>
      <c r="R60" s="30"/>
      <c r="S60" s="32"/>
      <c r="T60" s="33"/>
    </row>
    <row r="61" spans="1:20" x14ac:dyDescent="0.3">
      <c r="B61" s="19"/>
      <c r="C61" s="13"/>
      <c r="D61" s="34"/>
      <c r="E61" s="30"/>
      <c r="F61" s="30"/>
      <c r="G61" s="30"/>
      <c r="H61" s="30"/>
      <c r="I61" s="40" t="str">
        <f>IFERROR(VLOOKUP(A61,BUFFS!$H$5:$AF$195,8,),"")</f>
        <v/>
      </c>
      <c r="J61" s="34"/>
      <c r="K61" s="30"/>
      <c r="L61" s="30"/>
      <c r="M61" s="30"/>
      <c r="N61" s="32"/>
      <c r="O61" s="34"/>
      <c r="P61" s="30"/>
      <c r="Q61" s="30"/>
      <c r="R61" s="30"/>
      <c r="S61" s="32"/>
      <c r="T61" s="33"/>
    </row>
    <row r="62" spans="1:20" x14ac:dyDescent="0.3">
      <c r="B62" s="19"/>
      <c r="C62" s="13"/>
      <c r="D62" s="34"/>
      <c r="E62" s="30"/>
      <c r="F62" s="30"/>
      <c r="G62" s="30"/>
      <c r="H62" s="30"/>
      <c r="I62" s="40" t="str">
        <f>IFERROR(VLOOKUP(A62,BUFFS!$H$5:$AF$195,8,),"")</f>
        <v/>
      </c>
      <c r="J62" s="34"/>
      <c r="K62" s="30"/>
      <c r="L62" s="30"/>
      <c r="M62" s="30"/>
      <c r="N62" s="32"/>
      <c r="O62" s="34"/>
      <c r="P62" s="30"/>
      <c r="Q62" s="30"/>
      <c r="R62" s="30"/>
      <c r="S62" s="32"/>
      <c r="T62" s="33"/>
    </row>
    <row r="63" spans="1:20" x14ac:dyDescent="0.3">
      <c r="B63" s="19"/>
      <c r="C63" s="13"/>
      <c r="D63" s="34"/>
      <c r="E63" s="30"/>
      <c r="F63" s="30"/>
      <c r="G63" s="30"/>
      <c r="H63" s="30"/>
      <c r="I63" s="40" t="str">
        <f>IFERROR(VLOOKUP(A63,BUFFS!$H$5:$AF$195,8,),"")</f>
        <v/>
      </c>
      <c r="J63" s="34"/>
      <c r="K63" s="30"/>
      <c r="L63" s="30"/>
      <c r="M63" s="30"/>
      <c r="N63" s="32"/>
      <c r="O63" s="34"/>
      <c r="P63" s="30"/>
      <c r="Q63" s="30"/>
      <c r="R63" s="30"/>
      <c r="S63" s="32"/>
      <c r="T63" s="33"/>
    </row>
    <row r="64" spans="1:20" x14ac:dyDescent="0.3">
      <c r="B64" s="19"/>
      <c r="C64" s="13"/>
      <c r="D64" s="34"/>
      <c r="E64" s="30"/>
      <c r="F64" s="30"/>
      <c r="G64" s="30"/>
      <c r="H64" s="30"/>
      <c r="I64" s="40" t="str">
        <f>IFERROR(VLOOKUP(A64,BUFFS!$H$5:$AF$195,8,),"")</f>
        <v/>
      </c>
      <c r="J64" s="34"/>
      <c r="K64" s="30"/>
      <c r="L64" s="30"/>
      <c r="M64" s="30"/>
      <c r="N64" s="32"/>
      <c r="O64" s="34"/>
      <c r="P64" s="30"/>
      <c r="Q64" s="30"/>
      <c r="R64" s="30"/>
      <c r="S64" s="32"/>
      <c r="T64" s="33"/>
    </row>
    <row r="65" spans="2:20" x14ac:dyDescent="0.3">
      <c r="B65" s="19"/>
      <c r="C65" s="13"/>
      <c r="D65" s="34"/>
      <c r="E65" s="30"/>
      <c r="F65" s="30"/>
      <c r="G65" s="30"/>
      <c r="H65" s="30"/>
      <c r="I65" s="40" t="str">
        <f>IFERROR(VLOOKUP(A65,BUFFS!$H$5:$AF$195,8,),"")</f>
        <v/>
      </c>
      <c r="J65" s="34"/>
      <c r="K65" s="30"/>
      <c r="L65" s="30"/>
      <c r="M65" s="30"/>
      <c r="N65" s="32"/>
      <c r="O65" s="34"/>
      <c r="P65" s="30"/>
      <c r="Q65" s="30"/>
      <c r="R65" s="30"/>
      <c r="S65" s="32"/>
      <c r="T65" s="33"/>
    </row>
    <row r="66" spans="2:20" x14ac:dyDescent="0.3">
      <c r="B66" s="19"/>
      <c r="C66" s="13"/>
      <c r="D66" s="34"/>
      <c r="E66" s="30"/>
      <c r="F66" s="30"/>
      <c r="G66" s="30"/>
      <c r="H66" s="30"/>
      <c r="I66" s="40" t="str">
        <f>IFERROR(VLOOKUP(A66,BUFFS!$H$5:$AF$195,8,),"")</f>
        <v/>
      </c>
      <c r="J66" s="34"/>
      <c r="K66" s="30"/>
      <c r="L66" s="30"/>
      <c r="M66" s="30"/>
      <c r="N66" s="32"/>
      <c r="O66" s="34"/>
      <c r="P66" s="30"/>
      <c r="Q66" s="30"/>
      <c r="R66" s="30"/>
      <c r="S66" s="32"/>
      <c r="T66" s="33"/>
    </row>
    <row r="67" spans="2:20" x14ac:dyDescent="0.3">
      <c r="B67" s="19"/>
      <c r="C67" s="13"/>
      <c r="D67" s="34"/>
      <c r="E67" s="30"/>
      <c r="F67" s="30"/>
      <c r="G67" s="30"/>
      <c r="H67" s="30"/>
      <c r="I67" s="40" t="str">
        <f>IFERROR(VLOOKUP(A67,BUFFS!$H$5:$AF$195,8,),"")</f>
        <v/>
      </c>
      <c r="J67" s="34"/>
      <c r="K67" s="30"/>
      <c r="L67" s="30"/>
      <c r="M67" s="30"/>
      <c r="N67" s="32"/>
      <c r="O67" s="34"/>
      <c r="P67" s="30"/>
      <c r="Q67" s="30"/>
      <c r="R67" s="30"/>
      <c r="S67" s="32"/>
      <c r="T67" s="33"/>
    </row>
    <row r="68" spans="2:20" x14ac:dyDescent="0.3">
      <c r="B68" s="19"/>
      <c r="C68" s="13"/>
      <c r="D68" s="34"/>
      <c r="E68" s="30"/>
      <c r="F68" s="30"/>
      <c r="G68" s="30"/>
      <c r="H68" s="30"/>
      <c r="I68" s="40" t="str">
        <f>IFERROR(VLOOKUP(A68,BUFFS!$H$5:$AF$195,8,),"")</f>
        <v/>
      </c>
      <c r="J68" s="34"/>
      <c r="K68" s="30"/>
      <c r="L68" s="30"/>
      <c r="M68" s="30"/>
      <c r="N68" s="32"/>
      <c r="O68" s="34"/>
      <c r="P68" s="30"/>
      <c r="Q68" s="30"/>
      <c r="R68" s="30"/>
      <c r="S68" s="32"/>
      <c r="T68" s="33"/>
    </row>
    <row r="69" spans="2:20" x14ac:dyDescent="0.3">
      <c r="B69" s="19"/>
      <c r="C69" s="13"/>
      <c r="D69" s="34"/>
      <c r="E69" s="30"/>
      <c r="F69" s="30"/>
      <c r="G69" s="30"/>
      <c r="H69" s="30"/>
      <c r="I69" s="40" t="str">
        <f>IFERROR(VLOOKUP(A69,BUFFS!$H$5:$AF$195,8,),"")</f>
        <v/>
      </c>
      <c r="J69" s="34"/>
      <c r="K69" s="30"/>
      <c r="L69" s="30"/>
      <c r="M69" s="30"/>
      <c r="N69" s="32"/>
      <c r="O69" s="34"/>
      <c r="P69" s="30"/>
      <c r="Q69" s="30"/>
      <c r="R69" s="30"/>
      <c r="S69" s="32"/>
      <c r="T69" s="33"/>
    </row>
    <row r="70" spans="2:20" x14ac:dyDescent="0.3">
      <c r="B70" s="19"/>
      <c r="C70" s="13"/>
      <c r="D70" s="34"/>
      <c r="E70" s="30"/>
      <c r="F70" s="30"/>
      <c r="G70" s="30"/>
      <c r="H70" s="30"/>
      <c r="I70" s="40" t="str">
        <f>IFERROR(VLOOKUP(A70,BUFFS!$H$5:$AF$195,8,),"")</f>
        <v/>
      </c>
      <c r="J70" s="34"/>
      <c r="K70" s="30"/>
      <c r="L70" s="30"/>
      <c r="M70" s="30"/>
      <c r="N70" s="32"/>
      <c r="O70" s="34"/>
      <c r="P70" s="30"/>
      <c r="Q70" s="30"/>
      <c r="R70" s="30"/>
      <c r="S70" s="32"/>
      <c r="T70" s="33"/>
    </row>
    <row r="71" spans="2:20" x14ac:dyDescent="0.3">
      <c r="B71" s="19"/>
      <c r="C71" s="13"/>
      <c r="D71" s="34"/>
      <c r="E71" s="30"/>
      <c r="F71" s="30"/>
      <c r="G71" s="30"/>
      <c r="H71" s="30"/>
      <c r="I71" s="40" t="str">
        <f>IFERROR(VLOOKUP(A71,BUFFS!$H$5:$AF$195,8,),"")</f>
        <v/>
      </c>
      <c r="J71" s="34"/>
      <c r="K71" s="30"/>
      <c r="L71" s="30"/>
      <c r="M71" s="30"/>
      <c r="N71" s="32"/>
      <c r="O71" s="34"/>
      <c r="P71" s="30"/>
      <c r="Q71" s="30"/>
      <c r="R71" s="30"/>
      <c r="S71" s="32"/>
      <c r="T71" s="33"/>
    </row>
    <row r="72" spans="2:20" x14ac:dyDescent="0.3">
      <c r="B72" s="19"/>
      <c r="C72" s="13"/>
      <c r="D72" s="34"/>
      <c r="E72" s="30"/>
      <c r="F72" s="30"/>
      <c r="G72" s="30"/>
      <c r="H72" s="30"/>
      <c r="I72" s="40" t="str">
        <f>IFERROR(VLOOKUP(A72,BUFFS!$H$5:$AF$195,8,),"")</f>
        <v/>
      </c>
      <c r="J72" s="34"/>
      <c r="K72" s="30"/>
      <c r="L72" s="30"/>
      <c r="M72" s="30"/>
      <c r="N72" s="32"/>
      <c r="O72" s="34"/>
      <c r="P72" s="30"/>
      <c r="Q72" s="30"/>
      <c r="R72" s="30"/>
      <c r="S72" s="32"/>
      <c r="T72" s="33"/>
    </row>
    <row r="73" spans="2:20" x14ac:dyDescent="0.3">
      <c r="B73" s="19"/>
      <c r="C73" s="13"/>
      <c r="D73" s="34"/>
      <c r="E73" s="30"/>
      <c r="F73" s="30"/>
      <c r="G73" s="30"/>
      <c r="H73" s="30"/>
      <c r="I73" s="40" t="str">
        <f>IFERROR(VLOOKUP(A73,BUFFS!$H$5:$AF$195,8,),"")</f>
        <v/>
      </c>
      <c r="J73" s="34"/>
      <c r="K73" s="30"/>
      <c r="L73" s="30"/>
      <c r="M73" s="30"/>
      <c r="N73" s="32"/>
      <c r="O73" s="34"/>
      <c r="P73" s="30"/>
      <c r="Q73" s="30"/>
      <c r="R73" s="30"/>
      <c r="S73" s="32"/>
      <c r="T73" s="33"/>
    </row>
    <row r="74" spans="2:20" x14ac:dyDescent="0.3">
      <c r="B74" s="19"/>
      <c r="C74" s="13"/>
      <c r="D74" s="34"/>
      <c r="E74" s="30"/>
      <c r="F74" s="30"/>
      <c r="G74" s="30"/>
      <c r="H74" s="30"/>
      <c r="I74" s="40" t="str">
        <f>IFERROR(VLOOKUP(A74,BUFFS!$H$5:$AF$195,8,),"")</f>
        <v/>
      </c>
      <c r="J74" s="34"/>
      <c r="K74" s="30"/>
      <c r="L74" s="30"/>
      <c r="M74" s="30"/>
      <c r="N74" s="32"/>
      <c r="O74" s="34"/>
      <c r="P74" s="30"/>
      <c r="Q74" s="30"/>
      <c r="R74" s="30"/>
      <c r="S74" s="32"/>
      <c r="T74" s="33"/>
    </row>
    <row r="75" spans="2:20" x14ac:dyDescent="0.3">
      <c r="B75" s="19"/>
      <c r="C75" s="13"/>
      <c r="D75" s="34"/>
      <c r="E75" s="30"/>
      <c r="F75" s="30"/>
      <c r="G75" s="30"/>
      <c r="H75" s="30"/>
      <c r="I75" s="40" t="str">
        <f>IFERROR(VLOOKUP(A75,BUFFS!$H$5:$AF$195,8,),"")</f>
        <v/>
      </c>
      <c r="J75" s="34"/>
      <c r="K75" s="30"/>
      <c r="L75" s="30"/>
      <c r="M75" s="30"/>
      <c r="N75" s="32"/>
      <c r="O75" s="34"/>
      <c r="P75" s="30"/>
      <c r="Q75" s="30"/>
      <c r="R75" s="30"/>
      <c r="S75" s="32"/>
      <c r="T75" s="33"/>
    </row>
    <row r="76" spans="2:20" x14ac:dyDescent="0.3">
      <c r="B76" s="19"/>
      <c r="C76" s="13"/>
      <c r="D76" s="34"/>
      <c r="E76" s="30"/>
      <c r="F76" s="30"/>
      <c r="G76" s="30"/>
      <c r="H76" s="30"/>
      <c r="I76" s="40" t="str">
        <f>IFERROR(VLOOKUP(A76,BUFFS!$H$5:$AF$195,8,),"")</f>
        <v/>
      </c>
      <c r="J76" s="34"/>
      <c r="K76" s="30"/>
      <c r="L76" s="30"/>
      <c r="M76" s="30"/>
      <c r="N76" s="32"/>
      <c r="O76" s="34"/>
      <c r="P76" s="30"/>
      <c r="Q76" s="30"/>
      <c r="R76" s="30"/>
      <c r="S76" s="32"/>
      <c r="T76" s="33"/>
    </row>
    <row r="77" spans="2:20" x14ac:dyDescent="0.3">
      <c r="B77" s="19"/>
      <c r="C77" s="13"/>
      <c r="D77" s="34"/>
      <c r="E77" s="30"/>
      <c r="F77" s="30"/>
      <c r="G77" s="30"/>
      <c r="H77" s="30"/>
      <c r="I77" s="40" t="str">
        <f>IFERROR(VLOOKUP(A77,BUFFS!$H$5:$AF$195,8,),"")</f>
        <v/>
      </c>
      <c r="J77" s="34"/>
      <c r="K77" s="30"/>
      <c r="L77" s="30"/>
      <c r="M77" s="30"/>
      <c r="N77" s="32"/>
      <c r="O77" s="34"/>
      <c r="P77" s="30"/>
      <c r="Q77" s="30"/>
      <c r="R77" s="30"/>
      <c r="S77" s="32"/>
      <c r="T77" s="33"/>
    </row>
    <row r="78" spans="2:20" x14ac:dyDescent="0.3">
      <c r="B78" s="19"/>
      <c r="C78" s="13"/>
      <c r="D78" s="34"/>
      <c r="E78" s="30"/>
      <c r="F78" s="30"/>
      <c r="G78" s="30"/>
      <c r="H78" s="30"/>
      <c r="I78" s="40" t="str">
        <f>IFERROR(VLOOKUP(A78,BUFFS!$H$5:$AF$195,8,),"")</f>
        <v/>
      </c>
      <c r="J78" s="34"/>
      <c r="K78" s="30"/>
      <c r="L78" s="30"/>
      <c r="M78" s="30"/>
      <c r="N78" s="32"/>
      <c r="O78" s="34"/>
      <c r="P78" s="30"/>
      <c r="Q78" s="30"/>
      <c r="R78" s="30"/>
      <c r="S78" s="32"/>
      <c r="T78" s="33"/>
    </row>
    <row r="79" spans="2:20" x14ac:dyDescent="0.3">
      <c r="B79" s="19"/>
      <c r="C79" s="13"/>
      <c r="D79" s="34"/>
      <c r="E79" s="30"/>
      <c r="F79" s="30"/>
      <c r="G79" s="30"/>
      <c r="H79" s="30"/>
      <c r="I79" s="40" t="str">
        <f>IFERROR(VLOOKUP(A79,BUFFS!$H$5:$AF$195,8,),"")</f>
        <v/>
      </c>
      <c r="J79" s="34"/>
      <c r="K79" s="30"/>
      <c r="L79" s="30"/>
      <c r="M79" s="30"/>
      <c r="N79" s="32"/>
      <c r="O79" s="34"/>
      <c r="P79" s="30"/>
      <c r="Q79" s="30"/>
      <c r="R79" s="30"/>
      <c r="S79" s="32"/>
      <c r="T79" s="33"/>
    </row>
    <row r="80" spans="2:20" x14ac:dyDescent="0.3">
      <c r="B80" s="19"/>
      <c r="C80" s="13"/>
      <c r="D80" s="34"/>
      <c r="E80" s="30"/>
      <c r="F80" s="30"/>
      <c r="G80" s="30"/>
      <c r="H80" s="30"/>
      <c r="I80" s="40" t="str">
        <f>IFERROR(VLOOKUP(A80,BUFFS!$H$5:$AF$195,8,),"")</f>
        <v/>
      </c>
      <c r="J80" s="34"/>
      <c r="K80" s="30"/>
      <c r="L80" s="30"/>
      <c r="M80" s="30"/>
      <c r="N80" s="32"/>
      <c r="O80" s="34"/>
      <c r="P80" s="30"/>
      <c r="Q80" s="30"/>
      <c r="R80" s="30"/>
      <c r="S80" s="32"/>
      <c r="T80" s="33"/>
    </row>
    <row r="81" spans="2:20" x14ac:dyDescent="0.3">
      <c r="B81" s="19"/>
      <c r="C81" s="13"/>
      <c r="D81" s="34"/>
      <c r="E81" s="30"/>
      <c r="F81" s="30"/>
      <c r="G81" s="30"/>
      <c r="H81" s="30"/>
      <c r="I81" s="40" t="str">
        <f>IFERROR(VLOOKUP(A81,BUFFS!$H$5:$AF$195,8,),"")</f>
        <v/>
      </c>
      <c r="J81" s="34"/>
      <c r="K81" s="30"/>
      <c r="L81" s="30"/>
      <c r="M81" s="30"/>
      <c r="N81" s="32"/>
      <c r="O81" s="34"/>
      <c r="P81" s="30"/>
      <c r="Q81" s="30"/>
      <c r="R81" s="30"/>
      <c r="S81" s="32"/>
      <c r="T81" s="33"/>
    </row>
    <row r="82" spans="2:20" x14ac:dyDescent="0.3">
      <c r="B82" s="19"/>
      <c r="C82" s="13"/>
      <c r="D82" s="34"/>
      <c r="E82" s="30"/>
      <c r="F82" s="30"/>
      <c r="G82" s="30"/>
      <c r="H82" s="30"/>
      <c r="I82" s="40" t="str">
        <f>IFERROR(VLOOKUP(A82,BUFFS!$H$5:$AF$195,8,),"")</f>
        <v/>
      </c>
      <c r="J82" s="34"/>
      <c r="K82" s="30"/>
      <c r="L82" s="30"/>
      <c r="M82" s="30"/>
      <c r="N82" s="32"/>
      <c r="O82" s="34"/>
      <c r="P82" s="30"/>
      <c r="Q82" s="30"/>
      <c r="R82" s="30"/>
      <c r="S82" s="32"/>
      <c r="T82" s="33"/>
    </row>
    <row r="83" spans="2:20" x14ac:dyDescent="0.3">
      <c r="B83" s="19"/>
      <c r="C83" s="13"/>
      <c r="D83" s="34"/>
      <c r="E83" s="30"/>
      <c r="F83" s="30"/>
      <c r="G83" s="30"/>
      <c r="H83" s="30"/>
      <c r="I83" s="40" t="str">
        <f>IFERROR(VLOOKUP(A83,BUFFS!$H$5:$AF$195,8,),"")</f>
        <v/>
      </c>
      <c r="J83" s="34"/>
      <c r="K83" s="30"/>
      <c r="L83" s="30"/>
      <c r="M83" s="30"/>
      <c r="N83" s="32"/>
      <c r="O83" s="34"/>
      <c r="P83" s="30"/>
      <c r="Q83" s="30"/>
      <c r="R83" s="30"/>
      <c r="S83" s="32"/>
      <c r="T83" s="35"/>
    </row>
    <row r="84" spans="2:20" x14ac:dyDescent="0.3">
      <c r="B84" s="19"/>
      <c r="C84" s="13"/>
      <c r="D84" s="34"/>
      <c r="E84" s="30"/>
      <c r="F84" s="30"/>
      <c r="G84" s="30"/>
      <c r="H84" s="30"/>
      <c r="I84" s="40" t="str">
        <f>IFERROR(VLOOKUP(A84,BUFFS!$H$5:$AF$195,8,),"")</f>
        <v/>
      </c>
      <c r="J84" s="34"/>
      <c r="K84" s="30"/>
      <c r="L84" s="30"/>
      <c r="M84" s="30"/>
      <c r="N84" s="32"/>
      <c r="O84" s="34"/>
      <c r="P84" s="30"/>
      <c r="Q84" s="30"/>
      <c r="R84" s="30"/>
      <c r="S84" s="32"/>
      <c r="T84" s="35"/>
    </row>
    <row r="85" spans="2:20" x14ac:dyDescent="0.3">
      <c r="B85" s="19"/>
      <c r="C85" s="13"/>
      <c r="D85" s="34"/>
      <c r="E85" s="30"/>
      <c r="F85" s="30"/>
      <c r="G85" s="30"/>
      <c r="H85" s="30"/>
      <c r="I85" s="40" t="str">
        <f>IFERROR(VLOOKUP(A85,BUFFS!$H$5:$AF$195,8,),"")</f>
        <v/>
      </c>
      <c r="J85" s="34"/>
      <c r="K85" s="30"/>
      <c r="L85" s="30"/>
      <c r="M85" s="30"/>
      <c r="N85" s="32"/>
      <c r="O85" s="34"/>
      <c r="P85" s="30"/>
      <c r="Q85" s="30"/>
      <c r="R85" s="30"/>
      <c r="S85" s="32"/>
      <c r="T85" s="35"/>
    </row>
    <row r="86" spans="2:20" x14ac:dyDescent="0.3">
      <c r="B86" s="19"/>
      <c r="C86" s="13"/>
      <c r="D86" s="34"/>
      <c r="E86" s="30"/>
      <c r="F86" s="30"/>
      <c r="G86" s="30"/>
      <c r="H86" s="30"/>
      <c r="I86" s="40" t="str">
        <f>IFERROR(VLOOKUP(A86,BUFFS!$H$5:$AF$195,8,),"")</f>
        <v/>
      </c>
      <c r="J86" s="34"/>
      <c r="K86" s="30"/>
      <c r="L86" s="30"/>
      <c r="M86" s="30"/>
      <c r="N86" s="32"/>
      <c r="O86" s="34"/>
      <c r="P86" s="30"/>
      <c r="Q86" s="30"/>
      <c r="R86" s="30"/>
      <c r="S86" s="32"/>
      <c r="T86" s="35"/>
    </row>
    <row r="87" spans="2:20" x14ac:dyDescent="0.3">
      <c r="B87" s="19"/>
      <c r="C87" s="13"/>
      <c r="D87" s="34"/>
      <c r="E87" s="30"/>
      <c r="F87" s="30"/>
      <c r="G87" s="30"/>
      <c r="H87" s="30"/>
      <c r="I87" s="40" t="str">
        <f>IFERROR(VLOOKUP(A87,BUFFS!$H$5:$AF$195,8,),"")</f>
        <v/>
      </c>
      <c r="J87" s="34"/>
      <c r="K87" s="30"/>
      <c r="L87" s="30"/>
      <c r="M87" s="30"/>
      <c r="N87" s="32"/>
      <c r="O87" s="34"/>
      <c r="P87" s="30"/>
      <c r="Q87" s="30"/>
      <c r="R87" s="30"/>
      <c r="S87" s="32"/>
      <c r="T87" s="35"/>
    </row>
    <row r="88" spans="2:20" x14ac:dyDescent="0.3">
      <c r="B88" s="19"/>
      <c r="C88" s="13"/>
      <c r="D88" s="34"/>
      <c r="E88" s="30"/>
      <c r="F88" s="30"/>
      <c r="G88" s="30"/>
      <c r="H88" s="30"/>
      <c r="I88" s="40" t="str">
        <f>IFERROR(VLOOKUP(A88,BUFFS!$H$5:$AF$195,8,),"")</f>
        <v/>
      </c>
      <c r="J88" s="34"/>
      <c r="K88" s="30"/>
      <c r="L88" s="30"/>
      <c r="M88" s="30"/>
      <c r="N88" s="32"/>
      <c r="O88" s="34"/>
      <c r="P88" s="30"/>
      <c r="Q88" s="30"/>
      <c r="R88" s="30"/>
      <c r="S88" s="32"/>
      <c r="T88" s="35"/>
    </row>
    <row r="89" spans="2:20" x14ac:dyDescent="0.3">
      <c r="B89" s="19"/>
      <c r="C89" s="13"/>
      <c r="D89" s="34"/>
      <c r="E89" s="30"/>
      <c r="F89" s="30"/>
      <c r="G89" s="30"/>
      <c r="H89" s="30"/>
      <c r="I89" s="40" t="str">
        <f>IFERROR(VLOOKUP(A89,BUFFS!$H$5:$AF$195,8,),"")</f>
        <v/>
      </c>
      <c r="J89" s="34"/>
      <c r="K89" s="30"/>
      <c r="L89" s="30"/>
      <c r="M89" s="30"/>
      <c r="N89" s="32"/>
      <c r="O89" s="34"/>
      <c r="P89" s="30"/>
      <c r="Q89" s="30"/>
      <c r="R89" s="30"/>
      <c r="S89" s="32"/>
      <c r="T89" s="35"/>
    </row>
    <row r="90" spans="2:20" x14ac:dyDescent="0.3">
      <c r="B90" s="19"/>
      <c r="C90" s="13"/>
      <c r="D90" s="34"/>
      <c r="E90" s="30"/>
      <c r="F90" s="30"/>
      <c r="G90" s="30"/>
      <c r="H90" s="30"/>
      <c r="I90" s="40" t="str">
        <f>IFERROR(VLOOKUP(A90,BUFFS!$H$5:$AF$195,8,),"")</f>
        <v/>
      </c>
      <c r="J90" s="34"/>
      <c r="K90" s="30"/>
      <c r="L90" s="30"/>
      <c r="M90" s="30"/>
      <c r="N90" s="32"/>
      <c r="O90" s="34"/>
      <c r="P90" s="30"/>
      <c r="Q90" s="30"/>
      <c r="R90" s="30"/>
      <c r="S90" s="32"/>
      <c r="T90" s="35"/>
    </row>
    <row r="91" spans="2:20" x14ac:dyDescent="0.3">
      <c r="B91" s="19"/>
      <c r="C91" s="13"/>
      <c r="D91" s="34"/>
      <c r="E91" s="30"/>
      <c r="F91" s="30"/>
      <c r="G91" s="30"/>
      <c r="H91" s="30"/>
      <c r="I91" s="40" t="str">
        <f>IFERROR(VLOOKUP(A91,BUFFS!$H$5:$AF$195,8,),"")</f>
        <v/>
      </c>
      <c r="J91" s="34"/>
      <c r="K91" s="30"/>
      <c r="L91" s="30"/>
      <c r="M91" s="30"/>
      <c r="N91" s="32"/>
      <c r="O91" s="34"/>
      <c r="P91" s="30"/>
      <c r="Q91" s="30"/>
      <c r="R91" s="30"/>
      <c r="S91" s="32"/>
      <c r="T91" s="35"/>
    </row>
    <row r="92" spans="2:20" x14ac:dyDescent="0.3">
      <c r="B92" s="19"/>
      <c r="C92" s="13"/>
      <c r="D92" s="34"/>
      <c r="E92" s="30"/>
      <c r="F92" s="30"/>
      <c r="G92" s="30"/>
      <c r="H92" s="30"/>
      <c r="I92" s="40" t="str">
        <f>IFERROR(VLOOKUP(A92,BUFFS!$H$5:$AF$195,8,),"")</f>
        <v/>
      </c>
      <c r="J92" s="34"/>
      <c r="K92" s="30"/>
      <c r="L92" s="30"/>
      <c r="M92" s="30"/>
      <c r="N92" s="32"/>
      <c r="O92" s="34"/>
      <c r="P92" s="30"/>
      <c r="Q92" s="30"/>
      <c r="R92" s="30"/>
      <c r="S92" s="32"/>
      <c r="T92" s="35"/>
    </row>
    <row r="93" spans="2:20" x14ac:dyDescent="0.3">
      <c r="B93" s="19"/>
      <c r="C93" s="13"/>
      <c r="D93" s="34"/>
      <c r="E93" s="30"/>
      <c r="F93" s="30"/>
      <c r="G93" s="30"/>
      <c r="H93" s="30"/>
      <c r="I93" s="40" t="str">
        <f>IFERROR(VLOOKUP(A93,BUFFS!$H$5:$AF$195,8,),"")</f>
        <v/>
      </c>
      <c r="J93" s="34"/>
      <c r="K93" s="30"/>
      <c r="L93" s="30"/>
      <c r="M93" s="30"/>
      <c r="N93" s="32"/>
      <c r="O93" s="34"/>
      <c r="P93" s="30"/>
      <c r="Q93" s="30"/>
      <c r="R93" s="30"/>
      <c r="S93" s="32"/>
      <c r="T93" s="35"/>
    </row>
    <row r="94" spans="2:20" x14ac:dyDescent="0.3">
      <c r="B94" s="19"/>
      <c r="C94" s="13"/>
      <c r="D94" s="34"/>
      <c r="E94" s="30"/>
      <c r="F94" s="30"/>
      <c r="G94" s="30"/>
      <c r="H94" s="30"/>
      <c r="I94" s="40" t="str">
        <f>IFERROR(VLOOKUP(A94,BUFFS!$H$5:$AF$195,8,),"")</f>
        <v/>
      </c>
      <c r="J94" s="34"/>
      <c r="K94" s="30"/>
      <c r="L94" s="30"/>
      <c r="M94" s="30"/>
      <c r="N94" s="32"/>
      <c r="O94" s="34"/>
      <c r="P94" s="30"/>
      <c r="Q94" s="30"/>
      <c r="R94" s="30"/>
      <c r="S94" s="32"/>
      <c r="T94" s="35"/>
    </row>
    <row r="95" spans="2:20" x14ac:dyDescent="0.3">
      <c r="B95" s="19"/>
      <c r="C95" s="13"/>
      <c r="D95" s="34"/>
      <c r="E95" s="30"/>
      <c r="F95" s="30"/>
      <c r="G95" s="30"/>
      <c r="H95" s="30"/>
      <c r="I95" s="40" t="str">
        <f>IFERROR(VLOOKUP(A95,BUFFS!$H$5:$AF$195,8,),"")</f>
        <v/>
      </c>
      <c r="J95" s="34"/>
      <c r="K95" s="30"/>
      <c r="L95" s="30"/>
      <c r="M95" s="30"/>
      <c r="N95" s="32"/>
      <c r="O95" s="34"/>
      <c r="P95" s="30"/>
      <c r="Q95" s="30"/>
      <c r="R95" s="30"/>
      <c r="S95" s="32"/>
      <c r="T95" s="35"/>
    </row>
    <row r="96" spans="2:20" x14ac:dyDescent="0.3">
      <c r="B96" s="19"/>
      <c r="C96" s="13"/>
      <c r="D96" s="34"/>
      <c r="E96" s="30"/>
      <c r="F96" s="30"/>
      <c r="G96" s="30"/>
      <c r="H96" s="30"/>
      <c r="I96" s="40" t="str">
        <f>IFERROR(VLOOKUP(A96,BUFFS!$H$5:$AF$195,8,),"")</f>
        <v/>
      </c>
      <c r="J96" s="34"/>
      <c r="K96" s="30"/>
      <c r="L96" s="30"/>
      <c r="M96" s="30"/>
      <c r="N96" s="32"/>
      <c r="O96" s="34"/>
      <c r="P96" s="30"/>
      <c r="Q96" s="30"/>
      <c r="R96" s="30"/>
      <c r="S96" s="32"/>
      <c r="T96" s="35"/>
    </row>
    <row r="97" spans="2:20" x14ac:dyDescent="0.3">
      <c r="B97" s="19"/>
      <c r="C97" s="13"/>
      <c r="D97" s="34"/>
      <c r="E97" s="30"/>
      <c r="F97" s="30"/>
      <c r="G97" s="30"/>
      <c r="H97" s="30"/>
      <c r="I97" s="40" t="str">
        <f>IFERROR(VLOOKUP(A97,BUFFS!$H$5:$AF$195,8,),"")</f>
        <v/>
      </c>
      <c r="J97" s="34"/>
      <c r="K97" s="30"/>
      <c r="L97" s="30"/>
      <c r="M97" s="30"/>
      <c r="N97" s="32"/>
      <c r="O97" s="34"/>
      <c r="P97" s="30"/>
      <c r="Q97" s="30"/>
      <c r="R97" s="30"/>
      <c r="S97" s="32"/>
      <c r="T97" s="35"/>
    </row>
    <row r="98" spans="2:20" x14ac:dyDescent="0.3">
      <c r="B98" s="19"/>
      <c r="C98" s="13"/>
      <c r="D98" s="34"/>
      <c r="E98" s="30"/>
      <c r="F98" s="30"/>
      <c r="G98" s="30"/>
      <c r="H98" s="30"/>
      <c r="I98" s="40" t="str">
        <f>IFERROR(VLOOKUP(A98,BUFFS!$H$5:$AF$195,8,),"")</f>
        <v/>
      </c>
      <c r="J98" s="34"/>
      <c r="K98" s="30"/>
      <c r="L98" s="30"/>
      <c r="M98" s="30"/>
      <c r="N98" s="32"/>
      <c r="O98" s="34"/>
      <c r="P98" s="30"/>
      <c r="Q98" s="30"/>
      <c r="R98" s="30"/>
      <c r="S98" s="32"/>
      <c r="T98" s="35"/>
    </row>
    <row r="99" spans="2:20" x14ac:dyDescent="0.3">
      <c r="B99" s="19"/>
      <c r="C99" s="13"/>
      <c r="D99" s="34"/>
      <c r="E99" s="30"/>
      <c r="F99" s="30"/>
      <c r="G99" s="30"/>
      <c r="H99" s="30"/>
      <c r="I99" s="40" t="str">
        <f>IFERROR(VLOOKUP(A99,BUFFS!$H$5:$AF$195,8,),"")</f>
        <v/>
      </c>
      <c r="J99" s="34"/>
      <c r="K99" s="30"/>
      <c r="L99" s="30"/>
      <c r="M99" s="30"/>
      <c r="N99" s="32"/>
      <c r="O99" s="34"/>
      <c r="P99" s="30"/>
      <c r="Q99" s="30"/>
      <c r="R99" s="30"/>
      <c r="S99" s="32"/>
      <c r="T99" s="35"/>
    </row>
    <row r="100" spans="2:20" x14ac:dyDescent="0.3">
      <c r="B100" s="19"/>
      <c r="C100" s="13"/>
      <c r="D100" s="34"/>
      <c r="E100" s="30"/>
      <c r="F100" s="30"/>
      <c r="G100" s="30"/>
      <c r="H100" s="30"/>
      <c r="I100" s="40" t="str">
        <f>IFERROR(VLOOKUP(A100,BUFFS!$H$5:$AF$195,8,),"")</f>
        <v/>
      </c>
      <c r="J100" s="34"/>
      <c r="K100" s="30"/>
      <c r="L100" s="30"/>
      <c r="M100" s="30"/>
      <c r="N100" s="32"/>
      <c r="O100" s="34"/>
      <c r="P100" s="30"/>
      <c r="Q100" s="30"/>
      <c r="R100" s="30"/>
      <c r="S100" s="32"/>
      <c r="T100" s="35"/>
    </row>
    <row r="101" spans="2:20" x14ac:dyDescent="0.3">
      <c r="B101" s="19"/>
      <c r="D101" s="34"/>
      <c r="E101" s="30"/>
      <c r="F101" s="30"/>
      <c r="G101" s="30"/>
      <c r="H101" s="30"/>
      <c r="I101" s="40" t="str">
        <f>IFERROR(VLOOKUP(A101,BUFFS!$H$5:$AF$195,8,),"")</f>
        <v/>
      </c>
      <c r="J101" s="34"/>
      <c r="K101" s="30"/>
      <c r="L101" s="30"/>
      <c r="M101" s="30"/>
      <c r="N101" s="32"/>
      <c r="O101" s="34"/>
      <c r="P101" s="30"/>
      <c r="Q101" s="30"/>
      <c r="R101" s="30"/>
      <c r="S101" s="32"/>
      <c r="T101" s="35"/>
    </row>
    <row r="102" spans="2:20" x14ac:dyDescent="0.3">
      <c r="B102" s="19"/>
      <c r="D102" s="34"/>
      <c r="E102" s="30"/>
      <c r="F102" s="30"/>
      <c r="G102" s="30"/>
      <c r="H102" s="30"/>
      <c r="I102" s="40" t="str">
        <f>IFERROR(VLOOKUP(A102,BUFFS!$H$5:$AF$195,8,),"")</f>
        <v/>
      </c>
      <c r="J102" s="34"/>
      <c r="K102" s="30"/>
      <c r="L102" s="30"/>
      <c r="M102" s="30"/>
      <c r="N102" s="32"/>
      <c r="O102" s="34"/>
      <c r="P102" s="30"/>
      <c r="Q102" s="30"/>
      <c r="R102" s="30"/>
      <c r="S102" s="32"/>
      <c r="T102" s="35"/>
    </row>
    <row r="103" spans="2:20" x14ac:dyDescent="0.3">
      <c r="B103" s="19"/>
      <c r="D103" s="34"/>
      <c r="E103" s="30"/>
      <c r="F103" s="30"/>
      <c r="G103" s="30"/>
      <c r="H103" s="30"/>
      <c r="I103" s="40" t="str">
        <f>IFERROR(VLOOKUP(A103,BUFFS!$H$5:$AF$195,8,),"")</f>
        <v/>
      </c>
      <c r="J103" s="34"/>
      <c r="K103" s="30"/>
      <c r="L103" s="30"/>
      <c r="M103" s="30"/>
      <c r="N103" s="32"/>
      <c r="O103" s="34"/>
      <c r="P103" s="30"/>
      <c r="Q103" s="30"/>
      <c r="R103" s="30"/>
      <c r="S103" s="32"/>
      <c r="T103" s="35"/>
    </row>
    <row r="104" spans="2:20" x14ac:dyDescent="0.3">
      <c r="B104" s="19"/>
      <c r="D104" s="34"/>
      <c r="E104" s="30"/>
      <c r="F104" s="30"/>
      <c r="G104" s="30"/>
      <c r="H104" s="30"/>
      <c r="I104" s="40" t="str">
        <f>IFERROR(VLOOKUP(A104,BUFFS!$H$5:$AF$195,8,),"")</f>
        <v/>
      </c>
      <c r="J104" s="34"/>
      <c r="K104" s="30"/>
      <c r="L104" s="30"/>
      <c r="M104" s="30"/>
      <c r="N104" s="32"/>
      <c r="O104" s="34"/>
      <c r="P104" s="30"/>
      <c r="Q104" s="30"/>
      <c r="R104" s="30"/>
      <c r="S104" s="32"/>
      <c r="T104" s="35"/>
    </row>
    <row r="105" spans="2:20" x14ac:dyDescent="0.3">
      <c r="B105" s="19"/>
      <c r="D105" s="34"/>
      <c r="E105" s="30"/>
      <c r="F105" s="30"/>
      <c r="G105" s="30"/>
      <c r="H105" s="30"/>
      <c r="I105" s="40" t="str">
        <f>IFERROR(VLOOKUP(A105,BUFFS!$H$5:$AF$195,8,),"")</f>
        <v/>
      </c>
      <c r="J105" s="34"/>
      <c r="K105" s="30"/>
      <c r="L105" s="30"/>
      <c r="M105" s="30"/>
      <c r="N105" s="32"/>
      <c r="O105" s="34"/>
      <c r="P105" s="30"/>
      <c r="Q105" s="30"/>
      <c r="R105" s="30"/>
      <c r="S105" s="32"/>
      <c r="T105" s="35"/>
    </row>
    <row r="106" spans="2:20" x14ac:dyDescent="0.3">
      <c r="B106" s="19"/>
      <c r="D106" s="34"/>
      <c r="E106" s="30"/>
      <c r="F106" s="30"/>
      <c r="G106" s="30"/>
      <c r="H106" s="30"/>
      <c r="I106" s="40" t="str">
        <f>IFERROR(VLOOKUP(A106,BUFFS!$H$5:$AF$195,8,),"")</f>
        <v/>
      </c>
      <c r="J106" s="34"/>
      <c r="K106" s="30"/>
      <c r="L106" s="30"/>
      <c r="M106" s="30"/>
      <c r="N106" s="32"/>
      <c r="O106" s="34"/>
      <c r="P106" s="30"/>
      <c r="Q106" s="30"/>
      <c r="R106" s="30"/>
      <c r="S106" s="32"/>
      <c r="T106" s="35"/>
    </row>
    <row r="107" spans="2:20" x14ac:dyDescent="0.3">
      <c r="B107" s="19"/>
      <c r="D107" s="34"/>
      <c r="E107" s="30"/>
      <c r="F107" s="30"/>
      <c r="G107" s="30"/>
      <c r="H107" s="30"/>
      <c r="I107" s="40" t="str">
        <f>IFERROR(VLOOKUP(A107,BUFFS!$H$5:$AF$195,8,),"")</f>
        <v/>
      </c>
      <c r="J107" s="34"/>
      <c r="K107" s="30"/>
      <c r="L107" s="30"/>
      <c r="M107" s="30"/>
      <c r="N107" s="32"/>
      <c r="O107" s="34"/>
      <c r="P107" s="30"/>
      <c r="Q107" s="30"/>
      <c r="R107" s="30"/>
      <c r="S107" s="32"/>
      <c r="T107" s="35"/>
    </row>
    <row r="108" spans="2:20" x14ac:dyDescent="0.3">
      <c r="B108" s="19"/>
      <c r="D108" s="34"/>
      <c r="E108" s="30"/>
      <c r="F108" s="30"/>
      <c r="G108" s="30"/>
      <c r="H108" s="30"/>
      <c r="I108" s="40" t="str">
        <f>IFERROR(VLOOKUP(A108,BUFFS!$H$5:$AF$195,8,),"")</f>
        <v/>
      </c>
      <c r="J108" s="34"/>
      <c r="K108" s="30"/>
      <c r="L108" s="30"/>
      <c r="M108" s="30"/>
      <c r="N108" s="32"/>
      <c r="O108" s="34"/>
      <c r="P108" s="30"/>
      <c r="Q108" s="30"/>
      <c r="R108" s="30"/>
      <c r="S108" s="32"/>
      <c r="T108" s="35"/>
    </row>
    <row r="109" spans="2:20" x14ac:dyDescent="0.3">
      <c r="B109" s="19"/>
      <c r="D109" s="34"/>
      <c r="E109" s="30"/>
      <c r="F109" s="30"/>
      <c r="G109" s="30"/>
      <c r="H109" s="30"/>
      <c r="I109" s="40" t="str">
        <f>IFERROR(VLOOKUP(A109,BUFFS!$H$5:$AF$195,8,),"")</f>
        <v/>
      </c>
      <c r="J109" s="34"/>
      <c r="K109" s="30"/>
      <c r="L109" s="30"/>
      <c r="M109" s="30"/>
      <c r="N109" s="32"/>
      <c r="O109" s="34"/>
      <c r="P109" s="30"/>
      <c r="Q109" s="30"/>
      <c r="R109" s="30"/>
      <c r="S109" s="32"/>
      <c r="T109" s="35"/>
    </row>
    <row r="110" spans="2:20" x14ac:dyDescent="0.3">
      <c r="B110" s="19"/>
      <c r="D110" s="34"/>
      <c r="E110" s="30"/>
      <c r="F110" s="30"/>
      <c r="G110" s="30"/>
      <c r="H110" s="30"/>
      <c r="I110" s="40" t="str">
        <f>IFERROR(VLOOKUP(A110,BUFFS!$H$5:$AF$195,8,),"")</f>
        <v/>
      </c>
      <c r="J110" s="34"/>
      <c r="K110" s="30"/>
      <c r="L110" s="30"/>
      <c r="M110" s="30"/>
      <c r="N110" s="32"/>
      <c r="O110" s="34"/>
      <c r="P110" s="30"/>
      <c r="Q110" s="30"/>
      <c r="R110" s="30"/>
      <c r="S110" s="32"/>
      <c r="T110" s="35"/>
    </row>
    <row r="111" spans="2:20" x14ac:dyDescent="0.3">
      <c r="B111" s="19"/>
      <c r="D111" s="34"/>
      <c r="E111" s="30"/>
      <c r="F111" s="30"/>
      <c r="G111" s="30"/>
      <c r="H111" s="30"/>
      <c r="I111" s="40" t="str">
        <f>IFERROR(VLOOKUP(A111,BUFFS!$H$5:$AF$195,8,),"")</f>
        <v/>
      </c>
      <c r="J111" s="34"/>
      <c r="K111" s="30"/>
      <c r="L111" s="30"/>
      <c r="M111" s="30"/>
      <c r="N111" s="32"/>
      <c r="O111" s="34"/>
      <c r="P111" s="30"/>
      <c r="Q111" s="30"/>
      <c r="R111" s="30"/>
      <c r="S111" s="32"/>
      <c r="T111" s="35"/>
    </row>
    <row r="112" spans="2:20" x14ac:dyDescent="0.3">
      <c r="B112" s="19"/>
      <c r="D112" s="34"/>
      <c r="E112" s="30"/>
      <c r="F112" s="30"/>
      <c r="G112" s="30"/>
      <c r="H112" s="30"/>
      <c r="I112" s="40" t="str">
        <f>IFERROR(VLOOKUP(A112,BUFFS!$H$5:$AF$195,8,),"")</f>
        <v/>
      </c>
      <c r="J112" s="34"/>
      <c r="K112" s="30"/>
      <c r="L112" s="30"/>
      <c r="M112" s="30"/>
      <c r="N112" s="32"/>
      <c r="O112" s="34"/>
      <c r="P112" s="30"/>
      <c r="Q112" s="30"/>
      <c r="R112" s="30"/>
      <c r="S112" s="32"/>
      <c r="T112" s="35"/>
    </row>
    <row r="113" spans="2:20" x14ac:dyDescent="0.3">
      <c r="B113" s="19"/>
      <c r="D113" s="34"/>
      <c r="E113" s="30"/>
      <c r="F113" s="30"/>
      <c r="G113" s="30"/>
      <c r="H113" s="30"/>
      <c r="I113" s="40" t="str">
        <f>IFERROR(VLOOKUP(A113,BUFFS!$H$5:$AF$195,8,),"")</f>
        <v/>
      </c>
      <c r="J113" s="34"/>
      <c r="K113" s="30"/>
      <c r="L113" s="30"/>
      <c r="M113" s="30"/>
      <c r="N113" s="32"/>
      <c r="O113" s="34"/>
      <c r="P113" s="30"/>
      <c r="Q113" s="30"/>
      <c r="R113" s="30"/>
      <c r="S113" s="32"/>
      <c r="T113" s="35"/>
    </row>
    <row r="114" spans="2:20" x14ac:dyDescent="0.3">
      <c r="B114" s="19"/>
      <c r="D114" s="34"/>
      <c r="E114" s="30"/>
      <c r="F114" s="30"/>
      <c r="G114" s="30"/>
      <c r="H114" s="30"/>
      <c r="I114" s="40" t="str">
        <f>IFERROR(VLOOKUP(A114,BUFFS!$H$5:$AF$195,8,),"")</f>
        <v/>
      </c>
      <c r="J114" s="34"/>
      <c r="K114" s="30"/>
      <c r="L114" s="30"/>
      <c r="M114" s="30"/>
      <c r="N114" s="32"/>
      <c r="O114" s="34"/>
      <c r="P114" s="30"/>
      <c r="Q114" s="30"/>
      <c r="R114" s="30"/>
      <c r="S114" s="32"/>
      <c r="T114" s="35"/>
    </row>
    <row r="115" spans="2:20" x14ac:dyDescent="0.3">
      <c r="B115" s="19"/>
      <c r="D115" s="34"/>
      <c r="E115" s="30"/>
      <c r="F115" s="30"/>
      <c r="G115" s="30"/>
      <c r="H115" s="30"/>
      <c r="I115" s="40" t="str">
        <f>IFERROR(VLOOKUP(A115,BUFFS!$H$5:$AF$195,8,),"")</f>
        <v/>
      </c>
      <c r="J115" s="34"/>
      <c r="K115" s="30"/>
      <c r="L115" s="30"/>
      <c r="M115" s="30"/>
      <c r="N115" s="32"/>
      <c r="O115" s="34"/>
      <c r="P115" s="30"/>
      <c r="Q115" s="30"/>
      <c r="R115" s="30"/>
      <c r="S115" s="32"/>
      <c r="T115" s="35"/>
    </row>
    <row r="116" spans="2:20" x14ac:dyDescent="0.3">
      <c r="B116" s="19"/>
      <c r="D116" s="34"/>
      <c r="E116" s="30"/>
      <c r="F116" s="30"/>
      <c r="G116" s="30"/>
      <c r="H116" s="30"/>
      <c r="I116" s="40" t="str">
        <f>IFERROR(VLOOKUP(A116,BUFFS!$H$5:$AF$195,8,),"")</f>
        <v/>
      </c>
      <c r="J116" s="34"/>
      <c r="K116" s="30"/>
      <c r="L116" s="30"/>
      <c r="M116" s="30"/>
      <c r="N116" s="32"/>
      <c r="O116" s="34"/>
      <c r="P116" s="30"/>
      <c r="Q116" s="30"/>
      <c r="R116" s="30"/>
      <c r="S116" s="32"/>
      <c r="T116" s="35"/>
    </row>
    <row r="117" spans="2:20" x14ac:dyDescent="0.3">
      <c r="B117" s="19"/>
      <c r="D117" s="34"/>
      <c r="E117" s="30"/>
      <c r="F117" s="30"/>
      <c r="G117" s="30"/>
      <c r="H117" s="30"/>
      <c r="I117" s="40" t="str">
        <f>IFERROR(VLOOKUP(A117,BUFFS!$H$5:$AF$195,8,),"")</f>
        <v/>
      </c>
      <c r="J117" s="34"/>
      <c r="K117" s="30"/>
      <c r="L117" s="30"/>
      <c r="M117" s="30"/>
      <c r="N117" s="32"/>
      <c r="O117" s="34"/>
      <c r="P117" s="30"/>
      <c r="Q117" s="30"/>
      <c r="R117" s="30"/>
      <c r="S117" s="32"/>
      <c r="T117" s="35"/>
    </row>
    <row r="118" spans="2:20" x14ac:dyDescent="0.3">
      <c r="B118" s="19"/>
      <c r="D118" s="34"/>
      <c r="E118" s="30"/>
      <c r="F118" s="30"/>
      <c r="G118" s="30"/>
      <c r="H118" s="30"/>
      <c r="I118" s="40" t="str">
        <f>IFERROR(VLOOKUP(A118,BUFFS!$H$5:$AF$195,8,),"")</f>
        <v/>
      </c>
      <c r="J118" s="34"/>
      <c r="K118" s="30"/>
      <c r="L118" s="30"/>
      <c r="M118" s="30"/>
      <c r="N118" s="32"/>
      <c r="O118" s="34"/>
      <c r="P118" s="30"/>
      <c r="Q118" s="30"/>
      <c r="R118" s="30"/>
      <c r="S118" s="32"/>
      <c r="T118" s="35"/>
    </row>
    <row r="119" spans="2:20" x14ac:dyDescent="0.3">
      <c r="B119" s="19"/>
      <c r="D119" s="34"/>
      <c r="E119" s="30"/>
      <c r="F119" s="30"/>
      <c r="G119" s="30"/>
      <c r="H119" s="30"/>
      <c r="I119" s="40" t="str">
        <f>IFERROR(VLOOKUP(A119,BUFFS!$H$5:$AF$195,8,),"")</f>
        <v/>
      </c>
      <c r="J119" s="34"/>
      <c r="K119" s="30"/>
      <c r="L119" s="30"/>
      <c r="M119" s="30"/>
      <c r="N119" s="32"/>
      <c r="O119" s="34"/>
      <c r="P119" s="30"/>
      <c r="Q119" s="30"/>
      <c r="R119" s="30"/>
      <c r="S119" s="32"/>
      <c r="T119" s="35"/>
    </row>
    <row r="120" spans="2:20" x14ac:dyDescent="0.3">
      <c r="B120" s="19"/>
      <c r="D120" s="34"/>
      <c r="E120" s="30"/>
      <c r="F120" s="30"/>
      <c r="G120" s="30"/>
      <c r="H120" s="30"/>
      <c r="I120" s="40" t="str">
        <f>IFERROR(VLOOKUP(A120,BUFFS!$H$5:$AF$195,8,),"")</f>
        <v/>
      </c>
      <c r="J120" s="34"/>
      <c r="K120" s="30"/>
      <c r="L120" s="30"/>
      <c r="M120" s="30"/>
      <c r="N120" s="32"/>
      <c r="O120" s="34"/>
      <c r="P120" s="30"/>
      <c r="Q120" s="30"/>
      <c r="R120" s="30"/>
      <c r="S120" s="32"/>
      <c r="T120" s="35"/>
    </row>
    <row r="121" spans="2:20" x14ac:dyDescent="0.3">
      <c r="B121" s="19"/>
      <c r="D121" s="34"/>
      <c r="E121" s="30"/>
      <c r="F121" s="30"/>
      <c r="G121" s="30"/>
      <c r="H121" s="30"/>
      <c r="I121" s="40" t="str">
        <f>IFERROR(VLOOKUP(A121,BUFFS!$H$5:$AF$195,8,),"")</f>
        <v/>
      </c>
      <c r="J121" s="34"/>
      <c r="K121" s="30"/>
      <c r="L121" s="30"/>
      <c r="M121" s="30"/>
      <c r="N121" s="32"/>
      <c r="O121" s="34"/>
      <c r="P121" s="30"/>
      <c r="Q121" s="30"/>
      <c r="R121" s="30"/>
      <c r="S121" s="32"/>
      <c r="T121" s="35"/>
    </row>
    <row r="122" spans="2:20" x14ac:dyDescent="0.3">
      <c r="B122" s="19"/>
      <c r="D122" s="34"/>
      <c r="E122" s="30"/>
      <c r="F122" s="30"/>
      <c r="G122" s="30"/>
      <c r="H122" s="30"/>
      <c r="I122" s="40" t="str">
        <f>IFERROR(VLOOKUP(A122,BUFFS!$H$5:$AF$195,8,),"")</f>
        <v/>
      </c>
      <c r="J122" s="34"/>
      <c r="K122" s="30"/>
      <c r="L122" s="30"/>
      <c r="M122" s="30"/>
      <c r="N122" s="32"/>
      <c r="O122" s="34"/>
      <c r="P122" s="30"/>
      <c r="Q122" s="30"/>
      <c r="R122" s="30"/>
      <c r="S122" s="32"/>
      <c r="T122" s="35"/>
    </row>
    <row r="123" spans="2:20" x14ac:dyDescent="0.3">
      <c r="B123" s="19"/>
      <c r="D123" s="34"/>
      <c r="E123" s="30"/>
      <c r="F123" s="30"/>
      <c r="G123" s="30"/>
      <c r="H123" s="30"/>
      <c r="I123" s="40" t="str">
        <f>IFERROR(VLOOKUP(A123,BUFFS!$H$5:$AF$195,8,),"")</f>
        <v/>
      </c>
      <c r="J123" s="34"/>
      <c r="K123" s="30"/>
      <c r="L123" s="30"/>
      <c r="M123" s="30"/>
      <c r="N123" s="32"/>
      <c r="O123" s="34"/>
      <c r="P123" s="30"/>
      <c r="Q123" s="30"/>
      <c r="R123" s="30"/>
      <c r="S123" s="32"/>
      <c r="T123" s="35"/>
    </row>
    <row r="124" spans="2:20" x14ac:dyDescent="0.3">
      <c r="B124" s="19"/>
      <c r="D124" s="34"/>
      <c r="E124" s="30"/>
      <c r="F124" s="30"/>
      <c r="G124" s="30"/>
      <c r="H124" s="30"/>
      <c r="I124" s="40" t="str">
        <f>IFERROR(VLOOKUP(A124,BUFFS!$H$5:$AF$195,8,),"")</f>
        <v/>
      </c>
      <c r="J124" s="34"/>
      <c r="K124" s="30"/>
      <c r="L124" s="30"/>
      <c r="M124" s="30"/>
      <c r="N124" s="32"/>
      <c r="O124" s="34"/>
      <c r="P124" s="30"/>
      <c r="Q124" s="30"/>
      <c r="R124" s="30"/>
      <c r="S124" s="32"/>
      <c r="T124" s="35"/>
    </row>
    <row r="125" spans="2:20" x14ac:dyDescent="0.3">
      <c r="B125" s="19"/>
      <c r="D125" s="34"/>
      <c r="E125" s="30"/>
      <c r="F125" s="30"/>
      <c r="G125" s="30"/>
      <c r="H125" s="30"/>
      <c r="I125" s="40" t="str">
        <f>IFERROR(VLOOKUP(A125,BUFFS!$H$5:$AF$195,8,),"")</f>
        <v/>
      </c>
      <c r="J125" s="34"/>
      <c r="K125" s="30"/>
      <c r="L125" s="30"/>
      <c r="M125" s="30"/>
      <c r="N125" s="32"/>
      <c r="O125" s="34"/>
      <c r="P125" s="30"/>
      <c r="Q125" s="30"/>
      <c r="R125" s="30"/>
      <c r="S125" s="32"/>
      <c r="T125" s="35"/>
    </row>
    <row r="126" spans="2:20" x14ac:dyDescent="0.3">
      <c r="B126" s="19"/>
      <c r="D126" s="34"/>
      <c r="E126" s="30"/>
      <c r="F126" s="30"/>
      <c r="G126" s="30"/>
      <c r="H126" s="30"/>
      <c r="I126" s="40" t="str">
        <f>IFERROR(VLOOKUP(A126,BUFFS!$H$5:$AF$195,8,),"")</f>
        <v/>
      </c>
      <c r="J126" s="34"/>
      <c r="K126" s="30"/>
      <c r="L126" s="30"/>
      <c r="M126" s="30"/>
      <c r="N126" s="32"/>
      <c r="O126" s="34"/>
      <c r="P126" s="30"/>
      <c r="Q126" s="30"/>
      <c r="R126" s="30"/>
      <c r="S126" s="32"/>
      <c r="T126" s="35"/>
    </row>
    <row r="127" spans="2:20" x14ac:dyDescent="0.3">
      <c r="B127" s="19"/>
      <c r="D127" s="34"/>
      <c r="E127" s="30"/>
      <c r="F127" s="30"/>
      <c r="G127" s="30"/>
      <c r="H127" s="30"/>
      <c r="I127" s="40" t="str">
        <f>IFERROR(VLOOKUP(A127,BUFFS!$H$5:$AF$195,8,),"")</f>
        <v/>
      </c>
      <c r="J127" s="34"/>
      <c r="K127" s="30"/>
      <c r="L127" s="30"/>
      <c r="M127" s="30"/>
      <c r="N127" s="32"/>
      <c r="O127" s="34"/>
      <c r="P127" s="30"/>
      <c r="Q127" s="30"/>
      <c r="R127" s="30"/>
      <c r="S127" s="32"/>
      <c r="T127" s="35"/>
    </row>
    <row r="128" spans="2:20" x14ac:dyDescent="0.3">
      <c r="B128" s="19"/>
      <c r="D128" s="34"/>
      <c r="E128" s="30"/>
      <c r="F128" s="30"/>
      <c r="G128" s="30"/>
      <c r="H128" s="30"/>
      <c r="I128" s="40" t="str">
        <f>IFERROR(VLOOKUP(A128,BUFFS!$H$5:$AF$195,8,),"")</f>
        <v/>
      </c>
      <c r="J128" s="34"/>
      <c r="K128" s="30"/>
      <c r="L128" s="30"/>
      <c r="M128" s="30"/>
      <c r="N128" s="32"/>
      <c r="O128" s="34"/>
      <c r="P128" s="30"/>
      <c r="Q128" s="30"/>
      <c r="R128" s="30"/>
      <c r="S128" s="32"/>
      <c r="T128" s="35"/>
    </row>
    <row r="129" spans="2:20" x14ac:dyDescent="0.3">
      <c r="B129" s="19"/>
      <c r="D129" s="34"/>
      <c r="E129" s="30"/>
      <c r="F129" s="30"/>
      <c r="G129" s="30"/>
      <c r="H129" s="30"/>
      <c r="I129" s="40" t="str">
        <f>IFERROR(VLOOKUP(A129,BUFFS!$H$5:$AF$195,8,),"")</f>
        <v/>
      </c>
      <c r="J129" s="34"/>
      <c r="K129" s="30"/>
      <c r="L129" s="30"/>
      <c r="M129" s="30"/>
      <c r="N129" s="32"/>
      <c r="O129" s="34"/>
      <c r="P129" s="30"/>
      <c r="Q129" s="30"/>
      <c r="R129" s="30"/>
      <c r="S129" s="32"/>
      <c r="T129" s="35"/>
    </row>
    <row r="130" spans="2:20" x14ac:dyDescent="0.3">
      <c r="B130" s="19"/>
      <c r="D130" s="34"/>
      <c r="E130" s="30"/>
      <c r="F130" s="30"/>
      <c r="G130" s="30"/>
      <c r="H130" s="30"/>
      <c r="I130" s="40" t="str">
        <f>IFERROR(VLOOKUP(A130,BUFFS!$H$5:$AF$195,8,),"")</f>
        <v/>
      </c>
      <c r="J130" s="34"/>
      <c r="K130" s="30"/>
      <c r="L130" s="30"/>
      <c r="M130" s="30"/>
      <c r="N130" s="32"/>
      <c r="O130" s="34"/>
      <c r="P130" s="30"/>
      <c r="Q130" s="30"/>
      <c r="R130" s="30"/>
      <c r="S130" s="32"/>
      <c r="T130" s="35"/>
    </row>
    <row r="131" spans="2:20" x14ac:dyDescent="0.3">
      <c r="B131" s="19"/>
      <c r="D131" s="34"/>
      <c r="E131" s="30"/>
      <c r="F131" s="30"/>
      <c r="G131" s="30"/>
      <c r="H131" s="30"/>
      <c r="I131" s="40" t="str">
        <f>IFERROR(VLOOKUP(A131,BUFFS!$H$5:$AF$195,8,),"")</f>
        <v/>
      </c>
      <c r="J131" s="34"/>
      <c r="K131" s="30"/>
      <c r="L131" s="30"/>
      <c r="M131" s="30"/>
      <c r="N131" s="32"/>
      <c r="O131" s="34"/>
      <c r="P131" s="30"/>
      <c r="Q131" s="30"/>
      <c r="R131" s="30"/>
      <c r="S131" s="32"/>
      <c r="T131" s="35"/>
    </row>
    <row r="132" spans="2:20" x14ac:dyDescent="0.3">
      <c r="B132" s="19"/>
      <c r="D132" s="34"/>
      <c r="E132" s="30"/>
      <c r="F132" s="30"/>
      <c r="G132" s="30"/>
      <c r="H132" s="30"/>
      <c r="I132" s="40" t="str">
        <f>IFERROR(VLOOKUP(A132,BUFFS!$H$5:$AF$195,8,),"")</f>
        <v/>
      </c>
      <c r="J132" s="34"/>
      <c r="K132" s="30"/>
      <c r="L132" s="30"/>
      <c r="M132" s="30"/>
      <c r="N132" s="32"/>
      <c r="O132" s="34"/>
      <c r="P132" s="30"/>
      <c r="Q132" s="30"/>
      <c r="R132" s="30"/>
      <c r="S132" s="32"/>
      <c r="T132" s="35"/>
    </row>
    <row r="133" spans="2:20" x14ac:dyDescent="0.3">
      <c r="B133" s="19"/>
      <c r="D133" s="34"/>
      <c r="E133" s="30"/>
      <c r="F133" s="30"/>
      <c r="G133" s="30"/>
      <c r="H133" s="30"/>
      <c r="I133" s="40" t="str">
        <f>IFERROR(VLOOKUP(A133,BUFFS!$H$5:$AF$195,8,),"")</f>
        <v/>
      </c>
      <c r="J133" s="34"/>
      <c r="K133" s="30"/>
      <c r="L133" s="30"/>
      <c r="M133" s="30"/>
      <c r="N133" s="32"/>
      <c r="O133" s="34"/>
      <c r="P133" s="30"/>
      <c r="Q133" s="30"/>
      <c r="R133" s="30"/>
      <c r="S133" s="32"/>
      <c r="T133" s="35"/>
    </row>
    <row r="134" spans="2:20" x14ac:dyDescent="0.3">
      <c r="B134" s="19"/>
      <c r="D134" s="34"/>
      <c r="E134" s="30"/>
      <c r="F134" s="30"/>
      <c r="G134" s="30"/>
      <c r="H134" s="30"/>
      <c r="I134" s="40" t="str">
        <f>IFERROR(VLOOKUP(A134,BUFFS!$H$5:$AF$195,8,),"")</f>
        <v/>
      </c>
      <c r="J134" s="34"/>
      <c r="K134" s="30"/>
      <c r="L134" s="30"/>
      <c r="M134" s="30"/>
      <c r="N134" s="32"/>
      <c r="O134" s="34"/>
      <c r="P134" s="30"/>
      <c r="Q134" s="30"/>
      <c r="R134" s="30"/>
      <c r="S134" s="32"/>
      <c r="T134" s="35"/>
    </row>
    <row r="135" spans="2:20" x14ac:dyDescent="0.3">
      <c r="B135" s="19"/>
      <c r="D135" s="34"/>
      <c r="E135" s="30"/>
      <c r="F135" s="30"/>
      <c r="G135" s="30"/>
      <c r="H135" s="30"/>
      <c r="I135" s="40" t="str">
        <f>IFERROR(VLOOKUP(A135,BUFFS!$H$5:$AF$195,8,),"")</f>
        <v/>
      </c>
      <c r="J135" s="34"/>
      <c r="K135" s="30"/>
      <c r="L135" s="30"/>
      <c r="M135" s="30"/>
      <c r="N135" s="32"/>
      <c r="O135" s="34"/>
      <c r="P135" s="30"/>
      <c r="Q135" s="30"/>
      <c r="R135" s="30"/>
      <c r="S135" s="32"/>
      <c r="T135" s="35"/>
    </row>
    <row r="136" spans="2:20" x14ac:dyDescent="0.3">
      <c r="B136" s="19"/>
      <c r="D136" s="34"/>
      <c r="E136" s="30"/>
      <c r="F136" s="30"/>
      <c r="G136" s="30"/>
      <c r="H136" s="30"/>
      <c r="I136" s="40" t="str">
        <f>IFERROR(VLOOKUP(A136,BUFFS!$H$5:$AF$195,8,),"")</f>
        <v/>
      </c>
      <c r="J136" s="34"/>
      <c r="K136" s="30"/>
      <c r="L136" s="30"/>
      <c r="M136" s="30"/>
      <c r="N136" s="32"/>
      <c r="O136" s="34"/>
      <c r="P136" s="30"/>
      <c r="Q136" s="30"/>
      <c r="R136" s="30"/>
      <c r="S136" s="32"/>
      <c r="T136" s="35"/>
    </row>
    <row r="137" spans="2:20" x14ac:dyDescent="0.3">
      <c r="B137" s="19"/>
      <c r="D137" s="34"/>
      <c r="E137" s="30"/>
      <c r="F137" s="30"/>
      <c r="G137" s="30"/>
      <c r="H137" s="30"/>
      <c r="I137" s="40" t="str">
        <f>IFERROR(VLOOKUP(A137,BUFFS!$H$5:$AF$195,8,),"")</f>
        <v/>
      </c>
      <c r="J137" s="34"/>
      <c r="K137" s="30"/>
      <c r="L137" s="30"/>
      <c r="M137" s="30"/>
      <c r="N137" s="32"/>
      <c r="O137" s="34"/>
      <c r="P137" s="30"/>
      <c r="Q137" s="30"/>
      <c r="R137" s="30"/>
      <c r="S137" s="32"/>
      <c r="T137" s="35"/>
    </row>
    <row r="138" spans="2:20" x14ac:dyDescent="0.3">
      <c r="B138" s="19"/>
      <c r="D138" s="34"/>
      <c r="E138" s="30"/>
      <c r="F138" s="30"/>
      <c r="G138" s="30"/>
      <c r="H138" s="30"/>
      <c r="I138" s="40" t="str">
        <f>IFERROR(VLOOKUP(A138,BUFFS!$H$5:$AF$195,8,),"")</f>
        <v/>
      </c>
      <c r="J138" s="34"/>
      <c r="K138" s="30"/>
      <c r="L138" s="30"/>
      <c r="M138" s="30"/>
      <c r="N138" s="32"/>
      <c r="O138" s="34"/>
      <c r="P138" s="30"/>
      <c r="Q138" s="30"/>
      <c r="R138" s="30"/>
      <c r="S138" s="32"/>
      <c r="T138" s="35"/>
    </row>
    <row r="139" spans="2:20" x14ac:dyDescent="0.3">
      <c r="B139" s="19"/>
      <c r="D139" s="34"/>
      <c r="E139" s="30"/>
      <c r="F139" s="30"/>
      <c r="G139" s="30"/>
      <c r="H139" s="30"/>
      <c r="I139" s="40" t="str">
        <f>IFERROR(VLOOKUP(A139,BUFFS!$H$5:$AF$195,8,),"")</f>
        <v/>
      </c>
      <c r="J139" s="34"/>
      <c r="K139" s="30"/>
      <c r="L139" s="30"/>
      <c r="M139" s="30"/>
      <c r="N139" s="32"/>
      <c r="O139" s="34"/>
      <c r="P139" s="30"/>
      <c r="Q139" s="30"/>
      <c r="R139" s="30"/>
      <c r="S139" s="32"/>
      <c r="T139" s="35"/>
    </row>
    <row r="140" spans="2:20" x14ac:dyDescent="0.3">
      <c r="B140" s="19"/>
      <c r="D140" s="34"/>
      <c r="E140" s="30"/>
      <c r="F140" s="30"/>
      <c r="G140" s="30"/>
      <c r="H140" s="30"/>
      <c r="I140" s="40" t="str">
        <f>IFERROR(VLOOKUP(A140,BUFFS!$H$5:$AF$195,8,),"")</f>
        <v/>
      </c>
      <c r="J140" s="34"/>
      <c r="K140" s="30"/>
      <c r="L140" s="30"/>
      <c r="M140" s="30"/>
      <c r="N140" s="32"/>
      <c r="O140" s="34"/>
      <c r="P140" s="30"/>
      <c r="Q140" s="30"/>
      <c r="R140" s="30"/>
      <c r="S140" s="32"/>
      <c r="T140" s="35"/>
    </row>
    <row r="141" spans="2:20" x14ac:dyDescent="0.3">
      <c r="B141" s="19"/>
      <c r="D141" s="34"/>
      <c r="E141" s="30"/>
      <c r="F141" s="30"/>
      <c r="G141" s="30"/>
      <c r="H141" s="30"/>
      <c r="I141" s="40" t="str">
        <f>IFERROR(VLOOKUP(A141,BUFFS!$H$5:$AF$195,8,),"")</f>
        <v/>
      </c>
      <c r="J141" s="34"/>
      <c r="K141" s="30"/>
      <c r="L141" s="30"/>
      <c r="M141" s="30"/>
      <c r="N141" s="32"/>
      <c r="O141" s="34"/>
      <c r="P141" s="30"/>
      <c r="Q141" s="30"/>
      <c r="R141" s="30"/>
      <c r="S141" s="32"/>
      <c r="T141" s="35"/>
    </row>
    <row r="142" spans="2:20" x14ac:dyDescent="0.3">
      <c r="B142" s="19"/>
      <c r="D142" s="34"/>
      <c r="E142" s="30"/>
      <c r="F142" s="30"/>
      <c r="G142" s="30"/>
      <c r="H142" s="30"/>
      <c r="I142" s="40" t="str">
        <f>IFERROR(VLOOKUP(A142,BUFFS!$H$5:$AF$195,8,),"")</f>
        <v/>
      </c>
      <c r="J142" s="34"/>
      <c r="K142" s="30"/>
      <c r="L142" s="30"/>
      <c r="M142" s="30"/>
      <c r="N142" s="32"/>
      <c r="O142" s="34"/>
      <c r="P142" s="30"/>
      <c r="Q142" s="30"/>
      <c r="R142" s="30"/>
      <c r="S142" s="32"/>
      <c r="T142" s="35"/>
    </row>
    <row r="143" spans="2:20" x14ac:dyDescent="0.3">
      <c r="B143" s="19"/>
      <c r="D143" s="34"/>
      <c r="E143" s="30"/>
      <c r="F143" s="30"/>
      <c r="G143" s="30"/>
      <c r="H143" s="30"/>
      <c r="I143" s="40" t="str">
        <f>IFERROR(VLOOKUP(A143,BUFFS!$H$5:$AF$195,8,),"")</f>
        <v/>
      </c>
      <c r="J143" s="34"/>
      <c r="K143" s="30"/>
      <c r="L143" s="30"/>
      <c r="M143" s="30"/>
      <c r="N143" s="32"/>
      <c r="O143" s="34"/>
      <c r="P143" s="30"/>
      <c r="Q143" s="30"/>
      <c r="R143" s="30"/>
      <c r="S143" s="32"/>
      <c r="T143" s="35"/>
    </row>
    <row r="144" spans="2:20" x14ac:dyDescent="0.3">
      <c r="B144" s="19"/>
      <c r="D144" s="34"/>
      <c r="E144" s="30"/>
      <c r="F144" s="30"/>
      <c r="G144" s="30"/>
      <c r="H144" s="30"/>
      <c r="I144" s="40" t="str">
        <f>IFERROR(VLOOKUP(A144,BUFFS!$H$5:$AF$195,8,),"")</f>
        <v/>
      </c>
      <c r="J144" s="34"/>
      <c r="K144" s="30"/>
      <c r="L144" s="30"/>
      <c r="M144" s="30"/>
      <c r="N144" s="32"/>
      <c r="O144" s="34"/>
      <c r="P144" s="30"/>
      <c r="Q144" s="30"/>
      <c r="R144" s="30"/>
      <c r="S144" s="32"/>
      <c r="T144" s="35"/>
    </row>
    <row r="145" spans="2:20" x14ac:dyDescent="0.3">
      <c r="B145" s="19"/>
      <c r="D145" s="34"/>
      <c r="E145" s="30"/>
      <c r="F145" s="30"/>
      <c r="G145" s="30"/>
      <c r="H145" s="30"/>
      <c r="I145" s="40" t="str">
        <f>IFERROR(VLOOKUP(A145,BUFFS!$H$5:$AF$195,8,),"")</f>
        <v/>
      </c>
      <c r="J145" s="34"/>
      <c r="K145" s="30"/>
      <c r="L145" s="30"/>
      <c r="M145" s="30"/>
      <c r="N145" s="32"/>
      <c r="O145" s="34"/>
      <c r="P145" s="30"/>
      <c r="Q145" s="30"/>
      <c r="R145" s="30"/>
      <c r="S145" s="32"/>
      <c r="T145" s="35"/>
    </row>
    <row r="146" spans="2:20" x14ac:dyDescent="0.3">
      <c r="B146" s="19"/>
      <c r="D146" s="34"/>
      <c r="E146" s="30"/>
      <c r="F146" s="30"/>
      <c r="G146" s="30"/>
      <c r="H146" s="30"/>
      <c r="I146" s="40" t="str">
        <f>IFERROR(VLOOKUP(A146,BUFFS!$H$5:$AF$195,8,),"")</f>
        <v/>
      </c>
      <c r="J146" s="34"/>
      <c r="K146" s="30"/>
      <c r="L146" s="30"/>
      <c r="M146" s="30"/>
      <c r="N146" s="32"/>
      <c r="O146" s="34"/>
      <c r="P146" s="30"/>
      <c r="Q146" s="30"/>
      <c r="R146" s="30"/>
      <c r="S146" s="32"/>
      <c r="T146" s="35"/>
    </row>
    <row r="147" spans="2:20" x14ac:dyDescent="0.3">
      <c r="B147" s="19"/>
      <c r="D147" s="34"/>
      <c r="E147" s="30"/>
      <c r="F147" s="30"/>
      <c r="G147" s="30"/>
      <c r="H147" s="30"/>
      <c r="I147" s="40" t="str">
        <f>IFERROR(VLOOKUP(A147,BUFFS!$H$5:$AF$195,8,),"")</f>
        <v/>
      </c>
      <c r="J147" s="34"/>
      <c r="K147" s="30"/>
      <c r="L147" s="30"/>
      <c r="M147" s="30"/>
      <c r="N147" s="32"/>
      <c r="O147" s="34"/>
      <c r="P147" s="30"/>
      <c r="Q147" s="30"/>
      <c r="R147" s="30"/>
      <c r="S147" s="32"/>
      <c r="T147" s="35"/>
    </row>
    <row r="148" spans="2:20" x14ac:dyDescent="0.3">
      <c r="B148" s="19"/>
      <c r="D148" s="34"/>
      <c r="E148" s="30"/>
      <c r="F148" s="30"/>
      <c r="G148" s="30"/>
      <c r="H148" s="30"/>
      <c r="I148" s="40" t="str">
        <f>IFERROR(VLOOKUP(A148,BUFFS!$H$5:$AF$195,8,),"")</f>
        <v/>
      </c>
      <c r="J148" s="34"/>
      <c r="K148" s="30"/>
      <c r="L148" s="30"/>
      <c r="M148" s="30"/>
      <c r="N148" s="32"/>
      <c r="O148" s="34"/>
      <c r="P148" s="30"/>
      <c r="Q148" s="30"/>
      <c r="R148" s="30"/>
      <c r="S148" s="32"/>
      <c r="T148" s="35"/>
    </row>
    <row r="149" spans="2:20" x14ac:dyDescent="0.3">
      <c r="B149" s="19"/>
      <c r="D149" s="34"/>
      <c r="E149" s="30"/>
      <c r="F149" s="30"/>
      <c r="G149" s="30"/>
      <c r="H149" s="30"/>
      <c r="I149" s="40" t="str">
        <f>IFERROR(VLOOKUP(A149,BUFFS!$H$5:$AF$195,8,),"")</f>
        <v/>
      </c>
      <c r="J149" s="34"/>
      <c r="K149" s="30"/>
      <c r="L149" s="30"/>
      <c r="M149" s="30"/>
      <c r="N149" s="32"/>
      <c r="O149" s="34"/>
      <c r="P149" s="30"/>
      <c r="Q149" s="30"/>
      <c r="R149" s="30"/>
      <c r="S149" s="32"/>
      <c r="T149" s="35"/>
    </row>
    <row r="150" spans="2:20" x14ac:dyDescent="0.3">
      <c r="B150" s="19"/>
      <c r="D150" s="34"/>
      <c r="E150" s="30"/>
      <c r="F150" s="30"/>
      <c r="G150" s="30"/>
      <c r="H150" s="30"/>
      <c r="I150" s="40" t="str">
        <f>IFERROR(VLOOKUP(A150,BUFFS!$H$5:$AF$195,8,),"")</f>
        <v/>
      </c>
      <c r="J150" s="34"/>
      <c r="K150" s="30"/>
      <c r="L150" s="30"/>
      <c r="M150" s="30"/>
      <c r="N150" s="32"/>
      <c r="O150" s="34"/>
      <c r="P150" s="30"/>
      <c r="Q150" s="30"/>
      <c r="R150" s="30"/>
      <c r="S150" s="32"/>
      <c r="T150" s="35"/>
    </row>
    <row r="151" spans="2:20" x14ac:dyDescent="0.3">
      <c r="B151" s="19"/>
      <c r="D151" s="34"/>
      <c r="E151" s="30"/>
      <c r="F151" s="30"/>
      <c r="G151" s="30"/>
      <c r="H151" s="30"/>
      <c r="I151" s="40" t="str">
        <f>IFERROR(VLOOKUP(A151,BUFFS!$H$5:$AF$195,8,),"")</f>
        <v/>
      </c>
      <c r="J151" s="34"/>
      <c r="K151" s="30"/>
      <c r="L151" s="30"/>
      <c r="M151" s="30"/>
      <c r="N151" s="32"/>
      <c r="O151" s="34"/>
      <c r="P151" s="30"/>
      <c r="Q151" s="30"/>
      <c r="R151" s="30"/>
      <c r="S151" s="32"/>
      <c r="T151" s="35"/>
    </row>
    <row r="152" spans="2:20" x14ac:dyDescent="0.3">
      <c r="B152" s="19"/>
      <c r="D152" s="34"/>
      <c r="E152" s="30"/>
      <c r="F152" s="30"/>
      <c r="G152" s="30"/>
      <c r="H152" s="30"/>
      <c r="I152" s="40" t="str">
        <f>IFERROR(VLOOKUP(A152,BUFFS!$H$5:$AF$195,8,),"")</f>
        <v/>
      </c>
      <c r="J152" s="34"/>
      <c r="K152" s="30"/>
      <c r="L152" s="30"/>
      <c r="M152" s="30"/>
      <c r="N152" s="32"/>
      <c r="O152" s="34"/>
      <c r="P152" s="30"/>
      <c r="Q152" s="30"/>
      <c r="R152" s="30"/>
      <c r="S152" s="32"/>
      <c r="T152" s="35"/>
    </row>
    <row r="153" spans="2:20" x14ac:dyDescent="0.3">
      <c r="B153" s="19"/>
      <c r="D153" s="34"/>
      <c r="E153" s="30"/>
      <c r="F153" s="30"/>
      <c r="G153" s="30"/>
      <c r="H153" s="30"/>
      <c r="I153" s="40" t="str">
        <f>IFERROR(VLOOKUP(A153,BUFFS!$H$5:$AF$195,8,),"")</f>
        <v/>
      </c>
      <c r="J153" s="34"/>
      <c r="K153" s="30"/>
      <c r="L153" s="30"/>
      <c r="M153" s="30"/>
      <c r="N153" s="32"/>
      <c r="O153" s="34"/>
      <c r="P153" s="30"/>
      <c r="Q153" s="30"/>
      <c r="R153" s="30"/>
      <c r="S153" s="32"/>
      <c r="T153" s="35"/>
    </row>
    <row r="154" spans="2:20" x14ac:dyDescent="0.3">
      <c r="B154" s="19"/>
      <c r="D154" s="34"/>
      <c r="E154" s="30"/>
      <c r="F154" s="30"/>
      <c r="G154" s="30"/>
      <c r="H154" s="30"/>
      <c r="I154" s="40" t="str">
        <f>IFERROR(VLOOKUP(A154,BUFFS!$H$5:$AF$195,8,),"")</f>
        <v/>
      </c>
      <c r="J154" s="34"/>
      <c r="K154" s="30"/>
      <c r="L154" s="30"/>
      <c r="M154" s="30"/>
      <c r="N154" s="32"/>
      <c r="O154" s="34"/>
      <c r="P154" s="30"/>
      <c r="Q154" s="30"/>
      <c r="R154" s="30"/>
      <c r="S154" s="32"/>
      <c r="T154" s="35"/>
    </row>
    <row r="155" spans="2:20" x14ac:dyDescent="0.3">
      <c r="B155" s="19"/>
      <c r="D155" s="34"/>
      <c r="E155" s="30"/>
      <c r="F155" s="30"/>
      <c r="G155" s="30"/>
      <c r="H155" s="30"/>
      <c r="I155" s="40" t="str">
        <f>IFERROR(VLOOKUP(A155,BUFFS!$H$5:$AF$195,8,),"")</f>
        <v/>
      </c>
      <c r="J155" s="34"/>
      <c r="K155" s="30"/>
      <c r="L155" s="30"/>
      <c r="M155" s="30"/>
      <c r="N155" s="32"/>
      <c r="O155" s="34"/>
      <c r="P155" s="30"/>
      <c r="Q155" s="30"/>
      <c r="R155" s="30"/>
      <c r="S155" s="32"/>
      <c r="T155" s="35"/>
    </row>
    <row r="156" spans="2:20" x14ac:dyDescent="0.3">
      <c r="B156" s="19"/>
      <c r="D156" s="34"/>
      <c r="E156" s="30"/>
      <c r="F156" s="30"/>
      <c r="G156" s="30"/>
      <c r="H156" s="30"/>
      <c r="I156" s="40" t="str">
        <f>IFERROR(VLOOKUP(A156,BUFFS!$H$5:$AF$195,8,),"")</f>
        <v/>
      </c>
      <c r="J156" s="34"/>
      <c r="K156" s="30"/>
      <c r="L156" s="30"/>
      <c r="M156" s="30"/>
      <c r="N156" s="32"/>
      <c r="O156" s="34"/>
      <c r="P156" s="30"/>
      <c r="Q156" s="30"/>
      <c r="R156" s="30"/>
      <c r="S156" s="32"/>
      <c r="T156" s="35"/>
    </row>
    <row r="157" spans="2:20" x14ac:dyDescent="0.3">
      <c r="B157" s="19"/>
      <c r="D157" s="34"/>
      <c r="E157" s="30"/>
      <c r="F157" s="30"/>
      <c r="G157" s="30"/>
      <c r="H157" s="30"/>
      <c r="I157" s="40" t="str">
        <f>IFERROR(VLOOKUP(A157,BUFFS!$H$5:$AF$195,8,),"")</f>
        <v/>
      </c>
      <c r="J157" s="34"/>
      <c r="K157" s="30"/>
      <c r="L157" s="30"/>
      <c r="M157" s="30"/>
      <c r="N157" s="32"/>
      <c r="O157" s="34"/>
      <c r="P157" s="30"/>
      <c r="Q157" s="30"/>
      <c r="R157" s="30"/>
      <c r="S157" s="32"/>
      <c r="T157" s="35"/>
    </row>
    <row r="158" spans="2:20" x14ac:dyDescent="0.3">
      <c r="B158" s="19"/>
      <c r="D158" s="34"/>
      <c r="E158" s="30"/>
      <c r="F158" s="30"/>
      <c r="G158" s="30"/>
      <c r="H158" s="30"/>
      <c r="I158" s="40" t="str">
        <f>IFERROR(VLOOKUP(A158,BUFFS!$H$5:$AF$195,8,),"")</f>
        <v/>
      </c>
      <c r="J158" s="34"/>
      <c r="K158" s="30"/>
      <c r="L158" s="30"/>
      <c r="M158" s="30"/>
      <c r="N158" s="32"/>
      <c r="O158" s="34"/>
      <c r="P158" s="30"/>
      <c r="Q158" s="30"/>
      <c r="R158" s="30"/>
      <c r="S158" s="32"/>
      <c r="T158" s="35"/>
    </row>
    <row r="159" spans="2:20" x14ac:dyDescent="0.3">
      <c r="B159" s="19"/>
      <c r="D159" s="34"/>
      <c r="E159" s="30"/>
      <c r="F159" s="30"/>
      <c r="G159" s="30"/>
      <c r="H159" s="30"/>
      <c r="I159" s="40" t="str">
        <f>IFERROR(VLOOKUP(A159,BUFFS!$H$5:$AF$195,8,),"")</f>
        <v/>
      </c>
      <c r="J159" s="34"/>
      <c r="K159" s="30"/>
      <c r="L159" s="30"/>
      <c r="M159" s="30"/>
      <c r="N159" s="32"/>
      <c r="O159" s="34"/>
      <c r="P159" s="30"/>
      <c r="Q159" s="30"/>
      <c r="R159" s="30"/>
      <c r="S159" s="32"/>
      <c r="T159" s="35"/>
    </row>
    <row r="160" spans="2:20" x14ac:dyDescent="0.3">
      <c r="B160" s="19"/>
      <c r="D160" s="34"/>
      <c r="E160" s="30"/>
      <c r="F160" s="30"/>
      <c r="G160" s="30"/>
      <c r="H160" s="30"/>
      <c r="I160" s="40" t="str">
        <f>IFERROR(VLOOKUP(A160,BUFFS!$H$5:$AF$195,8,),"")</f>
        <v/>
      </c>
      <c r="J160" s="34"/>
      <c r="K160" s="30"/>
      <c r="L160" s="30"/>
      <c r="M160" s="30"/>
      <c r="N160" s="32"/>
      <c r="O160" s="34"/>
      <c r="P160" s="30"/>
      <c r="Q160" s="30"/>
      <c r="R160" s="30"/>
      <c r="S160" s="32"/>
      <c r="T160" s="35"/>
    </row>
    <row r="161" spans="2:20" x14ac:dyDescent="0.3">
      <c r="B161" s="19"/>
      <c r="D161" s="34"/>
      <c r="E161" s="30"/>
      <c r="F161" s="30"/>
      <c r="G161" s="30"/>
      <c r="H161" s="30"/>
      <c r="I161" s="40" t="str">
        <f>IFERROR(VLOOKUP(A161,BUFFS!$H$5:$AF$195,8,),"")</f>
        <v/>
      </c>
      <c r="J161" s="34"/>
      <c r="K161" s="30"/>
      <c r="L161" s="30"/>
      <c r="M161" s="30"/>
      <c r="N161" s="32"/>
      <c r="O161" s="34"/>
      <c r="P161" s="30"/>
      <c r="Q161" s="30"/>
      <c r="R161" s="30"/>
      <c r="S161" s="32"/>
      <c r="T161" s="35"/>
    </row>
    <row r="162" spans="2:20" x14ac:dyDescent="0.3">
      <c r="B162" s="19"/>
      <c r="D162" s="34"/>
      <c r="E162" s="30"/>
      <c r="F162" s="30"/>
      <c r="G162" s="30"/>
      <c r="H162" s="30"/>
      <c r="I162" s="40" t="str">
        <f>IFERROR(VLOOKUP(A162,BUFFS!$H$5:$AF$195,8,),"")</f>
        <v/>
      </c>
      <c r="J162" s="34"/>
      <c r="K162" s="30"/>
      <c r="L162" s="30"/>
      <c r="M162" s="30"/>
      <c r="N162" s="32"/>
      <c r="O162" s="34"/>
      <c r="P162" s="30"/>
      <c r="Q162" s="30"/>
      <c r="R162" s="30"/>
      <c r="S162" s="32"/>
      <c r="T162" s="35"/>
    </row>
    <row r="163" spans="2:20" x14ac:dyDescent="0.3">
      <c r="B163" s="19"/>
      <c r="D163" s="34"/>
      <c r="E163" s="30"/>
      <c r="F163" s="30"/>
      <c r="G163" s="30"/>
      <c r="H163" s="30"/>
      <c r="I163" s="40" t="str">
        <f>IFERROR(VLOOKUP(A163,BUFFS!$H$5:$AF$195,8,),"")</f>
        <v/>
      </c>
      <c r="J163" s="34"/>
      <c r="K163" s="30"/>
      <c r="L163" s="30"/>
      <c r="M163" s="30"/>
      <c r="N163" s="32"/>
      <c r="O163" s="34"/>
      <c r="P163" s="30"/>
      <c r="Q163" s="30"/>
      <c r="R163" s="30"/>
      <c r="S163" s="32"/>
      <c r="T163" s="35"/>
    </row>
    <row r="164" spans="2:20" x14ac:dyDescent="0.3">
      <c r="B164" s="19"/>
      <c r="D164" s="34"/>
      <c r="E164" s="30"/>
      <c r="F164" s="30"/>
      <c r="G164" s="30"/>
      <c r="H164" s="30"/>
      <c r="I164" s="40" t="str">
        <f>IFERROR(VLOOKUP(A164,BUFFS!$H$5:$AF$195,8,),"")</f>
        <v/>
      </c>
      <c r="J164" s="34"/>
      <c r="K164" s="30"/>
      <c r="L164" s="30"/>
      <c r="M164" s="30"/>
      <c r="N164" s="32"/>
      <c r="O164" s="34"/>
      <c r="P164" s="30"/>
      <c r="Q164" s="30"/>
      <c r="R164" s="30"/>
      <c r="S164" s="32"/>
      <c r="T164" s="35"/>
    </row>
    <row r="165" spans="2:20" x14ac:dyDescent="0.3">
      <c r="B165" s="19"/>
      <c r="D165" s="34"/>
      <c r="E165" s="30"/>
      <c r="F165" s="30"/>
      <c r="G165" s="30"/>
      <c r="H165" s="30"/>
      <c r="I165" s="40" t="str">
        <f>IFERROR(VLOOKUP(A165,BUFFS!$H$5:$AF$195,8,),"")</f>
        <v/>
      </c>
      <c r="J165" s="34"/>
      <c r="K165" s="30"/>
      <c r="L165" s="30"/>
      <c r="M165" s="30"/>
      <c r="N165" s="32"/>
      <c r="O165" s="34"/>
      <c r="P165" s="30"/>
      <c r="Q165" s="30"/>
      <c r="R165" s="30"/>
      <c r="S165" s="32"/>
      <c r="T165" s="35"/>
    </row>
    <row r="166" spans="2:20" x14ac:dyDescent="0.3">
      <c r="B166" s="19"/>
      <c r="D166" s="34"/>
      <c r="E166" s="30"/>
      <c r="F166" s="30"/>
      <c r="G166" s="30"/>
      <c r="H166" s="30"/>
      <c r="I166" s="40" t="str">
        <f>IFERROR(VLOOKUP(A166,BUFFS!$H$5:$AF$195,8,),"")</f>
        <v/>
      </c>
      <c r="J166" s="34"/>
      <c r="K166" s="30"/>
      <c r="L166" s="30"/>
      <c r="M166" s="30"/>
      <c r="N166" s="32"/>
      <c r="O166" s="34"/>
      <c r="P166" s="30"/>
      <c r="Q166" s="30"/>
      <c r="R166" s="30"/>
      <c r="S166" s="32"/>
      <c r="T166" s="35"/>
    </row>
    <row r="167" spans="2:20" x14ac:dyDescent="0.3">
      <c r="B167" s="19"/>
      <c r="D167" s="34"/>
      <c r="E167" s="30"/>
      <c r="F167" s="30"/>
      <c r="G167" s="30"/>
      <c r="H167" s="30"/>
      <c r="I167" s="40" t="str">
        <f>IFERROR(VLOOKUP(A167,BUFFS!$H$5:$AF$195,8,),"")</f>
        <v/>
      </c>
      <c r="J167" s="34"/>
      <c r="K167" s="30"/>
      <c r="L167" s="30"/>
      <c r="M167" s="30"/>
      <c r="N167" s="32"/>
      <c r="O167" s="34"/>
      <c r="P167" s="30"/>
      <c r="Q167" s="30"/>
      <c r="R167" s="30"/>
      <c r="S167" s="32"/>
      <c r="T167" s="35"/>
    </row>
    <row r="168" spans="2:20" x14ac:dyDescent="0.3">
      <c r="B168" s="19"/>
      <c r="D168" s="34"/>
      <c r="E168" s="30"/>
      <c r="F168" s="30"/>
      <c r="G168" s="30"/>
      <c r="H168" s="30"/>
      <c r="I168" s="40" t="str">
        <f>IFERROR(VLOOKUP(A168,BUFFS!$H$5:$AF$195,8,),"")</f>
        <v/>
      </c>
      <c r="J168" s="34"/>
      <c r="K168" s="30"/>
      <c r="L168" s="30"/>
      <c r="M168" s="30"/>
      <c r="N168" s="32"/>
      <c r="O168" s="34"/>
      <c r="P168" s="30"/>
      <c r="Q168" s="30"/>
      <c r="R168" s="30"/>
      <c r="S168" s="32"/>
      <c r="T168" s="35"/>
    </row>
    <row r="169" spans="2:20" x14ac:dyDescent="0.3">
      <c r="B169" s="19"/>
      <c r="D169" s="34"/>
      <c r="E169" s="30"/>
      <c r="F169" s="30"/>
      <c r="G169" s="30"/>
      <c r="H169" s="30"/>
      <c r="I169" s="40" t="str">
        <f>IFERROR(VLOOKUP(A169,BUFFS!$H$5:$AF$195,8,),"")</f>
        <v/>
      </c>
      <c r="J169" s="34"/>
      <c r="K169" s="30"/>
      <c r="L169" s="30"/>
      <c r="M169" s="30"/>
      <c r="N169" s="32"/>
      <c r="O169" s="34"/>
      <c r="P169" s="30"/>
      <c r="Q169" s="30"/>
      <c r="R169" s="30"/>
      <c r="S169" s="32"/>
      <c r="T169" s="35"/>
    </row>
    <row r="170" spans="2:20" x14ac:dyDescent="0.3">
      <c r="B170" s="19"/>
      <c r="D170" s="34"/>
      <c r="E170" s="30"/>
      <c r="F170" s="30"/>
      <c r="G170" s="30"/>
      <c r="H170" s="30"/>
      <c r="I170" s="40" t="str">
        <f>IFERROR(VLOOKUP(A170,BUFFS!$H$5:$AF$195,8,),"")</f>
        <v/>
      </c>
      <c r="J170" s="34"/>
      <c r="K170" s="30"/>
      <c r="L170" s="30"/>
      <c r="M170" s="30"/>
      <c r="N170" s="32"/>
      <c r="O170" s="34"/>
      <c r="P170" s="30"/>
      <c r="Q170" s="30"/>
      <c r="R170" s="30"/>
      <c r="S170" s="32"/>
      <c r="T170" s="35"/>
    </row>
    <row r="171" spans="2:20" x14ac:dyDescent="0.3">
      <c r="B171" s="19"/>
      <c r="D171" s="34"/>
      <c r="E171" s="30"/>
      <c r="F171" s="30"/>
      <c r="G171" s="30"/>
      <c r="H171" s="30"/>
      <c r="I171" s="40" t="str">
        <f>IFERROR(VLOOKUP(A171,BUFFS!$H$5:$AF$195,8,),"")</f>
        <v/>
      </c>
      <c r="J171" s="34"/>
      <c r="K171" s="30"/>
      <c r="L171" s="30"/>
      <c r="M171" s="30"/>
      <c r="N171" s="32"/>
      <c r="O171" s="34"/>
      <c r="P171" s="30"/>
      <c r="Q171" s="30"/>
      <c r="R171" s="30"/>
      <c r="S171" s="32"/>
      <c r="T171" s="35"/>
    </row>
    <row r="172" spans="2:20" x14ac:dyDescent="0.3">
      <c r="B172" s="19"/>
      <c r="D172" s="34"/>
      <c r="E172" s="30"/>
      <c r="F172" s="30"/>
      <c r="G172" s="30"/>
      <c r="H172" s="30"/>
      <c r="I172" s="40" t="str">
        <f>IFERROR(VLOOKUP(A172,BUFFS!$H$5:$AF$195,8,),"")</f>
        <v/>
      </c>
      <c r="J172" s="34"/>
      <c r="K172" s="30"/>
      <c r="L172" s="30"/>
      <c r="M172" s="30"/>
      <c r="N172" s="32"/>
      <c r="O172" s="34"/>
      <c r="P172" s="30"/>
      <c r="Q172" s="30"/>
      <c r="R172" s="30"/>
      <c r="S172" s="32"/>
      <c r="T172" s="35"/>
    </row>
    <row r="173" spans="2:20" x14ac:dyDescent="0.3">
      <c r="B173" s="19"/>
      <c r="D173" s="34"/>
      <c r="E173" s="30"/>
      <c r="F173" s="30"/>
      <c r="G173" s="30"/>
      <c r="H173" s="30"/>
      <c r="I173" s="40" t="str">
        <f>IFERROR(VLOOKUP(A173,BUFFS!$H$5:$AF$195,8,),"")</f>
        <v/>
      </c>
      <c r="J173" s="34"/>
      <c r="K173" s="30"/>
      <c r="L173" s="30"/>
      <c r="M173" s="30"/>
      <c r="N173" s="32"/>
      <c r="O173" s="34"/>
      <c r="P173" s="30"/>
      <c r="Q173" s="30"/>
      <c r="R173" s="30"/>
      <c r="S173" s="32"/>
      <c r="T173" s="35"/>
    </row>
    <row r="174" spans="2:20" x14ac:dyDescent="0.3">
      <c r="B174" s="19"/>
      <c r="D174" s="34"/>
      <c r="E174" s="30"/>
      <c r="F174" s="30"/>
      <c r="G174" s="30"/>
      <c r="H174" s="30"/>
      <c r="I174" s="40" t="str">
        <f>IFERROR(VLOOKUP(A174,BUFFS!$H$5:$AF$195,8,),"")</f>
        <v/>
      </c>
      <c r="J174" s="34"/>
      <c r="K174" s="30"/>
      <c r="L174" s="30"/>
      <c r="M174" s="30"/>
      <c r="N174" s="32"/>
      <c r="O174" s="34"/>
      <c r="P174" s="30"/>
      <c r="Q174" s="30"/>
      <c r="R174" s="30"/>
      <c r="S174" s="32"/>
      <c r="T174" s="35"/>
    </row>
    <row r="175" spans="2:20" x14ac:dyDescent="0.3">
      <c r="B175" s="19"/>
      <c r="D175" s="34"/>
      <c r="E175" s="30"/>
      <c r="F175" s="30"/>
      <c r="G175" s="30"/>
      <c r="H175" s="30"/>
      <c r="I175" s="40" t="str">
        <f>IFERROR(VLOOKUP(A175,BUFFS!$H$5:$AF$195,8,),"")</f>
        <v/>
      </c>
      <c r="J175" s="34"/>
      <c r="K175" s="30"/>
      <c r="L175" s="30"/>
      <c r="M175" s="30"/>
      <c r="N175" s="32"/>
      <c r="O175" s="34"/>
      <c r="P175" s="30"/>
      <c r="Q175" s="30"/>
      <c r="R175" s="30"/>
      <c r="S175" s="32"/>
      <c r="T175" s="35"/>
    </row>
    <row r="176" spans="2:20" x14ac:dyDescent="0.3">
      <c r="B176" s="19"/>
      <c r="D176" s="34"/>
      <c r="E176" s="30"/>
      <c r="F176" s="30"/>
      <c r="G176" s="30"/>
      <c r="H176" s="30"/>
      <c r="I176" s="40" t="str">
        <f>IFERROR(VLOOKUP(A176,BUFFS!$H$5:$AF$195,8,),"")</f>
        <v/>
      </c>
      <c r="J176" s="34"/>
      <c r="K176" s="30"/>
      <c r="L176" s="30"/>
      <c r="M176" s="30"/>
      <c r="N176" s="32"/>
      <c r="O176" s="35"/>
      <c r="P176" s="35"/>
      <c r="Q176" s="35"/>
      <c r="R176" s="35"/>
      <c r="S176" s="35"/>
      <c r="T176" s="35"/>
    </row>
    <row r="177" spans="2:20" x14ac:dyDescent="0.3">
      <c r="B177" s="19"/>
      <c r="D177" s="34"/>
      <c r="E177" s="30"/>
      <c r="F177" s="30"/>
      <c r="G177" s="30"/>
      <c r="H177" s="30"/>
      <c r="I177" s="40" t="str">
        <f>IFERROR(VLOOKUP(A177,BUFFS!$H$5:$AF$195,8,),"")</f>
        <v/>
      </c>
      <c r="J177" s="34"/>
      <c r="K177" s="30"/>
      <c r="L177" s="30"/>
      <c r="M177" s="30"/>
      <c r="N177" s="32"/>
      <c r="O177" s="35"/>
      <c r="P177" s="35"/>
      <c r="Q177" s="35"/>
      <c r="R177" s="35"/>
      <c r="S177" s="35"/>
      <c r="T177" s="35"/>
    </row>
    <row r="178" spans="2:20" x14ac:dyDescent="0.3">
      <c r="B178" s="19"/>
      <c r="D178" s="34"/>
      <c r="E178" s="30"/>
      <c r="F178" s="30"/>
      <c r="G178" s="30"/>
      <c r="H178" s="30"/>
      <c r="I178" s="40" t="str">
        <f>IFERROR(VLOOKUP(A178,BUFFS!$H$5:$AF$195,8,),"")</f>
        <v/>
      </c>
      <c r="J178" s="34"/>
      <c r="K178" s="30"/>
      <c r="L178" s="30"/>
      <c r="M178" s="30"/>
      <c r="N178" s="32"/>
      <c r="O178" s="35"/>
      <c r="P178" s="35"/>
      <c r="Q178" s="35"/>
      <c r="R178" s="35"/>
      <c r="S178" s="35"/>
      <c r="T178" s="35"/>
    </row>
    <row r="179" spans="2:20" x14ac:dyDescent="0.3">
      <c r="B179" s="19"/>
      <c r="D179" s="34"/>
      <c r="E179" s="30"/>
      <c r="F179" s="30"/>
      <c r="G179" s="30"/>
      <c r="H179" s="30"/>
      <c r="I179" s="40" t="str">
        <f>IFERROR(VLOOKUP(A179,BUFFS!$H$5:$AF$195,8,),"")</f>
        <v/>
      </c>
      <c r="J179" s="34"/>
      <c r="K179" s="30"/>
      <c r="L179" s="30"/>
      <c r="M179" s="30"/>
      <c r="N179" s="32"/>
      <c r="O179" s="35"/>
      <c r="P179" s="35"/>
      <c r="Q179" s="35"/>
      <c r="R179" s="35"/>
      <c r="S179" s="35"/>
      <c r="T179" s="35"/>
    </row>
    <row r="180" spans="2:20" x14ac:dyDescent="0.3">
      <c r="B180" s="19"/>
      <c r="D180" s="34"/>
      <c r="E180" s="30"/>
      <c r="F180" s="30"/>
      <c r="G180" s="30"/>
      <c r="H180" s="30"/>
      <c r="I180" s="40" t="str">
        <f>IFERROR(VLOOKUP(A180,BUFFS!$H$5:$AF$195,8,),"")</f>
        <v/>
      </c>
      <c r="J180" s="34"/>
      <c r="K180" s="30"/>
      <c r="L180" s="30"/>
      <c r="M180" s="30"/>
      <c r="N180" s="32"/>
      <c r="O180" s="35"/>
      <c r="P180" s="35"/>
      <c r="Q180" s="35"/>
      <c r="R180" s="35"/>
      <c r="S180" s="35"/>
      <c r="T180" s="35"/>
    </row>
    <row r="181" spans="2:20" x14ac:dyDescent="0.3">
      <c r="B181" s="19"/>
      <c r="D181" s="34"/>
      <c r="E181" s="30"/>
      <c r="F181" s="30"/>
      <c r="G181" s="30"/>
      <c r="H181" s="30"/>
      <c r="I181" s="40" t="str">
        <f>IFERROR(VLOOKUP(A181,BUFFS!$H$5:$AF$195,8,),"")</f>
        <v/>
      </c>
      <c r="J181" s="34"/>
      <c r="K181" s="30"/>
      <c r="L181" s="30"/>
      <c r="M181" s="30"/>
      <c r="N181" s="32"/>
      <c r="O181" s="35"/>
      <c r="P181" s="35"/>
      <c r="Q181" s="35"/>
      <c r="R181" s="35"/>
      <c r="S181" s="35"/>
      <c r="T181" s="35"/>
    </row>
    <row r="182" spans="2:20" x14ac:dyDescent="0.3">
      <c r="B182" s="19"/>
      <c r="D182" s="34"/>
      <c r="E182" s="30"/>
      <c r="F182" s="30"/>
      <c r="G182" s="30"/>
      <c r="H182" s="30"/>
      <c r="I182" s="40" t="str">
        <f>IFERROR(VLOOKUP(A182,BUFFS!$H$5:$AF$195,8,),"")</f>
        <v/>
      </c>
      <c r="J182" s="34"/>
      <c r="K182" s="30"/>
      <c r="L182" s="30"/>
      <c r="M182" s="30"/>
      <c r="N182" s="32"/>
      <c r="O182" s="35"/>
      <c r="P182" s="35"/>
      <c r="Q182" s="35"/>
      <c r="R182" s="35"/>
      <c r="S182" s="35"/>
      <c r="T182" s="35"/>
    </row>
    <row r="183" spans="2:20" x14ac:dyDescent="0.3">
      <c r="B183" s="19"/>
      <c r="D183" s="34"/>
      <c r="E183" s="30"/>
      <c r="F183" s="30"/>
      <c r="G183" s="30"/>
      <c r="H183" s="30"/>
      <c r="I183" s="40" t="str">
        <f>IFERROR(VLOOKUP(A183,BUFFS!$H$5:$AF$195,8,),"")</f>
        <v/>
      </c>
      <c r="J183" s="34"/>
      <c r="K183" s="30"/>
      <c r="L183" s="30"/>
      <c r="M183" s="30"/>
      <c r="N183" s="32"/>
      <c r="O183" s="35"/>
      <c r="P183" s="35"/>
      <c r="Q183" s="35"/>
      <c r="R183" s="35"/>
      <c r="S183" s="35"/>
      <c r="T183" s="35"/>
    </row>
    <row r="184" spans="2:20" x14ac:dyDescent="0.3">
      <c r="B184" s="19"/>
      <c r="D184" s="34"/>
      <c r="E184" s="30"/>
      <c r="F184" s="30"/>
      <c r="G184" s="30"/>
      <c r="H184" s="30"/>
      <c r="I184" s="40" t="str">
        <f>IFERROR(VLOOKUP(A184,BUFFS!$H$5:$AF$195,8,),"")</f>
        <v/>
      </c>
      <c r="J184" s="34"/>
      <c r="K184" s="30"/>
      <c r="L184" s="30"/>
      <c r="M184" s="30"/>
      <c r="N184" s="32"/>
      <c r="O184" s="35"/>
      <c r="P184" s="35"/>
      <c r="Q184" s="35"/>
      <c r="R184" s="35"/>
      <c r="S184" s="35"/>
      <c r="T184" s="35"/>
    </row>
    <row r="185" spans="2:20" x14ac:dyDescent="0.3">
      <c r="B185" s="19"/>
      <c r="D185" s="34"/>
      <c r="E185" s="30"/>
      <c r="F185" s="30"/>
      <c r="G185" s="30"/>
      <c r="H185" s="30"/>
      <c r="I185" s="40" t="str">
        <f>IFERROR(VLOOKUP(A185,BUFFS!$H$5:$AF$195,8,),"")</f>
        <v/>
      </c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</row>
    <row r="186" spans="2:20" x14ac:dyDescent="0.3">
      <c r="B186" s="19"/>
      <c r="D186" s="34"/>
      <c r="E186" s="30"/>
      <c r="F186" s="30"/>
      <c r="G186" s="30"/>
      <c r="H186" s="30"/>
      <c r="I186" s="40" t="str">
        <f>IFERROR(VLOOKUP(A186,BUFFS!$H$5:$AF$195,8,),"")</f>
        <v/>
      </c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</row>
    <row r="187" spans="2:20" x14ac:dyDescent="0.3">
      <c r="B187" s="19"/>
      <c r="D187" s="11"/>
      <c r="E187" s="12"/>
      <c r="F187" s="12"/>
      <c r="G187" s="12"/>
      <c r="H187" s="12"/>
      <c r="I187" s="40" t="str">
        <f>IFERROR(VLOOKUP(A187,BUFFS!$H$5:$AF$195,8,),"")</f>
        <v/>
      </c>
    </row>
    <row r="188" spans="2:20" x14ac:dyDescent="0.3">
      <c r="B188" s="19"/>
      <c r="D188" s="11"/>
      <c r="E188" s="12"/>
      <c r="F188" s="12"/>
      <c r="G188" s="12"/>
      <c r="H188" s="12"/>
      <c r="I188" s="40" t="str">
        <f>IFERROR(VLOOKUP(A188,BUFFS!$H$5:$AF$195,8,),"")</f>
        <v/>
      </c>
    </row>
    <row r="189" spans="2:20" x14ac:dyDescent="0.3">
      <c r="B189" s="19"/>
      <c r="D189" s="11"/>
      <c r="E189" s="12"/>
      <c r="F189" s="12"/>
      <c r="G189" s="12"/>
      <c r="H189" s="12"/>
      <c r="I189" s="40" t="str">
        <f>IFERROR(VLOOKUP(A189,BUFFS!$H$5:$AF$195,8,),"")</f>
        <v/>
      </c>
    </row>
    <row r="190" spans="2:20" x14ac:dyDescent="0.3">
      <c r="B190" s="19"/>
      <c r="D190" s="11"/>
      <c r="E190" s="12"/>
      <c r="F190" s="12"/>
      <c r="G190" s="12"/>
      <c r="H190" s="12"/>
      <c r="I190" s="40" t="str">
        <f>IFERROR(VLOOKUP(A190,BUFFS!$H$5:$AF$195,8,),"")</f>
        <v/>
      </c>
    </row>
    <row r="191" spans="2:20" x14ac:dyDescent="0.3">
      <c r="B191" s="19"/>
      <c r="D191" s="11"/>
      <c r="E191" s="12"/>
      <c r="F191" s="12"/>
      <c r="G191" s="12"/>
      <c r="H191" s="12"/>
      <c r="I191" s="40" t="str">
        <f>IFERROR(VLOOKUP(A191,BUFFS!$H$5:$AF$195,8,),"")</f>
        <v/>
      </c>
    </row>
    <row r="192" spans="2:20" x14ac:dyDescent="0.3">
      <c r="B192" s="19"/>
      <c r="D192" s="11"/>
      <c r="E192" s="12"/>
      <c r="F192" s="12"/>
      <c r="G192" s="12"/>
      <c r="H192" s="12"/>
      <c r="I192" s="40" t="str">
        <f>IFERROR(VLOOKUP(A192,BUFFS!$H$5:$AF$195,8,),"")</f>
        <v/>
      </c>
    </row>
    <row r="193" spans="2:9" x14ac:dyDescent="0.3">
      <c r="B193" s="19"/>
      <c r="D193" s="11"/>
      <c r="E193" s="12"/>
      <c r="F193" s="12"/>
      <c r="G193" s="12"/>
      <c r="H193" s="12"/>
      <c r="I193" s="40" t="str">
        <f>IFERROR(VLOOKUP(A193,BUFFS!$H$5:$AF$195,8,),"")</f>
        <v/>
      </c>
    </row>
    <row r="194" spans="2:9" x14ac:dyDescent="0.3">
      <c r="B194" s="19"/>
      <c r="D194" s="11"/>
      <c r="E194" s="12"/>
      <c r="F194" s="12"/>
      <c r="G194" s="12"/>
      <c r="H194" s="12"/>
      <c r="I194" s="40" t="str">
        <f>IFERROR(VLOOKUP(A194,BUFFS!$H$5:$AF$195,8,),"")</f>
        <v/>
      </c>
    </row>
    <row r="195" spans="2:9" x14ac:dyDescent="0.3">
      <c r="B195" s="19"/>
      <c r="D195" s="11"/>
      <c r="E195" s="12"/>
      <c r="F195" s="12"/>
      <c r="G195" s="12"/>
      <c r="H195" s="12"/>
      <c r="I195" s="40" t="str">
        <f>IFERROR(VLOOKUP(A195,BUFFS!$H$5:$AF$195,8,),"")</f>
        <v/>
      </c>
    </row>
    <row r="196" spans="2:9" x14ac:dyDescent="0.3">
      <c r="B196" s="19"/>
      <c r="D196" s="11"/>
      <c r="E196" s="12"/>
      <c r="F196" s="12"/>
      <c r="G196" s="12"/>
      <c r="H196" s="12"/>
      <c r="I196" s="40" t="str">
        <f>IFERROR(VLOOKUP(A196,BUFFS!$H$5:$AF$195,8,),"")</f>
        <v/>
      </c>
    </row>
    <row r="197" spans="2:9" x14ac:dyDescent="0.3">
      <c r="B197" s="19"/>
      <c r="D197" s="11"/>
      <c r="E197" s="12"/>
      <c r="F197" s="12"/>
      <c r="G197" s="12"/>
      <c r="H197" s="12"/>
      <c r="I197" s="40" t="str">
        <f>IFERROR(VLOOKUP(A197,BUFFS!$H$5:$AF$195,8,),"")</f>
        <v/>
      </c>
    </row>
    <row r="198" spans="2:9" x14ac:dyDescent="0.3">
      <c r="B198" s="19"/>
      <c r="D198" s="11"/>
      <c r="E198" s="12"/>
      <c r="F198" s="12"/>
      <c r="G198" s="12"/>
      <c r="H198" s="12"/>
      <c r="I198" s="40" t="str">
        <f>IFERROR(VLOOKUP(A198,BUFFS!$H$5:$AF$195,8,),"")</f>
        <v/>
      </c>
    </row>
    <row r="199" spans="2:9" x14ac:dyDescent="0.3">
      <c r="B199" s="19"/>
      <c r="D199" s="11"/>
      <c r="E199" s="12"/>
      <c r="F199" s="12"/>
      <c r="G199" s="12"/>
      <c r="H199" s="12"/>
      <c r="I199" s="40" t="str">
        <f>IFERROR(VLOOKUP(A199,BUFFS!$H$5:$AF$195,8,),"")</f>
        <v/>
      </c>
    </row>
    <row r="200" spans="2:9" x14ac:dyDescent="0.3">
      <c r="B200" s="19"/>
      <c r="D200" s="11"/>
      <c r="E200" s="12"/>
      <c r="F200" s="12"/>
      <c r="G200" s="12"/>
      <c r="H200" s="12"/>
      <c r="I200" s="40" t="str">
        <f>IFERROR(VLOOKUP(A200,BUFFS!$H$5:$AF$195,8,),"")</f>
        <v/>
      </c>
    </row>
    <row r="201" spans="2:9" x14ac:dyDescent="0.3">
      <c r="B201" s="19"/>
      <c r="D201" s="11"/>
      <c r="E201" s="12"/>
      <c r="F201" s="12"/>
      <c r="G201" s="12"/>
      <c r="H201" s="12"/>
      <c r="I201" s="40" t="str">
        <f>IFERROR(VLOOKUP(A201,BUFFS!$H$5:$AF$195,8,),"")</f>
        <v/>
      </c>
    </row>
    <row r="202" spans="2:9" x14ac:dyDescent="0.3">
      <c r="B202" s="19"/>
      <c r="D202" s="11"/>
      <c r="E202" s="12"/>
      <c r="F202" s="12"/>
      <c r="G202" s="12"/>
      <c r="H202" s="12"/>
      <c r="I202" s="40" t="str">
        <f>IFERROR(VLOOKUP(A202,BUFFS!$H$5:$AF$195,8,),"")</f>
        <v/>
      </c>
    </row>
    <row r="203" spans="2:9" x14ac:dyDescent="0.3">
      <c r="B203" s="19"/>
      <c r="D203" s="11"/>
      <c r="E203" s="12"/>
      <c r="F203" s="12"/>
      <c r="G203" s="12"/>
      <c r="H203" s="12"/>
      <c r="I203" s="40" t="str">
        <f>IFERROR(VLOOKUP(A203,BUFFS!$H$5:$AF$195,8,),"")</f>
        <v/>
      </c>
    </row>
    <row r="204" spans="2:9" x14ac:dyDescent="0.3">
      <c r="B204" s="19"/>
      <c r="D204" s="11"/>
      <c r="E204" s="12"/>
      <c r="F204" s="12"/>
      <c r="G204" s="12"/>
      <c r="H204" s="12"/>
      <c r="I204" s="40" t="str">
        <f>IFERROR(VLOOKUP(A204,BUFFS!$H$5:$AF$195,8,),"")</f>
        <v/>
      </c>
    </row>
    <row r="205" spans="2:9" x14ac:dyDescent="0.3">
      <c r="D205" s="11"/>
      <c r="E205" s="12"/>
      <c r="F205" s="12"/>
      <c r="G205" s="12"/>
      <c r="H205" s="12"/>
      <c r="I205" s="32" t="str">
        <f>IFERROR(VLOOKUP(A205,BUFFS!$H$5:$AF$195,8,),"")</f>
        <v/>
      </c>
    </row>
    <row r="206" spans="2:9" x14ac:dyDescent="0.3">
      <c r="D206" s="11"/>
      <c r="E206" s="12"/>
      <c r="F206" s="12"/>
      <c r="G206" s="12"/>
      <c r="H206" s="12"/>
      <c r="I206" s="32" t="str">
        <f>IFERROR(VLOOKUP(A206,BUFFS!$H$5:$AF$195,8,),"")</f>
        <v/>
      </c>
    </row>
    <row r="207" spans="2:9" x14ac:dyDescent="0.3">
      <c r="D207" s="11"/>
      <c r="E207" s="12"/>
      <c r="F207" s="12"/>
      <c r="G207" s="12"/>
      <c r="H207" s="12"/>
      <c r="I207" s="32" t="str">
        <f>IFERROR(VLOOKUP(A207,BUFFS!$H$5:$AF$195,8,),"")</f>
        <v/>
      </c>
    </row>
    <row r="208" spans="2:9" x14ac:dyDescent="0.3">
      <c r="D208" s="11"/>
      <c r="E208" s="12"/>
      <c r="F208" s="12"/>
      <c r="G208" s="12"/>
      <c r="H208" s="12"/>
      <c r="I208" s="32" t="str">
        <f>IFERROR(VLOOKUP(A208,BUFFS!$H$5:$AF$195,8,),"")</f>
        <v/>
      </c>
    </row>
    <row r="209" spans="4:9" x14ac:dyDescent="0.3">
      <c r="D209" s="11"/>
      <c r="E209" s="12"/>
      <c r="F209" s="12"/>
      <c r="G209" s="12"/>
      <c r="H209" s="12"/>
      <c r="I209" s="32" t="str">
        <f>IFERROR(VLOOKUP(A209,BUFFS!$H$5:$AF$195,8,),"")</f>
        <v/>
      </c>
    </row>
    <row r="210" spans="4:9" x14ac:dyDescent="0.3">
      <c r="D210" s="11"/>
      <c r="E210" s="12"/>
      <c r="F210" s="12"/>
      <c r="G210" s="12"/>
      <c r="H210" s="12"/>
      <c r="I210" s="32" t="str">
        <f>IFERROR(VLOOKUP(A210,BUFFS!$H$5:$AF$195,8,),"")</f>
        <v/>
      </c>
    </row>
    <row r="211" spans="4:9" x14ac:dyDescent="0.3">
      <c r="D211" s="11"/>
      <c r="E211" s="12"/>
      <c r="F211" s="12"/>
      <c r="G211" s="12"/>
      <c r="H211" s="12"/>
      <c r="I211" s="32" t="str">
        <f>IFERROR(VLOOKUP(A211,BUFFS!$H$5:$AF$195,8,),"")</f>
        <v/>
      </c>
    </row>
    <row r="212" spans="4:9" x14ac:dyDescent="0.3">
      <c r="D212" s="11"/>
      <c r="E212" s="12"/>
      <c r="F212" s="12"/>
      <c r="G212" s="12"/>
      <c r="H212" s="12"/>
      <c r="I212" s="32" t="str">
        <f>IFERROR(VLOOKUP(A212,BUFFS!$H$5:$AF$195,8,),"")</f>
        <v/>
      </c>
    </row>
    <row r="213" spans="4:9" x14ac:dyDescent="0.3">
      <c r="D213" s="11"/>
      <c r="E213" s="12"/>
      <c r="F213" s="12"/>
      <c r="G213" s="12"/>
      <c r="H213" s="12"/>
      <c r="I213" s="13"/>
    </row>
    <row r="214" spans="4:9" x14ac:dyDescent="0.3">
      <c r="D214" s="11"/>
      <c r="E214" s="12"/>
      <c r="F214" s="12"/>
      <c r="G214" s="12"/>
      <c r="H214" s="12"/>
      <c r="I214" s="13"/>
    </row>
    <row r="215" spans="4:9" x14ac:dyDescent="0.3">
      <c r="D215" s="11"/>
      <c r="E215" s="12"/>
      <c r="F215" s="12"/>
      <c r="G215" s="12"/>
      <c r="H215" s="12"/>
      <c r="I215" s="13"/>
    </row>
    <row r="216" spans="4:9" x14ac:dyDescent="0.3">
      <c r="D216" s="11"/>
      <c r="E216" s="12"/>
      <c r="F216" s="12"/>
      <c r="G216" s="12"/>
      <c r="H216" s="12"/>
      <c r="I216" s="13"/>
    </row>
    <row r="217" spans="4:9" x14ac:dyDescent="0.3">
      <c r="D217" s="11"/>
      <c r="E217" s="12"/>
      <c r="F217" s="12"/>
      <c r="G217" s="12"/>
      <c r="H217" s="12"/>
      <c r="I217" s="13"/>
    </row>
    <row r="218" spans="4:9" x14ac:dyDescent="0.3">
      <c r="D218" s="11"/>
      <c r="E218" s="12"/>
      <c r="F218" s="12"/>
      <c r="G218" s="12"/>
      <c r="H218" s="12"/>
      <c r="I218" s="13"/>
    </row>
    <row r="219" spans="4:9" x14ac:dyDescent="0.3">
      <c r="D219" s="11"/>
      <c r="E219" s="12"/>
      <c r="F219" s="12"/>
      <c r="G219" s="12"/>
      <c r="H219" s="12"/>
      <c r="I219" s="13"/>
    </row>
    <row r="220" spans="4:9" x14ac:dyDescent="0.3">
      <c r="D220" s="11"/>
      <c r="E220" s="12"/>
      <c r="F220" s="12"/>
      <c r="G220" s="12"/>
      <c r="H220" s="12"/>
      <c r="I220" s="13"/>
    </row>
    <row r="221" spans="4:9" x14ac:dyDescent="0.3">
      <c r="D221" s="11"/>
      <c r="E221" s="12"/>
      <c r="F221" s="12"/>
      <c r="G221" s="12"/>
      <c r="H221" s="12"/>
      <c r="I221" s="13"/>
    </row>
    <row r="222" spans="4:9" x14ac:dyDescent="0.3">
      <c r="D222" s="11"/>
      <c r="E222" s="12"/>
      <c r="F222" s="12"/>
      <c r="G222" s="12"/>
      <c r="H222" s="12"/>
      <c r="I222" s="13"/>
    </row>
    <row r="223" spans="4:9" x14ac:dyDescent="0.3">
      <c r="D223" s="11"/>
      <c r="E223" s="12"/>
      <c r="F223" s="12"/>
      <c r="G223" s="12"/>
      <c r="H223" s="12"/>
      <c r="I223" s="13"/>
    </row>
    <row r="224" spans="4:9" x14ac:dyDescent="0.3">
      <c r="D224" s="11"/>
      <c r="E224" s="12"/>
      <c r="F224" s="12"/>
      <c r="G224" s="12"/>
      <c r="H224" s="12"/>
      <c r="I224" s="13"/>
    </row>
    <row r="225" spans="4:9" x14ac:dyDescent="0.3">
      <c r="D225" s="11"/>
      <c r="E225" s="12"/>
      <c r="F225" s="12"/>
      <c r="G225" s="12"/>
      <c r="H225" s="12"/>
      <c r="I225" s="13"/>
    </row>
    <row r="226" spans="4:9" x14ac:dyDescent="0.3">
      <c r="D226" s="11"/>
      <c r="E226" s="12"/>
      <c r="F226" s="12"/>
      <c r="G226" s="12"/>
      <c r="H226" s="12"/>
      <c r="I226" s="13"/>
    </row>
    <row r="227" spans="4:9" x14ac:dyDescent="0.3">
      <c r="D227" s="11"/>
      <c r="E227" s="12"/>
      <c r="F227" s="12"/>
      <c r="G227" s="12"/>
      <c r="H227" s="12"/>
      <c r="I227" s="13"/>
    </row>
    <row r="228" spans="4:9" x14ac:dyDescent="0.3">
      <c r="D228" s="11"/>
      <c r="E228" s="12"/>
      <c r="F228" s="12"/>
      <c r="G228" s="12"/>
      <c r="H228" s="12"/>
      <c r="I228" s="13"/>
    </row>
    <row r="229" spans="4:9" x14ac:dyDescent="0.3">
      <c r="D229" s="11"/>
      <c r="E229" s="12"/>
      <c r="F229" s="12"/>
      <c r="G229" s="12"/>
      <c r="H229" s="12"/>
      <c r="I229" s="13"/>
    </row>
    <row r="230" spans="4:9" x14ac:dyDescent="0.3">
      <c r="D230" s="11"/>
      <c r="E230" s="12"/>
      <c r="F230" s="12"/>
      <c r="G230" s="12"/>
      <c r="H230" s="12"/>
      <c r="I230" s="13"/>
    </row>
    <row r="231" spans="4:9" x14ac:dyDescent="0.3">
      <c r="D231" s="11"/>
      <c r="E231" s="12"/>
      <c r="F231" s="12"/>
      <c r="G231" s="12"/>
      <c r="H231" s="12"/>
      <c r="I231" s="13"/>
    </row>
    <row r="232" spans="4:9" x14ac:dyDescent="0.3">
      <c r="D232" s="11"/>
      <c r="E232" s="12"/>
      <c r="F232" s="12"/>
      <c r="G232" s="12"/>
      <c r="H232" s="12"/>
      <c r="I232" s="13"/>
    </row>
    <row r="233" spans="4:9" x14ac:dyDescent="0.3">
      <c r="D233" s="11"/>
      <c r="E233" s="12"/>
      <c r="F233" s="12"/>
      <c r="G233" s="12"/>
      <c r="H233" s="12"/>
      <c r="I233" s="13"/>
    </row>
    <row r="234" spans="4:9" x14ac:dyDescent="0.3">
      <c r="D234" s="11"/>
      <c r="E234" s="12"/>
      <c r="F234" s="12"/>
      <c r="G234" s="12"/>
      <c r="H234" s="12"/>
      <c r="I234" s="13"/>
    </row>
    <row r="235" spans="4:9" x14ac:dyDescent="0.3">
      <c r="D235" s="11"/>
      <c r="E235" s="12"/>
      <c r="F235" s="12"/>
      <c r="G235" s="12"/>
      <c r="H235" s="12"/>
      <c r="I235" s="13"/>
    </row>
    <row r="236" spans="4:9" x14ac:dyDescent="0.3">
      <c r="D236" s="11"/>
      <c r="E236" s="12"/>
      <c r="F236" s="12"/>
      <c r="G236" s="12"/>
      <c r="H236" s="12"/>
      <c r="I236" s="13"/>
    </row>
    <row r="237" spans="4:9" x14ac:dyDescent="0.3">
      <c r="D237" s="11"/>
      <c r="E237" s="12"/>
      <c r="F237" s="12"/>
      <c r="G237" s="12"/>
      <c r="H237" s="12"/>
      <c r="I237" s="13"/>
    </row>
    <row r="238" spans="4:9" x14ac:dyDescent="0.3">
      <c r="D238" s="11"/>
      <c r="E238" s="12"/>
      <c r="F238" s="12"/>
      <c r="G238" s="12"/>
      <c r="H238" s="12"/>
      <c r="I238" s="13"/>
    </row>
    <row r="239" spans="4:9" x14ac:dyDescent="0.3">
      <c r="D239" s="11"/>
      <c r="E239" s="12"/>
      <c r="F239" s="12"/>
      <c r="G239" s="12"/>
      <c r="H239" s="12"/>
      <c r="I239" s="13"/>
    </row>
    <row r="240" spans="4:9" x14ac:dyDescent="0.3">
      <c r="D240" s="11"/>
      <c r="E240" s="12"/>
      <c r="F240" s="12"/>
      <c r="G240" s="12"/>
      <c r="H240" s="12"/>
      <c r="I240" s="13"/>
    </row>
    <row r="241" spans="4:9" x14ac:dyDescent="0.3">
      <c r="D241" s="11"/>
      <c r="E241" s="12"/>
      <c r="F241" s="12"/>
      <c r="G241" s="12"/>
      <c r="H241" s="12"/>
      <c r="I241" s="13"/>
    </row>
    <row r="242" spans="4:9" x14ac:dyDescent="0.3">
      <c r="D242" s="11"/>
      <c r="E242" s="12"/>
      <c r="F242" s="12"/>
      <c r="G242" s="12"/>
      <c r="H242" s="12"/>
      <c r="I242" s="13"/>
    </row>
    <row r="243" spans="4:9" x14ac:dyDescent="0.3">
      <c r="D243" s="11"/>
      <c r="E243" s="12"/>
      <c r="F243" s="12"/>
      <c r="G243" s="12"/>
      <c r="H243" s="12"/>
      <c r="I243" s="13"/>
    </row>
    <row r="244" spans="4:9" x14ac:dyDescent="0.3">
      <c r="D244" s="11"/>
      <c r="E244" s="12"/>
      <c r="F244" s="12"/>
      <c r="G244" s="12"/>
      <c r="H244" s="12"/>
      <c r="I244" s="13"/>
    </row>
    <row r="245" spans="4:9" x14ac:dyDescent="0.3">
      <c r="D245" s="11"/>
      <c r="E245" s="12"/>
      <c r="F245" s="12"/>
      <c r="G245" s="12"/>
      <c r="H245" s="12"/>
      <c r="I245" s="13"/>
    </row>
    <row r="246" spans="4:9" x14ac:dyDescent="0.3">
      <c r="D246" s="11"/>
      <c r="E246" s="12"/>
      <c r="F246" s="12"/>
      <c r="G246" s="12"/>
      <c r="H246" s="12"/>
      <c r="I246" s="13"/>
    </row>
    <row r="247" spans="4:9" x14ac:dyDescent="0.3">
      <c r="D247" s="11"/>
      <c r="E247" s="12"/>
      <c r="F247" s="12"/>
      <c r="G247" s="12"/>
      <c r="H247" s="12"/>
      <c r="I247" s="13"/>
    </row>
    <row r="248" spans="4:9" x14ac:dyDescent="0.3">
      <c r="D248" s="11"/>
      <c r="E248" s="12"/>
      <c r="F248" s="12"/>
      <c r="G248" s="12"/>
      <c r="H248" s="12"/>
      <c r="I248" s="13"/>
    </row>
    <row r="249" spans="4:9" x14ac:dyDescent="0.3">
      <c r="D249" s="11"/>
      <c r="E249" s="12"/>
      <c r="F249" s="12"/>
      <c r="G249" s="12"/>
      <c r="H249" s="12"/>
      <c r="I249" s="13"/>
    </row>
    <row r="250" spans="4:9" x14ac:dyDescent="0.3">
      <c r="D250" s="11"/>
      <c r="E250" s="12"/>
      <c r="F250" s="12"/>
      <c r="G250" s="12"/>
      <c r="H250" s="12"/>
      <c r="I250" s="13"/>
    </row>
    <row r="251" spans="4:9" x14ac:dyDescent="0.3">
      <c r="D251" s="11"/>
      <c r="E251" s="12"/>
      <c r="F251" s="12"/>
      <c r="G251" s="12"/>
      <c r="H251" s="12"/>
      <c r="I251" s="13"/>
    </row>
    <row r="252" spans="4:9" x14ac:dyDescent="0.3">
      <c r="D252" s="11"/>
      <c r="E252" s="12"/>
      <c r="F252" s="12"/>
      <c r="G252" s="12"/>
      <c r="H252" s="12"/>
      <c r="I252" s="13"/>
    </row>
    <row r="253" spans="4:9" x14ac:dyDescent="0.3">
      <c r="D253" s="11"/>
      <c r="E253" s="12"/>
      <c r="F253" s="12"/>
      <c r="G253" s="12"/>
      <c r="H253" s="12"/>
      <c r="I253" s="13"/>
    </row>
    <row r="254" spans="4:9" x14ac:dyDescent="0.3">
      <c r="D254" s="11"/>
      <c r="E254" s="12"/>
      <c r="F254" s="12"/>
      <c r="G254" s="12"/>
      <c r="H254" s="12"/>
      <c r="I254" s="13"/>
    </row>
    <row r="255" spans="4:9" x14ac:dyDescent="0.3">
      <c r="D255" s="11"/>
      <c r="E255" s="12"/>
      <c r="F255" s="12"/>
      <c r="G255" s="12"/>
      <c r="H255" s="12"/>
      <c r="I255" s="13"/>
    </row>
    <row r="256" spans="4:9" x14ac:dyDescent="0.3">
      <c r="D256" s="11"/>
      <c r="E256" s="12"/>
      <c r="F256" s="12"/>
      <c r="G256" s="12"/>
      <c r="H256" s="12"/>
      <c r="I256" s="13"/>
    </row>
    <row r="257" spans="4:9" x14ac:dyDescent="0.3">
      <c r="D257" s="11"/>
      <c r="E257" s="12"/>
      <c r="F257" s="12"/>
      <c r="G257" s="12"/>
      <c r="H257" s="12"/>
      <c r="I257" s="13"/>
    </row>
    <row r="258" spans="4:9" x14ac:dyDescent="0.3">
      <c r="D258" s="11"/>
      <c r="E258" s="12"/>
      <c r="F258" s="12"/>
      <c r="G258" s="12"/>
      <c r="H258" s="12"/>
      <c r="I258" s="13"/>
    </row>
    <row r="259" spans="4:9" x14ac:dyDescent="0.3">
      <c r="D259" s="11"/>
      <c r="E259" s="12"/>
      <c r="F259" s="12"/>
      <c r="G259" s="12"/>
      <c r="H259" s="12"/>
      <c r="I259" s="13"/>
    </row>
    <row r="260" spans="4:9" x14ac:dyDescent="0.3">
      <c r="D260" s="11"/>
      <c r="E260" s="12"/>
      <c r="F260" s="12"/>
      <c r="G260" s="12"/>
      <c r="H260" s="12"/>
      <c r="I260" s="13"/>
    </row>
    <row r="261" spans="4:9" x14ac:dyDescent="0.3">
      <c r="D261" s="11"/>
      <c r="E261" s="12"/>
      <c r="F261" s="12"/>
      <c r="G261" s="12"/>
      <c r="H261" s="12"/>
      <c r="I261" s="13"/>
    </row>
    <row r="262" spans="4:9" x14ac:dyDescent="0.3">
      <c r="D262" s="11"/>
      <c r="E262" s="12"/>
      <c r="F262" s="12"/>
      <c r="G262" s="12"/>
      <c r="H262" s="12"/>
      <c r="I262" s="13"/>
    </row>
    <row r="263" spans="4:9" x14ac:dyDescent="0.3">
      <c r="D263" s="11"/>
      <c r="E263" s="12"/>
      <c r="F263" s="12"/>
      <c r="G263" s="12"/>
      <c r="H263" s="12"/>
      <c r="I263" s="13"/>
    </row>
    <row r="264" spans="4:9" x14ac:dyDescent="0.3">
      <c r="D264" s="11"/>
      <c r="E264" s="12"/>
      <c r="F264" s="12"/>
      <c r="G264" s="12"/>
      <c r="H264" s="12"/>
      <c r="I264" s="13"/>
    </row>
    <row r="265" spans="4:9" x14ac:dyDescent="0.3">
      <c r="D265" s="11"/>
      <c r="E265" s="12"/>
      <c r="F265" s="12"/>
      <c r="G265" s="12"/>
      <c r="H265" s="12"/>
      <c r="I265" s="13"/>
    </row>
    <row r="266" spans="4:9" x14ac:dyDescent="0.3">
      <c r="D266" s="11"/>
      <c r="E266" s="12"/>
      <c r="F266" s="12"/>
      <c r="G266" s="12"/>
      <c r="H266" s="12"/>
      <c r="I266" s="13"/>
    </row>
    <row r="267" spans="4:9" x14ac:dyDescent="0.3">
      <c r="D267" s="11"/>
      <c r="E267" s="12"/>
      <c r="F267" s="12"/>
      <c r="G267" s="12"/>
      <c r="H267" s="12"/>
      <c r="I267" s="13"/>
    </row>
    <row r="268" spans="4:9" x14ac:dyDescent="0.3">
      <c r="D268" s="11"/>
      <c r="E268" s="12"/>
      <c r="F268" s="12"/>
      <c r="G268" s="12"/>
      <c r="H268" s="12"/>
      <c r="I268" s="13"/>
    </row>
    <row r="269" spans="4:9" x14ac:dyDescent="0.3">
      <c r="D269" s="11"/>
      <c r="E269" s="12"/>
      <c r="F269" s="12"/>
      <c r="G269" s="12"/>
      <c r="H269" s="12"/>
      <c r="I269" s="13"/>
    </row>
    <row r="270" spans="4:9" x14ac:dyDescent="0.3">
      <c r="D270" s="11"/>
      <c r="E270" s="12"/>
      <c r="F270" s="12"/>
      <c r="G270" s="12"/>
      <c r="H270" s="12"/>
      <c r="I270" s="13"/>
    </row>
    <row r="271" spans="4:9" x14ac:dyDescent="0.3">
      <c r="D271" s="11"/>
      <c r="E271" s="12"/>
      <c r="F271" s="12"/>
      <c r="G271" s="12"/>
      <c r="H271" s="12"/>
      <c r="I271" s="13"/>
    </row>
    <row r="272" spans="4:9" x14ac:dyDescent="0.3">
      <c r="D272" s="11"/>
      <c r="E272" s="12"/>
      <c r="F272" s="12"/>
      <c r="G272" s="12"/>
      <c r="H272" s="12"/>
      <c r="I272" s="13"/>
    </row>
    <row r="273" spans="4:9" x14ac:dyDescent="0.3">
      <c r="D273" s="11"/>
      <c r="E273" s="12"/>
      <c r="F273" s="12"/>
      <c r="G273" s="12"/>
      <c r="H273" s="12"/>
      <c r="I273" s="13"/>
    </row>
    <row r="274" spans="4:9" x14ac:dyDescent="0.3">
      <c r="D274" s="11"/>
      <c r="E274" s="12"/>
      <c r="F274" s="12"/>
      <c r="G274" s="12"/>
      <c r="H274" s="12"/>
      <c r="I274" s="13"/>
    </row>
    <row r="275" spans="4:9" x14ac:dyDescent="0.3">
      <c r="D275" s="11"/>
      <c r="E275" s="12"/>
      <c r="F275" s="12"/>
      <c r="G275" s="12"/>
      <c r="H275" s="12"/>
      <c r="I275" s="13"/>
    </row>
    <row r="276" spans="4:9" x14ac:dyDescent="0.3">
      <c r="D276" s="11"/>
      <c r="E276" s="12"/>
      <c r="F276" s="12"/>
      <c r="G276" s="12"/>
      <c r="H276" s="12"/>
      <c r="I276" s="13"/>
    </row>
    <row r="277" spans="4:9" x14ac:dyDescent="0.3">
      <c r="D277" s="11"/>
      <c r="E277" s="12"/>
      <c r="F277" s="12"/>
      <c r="G277" s="12"/>
      <c r="H277" s="12"/>
      <c r="I277" s="13"/>
    </row>
    <row r="278" spans="4:9" x14ac:dyDescent="0.3">
      <c r="D278" s="11"/>
      <c r="E278" s="12"/>
      <c r="F278" s="12"/>
      <c r="G278" s="12"/>
      <c r="H278" s="12"/>
      <c r="I278" s="13"/>
    </row>
    <row r="279" spans="4:9" x14ac:dyDescent="0.3">
      <c r="D279" s="11"/>
      <c r="E279" s="12"/>
      <c r="F279" s="12"/>
      <c r="G279" s="12"/>
      <c r="H279" s="12"/>
      <c r="I279" s="13"/>
    </row>
    <row r="280" spans="4:9" x14ac:dyDescent="0.3">
      <c r="D280" s="11"/>
      <c r="E280" s="12"/>
      <c r="F280" s="12"/>
      <c r="G280" s="12"/>
      <c r="H280" s="12"/>
      <c r="I280" s="13"/>
    </row>
    <row r="281" spans="4:9" x14ac:dyDescent="0.3">
      <c r="D281" s="11"/>
      <c r="E281" s="12"/>
      <c r="F281" s="12"/>
      <c r="G281" s="12"/>
      <c r="H281" s="12"/>
      <c r="I281" s="13"/>
    </row>
    <row r="282" spans="4:9" x14ac:dyDescent="0.3">
      <c r="D282" s="11"/>
      <c r="E282" s="12"/>
      <c r="F282" s="12"/>
      <c r="G282" s="12"/>
      <c r="H282" s="12"/>
      <c r="I282" s="13"/>
    </row>
    <row r="283" spans="4:9" x14ac:dyDescent="0.3">
      <c r="D283" s="11"/>
      <c r="E283" s="12"/>
      <c r="F283" s="12"/>
      <c r="G283" s="12"/>
      <c r="H283" s="12"/>
      <c r="I283" s="13"/>
    </row>
    <row r="284" spans="4:9" x14ac:dyDescent="0.3">
      <c r="D284" s="11"/>
      <c r="E284" s="12"/>
      <c r="F284" s="12"/>
      <c r="G284" s="12"/>
      <c r="H284" s="12"/>
      <c r="I284" s="13"/>
    </row>
    <row r="285" spans="4:9" x14ac:dyDescent="0.3">
      <c r="D285" s="11"/>
      <c r="E285" s="12"/>
      <c r="F285" s="12"/>
      <c r="G285" s="12"/>
      <c r="H285" s="12"/>
      <c r="I285" s="13"/>
    </row>
    <row r="286" spans="4:9" x14ac:dyDescent="0.3">
      <c r="D286" s="11"/>
      <c r="E286" s="12"/>
      <c r="F286" s="12"/>
      <c r="G286" s="12"/>
      <c r="H286" s="12"/>
      <c r="I286" s="13"/>
    </row>
    <row r="287" spans="4:9" x14ac:dyDescent="0.3">
      <c r="D287" s="11"/>
      <c r="E287" s="12"/>
      <c r="F287" s="12"/>
      <c r="G287" s="12"/>
      <c r="H287" s="12"/>
      <c r="I287" s="13"/>
    </row>
    <row r="288" spans="4:9" x14ac:dyDescent="0.3">
      <c r="D288" s="11"/>
      <c r="E288" s="12"/>
      <c r="F288" s="12"/>
      <c r="G288" s="12"/>
      <c r="H288" s="12"/>
      <c r="I288" s="13"/>
    </row>
    <row r="289" spans="3:9" x14ac:dyDescent="0.3">
      <c r="D289" s="11"/>
      <c r="E289" s="12"/>
      <c r="F289" s="12"/>
      <c r="G289" s="12"/>
      <c r="H289" s="12"/>
      <c r="I289" s="13"/>
    </row>
    <row r="290" spans="3:9" x14ac:dyDescent="0.3">
      <c r="D290" s="11"/>
      <c r="E290" s="12"/>
      <c r="F290" s="12"/>
      <c r="G290" s="12"/>
      <c r="H290" s="12"/>
      <c r="I290" s="13"/>
    </row>
    <row r="291" spans="3:9" x14ac:dyDescent="0.3">
      <c r="D291" s="11"/>
      <c r="E291" s="12"/>
      <c r="F291" s="12"/>
      <c r="G291" s="12"/>
      <c r="H291" s="12"/>
      <c r="I291" s="13"/>
    </row>
    <row r="292" spans="3:9" x14ac:dyDescent="0.3">
      <c r="D292" s="11"/>
      <c r="E292" s="12"/>
      <c r="F292" s="12"/>
      <c r="G292" s="12"/>
      <c r="H292" s="12"/>
      <c r="I292" s="13"/>
    </row>
    <row r="293" spans="3:9" x14ac:dyDescent="0.3">
      <c r="D293" s="11"/>
      <c r="E293" s="12"/>
      <c r="F293" s="12"/>
      <c r="G293" s="12"/>
      <c r="H293" s="12"/>
      <c r="I293" s="13"/>
    </row>
    <row r="294" spans="3:9" x14ac:dyDescent="0.3">
      <c r="D294" s="11"/>
      <c r="E294" s="12"/>
      <c r="F294" s="12"/>
      <c r="G294" s="12"/>
      <c r="H294" s="12"/>
      <c r="I294" s="13"/>
    </row>
    <row r="295" spans="3:9" x14ac:dyDescent="0.3">
      <c r="D295" s="11"/>
      <c r="E295" s="12"/>
      <c r="F295" s="12"/>
      <c r="G295" s="12"/>
      <c r="H295" s="12"/>
      <c r="I295" s="13"/>
    </row>
    <row r="296" spans="3:9" x14ac:dyDescent="0.3">
      <c r="C296" s="11"/>
      <c r="D296" s="12"/>
      <c r="E296" s="12"/>
      <c r="F296" s="12"/>
      <c r="G296" s="12"/>
      <c r="H296" s="13"/>
    </row>
    <row r="297" spans="3:9" x14ac:dyDescent="0.3">
      <c r="C297" s="11"/>
      <c r="D297" s="12"/>
      <c r="E297" s="12"/>
      <c r="F297" s="12"/>
      <c r="G297" s="12"/>
      <c r="H297" s="13"/>
    </row>
    <row r="298" spans="3:9" x14ac:dyDescent="0.3">
      <c r="C298" s="11"/>
      <c r="D298" s="12"/>
      <c r="E298" s="12"/>
      <c r="F298" s="12"/>
      <c r="G298" s="12"/>
      <c r="H298" s="13"/>
    </row>
    <row r="299" spans="3:9" x14ac:dyDescent="0.3">
      <c r="C299" s="11"/>
      <c r="D299" s="12"/>
      <c r="E299" s="12"/>
      <c r="F299" s="12"/>
      <c r="G299" s="12"/>
      <c r="H299" s="13"/>
    </row>
  </sheetData>
  <mergeCells count="18">
    <mergeCell ref="B1:C1"/>
    <mergeCell ref="I1:J1"/>
    <mergeCell ref="L1:M1"/>
    <mergeCell ref="B2:C2"/>
    <mergeCell ref="I2:J2"/>
    <mergeCell ref="L2:M2"/>
    <mergeCell ref="B3:C3"/>
    <mergeCell ref="I3:J3"/>
    <mergeCell ref="L3:M3"/>
    <mergeCell ref="B26:C26"/>
    <mergeCell ref="B27:C27"/>
    <mergeCell ref="D27:F27"/>
    <mergeCell ref="B28:C28"/>
    <mergeCell ref="D28:F28"/>
    <mergeCell ref="B29:C29"/>
    <mergeCell ref="D29:F29"/>
    <mergeCell ref="B30:C30"/>
    <mergeCell ref="D30:F30"/>
  </mergeCells>
  <dataValidations count="2">
    <dataValidation type="list" allowBlank="1" showInputMessage="1" showErrorMessage="1" sqref="J4:M4 O4:AH4 AJ4:AK4">
      <formula1>$A$5:$A$37</formula1>
    </dataValidation>
    <dataValidation type="list" allowBlank="1" showInputMessage="1" showErrorMessage="1" sqref="A35:A56">
      <formula1>BUFFS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99"/>
  <sheetViews>
    <sheetView workbookViewId="0">
      <selection activeCell="E16" sqref="E16"/>
    </sheetView>
  </sheetViews>
  <sheetFormatPr defaultRowHeight="18.75" x14ac:dyDescent="0.3"/>
  <cols>
    <col min="1" max="1" width="25.28515625" style="3" bestFit="1" customWidth="1"/>
    <col min="2" max="2" width="11.42578125" bestFit="1" customWidth="1"/>
    <col min="3" max="3" width="11.140625" customWidth="1"/>
    <col min="4" max="4" width="13.5703125" customWidth="1"/>
    <col min="5" max="5" width="20.42578125" customWidth="1"/>
    <col min="6" max="6" width="15.7109375" customWidth="1"/>
    <col min="7" max="7" width="15" customWidth="1"/>
    <col min="8" max="8" width="11" bestFit="1" customWidth="1"/>
    <col min="9" max="9" width="17.85546875" bestFit="1" customWidth="1"/>
    <col min="10" max="10" width="20.85546875" customWidth="1"/>
    <col min="11" max="11" width="15.5703125" customWidth="1"/>
    <col min="12" max="12" width="13.42578125" bestFit="1" customWidth="1"/>
    <col min="13" max="13" width="13.5703125" bestFit="1" customWidth="1"/>
    <col min="14" max="14" width="21.85546875" bestFit="1" customWidth="1"/>
    <col min="15" max="15" width="20.140625" bestFit="1" customWidth="1"/>
    <col min="16" max="16" width="14.140625" bestFit="1" customWidth="1"/>
    <col min="17" max="17" width="26.85546875" customWidth="1"/>
    <col min="18" max="18" width="26.85546875" bestFit="1" customWidth="1"/>
    <col min="19" max="19" width="14.42578125" bestFit="1" customWidth="1"/>
    <col min="20" max="20" width="18" bestFit="1" customWidth="1"/>
    <col min="21" max="21" width="16.7109375" bestFit="1" customWidth="1"/>
    <col min="22" max="22" width="12.5703125" customWidth="1"/>
    <col min="23" max="23" width="25.7109375" customWidth="1"/>
    <col min="24" max="24" width="17.28515625" bestFit="1" customWidth="1"/>
  </cols>
  <sheetData>
    <row r="1" spans="1:38" ht="21" x14ac:dyDescent="0.35">
      <c r="A1" s="3" t="s">
        <v>59</v>
      </c>
      <c r="B1" s="88" t="s">
        <v>126</v>
      </c>
      <c r="C1" s="88"/>
      <c r="D1" s="48">
        <v>3</v>
      </c>
      <c r="E1" s="52" t="s">
        <v>128</v>
      </c>
      <c r="F1" s="50">
        <v>0</v>
      </c>
      <c r="G1" s="54" t="s">
        <v>129</v>
      </c>
      <c r="H1" s="50">
        <v>0</v>
      </c>
      <c r="I1" s="89"/>
      <c r="J1" s="90"/>
      <c r="K1" s="18">
        <v>0</v>
      </c>
      <c r="L1" s="91" t="s">
        <v>131</v>
      </c>
      <c r="M1" s="91"/>
      <c r="N1" s="57" t="s">
        <v>134</v>
      </c>
      <c r="O1" s="58">
        <v>20</v>
      </c>
    </row>
    <row r="2" spans="1:38" x14ac:dyDescent="0.3">
      <c r="B2" s="87" t="s">
        <v>127</v>
      </c>
      <c r="C2" s="87"/>
      <c r="D2" s="49">
        <v>1</v>
      </c>
      <c r="E2" s="59" t="s">
        <v>135</v>
      </c>
      <c r="F2" s="50">
        <v>0</v>
      </c>
      <c r="G2" s="51" t="s">
        <v>132</v>
      </c>
      <c r="H2" s="50">
        <v>0</v>
      </c>
      <c r="I2" s="89"/>
      <c r="J2" s="90"/>
      <c r="K2" s="18">
        <v>0</v>
      </c>
      <c r="L2" s="91" t="s">
        <v>137</v>
      </c>
      <c r="M2" s="91"/>
      <c r="N2" s="56" t="str">
        <f>IF(O1&lt;&gt;0,"+","")</f>
        <v>+</v>
      </c>
      <c r="O2" s="56">
        <f>IF(O1&lt;&gt;0,O1,"")</f>
        <v>20</v>
      </c>
    </row>
    <row r="3" spans="1:38" x14ac:dyDescent="0.3">
      <c r="B3" s="91" t="s">
        <v>120</v>
      </c>
      <c r="C3" s="91"/>
      <c r="D3" s="53">
        <v>0</v>
      </c>
      <c r="E3" s="60">
        <v>1</v>
      </c>
      <c r="F3" s="50">
        <v>0</v>
      </c>
      <c r="G3" s="51" t="s">
        <v>133</v>
      </c>
      <c r="H3" s="50">
        <v>0</v>
      </c>
      <c r="I3" s="89"/>
      <c r="J3" s="90"/>
      <c r="K3" s="18">
        <v>0</v>
      </c>
      <c r="L3" s="91"/>
      <c r="M3" s="91"/>
    </row>
    <row r="4" spans="1:38" x14ac:dyDescent="0.3">
      <c r="A4" s="3" t="s">
        <v>67</v>
      </c>
      <c r="B4" s="1" t="s">
        <v>86</v>
      </c>
      <c r="C4" t="s">
        <v>72</v>
      </c>
      <c r="D4" t="s">
        <v>103</v>
      </c>
      <c r="E4" t="s">
        <v>105</v>
      </c>
      <c r="F4" t="s">
        <v>93</v>
      </c>
      <c r="G4" t="s">
        <v>123</v>
      </c>
      <c r="H4" t="s">
        <v>130</v>
      </c>
      <c r="I4" t="s">
        <v>136</v>
      </c>
      <c r="J4" t="s">
        <v>1</v>
      </c>
      <c r="K4" t="s">
        <v>2</v>
      </c>
      <c r="L4" t="s">
        <v>3</v>
      </c>
      <c r="M4" t="s">
        <v>4</v>
      </c>
      <c r="N4" t="s">
        <v>139</v>
      </c>
      <c r="O4" t="s">
        <v>6</v>
      </c>
      <c r="P4" t="s">
        <v>7</v>
      </c>
      <c r="Q4" t="s">
        <v>8</v>
      </c>
      <c r="R4" t="s">
        <v>9</v>
      </c>
      <c r="S4" t="s">
        <v>10</v>
      </c>
      <c r="T4" t="s">
        <v>11</v>
      </c>
      <c r="U4" t="s">
        <v>12</v>
      </c>
      <c r="V4" t="s">
        <v>13</v>
      </c>
      <c r="W4" t="s">
        <v>14</v>
      </c>
      <c r="X4" t="s">
        <v>15</v>
      </c>
      <c r="Y4" t="s">
        <v>16</v>
      </c>
      <c r="Z4" t="s">
        <v>17</v>
      </c>
      <c r="AA4" t="s">
        <v>18</v>
      </c>
      <c r="AB4" t="s">
        <v>19</v>
      </c>
      <c r="AC4" t="s">
        <v>20</v>
      </c>
      <c r="AD4" t="s">
        <v>21</v>
      </c>
      <c r="AE4" t="s">
        <v>22</v>
      </c>
      <c r="AF4" t="s">
        <v>23</v>
      </c>
      <c r="AG4" t="s">
        <v>24</v>
      </c>
      <c r="AH4" t="s">
        <v>25</v>
      </c>
      <c r="AI4" t="s">
        <v>81</v>
      </c>
      <c r="AJ4" t="s">
        <v>5</v>
      </c>
    </row>
    <row r="6" spans="1:38" x14ac:dyDescent="0.3">
      <c r="A6" s="3" t="s">
        <v>60</v>
      </c>
      <c r="B6">
        <f>SUM(D6:AJ6)</f>
        <v>12</v>
      </c>
      <c r="J6" s="18">
        <v>0</v>
      </c>
      <c r="K6" s="18">
        <v>0</v>
      </c>
      <c r="L6" s="18">
        <v>0</v>
      </c>
      <c r="M6" s="18">
        <v>0</v>
      </c>
      <c r="N6" s="18">
        <v>0</v>
      </c>
      <c r="O6" s="18">
        <v>0</v>
      </c>
      <c r="P6" s="18">
        <v>0</v>
      </c>
      <c r="Q6" s="18">
        <v>0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0</v>
      </c>
      <c r="AF6" s="18">
        <v>0</v>
      </c>
      <c r="AG6" s="18">
        <v>0</v>
      </c>
      <c r="AH6" s="18">
        <v>0</v>
      </c>
      <c r="AI6" s="18">
        <v>0</v>
      </c>
      <c r="AJ6" s="18">
        <v>12</v>
      </c>
      <c r="AK6" s="18"/>
      <c r="AL6" s="18"/>
    </row>
    <row r="7" spans="1:38" ht="21" x14ac:dyDescent="0.35">
      <c r="A7" s="3" t="s">
        <v>26</v>
      </c>
      <c r="B7" s="55" t="str">
        <f>CONCATENATE(SUM(D7,G7,I7),N2,O2)</f>
        <v>35+20</v>
      </c>
      <c r="D7">
        <v>50</v>
      </c>
      <c r="G7" s="18">
        <f>D1*(-5)</f>
        <v>-15</v>
      </c>
      <c r="I7" s="18"/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18">
        <v>0</v>
      </c>
      <c r="P7" s="18">
        <v>0</v>
      </c>
      <c r="Q7" s="18">
        <v>0</v>
      </c>
      <c r="R7" s="18">
        <v>0</v>
      </c>
      <c r="S7" s="18">
        <v>0</v>
      </c>
      <c r="T7" s="18">
        <v>0</v>
      </c>
      <c r="U7" s="18">
        <v>0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8">
        <v>0</v>
      </c>
      <c r="AB7" s="18">
        <v>0</v>
      </c>
      <c r="AC7" s="18">
        <v>0</v>
      </c>
      <c r="AD7" s="18">
        <v>0</v>
      </c>
      <c r="AE7" s="18">
        <v>0</v>
      </c>
      <c r="AF7" s="18">
        <v>0</v>
      </c>
      <c r="AG7" s="18">
        <v>0</v>
      </c>
      <c r="AH7" s="18">
        <v>0</v>
      </c>
      <c r="AI7" s="18">
        <v>0</v>
      </c>
      <c r="AJ7" s="18">
        <v>0</v>
      </c>
      <c r="AK7" s="18"/>
      <c r="AL7" s="18"/>
    </row>
    <row r="8" spans="1:38" x14ac:dyDescent="0.3">
      <c r="A8" s="3" t="s">
        <v>107</v>
      </c>
      <c r="B8">
        <f>SUM(D8:AJ8,D2)</f>
        <v>6</v>
      </c>
      <c r="D8">
        <v>5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8">
        <v>0</v>
      </c>
      <c r="AB8" s="18">
        <v>0</v>
      </c>
      <c r="AC8" s="18">
        <v>0</v>
      </c>
      <c r="AD8" s="18">
        <v>0</v>
      </c>
      <c r="AE8" s="18">
        <v>0</v>
      </c>
      <c r="AF8" s="18">
        <v>0</v>
      </c>
      <c r="AG8" s="18">
        <v>0</v>
      </c>
      <c r="AH8" s="18">
        <v>0</v>
      </c>
      <c r="AI8" s="18">
        <v>0</v>
      </c>
      <c r="AJ8" s="18">
        <v>0</v>
      </c>
      <c r="AK8" s="18"/>
      <c r="AL8" s="18"/>
    </row>
    <row r="9" spans="1:38" x14ac:dyDescent="0.3">
      <c r="A9" s="3" t="s">
        <v>109</v>
      </c>
      <c r="B9">
        <f>SUM(D9:F9,I9,J9:AJ9)</f>
        <v>123</v>
      </c>
      <c r="C9">
        <f>ROUNDDOWN(B9/2,0)</f>
        <v>61</v>
      </c>
      <c r="D9">
        <v>18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105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18">
        <v>0</v>
      </c>
      <c r="AG9" s="18">
        <v>0</v>
      </c>
      <c r="AH9" s="18">
        <v>0</v>
      </c>
      <c r="AI9" s="18">
        <v>0</v>
      </c>
      <c r="AJ9" s="18">
        <v>0</v>
      </c>
      <c r="AK9" s="18"/>
      <c r="AL9" s="18"/>
    </row>
    <row r="10" spans="1:38" x14ac:dyDescent="0.3">
      <c r="A10" s="3" t="s">
        <v>113</v>
      </c>
      <c r="B10">
        <f t="shared" ref="B10:B14" si="0">SUM(D10:F10,I10,J10:AJ10)</f>
        <v>18</v>
      </c>
      <c r="C10">
        <f t="shared" ref="C10:C14" si="1">ROUNDDOWN(B10/2,0)</f>
        <v>9</v>
      </c>
      <c r="D10">
        <v>18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  <c r="AD10" s="18">
        <v>0</v>
      </c>
      <c r="AE10" s="18">
        <v>0</v>
      </c>
      <c r="AF10" s="18">
        <v>0</v>
      </c>
      <c r="AG10" s="18">
        <v>0</v>
      </c>
      <c r="AH10" s="18">
        <v>0</v>
      </c>
      <c r="AI10" s="18">
        <v>0</v>
      </c>
      <c r="AJ10" s="18">
        <v>0</v>
      </c>
      <c r="AK10" s="18"/>
      <c r="AL10" s="18"/>
    </row>
    <row r="11" spans="1:38" x14ac:dyDescent="0.3">
      <c r="A11" s="3" t="s">
        <v>112</v>
      </c>
      <c r="B11">
        <f>SUM(D11:F11,I11,J11:AJ11)</f>
        <v>18</v>
      </c>
      <c r="C11">
        <f t="shared" si="1"/>
        <v>9</v>
      </c>
      <c r="D11">
        <v>18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0</v>
      </c>
      <c r="AD11" s="18">
        <v>0</v>
      </c>
      <c r="AE11" s="18">
        <v>0</v>
      </c>
      <c r="AF11" s="18">
        <v>0</v>
      </c>
      <c r="AG11" s="18">
        <v>0</v>
      </c>
      <c r="AH11" s="18">
        <v>0</v>
      </c>
      <c r="AI11" s="18">
        <v>0</v>
      </c>
      <c r="AJ11" s="18">
        <v>0</v>
      </c>
      <c r="AK11" s="18"/>
      <c r="AL11" s="18"/>
    </row>
    <row r="12" spans="1:38" x14ac:dyDescent="0.3">
      <c r="A12" s="3" t="s">
        <v>110</v>
      </c>
      <c r="B12">
        <f t="shared" si="0"/>
        <v>16</v>
      </c>
      <c r="C12">
        <f t="shared" si="1"/>
        <v>8</v>
      </c>
      <c r="D12">
        <v>16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  <c r="O12" s="18">
        <v>0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18">
        <v>0</v>
      </c>
      <c r="AB12" s="18">
        <v>0</v>
      </c>
      <c r="AC12" s="18">
        <v>0</v>
      </c>
      <c r="AD12" s="18">
        <v>0</v>
      </c>
      <c r="AE12" s="18">
        <v>0</v>
      </c>
      <c r="AF12" s="18">
        <v>0</v>
      </c>
      <c r="AG12" s="18">
        <v>0</v>
      </c>
      <c r="AH12" s="18">
        <v>0</v>
      </c>
      <c r="AI12" s="18">
        <v>0</v>
      </c>
      <c r="AJ12" s="18">
        <v>0</v>
      </c>
      <c r="AK12" s="18"/>
      <c r="AL12" s="18"/>
    </row>
    <row r="13" spans="1:38" x14ac:dyDescent="0.3">
      <c r="A13" s="3" t="s">
        <v>108</v>
      </c>
      <c r="B13">
        <f>SUM(D13:F13,I13,J13:AJ13)</f>
        <v>23</v>
      </c>
      <c r="C13">
        <f t="shared" si="1"/>
        <v>11</v>
      </c>
      <c r="D13">
        <v>15</v>
      </c>
      <c r="J13" s="18">
        <v>0</v>
      </c>
      <c r="K13" s="18">
        <v>8</v>
      </c>
      <c r="L13" s="18">
        <v>0</v>
      </c>
      <c r="M13" s="18">
        <v>0</v>
      </c>
      <c r="N13" s="18">
        <v>0</v>
      </c>
      <c r="O13" s="18">
        <v>0</v>
      </c>
      <c r="P13" s="18">
        <v>0</v>
      </c>
      <c r="Q13" s="18">
        <v>0</v>
      </c>
      <c r="R13" s="18">
        <v>0</v>
      </c>
      <c r="S13" s="18">
        <v>0</v>
      </c>
      <c r="T13" s="18">
        <v>0</v>
      </c>
      <c r="U13" s="18">
        <v>0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18">
        <v>0</v>
      </c>
      <c r="AG13" s="18">
        <v>0</v>
      </c>
      <c r="AH13" s="18">
        <v>0</v>
      </c>
      <c r="AI13" s="18">
        <v>0</v>
      </c>
      <c r="AJ13" s="18">
        <v>0</v>
      </c>
      <c r="AK13" s="18"/>
      <c r="AL13" s="18"/>
    </row>
    <row r="14" spans="1:38" x14ac:dyDescent="0.3">
      <c r="A14" s="3" t="s">
        <v>111</v>
      </c>
      <c r="B14">
        <f t="shared" si="0"/>
        <v>14</v>
      </c>
      <c r="C14">
        <f t="shared" si="1"/>
        <v>7</v>
      </c>
      <c r="D14">
        <v>14</v>
      </c>
      <c r="J14" s="18">
        <v>0</v>
      </c>
      <c r="K14" s="18">
        <v>0</v>
      </c>
      <c r="L14" s="18">
        <v>0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18">
        <v>0</v>
      </c>
      <c r="AB14" s="18">
        <v>0</v>
      </c>
      <c r="AC14" s="18">
        <v>0</v>
      </c>
      <c r="AD14" s="18">
        <v>0</v>
      </c>
      <c r="AE14" s="18">
        <v>0</v>
      </c>
      <c r="AF14" s="18">
        <v>0</v>
      </c>
      <c r="AG14" s="18">
        <v>0</v>
      </c>
      <c r="AH14" s="18">
        <v>0</v>
      </c>
      <c r="AI14" s="18">
        <v>0</v>
      </c>
      <c r="AJ14" s="18">
        <v>0</v>
      </c>
      <c r="AK14" s="18"/>
      <c r="AL14" s="18"/>
    </row>
    <row r="15" spans="1:38" x14ac:dyDescent="0.3"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8">
        <v>0</v>
      </c>
      <c r="S15" s="18">
        <v>0</v>
      </c>
      <c r="T15" s="18">
        <v>0</v>
      </c>
      <c r="U15" s="18">
        <v>0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0</v>
      </c>
      <c r="AF15" s="18">
        <v>0</v>
      </c>
      <c r="AG15" s="18">
        <v>0</v>
      </c>
      <c r="AH15" s="18">
        <v>0</v>
      </c>
      <c r="AI15" s="18">
        <v>0</v>
      </c>
      <c r="AJ15" s="18">
        <v>0</v>
      </c>
      <c r="AK15" s="18"/>
      <c r="AL15" s="18"/>
    </row>
    <row r="16" spans="1:38" x14ac:dyDescent="0.3">
      <c r="A16" s="3" t="s">
        <v>29</v>
      </c>
      <c r="B16">
        <f>SUM(D16:AJ16)</f>
        <v>5</v>
      </c>
      <c r="D16">
        <v>8</v>
      </c>
      <c r="G16">
        <f>$D$1*(-1)</f>
        <v>-3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8">
        <v>0</v>
      </c>
      <c r="S16" s="18">
        <v>0</v>
      </c>
      <c r="T16" s="18">
        <v>0</v>
      </c>
      <c r="U16" s="18">
        <v>0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18">
        <v>0</v>
      </c>
      <c r="AB16" s="18">
        <v>0</v>
      </c>
      <c r="AC16" s="18">
        <v>0</v>
      </c>
      <c r="AD16" s="18">
        <v>0</v>
      </c>
      <c r="AE16" s="18">
        <v>0</v>
      </c>
      <c r="AF16" s="18">
        <v>0</v>
      </c>
      <c r="AG16" s="18">
        <v>0</v>
      </c>
      <c r="AH16" s="18">
        <v>0</v>
      </c>
      <c r="AI16" s="18">
        <v>0</v>
      </c>
      <c r="AJ16" s="18">
        <v>0</v>
      </c>
      <c r="AK16" s="18"/>
      <c r="AL16" s="18"/>
    </row>
    <row r="17" spans="1:38" x14ac:dyDescent="0.3">
      <c r="A17" s="3" t="s">
        <v>30</v>
      </c>
      <c r="B17">
        <f t="shared" ref="B17:B18" si="2">SUM(D17:AJ17)</f>
        <v>2</v>
      </c>
      <c r="D17">
        <v>5</v>
      </c>
      <c r="G17">
        <f t="shared" ref="G17:G20" si="3">$D$1*(-1)</f>
        <v>-3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8">
        <v>0</v>
      </c>
      <c r="S17" s="18">
        <v>0</v>
      </c>
      <c r="T17" s="18">
        <v>0</v>
      </c>
      <c r="U17" s="18">
        <v>0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18">
        <v>0</v>
      </c>
      <c r="AB17" s="18">
        <v>0</v>
      </c>
      <c r="AC17" s="18">
        <v>0</v>
      </c>
      <c r="AD17" s="18">
        <v>0</v>
      </c>
      <c r="AE17" s="18">
        <v>0</v>
      </c>
      <c r="AF17" s="18">
        <v>0</v>
      </c>
      <c r="AG17" s="18">
        <v>0</v>
      </c>
      <c r="AH17" s="18">
        <v>0</v>
      </c>
      <c r="AI17" s="18">
        <v>0</v>
      </c>
      <c r="AJ17" s="18">
        <v>0</v>
      </c>
      <c r="AK17" s="18"/>
      <c r="AL17" s="18"/>
    </row>
    <row r="18" spans="1:38" x14ac:dyDescent="0.3">
      <c r="A18" s="3" t="s">
        <v>31</v>
      </c>
      <c r="B18">
        <f t="shared" si="2"/>
        <v>2</v>
      </c>
      <c r="D18">
        <v>5</v>
      </c>
      <c r="G18">
        <f t="shared" si="3"/>
        <v>-3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0</v>
      </c>
      <c r="U18" s="18">
        <v>0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18">
        <v>0</v>
      </c>
      <c r="AB18" s="18">
        <v>0</v>
      </c>
      <c r="AC18" s="18">
        <v>0</v>
      </c>
      <c r="AD18" s="18">
        <v>0</v>
      </c>
      <c r="AE18" s="18">
        <v>0</v>
      </c>
      <c r="AF18" s="18">
        <v>0</v>
      </c>
      <c r="AG18" s="18">
        <v>0</v>
      </c>
      <c r="AH18" s="18">
        <v>0</v>
      </c>
      <c r="AI18" s="18">
        <v>0</v>
      </c>
      <c r="AJ18" s="18">
        <v>0</v>
      </c>
      <c r="AK18" s="18"/>
      <c r="AL18" s="18"/>
    </row>
    <row r="19" spans="1:38" x14ac:dyDescent="0.3"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0</v>
      </c>
      <c r="P19" s="18">
        <v>0</v>
      </c>
      <c r="Q19" s="18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8">
        <v>0</v>
      </c>
      <c r="AB19" s="18">
        <v>0</v>
      </c>
      <c r="AC19" s="18">
        <v>0</v>
      </c>
      <c r="AD19" s="18">
        <v>0</v>
      </c>
      <c r="AE19" s="18">
        <v>0</v>
      </c>
      <c r="AF19" s="18">
        <v>0</v>
      </c>
      <c r="AG19" s="18">
        <v>0</v>
      </c>
      <c r="AH19" s="18">
        <v>0</v>
      </c>
      <c r="AI19" s="18">
        <v>0</v>
      </c>
      <c r="AJ19" s="18">
        <v>0</v>
      </c>
      <c r="AK19" s="18"/>
      <c r="AL19" s="18"/>
    </row>
    <row r="20" spans="1:38" x14ac:dyDescent="0.3">
      <c r="A20" s="3" t="s">
        <v>68</v>
      </c>
      <c r="B20">
        <f>SUM(D20:AJ20,B8,D3*(-1),D2,E3*(-1))</f>
        <v>3</v>
      </c>
      <c r="G20">
        <f t="shared" si="3"/>
        <v>-3</v>
      </c>
      <c r="H20">
        <f>SUM(K1*2,F3*(-1))</f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18">
        <v>0</v>
      </c>
      <c r="AB20" s="18">
        <v>0</v>
      </c>
      <c r="AC20" s="18">
        <v>0</v>
      </c>
      <c r="AD20" s="18">
        <v>0</v>
      </c>
      <c r="AE20" s="18">
        <v>0</v>
      </c>
      <c r="AF20" s="18">
        <v>0</v>
      </c>
      <c r="AG20" s="18">
        <v>0</v>
      </c>
      <c r="AH20" s="18">
        <v>0</v>
      </c>
      <c r="AI20" s="18">
        <v>0</v>
      </c>
      <c r="AJ20" s="18">
        <v>0</v>
      </c>
      <c r="AK20" s="18"/>
      <c r="AL20" s="18"/>
    </row>
    <row r="21" spans="1:38" x14ac:dyDescent="0.3">
      <c r="A21" s="3" t="s">
        <v>106</v>
      </c>
      <c r="B21">
        <f>SUM(D21:AJ21,D3*(2))</f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8">
        <v>0</v>
      </c>
      <c r="AG21" s="18">
        <v>0</v>
      </c>
      <c r="AH21" s="18">
        <v>0</v>
      </c>
      <c r="AI21" s="18">
        <v>0</v>
      </c>
      <c r="AJ21" s="18">
        <v>0</v>
      </c>
      <c r="AK21" s="18"/>
      <c r="AL21" s="18"/>
    </row>
    <row r="22" spans="1:38" x14ac:dyDescent="0.3">
      <c r="A22" s="3" t="s">
        <v>114</v>
      </c>
      <c r="B22">
        <f>SUM(C9,D22:AJ22,E3*(4))</f>
        <v>74</v>
      </c>
      <c r="J22" s="18">
        <v>9</v>
      </c>
      <c r="K22" s="18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8">
        <v>0</v>
      </c>
      <c r="AA22" s="18">
        <v>0</v>
      </c>
      <c r="AB22" s="18">
        <v>0</v>
      </c>
      <c r="AC22" s="18">
        <v>0</v>
      </c>
      <c r="AD22" s="18">
        <v>0</v>
      </c>
      <c r="AE22" s="18">
        <v>0</v>
      </c>
      <c r="AF22" s="18">
        <v>0</v>
      </c>
      <c r="AG22" s="18">
        <v>0</v>
      </c>
      <c r="AH22" s="18">
        <v>0</v>
      </c>
      <c r="AI22" s="18">
        <v>0</v>
      </c>
      <c r="AJ22" s="18">
        <v>0</v>
      </c>
      <c r="AK22" s="18"/>
      <c r="AL22" s="18"/>
    </row>
    <row r="23" spans="1:38" x14ac:dyDescent="0.3">
      <c r="A23" s="3" t="s">
        <v>28</v>
      </c>
      <c r="B23">
        <f>SUM(D23:F23,K23:AJ23,C10,H23:I23)</f>
        <v>25</v>
      </c>
      <c r="J23" s="18">
        <v>0</v>
      </c>
      <c r="K23" s="18">
        <v>0</v>
      </c>
      <c r="L23" s="18">
        <v>0</v>
      </c>
      <c r="M23" s="18">
        <v>0</v>
      </c>
      <c r="N23" s="18">
        <v>0</v>
      </c>
      <c r="O23" s="18">
        <v>5</v>
      </c>
      <c r="P23" s="18">
        <v>1</v>
      </c>
      <c r="Q23" s="18">
        <v>5</v>
      </c>
      <c r="R23" s="18">
        <v>5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8">
        <v>0</v>
      </c>
      <c r="AG23" s="18">
        <v>0</v>
      </c>
      <c r="AH23" s="18">
        <v>0</v>
      </c>
      <c r="AI23" s="18">
        <v>0</v>
      </c>
      <c r="AJ23" s="18">
        <v>0</v>
      </c>
      <c r="AK23" s="18"/>
      <c r="AL23" s="18"/>
    </row>
    <row r="24" spans="1:38" x14ac:dyDescent="0.3">
      <c r="A24" s="3" t="s">
        <v>115</v>
      </c>
      <c r="B24">
        <f>B23-L23-AB23-V23-Q23-R23-W23</f>
        <v>15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8">
        <v>0</v>
      </c>
      <c r="AG24" s="18">
        <v>0</v>
      </c>
      <c r="AH24" s="18">
        <v>0</v>
      </c>
      <c r="AI24" s="18">
        <v>0</v>
      </c>
      <c r="AJ24" s="18">
        <v>0</v>
      </c>
      <c r="AK24" s="18"/>
      <c r="AL24" s="18"/>
    </row>
    <row r="25" spans="1:38" x14ac:dyDescent="0.3">
      <c r="A25" s="3" t="s">
        <v>116</v>
      </c>
      <c r="B25">
        <f>B23-C10</f>
        <v>16</v>
      </c>
      <c r="J25" s="18">
        <v>0</v>
      </c>
      <c r="K25" s="18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8">
        <v>0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 s="18">
        <v>0</v>
      </c>
      <c r="AK25" s="18"/>
      <c r="AL25" s="18"/>
    </row>
    <row r="26" spans="1:38" x14ac:dyDescent="0.3">
      <c r="B26" s="92" t="s">
        <v>117</v>
      </c>
      <c r="C26" s="92"/>
      <c r="G26" s="42" t="s">
        <v>121</v>
      </c>
      <c r="H26" s="43" t="s">
        <v>125</v>
      </c>
      <c r="I26" s="43" t="s">
        <v>122</v>
      </c>
      <c r="J26" s="43" t="s">
        <v>125</v>
      </c>
      <c r="K26" s="44" t="s">
        <v>124</v>
      </c>
      <c r="AJ26">
        <v>0</v>
      </c>
    </row>
    <row r="27" spans="1:38" x14ac:dyDescent="0.3">
      <c r="A27" s="3" t="s">
        <v>99</v>
      </c>
      <c r="B27" s="92" t="s">
        <v>118</v>
      </c>
      <c r="C27" s="92"/>
      <c r="D27" s="93" t="str">
        <f>CONCATENATE("Attack roll +",G27,"    Damage ",I27,"+",K27)</f>
        <v>Attack roll +50    Damage 25+1d8</v>
      </c>
      <c r="E27" s="93"/>
      <c r="F27" s="93"/>
      <c r="G27" s="45">
        <v>50</v>
      </c>
      <c r="H27" s="46"/>
      <c r="I27" s="45">
        <v>25</v>
      </c>
      <c r="J27" s="46"/>
      <c r="K27" s="4" t="s">
        <v>119</v>
      </c>
    </row>
    <row r="28" spans="1:38" x14ac:dyDescent="0.3">
      <c r="A28" s="3" t="s">
        <v>100</v>
      </c>
      <c r="B28" s="92"/>
      <c r="C28" s="92"/>
      <c r="D28" s="93" t="str">
        <f t="shared" ref="D28:D30" si="4">CONCATENATE("Attack roll +",G28,"    Damage ",I28,"+",K28)</f>
        <v>Attack roll +    Damage +</v>
      </c>
      <c r="E28" s="93"/>
      <c r="F28" s="93"/>
      <c r="G28" s="45"/>
      <c r="H28" s="46"/>
      <c r="I28" s="45"/>
      <c r="J28" s="46"/>
      <c r="K28" s="4"/>
    </row>
    <row r="29" spans="1:38" x14ac:dyDescent="0.3">
      <c r="A29" s="3" t="s">
        <v>101</v>
      </c>
      <c r="B29" s="92"/>
      <c r="C29" s="92"/>
      <c r="D29" s="93" t="str">
        <f t="shared" si="4"/>
        <v>Attack roll +    Damage +</v>
      </c>
      <c r="E29" s="93"/>
      <c r="F29" s="93"/>
    </row>
    <row r="30" spans="1:38" x14ac:dyDescent="0.3">
      <c r="A30" s="3" t="s">
        <v>102</v>
      </c>
      <c r="B30" s="92"/>
      <c r="C30" s="92"/>
      <c r="D30" s="93" t="str">
        <f t="shared" si="4"/>
        <v>Attack roll +    Damage +</v>
      </c>
      <c r="E30" s="93"/>
      <c r="F30" s="93"/>
    </row>
    <row r="31" spans="1:38" s="1" customFormat="1" x14ac:dyDescent="0.3">
      <c r="A31" s="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8" x14ac:dyDescent="0.3">
      <c r="A32" s="3" t="s">
        <v>94</v>
      </c>
      <c r="B32">
        <f>COUNTA(A35:A81)</f>
        <v>10</v>
      </c>
    </row>
    <row r="34" spans="1:27" x14ac:dyDescent="0.3">
      <c r="A34" s="3" t="s">
        <v>63</v>
      </c>
      <c r="B34" s="20" t="s">
        <v>78</v>
      </c>
      <c r="C34" s="39" t="s">
        <v>104</v>
      </c>
      <c r="D34" s="22" t="s">
        <v>65</v>
      </c>
      <c r="E34" s="23" t="s">
        <v>72</v>
      </c>
      <c r="F34" s="24" t="s">
        <v>73</v>
      </c>
      <c r="G34" s="25" t="s">
        <v>82</v>
      </c>
      <c r="H34" s="25" t="s">
        <v>83</v>
      </c>
      <c r="I34" s="41" t="s">
        <v>92</v>
      </c>
      <c r="J34" s="27" t="s">
        <v>69</v>
      </c>
      <c r="K34" s="23" t="s">
        <v>72</v>
      </c>
      <c r="L34" s="24" t="s">
        <v>73</v>
      </c>
      <c r="M34" s="25" t="s">
        <v>82</v>
      </c>
      <c r="N34" s="26" t="s">
        <v>83</v>
      </c>
      <c r="O34" s="27" t="s">
        <v>69</v>
      </c>
      <c r="P34" s="23" t="s">
        <v>72</v>
      </c>
      <c r="Q34" s="24" t="s">
        <v>73</v>
      </c>
      <c r="R34" s="25" t="s">
        <v>82</v>
      </c>
      <c r="S34" s="26" t="s">
        <v>83</v>
      </c>
      <c r="T34" s="28" t="s">
        <v>98</v>
      </c>
      <c r="U34" s="1"/>
      <c r="V34" s="1"/>
      <c r="W34" s="1"/>
      <c r="X34" s="1"/>
      <c r="Y34" s="1"/>
      <c r="Z34" s="1"/>
      <c r="AA34" s="1"/>
    </row>
    <row r="35" spans="1:27" x14ac:dyDescent="0.3">
      <c r="A35" s="17" t="s">
        <v>95</v>
      </c>
      <c r="B35" s="19">
        <v>20</v>
      </c>
      <c r="C35" s="13">
        <v>4</v>
      </c>
      <c r="D35" s="29" t="str">
        <f>VLOOKUP(A35,BUFFS!$H$5:$AF$195,5,)</f>
        <v>initiative</v>
      </c>
      <c r="E35" s="30" t="str">
        <f>VLOOKUP(A35,BUFFS!$H$5:$AF$195,6,)</f>
        <v xml:space="preserve">Competence Modifier </v>
      </c>
      <c r="F35" s="31">
        <f>VLOOKUP(A35,BUFFS!$H$5:$AF$195,7,)</f>
        <v>1</v>
      </c>
      <c r="G35" s="30">
        <f>VLOOKUP(A35,BUFFS!$H$5:$AF$195,9,)</f>
        <v>0.25</v>
      </c>
      <c r="H35" s="31">
        <f t="shared" ref="H35:H58" si="5">SUM(F35,ROUNDDOWN(MIN(B35,T$35)*G35,0))</f>
        <v>6</v>
      </c>
      <c r="I35" s="40">
        <f>IFERROR(VLOOKUP(A35,BUFFS!$H$5:$AF$195,8,),"")</f>
        <v>3</v>
      </c>
      <c r="J35" s="29" t="str">
        <f>VLOOKUP(A35,BUFFS!$H$5:$AF$195,10,)</f>
        <v>Grapple</v>
      </c>
      <c r="K35" s="30" t="str">
        <f>VLOOKUP(A35,BUFFS!$H$5:$AF$195,11,)</f>
        <v xml:space="preserve">Ability Modifier </v>
      </c>
      <c r="L35" s="30">
        <f>VLOOKUP(A35,BUFFS!$H$5:$AF$195,12,)</f>
        <v>5</v>
      </c>
      <c r="M35" s="30">
        <f>VLOOKUP(A35,BUFFS!$H$5:$AF$195,14,)</f>
        <v>0.2</v>
      </c>
      <c r="N35" s="32">
        <f t="shared" ref="N35:N58" si="6">SUM(L35,ROUNDDOWN(MIN(B35,T$35)*M35,0))</f>
        <v>9</v>
      </c>
      <c r="O35" s="29" t="str">
        <f>VLOOKUP(A35,BUFFS!$H$5:$AF$195,15,)</f>
        <v>intelligence</v>
      </c>
      <c r="P35" s="30" t="str">
        <f>VLOOKUP(A35,BUFFS!$H$5:$AF$195,16,)</f>
        <v xml:space="preserve">Alchemical Bonus </v>
      </c>
      <c r="Q35" s="30">
        <f>VLOOKUP(A35,BUFFS!$H$5:$AF$195,17,)</f>
        <v>4</v>
      </c>
      <c r="R35" s="30">
        <f>VLOOKUP(A35,BUFFS!$H$5:$AF$195,19,)</f>
        <v>0.2</v>
      </c>
      <c r="S35" s="32">
        <f t="shared" ref="S35:S58" si="7">SUM(Q35,ROUNDDOWN(MIN(B35,T$35)*R35,0))</f>
        <v>8</v>
      </c>
      <c r="T35" s="33">
        <f>VLOOKUP(A35,BUFFS!$H$5:$AF$195,20,)</f>
        <v>20</v>
      </c>
    </row>
    <row r="36" spans="1:27" x14ac:dyDescent="0.3">
      <c r="A36" s="17" t="s">
        <v>95</v>
      </c>
      <c r="B36" s="19">
        <v>20</v>
      </c>
      <c r="C36" s="13">
        <v>4</v>
      </c>
      <c r="D36" s="29" t="str">
        <f>VLOOKUP(A36,BUFFS!$H$5:$AF$195,5,)</f>
        <v>initiative</v>
      </c>
      <c r="E36" s="30" t="str">
        <f>VLOOKUP(A36,BUFFS!$H$5:$AF$195,6,)</f>
        <v xml:space="preserve">Competence Modifier </v>
      </c>
      <c r="F36" s="31">
        <f>VLOOKUP(A36,BUFFS!$H$5:$AF$195,7,)</f>
        <v>1</v>
      </c>
      <c r="G36" s="30">
        <f>VLOOKUP(A36,BUFFS!$H$5:$AF$195,9,)</f>
        <v>0.25</v>
      </c>
      <c r="H36" s="31">
        <f t="shared" si="5"/>
        <v>6</v>
      </c>
      <c r="I36" s="40">
        <f>IFERROR(VLOOKUP(A36,BUFFS!$H$5:$AF$195,8,),"")</f>
        <v>3</v>
      </c>
      <c r="J36" s="29" t="str">
        <f>VLOOKUP(A36,BUFFS!$H$5:$AF$195,10,)</f>
        <v>Grapple</v>
      </c>
      <c r="K36" s="30" t="str">
        <f>VLOOKUP(A36,BUFFS!$H$5:$AF$195,11,)</f>
        <v xml:space="preserve">Ability Modifier </v>
      </c>
      <c r="L36" s="30">
        <f>VLOOKUP(A36,BUFFS!$H$5:$AF$195,12,)</f>
        <v>5</v>
      </c>
      <c r="M36" s="30">
        <f>VLOOKUP(A36,BUFFS!$H$5:$AF$195,14,)</f>
        <v>0.2</v>
      </c>
      <c r="N36" s="32">
        <f t="shared" si="6"/>
        <v>9</v>
      </c>
      <c r="O36" s="29" t="str">
        <f>VLOOKUP(A36,BUFFS!$H$5:$AF$195,15,)</f>
        <v>intelligence</v>
      </c>
      <c r="P36" s="30" t="str">
        <f>VLOOKUP(A36,BUFFS!$H$5:$AF$195,16,)</f>
        <v xml:space="preserve">Alchemical Bonus </v>
      </c>
      <c r="Q36" s="30">
        <f>VLOOKUP(A36,BUFFS!$H$5:$AF$195,17,)</f>
        <v>4</v>
      </c>
      <c r="R36" s="30">
        <f>VLOOKUP(A36,BUFFS!$H$5:$AF$195,19,)</f>
        <v>0.2</v>
      </c>
      <c r="S36" s="32">
        <f t="shared" si="7"/>
        <v>8</v>
      </c>
      <c r="T36" s="33">
        <f>VLOOKUP(A36,BUFFS!$H$5:$AF$195,20,)</f>
        <v>20</v>
      </c>
    </row>
    <row r="37" spans="1:27" x14ac:dyDescent="0.3">
      <c r="A37" s="17" t="s">
        <v>76</v>
      </c>
      <c r="B37" s="19">
        <v>20</v>
      </c>
      <c r="C37" s="13">
        <v>4</v>
      </c>
      <c r="D37" s="29" t="str">
        <f>VLOOKUP(A37,BUFFS!$H$5:$AF$195,5,)</f>
        <v>AC</v>
      </c>
      <c r="E37" s="30" t="str">
        <f>VLOOKUP(A37,BUFFS!$H$5:$AF$195,6,)</f>
        <v xml:space="preserve">Deflection Bonus </v>
      </c>
      <c r="F37" s="31">
        <f>VLOOKUP(A37,BUFFS!$H$5:$AF$195,7,)</f>
        <v>2</v>
      </c>
      <c r="G37" s="30">
        <f>VLOOKUP(A37,BUFFS!$H$5:$AF$195,9,)</f>
        <v>0.16666666666666666</v>
      </c>
      <c r="H37" s="31">
        <f t="shared" si="5"/>
        <v>5</v>
      </c>
      <c r="I37" s="40">
        <f>IFERROR(VLOOKUP(A37,BUFFS!$H$5:$AF$195,8,),"")</f>
        <v>1</v>
      </c>
      <c r="J37" s="29">
        <f>VLOOKUP(A37,BUFFS!$H$5:$AF$195,10,)</f>
        <v>0</v>
      </c>
      <c r="K37" s="30">
        <f>VLOOKUP(A37,BUFFS!$H$5:$AF$195,11,)</f>
        <v>0</v>
      </c>
      <c r="L37" s="30">
        <f>VLOOKUP(A37,BUFFS!$H$5:$AF$195,12,)</f>
        <v>0</v>
      </c>
      <c r="M37" s="30">
        <f>VLOOKUP(A37,BUFFS!$H$5:$AF$195,14,)</f>
        <v>0</v>
      </c>
      <c r="N37" s="32">
        <f t="shared" si="6"/>
        <v>0</v>
      </c>
      <c r="O37" s="29">
        <f>VLOOKUP(A37,BUFFS!$H$5:$AF$195,15,)</f>
        <v>0</v>
      </c>
      <c r="P37" s="30">
        <f>VLOOKUP(A37,BUFFS!$H$5:$AF$195,16,)</f>
        <v>0</v>
      </c>
      <c r="Q37" s="30">
        <f>VLOOKUP(A37,BUFFS!$H$5:$AF$195,17,)</f>
        <v>0</v>
      </c>
      <c r="R37" s="30">
        <f>VLOOKUP(A37,BUFFS!$H$5:$AF$195,19,)</f>
        <v>0</v>
      </c>
      <c r="S37" s="32">
        <f t="shared" si="7"/>
        <v>0</v>
      </c>
      <c r="T37" s="33">
        <f>VLOOKUP(A37,BUFFS!$H$5:$AF$195,20,)</f>
        <v>20</v>
      </c>
    </row>
    <row r="38" spans="1:27" x14ac:dyDescent="0.3">
      <c r="A38" s="17" t="s">
        <v>84</v>
      </c>
      <c r="B38" s="19">
        <v>20</v>
      </c>
      <c r="C38" s="13">
        <v>4</v>
      </c>
      <c r="D38" s="29" t="str">
        <f>VLOOKUP(A38,BUFFS!$H$5:$AF$195,5,)</f>
        <v>AC</v>
      </c>
      <c r="E38" s="30" t="str">
        <f>VLOOKUP(A38,BUFFS!$H$5:$AF$195,6,)</f>
        <v>Enhancement Shield Bonus</v>
      </c>
      <c r="F38" s="31">
        <f>VLOOKUP(A38,BUFFS!$H$5:$AF$195,7,)</f>
        <v>0</v>
      </c>
      <c r="G38" s="30">
        <f>VLOOKUP(A38,BUFFS!$H$5:$AF$195,9,)</f>
        <v>0.25</v>
      </c>
      <c r="H38" s="31">
        <f t="shared" si="5"/>
        <v>5</v>
      </c>
      <c r="I38" s="40">
        <f>IFERROR(VLOOKUP(A38,BUFFS!$H$5:$AF$195,8,),"")</f>
        <v>3</v>
      </c>
      <c r="J38" s="29">
        <f>VLOOKUP(A38,BUFFS!$H$5:$AF$195,10,)</f>
        <v>0</v>
      </c>
      <c r="K38" s="30">
        <f>VLOOKUP(A38,BUFFS!$H$5:$AF$195,11,)</f>
        <v>0</v>
      </c>
      <c r="L38" s="30">
        <f>VLOOKUP(A38,BUFFS!$H$5:$AF$195,12,)</f>
        <v>0</v>
      </c>
      <c r="M38" s="30">
        <f>VLOOKUP(A38,BUFFS!$H$5:$AF$195,14,)</f>
        <v>0</v>
      </c>
      <c r="N38" s="32">
        <f t="shared" si="6"/>
        <v>0</v>
      </c>
      <c r="O38" s="29">
        <f>VLOOKUP(A38,BUFFS!$H$5:$AF$195,15,)</f>
        <v>0</v>
      </c>
      <c r="P38" s="30">
        <f>VLOOKUP(A38,BUFFS!$H$5:$AF$195,16,)</f>
        <v>0</v>
      </c>
      <c r="Q38" s="30">
        <f>VLOOKUP(A38,BUFFS!$H$5:$AF$195,17,)</f>
        <v>0</v>
      </c>
      <c r="R38" s="30">
        <f>VLOOKUP(A38,BUFFS!$H$5:$AF$195,19,)</f>
        <v>0</v>
      </c>
      <c r="S38" s="32">
        <f t="shared" si="7"/>
        <v>0</v>
      </c>
      <c r="T38" s="33">
        <f>VLOOKUP(A38,BUFFS!$H$5:$AF$195,20,)</f>
        <v>20</v>
      </c>
    </row>
    <row r="39" spans="1:27" x14ac:dyDescent="0.3">
      <c r="A39" s="17" t="s">
        <v>85</v>
      </c>
      <c r="B39" s="19">
        <v>20</v>
      </c>
      <c r="C39" s="13">
        <v>4</v>
      </c>
      <c r="D39" s="29" t="str">
        <f>VLOOKUP(A39,BUFFS!$H$5:$AF$195,5,)</f>
        <v>AC</v>
      </c>
      <c r="E39" s="30" t="str">
        <f>VLOOKUP(A39,BUFFS!$H$5:$AF$195,6,)</f>
        <v xml:space="preserve">Enhancement Armor Bonus </v>
      </c>
      <c r="F39" s="31">
        <f>VLOOKUP(A39,BUFFS!$H$5:$AF$195,7,)</f>
        <v>0</v>
      </c>
      <c r="G39" s="30">
        <f>VLOOKUP(A39,BUFFS!$H$5:$AF$195,9,)</f>
        <v>0.25</v>
      </c>
      <c r="H39" s="31">
        <f t="shared" si="5"/>
        <v>5</v>
      </c>
      <c r="I39" s="40">
        <f>IFERROR(VLOOKUP(A39,BUFFS!$H$5:$AF$195,8,),"")</f>
        <v>3</v>
      </c>
      <c r="J39" s="29">
        <f>VLOOKUP(A39,BUFFS!$H$5:$AF$195,10,)</f>
        <v>0</v>
      </c>
      <c r="K39" s="30">
        <f>VLOOKUP(A39,BUFFS!$H$5:$AF$195,11,)</f>
        <v>0</v>
      </c>
      <c r="L39" s="30">
        <f>VLOOKUP(A39,BUFFS!$H$5:$AF$195,12,)</f>
        <v>0</v>
      </c>
      <c r="M39" s="30">
        <f>VLOOKUP(A39,BUFFS!$H$5:$AF$195,14,)</f>
        <v>0</v>
      </c>
      <c r="N39" s="32">
        <f t="shared" si="6"/>
        <v>0</v>
      </c>
      <c r="O39" s="29">
        <f>VLOOKUP(A39,BUFFS!$H$5:$AF$195,15,)</f>
        <v>0</v>
      </c>
      <c r="P39" s="30">
        <f>VLOOKUP(A39,BUFFS!$H$5:$AF$195,16,)</f>
        <v>0</v>
      </c>
      <c r="Q39" s="30">
        <f>VLOOKUP(A39,BUFFS!$H$5:$AF$195,17,)</f>
        <v>0</v>
      </c>
      <c r="R39" s="30">
        <f>VLOOKUP(A39,BUFFS!$H$5:$AF$195,19,)</f>
        <v>0</v>
      </c>
      <c r="S39" s="32">
        <f t="shared" si="7"/>
        <v>0</v>
      </c>
      <c r="T39" s="33">
        <f>VLOOKUP(A39,BUFFS!$H$5:$AF$195,20,)</f>
        <v>20</v>
      </c>
    </row>
    <row r="40" spans="1:27" x14ac:dyDescent="0.3">
      <c r="A40" s="17" t="s">
        <v>89</v>
      </c>
      <c r="B40" s="19">
        <v>20</v>
      </c>
      <c r="C40" s="13">
        <v>4</v>
      </c>
      <c r="D40" s="29" t="str">
        <f>VLOOKUP(A40,BUFFS!$H$5:$AF$195,5,)</f>
        <v>AC</v>
      </c>
      <c r="E40" s="30" t="str">
        <f>VLOOKUP(A40,BUFFS!$H$5:$AF$195,6,)</f>
        <v xml:space="preserve">Dodge Bonus </v>
      </c>
      <c r="F40" s="31">
        <f>VLOOKUP(A40,BUFFS!$H$5:$AF$195,7,)</f>
        <v>1</v>
      </c>
      <c r="G40" s="30">
        <f>VLOOKUP(A40,BUFFS!$H$5:$AF$195,9,)</f>
        <v>0</v>
      </c>
      <c r="H40" s="31">
        <f t="shared" si="5"/>
        <v>1</v>
      </c>
      <c r="I40" s="40">
        <f>IFERROR(VLOOKUP(A40,BUFFS!$H$5:$AF$195,8,),"")</f>
        <v>3</v>
      </c>
      <c r="J40" s="29" t="str">
        <f>VLOOKUP(A40,BUFFS!$H$5:$AF$195,10,)</f>
        <v>Reflex</v>
      </c>
      <c r="K40" s="30" t="str">
        <f>VLOOKUP(A40,BUFFS!$H$5:$AF$195,11,)</f>
        <v xml:space="preserve">Dodge Bonus </v>
      </c>
      <c r="L40" s="30">
        <f>VLOOKUP(A40,BUFFS!$H$5:$AF$195,12,)</f>
        <v>1</v>
      </c>
      <c r="M40" s="30">
        <f>VLOOKUP(A40,BUFFS!$H$5:$AF$195,14,)</f>
        <v>0</v>
      </c>
      <c r="N40" s="32">
        <f t="shared" si="6"/>
        <v>1</v>
      </c>
      <c r="O40" s="29" t="str">
        <f>VLOOKUP(A40,BUFFS!$H$5:$AF$195,15,)</f>
        <v>Strength</v>
      </c>
      <c r="P40" s="30" t="str">
        <f>VLOOKUP(A40,BUFFS!$H$5:$AF$195,16,)</f>
        <v xml:space="preserve">Deflection Bonus </v>
      </c>
      <c r="Q40" s="30">
        <f>VLOOKUP(A40,BUFFS!$H$5:$AF$195,17,)</f>
        <v>5</v>
      </c>
      <c r="R40" s="30">
        <f>VLOOKUP(A40,BUFFS!$H$5:$AF$195,19,)</f>
        <v>5</v>
      </c>
      <c r="S40" s="32">
        <f t="shared" si="7"/>
        <v>105</v>
      </c>
      <c r="T40" s="33">
        <f>VLOOKUP(A40,BUFFS!$H$5:$AF$195,20,)</f>
        <v>20</v>
      </c>
    </row>
    <row r="41" spans="1:27" x14ac:dyDescent="0.3">
      <c r="A41" s="17" t="s">
        <v>89</v>
      </c>
      <c r="B41" s="19">
        <v>20</v>
      </c>
      <c r="C41" s="13">
        <v>4</v>
      </c>
      <c r="D41" s="29" t="str">
        <f>VLOOKUP(A41,BUFFS!$H$5:$AF$195,5,)</f>
        <v>AC</v>
      </c>
      <c r="E41" s="30" t="str">
        <f>VLOOKUP(A41,BUFFS!$H$5:$AF$195,6,)</f>
        <v xml:space="preserve">Dodge Bonus </v>
      </c>
      <c r="F41" s="31">
        <f>VLOOKUP(A41,BUFFS!$H$5:$AF$195,7,)</f>
        <v>1</v>
      </c>
      <c r="G41" s="30">
        <f>VLOOKUP(A41,BUFFS!$H$5:$AF$195,9,)</f>
        <v>0</v>
      </c>
      <c r="H41" s="31">
        <f t="shared" si="5"/>
        <v>1</v>
      </c>
      <c r="I41" s="40">
        <f>IFERROR(VLOOKUP(A41,BUFFS!$H$5:$AF$195,8,),"")</f>
        <v>3</v>
      </c>
      <c r="J41" s="29" t="str">
        <f>VLOOKUP(A41,BUFFS!$H$5:$AF$195,10,)</f>
        <v>Reflex</v>
      </c>
      <c r="K41" s="30" t="str">
        <f>VLOOKUP(A41,BUFFS!$H$5:$AF$195,11,)</f>
        <v xml:space="preserve">Dodge Bonus </v>
      </c>
      <c r="L41" s="30">
        <f>VLOOKUP(A41,BUFFS!$H$5:$AF$195,12,)</f>
        <v>1</v>
      </c>
      <c r="M41" s="30">
        <f>VLOOKUP(A41,BUFFS!$H$5:$AF$195,14,)</f>
        <v>0</v>
      </c>
      <c r="N41" s="32">
        <f t="shared" si="6"/>
        <v>1</v>
      </c>
      <c r="O41" s="29" t="str">
        <f>VLOOKUP(A41,BUFFS!$H$5:$AF$195,15,)</f>
        <v>Strength</v>
      </c>
      <c r="P41" s="30" t="str">
        <f>VLOOKUP(A41,BUFFS!$H$5:$AF$195,16,)</f>
        <v xml:space="preserve">Deflection Bonus </v>
      </c>
      <c r="Q41" s="30">
        <f>VLOOKUP(A41,BUFFS!$H$5:$AF$195,17,)</f>
        <v>5</v>
      </c>
      <c r="R41" s="30">
        <f>VLOOKUP(A41,BUFFS!$H$5:$AF$195,19,)</f>
        <v>5</v>
      </c>
      <c r="S41" s="32">
        <f t="shared" si="7"/>
        <v>105</v>
      </c>
      <c r="T41" s="33">
        <f>VLOOKUP(A41,BUFFS!$H$5:$AF$195,20,)</f>
        <v>20</v>
      </c>
    </row>
    <row r="42" spans="1:27" x14ac:dyDescent="0.3">
      <c r="A42" s="17" t="s">
        <v>80</v>
      </c>
      <c r="B42" s="19">
        <v>20</v>
      </c>
      <c r="C42" s="13">
        <v>4</v>
      </c>
      <c r="D42" s="29" t="str">
        <f>VLOOKUP(A42,BUFFS!$H$5:$AF$195,5,)</f>
        <v>damage</v>
      </c>
      <c r="E42" s="30" t="str">
        <f>VLOOKUP(A42,BUFFS!$H$5:$AF$195,6,)</f>
        <v>Enhancement</v>
      </c>
      <c r="F42" s="31">
        <f>VLOOKUP(A42,BUFFS!$H$5:$AF$195,7,)</f>
        <v>0</v>
      </c>
      <c r="G42" s="30">
        <f>VLOOKUP(A42,BUFFS!$H$5:$AF$195,9,)</f>
        <v>0.25</v>
      </c>
      <c r="H42" s="31">
        <f t="shared" si="5"/>
        <v>5</v>
      </c>
      <c r="I42" s="40">
        <f>IFERROR(VLOOKUP(A42,BUFFS!$H$5:$AF$195,8,),"")</f>
        <v>3</v>
      </c>
      <c r="J42" s="29">
        <f>VLOOKUP(A42,BUFFS!$H$5:$AF$195,10,)</f>
        <v>0</v>
      </c>
      <c r="K42" s="30">
        <f>VLOOKUP(A42,BUFFS!$H$5:$AF$195,11,)</f>
        <v>0</v>
      </c>
      <c r="L42" s="30">
        <f>VLOOKUP(A42,BUFFS!$H$5:$AF$195,12,)</f>
        <v>0</v>
      </c>
      <c r="M42" s="30">
        <f>VLOOKUP(A42,BUFFS!$H$5:$AF$195,14,)</f>
        <v>0</v>
      </c>
      <c r="N42" s="32">
        <f t="shared" si="6"/>
        <v>0</v>
      </c>
      <c r="O42" s="29">
        <f>VLOOKUP(A42,BUFFS!$H$5:$AF$195,15,)</f>
        <v>0</v>
      </c>
      <c r="P42" s="30">
        <f>VLOOKUP(A42,BUFFS!$H$5:$AF$195,16,)</f>
        <v>0</v>
      </c>
      <c r="Q42" s="30">
        <f>VLOOKUP(A42,BUFFS!$H$5:$AF$195,17,)</f>
        <v>0</v>
      </c>
      <c r="R42" s="30">
        <f>VLOOKUP(A42,BUFFS!$H$5:$AF$195,19,)</f>
        <v>0</v>
      </c>
      <c r="S42" s="32">
        <f t="shared" si="7"/>
        <v>0</v>
      </c>
      <c r="T42" s="33">
        <f>VLOOKUP(A42,BUFFS!$H$5:$AF$195,20,)</f>
        <v>20</v>
      </c>
    </row>
    <row r="43" spans="1:27" x14ac:dyDescent="0.3">
      <c r="A43" s="17" t="s">
        <v>84</v>
      </c>
      <c r="B43" s="19">
        <v>20</v>
      </c>
      <c r="C43" s="13">
        <v>4</v>
      </c>
      <c r="D43" s="29" t="str">
        <f>VLOOKUP(A43,BUFFS!$H$5:$AF$195,5,)</f>
        <v>AC</v>
      </c>
      <c r="E43" s="30" t="str">
        <f>VLOOKUP(A43,BUFFS!$H$5:$AF$195,6,)</f>
        <v>Enhancement Shield Bonus</v>
      </c>
      <c r="F43" s="31">
        <f>VLOOKUP(A43,BUFFS!$H$5:$AF$195,7,)</f>
        <v>0</v>
      </c>
      <c r="G43" s="30">
        <f>VLOOKUP(A43,BUFFS!$H$5:$AF$195,9,)</f>
        <v>0.25</v>
      </c>
      <c r="H43" s="31">
        <f t="shared" si="5"/>
        <v>5</v>
      </c>
      <c r="I43" s="40">
        <f>IFERROR(VLOOKUP(A43,BUFFS!$H$5:$AF$195,8,),"")</f>
        <v>3</v>
      </c>
      <c r="J43" s="29">
        <f>VLOOKUP(A43,BUFFS!$H$5:$AF$195,10,)</f>
        <v>0</v>
      </c>
      <c r="K43" s="30">
        <f>VLOOKUP(A43,BUFFS!$H$5:$AF$195,11,)</f>
        <v>0</v>
      </c>
      <c r="L43" s="30">
        <f>VLOOKUP(A43,BUFFS!$H$5:$AF$195,12,)</f>
        <v>0</v>
      </c>
      <c r="M43" s="30">
        <f>VLOOKUP(A43,BUFFS!$H$5:$AF$195,14,)</f>
        <v>0</v>
      </c>
      <c r="N43" s="32">
        <f t="shared" si="6"/>
        <v>0</v>
      </c>
      <c r="O43" s="29">
        <f>VLOOKUP(A43,BUFFS!$H$5:$AF$195,15,)</f>
        <v>0</v>
      </c>
      <c r="P43" s="30">
        <f>VLOOKUP(A43,BUFFS!$H$5:$AF$195,16,)</f>
        <v>0</v>
      </c>
      <c r="Q43" s="30">
        <f>VLOOKUP(A43,BUFFS!$H$5:$AF$195,17,)</f>
        <v>0</v>
      </c>
      <c r="R43" s="30">
        <f>VLOOKUP(A43,BUFFS!$H$5:$AF$195,19,)</f>
        <v>0</v>
      </c>
      <c r="S43" s="32">
        <f t="shared" si="7"/>
        <v>0</v>
      </c>
      <c r="T43" s="33">
        <f>VLOOKUP(A43,BUFFS!$H$5:$AF$195,20,)</f>
        <v>20</v>
      </c>
    </row>
    <row r="44" spans="1:27" x14ac:dyDescent="0.3">
      <c r="A44" s="17" t="s">
        <v>84</v>
      </c>
      <c r="B44" s="19">
        <v>20</v>
      </c>
      <c r="C44" s="13">
        <v>4</v>
      </c>
      <c r="D44" s="29" t="str">
        <f>VLOOKUP(A44,BUFFS!$H$5:$AF$195,5,)</f>
        <v>AC</v>
      </c>
      <c r="E44" s="30" t="str">
        <f>VLOOKUP(A44,BUFFS!$H$5:$AF$195,6,)</f>
        <v>Enhancement Shield Bonus</v>
      </c>
      <c r="F44" s="31">
        <f>VLOOKUP(A44,BUFFS!$H$5:$AF$195,7,)</f>
        <v>0</v>
      </c>
      <c r="G44" s="30">
        <f>VLOOKUP(A44,BUFFS!$H$5:$AF$195,9,)</f>
        <v>0.25</v>
      </c>
      <c r="H44" s="31">
        <f t="shared" si="5"/>
        <v>5</v>
      </c>
      <c r="I44" s="40">
        <f>IFERROR(VLOOKUP(A44,BUFFS!$H$5:$AF$195,8,),"")</f>
        <v>3</v>
      </c>
      <c r="J44" s="29">
        <f>VLOOKUP(A44,BUFFS!$H$5:$AF$195,10,)</f>
        <v>0</v>
      </c>
      <c r="K44" s="30">
        <f>VLOOKUP(A44,BUFFS!$H$5:$AF$195,11,)</f>
        <v>0</v>
      </c>
      <c r="L44" s="30">
        <f>VLOOKUP(A44,BUFFS!$H$5:$AF$195,12,)</f>
        <v>0</v>
      </c>
      <c r="M44" s="30">
        <f>VLOOKUP(A44,BUFFS!$H$5:$AF$195,14,)</f>
        <v>0</v>
      </c>
      <c r="N44" s="32">
        <f t="shared" si="6"/>
        <v>0</v>
      </c>
      <c r="O44" s="29">
        <f>VLOOKUP(A44,BUFFS!$H$5:$AF$195,15,)</f>
        <v>0</v>
      </c>
      <c r="P44" s="30">
        <f>VLOOKUP(A44,BUFFS!$H$5:$AF$195,16,)</f>
        <v>0</v>
      </c>
      <c r="Q44" s="30">
        <f>VLOOKUP(A44,BUFFS!$H$5:$AF$195,17,)</f>
        <v>0</v>
      </c>
      <c r="R44" s="30">
        <f>VLOOKUP(A44,BUFFS!$H$5:$AF$195,19,)</f>
        <v>0</v>
      </c>
      <c r="S44" s="32">
        <f t="shared" si="7"/>
        <v>0</v>
      </c>
      <c r="T44" s="33">
        <f>VLOOKUP(A44,BUFFS!$H$5:$AF$195,20,)</f>
        <v>20</v>
      </c>
    </row>
    <row r="45" spans="1:27" x14ac:dyDescent="0.3">
      <c r="A45" s="17"/>
      <c r="B45" s="19"/>
      <c r="C45" s="13">
        <v>4</v>
      </c>
      <c r="D45" s="29" t="e">
        <f>VLOOKUP(A45,BUFFS!$H$5:$AF$195,5,)</f>
        <v>#N/A</v>
      </c>
      <c r="E45" s="30" t="e">
        <f>VLOOKUP(A45,BUFFS!$H$5:$AF$195,6,)</f>
        <v>#N/A</v>
      </c>
      <c r="F45" s="31" t="e">
        <f>VLOOKUP(A45,BUFFS!$H$5:$AF$195,7,)</f>
        <v>#N/A</v>
      </c>
      <c r="G45" s="30" t="e">
        <f>VLOOKUP(A45,BUFFS!$H$5:$AF$195,9,)</f>
        <v>#N/A</v>
      </c>
      <c r="H45" s="31" t="e">
        <f t="shared" si="5"/>
        <v>#N/A</v>
      </c>
      <c r="I45" s="40" t="str">
        <f>IFERROR(VLOOKUP(A45,BUFFS!$H$5:$AF$195,8,),"")</f>
        <v/>
      </c>
      <c r="J45" s="29" t="e">
        <f>VLOOKUP(A45,BUFFS!$H$5:$AF$195,10,)</f>
        <v>#N/A</v>
      </c>
      <c r="K45" s="30" t="e">
        <f>VLOOKUP(A45,BUFFS!$H$5:$AF$195,11,)</f>
        <v>#N/A</v>
      </c>
      <c r="L45" s="30" t="e">
        <f>VLOOKUP(A45,BUFFS!$H$5:$AF$195,12,)</f>
        <v>#N/A</v>
      </c>
      <c r="M45" s="30" t="e">
        <f>VLOOKUP(A45,BUFFS!$H$5:$AF$195,14,)</f>
        <v>#N/A</v>
      </c>
      <c r="N45" s="32" t="e">
        <f t="shared" si="6"/>
        <v>#N/A</v>
      </c>
      <c r="O45" s="29" t="e">
        <f>VLOOKUP(A45,BUFFS!$H$5:$AF$195,15,)</f>
        <v>#N/A</v>
      </c>
      <c r="P45" s="30" t="e">
        <f>VLOOKUP(A45,BUFFS!$H$5:$AF$195,16,)</f>
        <v>#N/A</v>
      </c>
      <c r="Q45" s="30" t="e">
        <f>VLOOKUP(A45,BUFFS!$H$5:$AF$195,17,)</f>
        <v>#N/A</v>
      </c>
      <c r="R45" s="30" t="e">
        <f>VLOOKUP(A45,BUFFS!$H$5:$AF$195,19,)</f>
        <v>#N/A</v>
      </c>
      <c r="S45" s="32" t="e">
        <f t="shared" si="7"/>
        <v>#N/A</v>
      </c>
      <c r="T45" s="33" t="e">
        <f>VLOOKUP(A45,BUFFS!$H$5:$AF$195,20,)</f>
        <v>#N/A</v>
      </c>
    </row>
    <row r="46" spans="1:27" x14ac:dyDescent="0.3">
      <c r="A46" s="17"/>
      <c r="B46" s="19"/>
      <c r="C46" s="13">
        <v>4</v>
      </c>
      <c r="D46" s="29" t="e">
        <f>VLOOKUP(A46,BUFFS!$H$5:$AF$195,5,)</f>
        <v>#N/A</v>
      </c>
      <c r="E46" s="30" t="e">
        <f>VLOOKUP(A46,BUFFS!$H$5:$AF$195,6,)</f>
        <v>#N/A</v>
      </c>
      <c r="F46" s="31" t="e">
        <f>VLOOKUP(A46,BUFFS!$H$5:$AF$195,7,)</f>
        <v>#N/A</v>
      </c>
      <c r="G46" s="30" t="e">
        <f>VLOOKUP(A46,BUFFS!$H$5:$AF$195,9,)</f>
        <v>#N/A</v>
      </c>
      <c r="H46" s="31" t="e">
        <f t="shared" si="5"/>
        <v>#N/A</v>
      </c>
      <c r="I46" s="40" t="str">
        <f>IFERROR(VLOOKUP(A46,BUFFS!$H$5:$AF$195,8,),"")</f>
        <v/>
      </c>
      <c r="J46" s="29" t="e">
        <f>VLOOKUP(A46,BUFFS!$H$5:$AF$195,10,)</f>
        <v>#N/A</v>
      </c>
      <c r="K46" s="30" t="e">
        <f>VLOOKUP(A46,BUFFS!$H$5:$AF$195,11,)</f>
        <v>#N/A</v>
      </c>
      <c r="L46" s="30" t="e">
        <f>VLOOKUP(A46,BUFFS!$H$5:$AF$195,12,)</f>
        <v>#N/A</v>
      </c>
      <c r="M46" s="30" t="e">
        <f>VLOOKUP(A46,BUFFS!$H$5:$AF$195,14,)</f>
        <v>#N/A</v>
      </c>
      <c r="N46" s="32" t="e">
        <f t="shared" si="6"/>
        <v>#N/A</v>
      </c>
      <c r="O46" s="29" t="e">
        <f>VLOOKUP(A46,BUFFS!$H$5:$AF$195,15,)</f>
        <v>#N/A</v>
      </c>
      <c r="P46" s="30" t="e">
        <f>VLOOKUP(A46,BUFFS!$H$5:$AF$195,16,)</f>
        <v>#N/A</v>
      </c>
      <c r="Q46" s="30" t="e">
        <f>VLOOKUP(A46,BUFFS!$H$5:$AF$195,17,)</f>
        <v>#N/A</v>
      </c>
      <c r="R46" s="30" t="e">
        <f>VLOOKUP(A46,BUFFS!$H$5:$AF$195,19,)</f>
        <v>#N/A</v>
      </c>
      <c r="S46" s="32" t="e">
        <f t="shared" si="7"/>
        <v>#N/A</v>
      </c>
      <c r="T46" s="33" t="e">
        <f>VLOOKUP(A46,BUFFS!$H$5:$AF$195,20,)</f>
        <v>#N/A</v>
      </c>
    </row>
    <row r="47" spans="1:27" x14ac:dyDescent="0.3">
      <c r="A47" s="17"/>
      <c r="B47" s="19"/>
      <c r="C47" s="13">
        <v>4</v>
      </c>
      <c r="D47" s="29" t="e">
        <f>VLOOKUP(A47,BUFFS!$H$5:$AF$195,5,)</f>
        <v>#N/A</v>
      </c>
      <c r="E47" s="30" t="e">
        <f>VLOOKUP(A47,BUFFS!$H$5:$AF$195,6,)</f>
        <v>#N/A</v>
      </c>
      <c r="F47" s="31" t="e">
        <f>VLOOKUP(A47,BUFFS!$H$5:$AF$195,7,)</f>
        <v>#N/A</v>
      </c>
      <c r="G47" s="30" t="e">
        <f>VLOOKUP(A47,BUFFS!$H$5:$AF$195,9,)</f>
        <v>#N/A</v>
      </c>
      <c r="H47" s="31" t="e">
        <f t="shared" si="5"/>
        <v>#N/A</v>
      </c>
      <c r="I47" s="40" t="str">
        <f>IFERROR(VLOOKUP(A47,BUFFS!$H$5:$AF$195,8,),"")</f>
        <v/>
      </c>
      <c r="J47" s="29" t="e">
        <f>VLOOKUP(A47,BUFFS!$H$5:$AF$195,10,)</f>
        <v>#N/A</v>
      </c>
      <c r="K47" s="30" t="e">
        <f>VLOOKUP(A47,BUFFS!$H$5:$AF$195,11,)</f>
        <v>#N/A</v>
      </c>
      <c r="L47" s="30" t="e">
        <f>VLOOKUP(A47,BUFFS!$H$5:$AF$195,12,)</f>
        <v>#N/A</v>
      </c>
      <c r="M47" s="30" t="e">
        <f>VLOOKUP(A47,BUFFS!$H$5:$AF$195,14,)</f>
        <v>#N/A</v>
      </c>
      <c r="N47" s="32" t="e">
        <f t="shared" si="6"/>
        <v>#N/A</v>
      </c>
      <c r="O47" s="29" t="e">
        <f>VLOOKUP(A47,BUFFS!$H$5:$AF$195,15,)</f>
        <v>#N/A</v>
      </c>
      <c r="P47" s="30" t="e">
        <f>VLOOKUP(A47,BUFFS!$H$5:$AF$195,16,)</f>
        <v>#N/A</v>
      </c>
      <c r="Q47" s="30" t="e">
        <f>VLOOKUP(A47,BUFFS!$H$5:$AF$195,17,)</f>
        <v>#N/A</v>
      </c>
      <c r="R47" s="30" t="e">
        <f>VLOOKUP(A47,BUFFS!$H$5:$AF$195,19,)</f>
        <v>#N/A</v>
      </c>
      <c r="S47" s="32" t="e">
        <f t="shared" si="7"/>
        <v>#N/A</v>
      </c>
      <c r="T47" s="33" t="e">
        <f>VLOOKUP(A47,BUFFS!$H$5:$AF$195,20,)</f>
        <v>#N/A</v>
      </c>
    </row>
    <row r="48" spans="1:27" x14ac:dyDescent="0.3">
      <c r="A48" s="17"/>
      <c r="B48" s="19"/>
      <c r="C48" s="13"/>
      <c r="D48" s="29" t="e">
        <f>VLOOKUP(A48,BUFFS!$H$5:$AF$195,5,)</f>
        <v>#N/A</v>
      </c>
      <c r="E48" s="30" t="e">
        <f>VLOOKUP(A48,BUFFS!$H$5:$AF$195,6,)</f>
        <v>#N/A</v>
      </c>
      <c r="F48" s="31" t="e">
        <f>VLOOKUP(A48,BUFFS!$H$5:$AF$195,7,)</f>
        <v>#N/A</v>
      </c>
      <c r="G48" s="30" t="e">
        <f>VLOOKUP(A48,BUFFS!$H$5:$AF$195,9,)</f>
        <v>#N/A</v>
      </c>
      <c r="H48" s="31" t="e">
        <f t="shared" si="5"/>
        <v>#N/A</v>
      </c>
      <c r="I48" s="40" t="str">
        <f>IFERROR(VLOOKUP(A48,BUFFS!$H$5:$AF$195,8,),"")</f>
        <v/>
      </c>
      <c r="J48" s="29" t="e">
        <f>VLOOKUP(A48,BUFFS!$H$5:$AF$195,10,)</f>
        <v>#N/A</v>
      </c>
      <c r="K48" s="30" t="e">
        <f>VLOOKUP(A48,BUFFS!$H$5:$AF$195,11,)</f>
        <v>#N/A</v>
      </c>
      <c r="L48" s="30" t="e">
        <f>VLOOKUP(A48,BUFFS!$H$5:$AF$195,12,)</f>
        <v>#N/A</v>
      </c>
      <c r="M48" s="30" t="e">
        <f>VLOOKUP(A48,BUFFS!$H$5:$AF$195,14,)</f>
        <v>#N/A</v>
      </c>
      <c r="N48" s="32" t="e">
        <f t="shared" si="6"/>
        <v>#N/A</v>
      </c>
      <c r="O48" s="29" t="e">
        <f>VLOOKUP(A48,BUFFS!$H$5:$AF$195,15,)</f>
        <v>#N/A</v>
      </c>
      <c r="P48" s="30" t="e">
        <f>VLOOKUP(A48,BUFFS!$H$5:$AF$195,16,)</f>
        <v>#N/A</v>
      </c>
      <c r="Q48" s="30" t="e">
        <f>VLOOKUP(A48,BUFFS!$H$5:$AF$195,17,)</f>
        <v>#N/A</v>
      </c>
      <c r="R48" s="30" t="e">
        <f>VLOOKUP(A48,BUFFS!$H$5:$AF$195,19,)</f>
        <v>#N/A</v>
      </c>
      <c r="S48" s="32" t="e">
        <f t="shared" si="7"/>
        <v>#N/A</v>
      </c>
      <c r="T48" s="33" t="e">
        <f>VLOOKUP(A48,BUFFS!$H$5:$AF$195,20,)</f>
        <v>#N/A</v>
      </c>
    </row>
    <row r="49" spans="1:20" x14ac:dyDescent="0.3">
      <c r="A49" s="17"/>
      <c r="B49" s="19"/>
      <c r="C49" s="13"/>
      <c r="D49" s="29" t="e">
        <f>VLOOKUP(A49,BUFFS!$H$5:$AF$195,5,)</f>
        <v>#N/A</v>
      </c>
      <c r="E49" s="30" t="e">
        <f>VLOOKUP(A49,BUFFS!$H$5:$AF$195,6,)</f>
        <v>#N/A</v>
      </c>
      <c r="F49" s="31" t="e">
        <f>VLOOKUP(A49,BUFFS!$H$5:$AF$195,7,)</f>
        <v>#N/A</v>
      </c>
      <c r="G49" s="30" t="e">
        <f>VLOOKUP(A49,BUFFS!$H$5:$AF$195,9,)</f>
        <v>#N/A</v>
      </c>
      <c r="H49" s="31" t="e">
        <f t="shared" si="5"/>
        <v>#N/A</v>
      </c>
      <c r="I49" s="40" t="str">
        <f>IFERROR(VLOOKUP(A49,BUFFS!$H$5:$AF$195,8,),"")</f>
        <v/>
      </c>
      <c r="J49" s="29" t="e">
        <f>VLOOKUP(A49,BUFFS!$H$5:$AF$195,10,)</f>
        <v>#N/A</v>
      </c>
      <c r="K49" s="30" t="e">
        <f>VLOOKUP(A49,BUFFS!$H$5:$AF$195,11,)</f>
        <v>#N/A</v>
      </c>
      <c r="L49" s="30" t="e">
        <f>VLOOKUP(A49,BUFFS!$H$5:$AF$195,12,)</f>
        <v>#N/A</v>
      </c>
      <c r="M49" s="30" t="e">
        <f>VLOOKUP(A49,BUFFS!$H$5:$AF$195,14,)</f>
        <v>#N/A</v>
      </c>
      <c r="N49" s="32" t="e">
        <f t="shared" si="6"/>
        <v>#N/A</v>
      </c>
      <c r="O49" s="29" t="e">
        <f>VLOOKUP(A49,BUFFS!$H$5:$AF$195,15,)</f>
        <v>#N/A</v>
      </c>
      <c r="P49" s="30" t="e">
        <f>VLOOKUP(A49,BUFFS!$H$5:$AF$195,16,)</f>
        <v>#N/A</v>
      </c>
      <c r="Q49" s="30" t="e">
        <f>VLOOKUP(A49,BUFFS!$H$5:$AF$195,17,)</f>
        <v>#N/A</v>
      </c>
      <c r="R49" s="30" t="e">
        <f>VLOOKUP(A49,BUFFS!$H$5:$AF$195,19,)</f>
        <v>#N/A</v>
      </c>
      <c r="S49" s="32" t="e">
        <f t="shared" si="7"/>
        <v>#N/A</v>
      </c>
      <c r="T49" s="33" t="e">
        <f>VLOOKUP(A49,BUFFS!$H$5:$AF$195,20,)</f>
        <v>#N/A</v>
      </c>
    </row>
    <row r="50" spans="1:20" x14ac:dyDescent="0.3">
      <c r="A50" s="17"/>
      <c r="B50" s="19"/>
      <c r="C50" s="13"/>
      <c r="D50" s="29" t="e">
        <f>VLOOKUP(A50,BUFFS!$H$5:$AF$195,5,)</f>
        <v>#N/A</v>
      </c>
      <c r="E50" s="30" t="e">
        <f>VLOOKUP(A50,BUFFS!$H$5:$AF$195,6,)</f>
        <v>#N/A</v>
      </c>
      <c r="F50" s="31" t="e">
        <f>VLOOKUP(A50,BUFFS!$H$5:$AF$195,7,)</f>
        <v>#N/A</v>
      </c>
      <c r="G50" s="30" t="e">
        <f>VLOOKUP(A50,BUFFS!$H$5:$AF$195,9,)</f>
        <v>#N/A</v>
      </c>
      <c r="H50" s="31" t="e">
        <f t="shared" si="5"/>
        <v>#N/A</v>
      </c>
      <c r="I50" s="40" t="str">
        <f>IFERROR(VLOOKUP(A50,BUFFS!$H$5:$AF$195,8,),"")</f>
        <v/>
      </c>
      <c r="J50" s="29" t="e">
        <f>VLOOKUP(A50,BUFFS!$H$5:$AF$195,10,)</f>
        <v>#N/A</v>
      </c>
      <c r="K50" s="30" t="e">
        <f>VLOOKUP(A50,BUFFS!$H$5:$AF$195,11,)</f>
        <v>#N/A</v>
      </c>
      <c r="L50" s="30" t="e">
        <f>VLOOKUP(A50,BUFFS!$H$5:$AF$195,12,)</f>
        <v>#N/A</v>
      </c>
      <c r="M50" s="30" t="e">
        <f>VLOOKUP(A50,BUFFS!$H$5:$AF$195,14,)</f>
        <v>#N/A</v>
      </c>
      <c r="N50" s="32" t="e">
        <f t="shared" si="6"/>
        <v>#N/A</v>
      </c>
      <c r="O50" s="29" t="e">
        <f>VLOOKUP(A50,BUFFS!$H$5:$AF$195,15,)</f>
        <v>#N/A</v>
      </c>
      <c r="P50" s="30" t="e">
        <f>VLOOKUP(A50,BUFFS!$H$5:$AF$195,16,)</f>
        <v>#N/A</v>
      </c>
      <c r="Q50" s="30" t="e">
        <f>VLOOKUP(A50,BUFFS!$H$5:$AF$195,17,)</f>
        <v>#N/A</v>
      </c>
      <c r="R50" s="30" t="e">
        <f>VLOOKUP(A50,BUFFS!$H$5:$AF$195,19,)</f>
        <v>#N/A</v>
      </c>
      <c r="S50" s="32" t="e">
        <f t="shared" si="7"/>
        <v>#N/A</v>
      </c>
      <c r="T50" s="33" t="e">
        <f>VLOOKUP(A50,BUFFS!$H$5:$AF$195,20,)</f>
        <v>#N/A</v>
      </c>
    </row>
    <row r="51" spans="1:20" x14ac:dyDescent="0.3">
      <c r="A51" s="17"/>
      <c r="B51" s="19"/>
      <c r="C51" s="13"/>
      <c r="D51" s="29" t="e">
        <f>VLOOKUP(A51,BUFFS!$H$5:$AF$195,5,)</f>
        <v>#N/A</v>
      </c>
      <c r="E51" s="30" t="e">
        <f>VLOOKUP(A51,BUFFS!$H$5:$AF$195,6,)</f>
        <v>#N/A</v>
      </c>
      <c r="F51" s="31" t="e">
        <f>VLOOKUP(A51,BUFFS!$H$5:$AF$195,7,)</f>
        <v>#N/A</v>
      </c>
      <c r="G51" s="30" t="e">
        <f>VLOOKUP(A51,BUFFS!$H$5:$AF$195,9,)</f>
        <v>#N/A</v>
      </c>
      <c r="H51" s="31" t="e">
        <f t="shared" si="5"/>
        <v>#N/A</v>
      </c>
      <c r="I51" s="40" t="str">
        <f>IFERROR(VLOOKUP(A51,BUFFS!$H$5:$AF$195,8,),"")</f>
        <v/>
      </c>
      <c r="J51" s="29" t="e">
        <f>VLOOKUP(A51,BUFFS!$H$5:$AF$195,10,)</f>
        <v>#N/A</v>
      </c>
      <c r="K51" s="30" t="e">
        <f>VLOOKUP(A51,BUFFS!$H$5:$AF$195,11,)</f>
        <v>#N/A</v>
      </c>
      <c r="L51" s="30" t="e">
        <f>VLOOKUP(A51,BUFFS!$H$5:$AF$195,12,)</f>
        <v>#N/A</v>
      </c>
      <c r="M51" s="30" t="e">
        <f>VLOOKUP(A51,BUFFS!$H$5:$AF$195,14,)</f>
        <v>#N/A</v>
      </c>
      <c r="N51" s="32" t="e">
        <f t="shared" si="6"/>
        <v>#N/A</v>
      </c>
      <c r="O51" s="29" t="e">
        <f>VLOOKUP(A51,BUFFS!$H$5:$AF$195,15,)</f>
        <v>#N/A</v>
      </c>
      <c r="P51" s="30" t="e">
        <f>VLOOKUP(A51,BUFFS!$H$5:$AF$195,16,)</f>
        <v>#N/A</v>
      </c>
      <c r="Q51" s="30" t="e">
        <f>VLOOKUP(A51,BUFFS!$H$5:$AF$195,17,)</f>
        <v>#N/A</v>
      </c>
      <c r="R51" s="30" t="e">
        <f>VLOOKUP(A51,BUFFS!$H$5:$AF$195,19,)</f>
        <v>#N/A</v>
      </c>
      <c r="S51" s="32" t="e">
        <f t="shared" si="7"/>
        <v>#N/A</v>
      </c>
      <c r="T51" s="33" t="e">
        <f>VLOOKUP(A51,BUFFS!$H$5:$AF$195,20,)</f>
        <v>#N/A</v>
      </c>
    </row>
    <row r="52" spans="1:20" x14ac:dyDescent="0.3">
      <c r="A52" s="17"/>
      <c r="B52" s="19"/>
      <c r="C52" s="13"/>
      <c r="D52" s="29" t="e">
        <f>VLOOKUP(A52,BUFFS!$H$5:$AF$195,5,)</f>
        <v>#N/A</v>
      </c>
      <c r="E52" s="30" t="e">
        <f>VLOOKUP(A52,BUFFS!$H$5:$AF$195,6,)</f>
        <v>#N/A</v>
      </c>
      <c r="F52" s="31" t="e">
        <f>VLOOKUP(A52,BUFFS!$H$5:$AF$195,7,)</f>
        <v>#N/A</v>
      </c>
      <c r="G52" s="30" t="e">
        <f>VLOOKUP(A52,BUFFS!$H$5:$AF$195,9,)</f>
        <v>#N/A</v>
      </c>
      <c r="H52" s="31" t="e">
        <f t="shared" si="5"/>
        <v>#N/A</v>
      </c>
      <c r="I52" s="40" t="str">
        <f>IFERROR(VLOOKUP(A52,BUFFS!$H$5:$AF$195,8,),"")</f>
        <v/>
      </c>
      <c r="J52" s="29" t="e">
        <f>VLOOKUP(A52,BUFFS!$H$5:$AF$195,10,)</f>
        <v>#N/A</v>
      </c>
      <c r="K52" s="30" t="e">
        <f>VLOOKUP(A52,BUFFS!$H$5:$AF$195,11,)</f>
        <v>#N/A</v>
      </c>
      <c r="L52" s="30" t="e">
        <f>VLOOKUP(A52,BUFFS!$H$5:$AF$195,12,)</f>
        <v>#N/A</v>
      </c>
      <c r="M52" s="30" t="e">
        <f>VLOOKUP(A52,BUFFS!$H$5:$AF$195,14,)</f>
        <v>#N/A</v>
      </c>
      <c r="N52" s="32" t="e">
        <f t="shared" si="6"/>
        <v>#N/A</v>
      </c>
      <c r="O52" s="29" t="e">
        <f>VLOOKUP(A52,BUFFS!$H$5:$AF$195,15,)</f>
        <v>#N/A</v>
      </c>
      <c r="P52" s="30" t="e">
        <f>VLOOKUP(A52,BUFFS!$H$5:$AF$195,16,)</f>
        <v>#N/A</v>
      </c>
      <c r="Q52" s="30" t="e">
        <f>VLOOKUP(A52,BUFFS!$H$5:$AF$195,17,)</f>
        <v>#N/A</v>
      </c>
      <c r="R52" s="30" t="e">
        <f>VLOOKUP(A52,BUFFS!$H$5:$AF$195,19,)</f>
        <v>#N/A</v>
      </c>
      <c r="S52" s="32" t="e">
        <f t="shared" si="7"/>
        <v>#N/A</v>
      </c>
      <c r="T52" s="33" t="e">
        <f>VLOOKUP(A52,BUFFS!$H$5:$AF$195,20,)</f>
        <v>#N/A</v>
      </c>
    </row>
    <row r="53" spans="1:20" x14ac:dyDescent="0.3">
      <c r="A53" s="17"/>
      <c r="B53" s="19"/>
      <c r="C53" s="13"/>
      <c r="D53" s="29" t="e">
        <f>VLOOKUP(A53,BUFFS!$H$5:$AF$195,5,)</f>
        <v>#N/A</v>
      </c>
      <c r="E53" s="30" t="e">
        <f>VLOOKUP(A53,BUFFS!$H$5:$AF$195,6,)</f>
        <v>#N/A</v>
      </c>
      <c r="F53" s="31" t="e">
        <f>VLOOKUP(A53,BUFFS!$H$5:$AF$195,7,)</f>
        <v>#N/A</v>
      </c>
      <c r="G53" s="30" t="e">
        <f>VLOOKUP(A53,BUFFS!$H$5:$AF$195,9,)</f>
        <v>#N/A</v>
      </c>
      <c r="H53" s="31" t="e">
        <f t="shared" si="5"/>
        <v>#N/A</v>
      </c>
      <c r="I53" s="40" t="str">
        <f>IFERROR(VLOOKUP(A53,BUFFS!$H$5:$AF$195,8,),"")</f>
        <v/>
      </c>
      <c r="J53" s="29" t="e">
        <f>VLOOKUP(A53,BUFFS!$H$5:$AF$195,10,)</f>
        <v>#N/A</v>
      </c>
      <c r="K53" s="30" t="e">
        <f>VLOOKUP(A53,BUFFS!$H$5:$AF$195,11,)</f>
        <v>#N/A</v>
      </c>
      <c r="L53" s="30" t="e">
        <f>VLOOKUP(A53,BUFFS!$H$5:$AF$195,12,)</f>
        <v>#N/A</v>
      </c>
      <c r="M53" s="30" t="e">
        <f>VLOOKUP(A53,BUFFS!$H$5:$AF$195,14,)</f>
        <v>#N/A</v>
      </c>
      <c r="N53" s="32" t="e">
        <f t="shared" si="6"/>
        <v>#N/A</v>
      </c>
      <c r="O53" s="29" t="e">
        <f>VLOOKUP(A53,BUFFS!$H$5:$AF$195,15,)</f>
        <v>#N/A</v>
      </c>
      <c r="P53" s="30" t="e">
        <f>VLOOKUP(A53,BUFFS!$H$5:$AF$195,16,)</f>
        <v>#N/A</v>
      </c>
      <c r="Q53" s="30" t="e">
        <f>VLOOKUP(A53,BUFFS!$H$5:$AF$195,17,)</f>
        <v>#N/A</v>
      </c>
      <c r="R53" s="30" t="e">
        <f>VLOOKUP(A53,BUFFS!$H$5:$AF$195,19,)</f>
        <v>#N/A</v>
      </c>
      <c r="S53" s="32" t="e">
        <f t="shared" si="7"/>
        <v>#N/A</v>
      </c>
      <c r="T53" s="33" t="e">
        <f>VLOOKUP(A53,BUFFS!$H$5:$AF$195,20,)</f>
        <v>#N/A</v>
      </c>
    </row>
    <row r="54" spans="1:20" x14ac:dyDescent="0.3">
      <c r="A54" s="17"/>
      <c r="B54" s="19"/>
      <c r="C54" s="13"/>
      <c r="D54" s="29" t="e">
        <f>VLOOKUP(A54,BUFFS!$H$5:$AF$195,5,)</f>
        <v>#N/A</v>
      </c>
      <c r="E54" s="30" t="e">
        <f>VLOOKUP(A54,BUFFS!$H$5:$AF$195,6,)</f>
        <v>#N/A</v>
      </c>
      <c r="F54" s="31" t="e">
        <f>VLOOKUP(A54,BUFFS!$H$5:$AF$195,7,)</f>
        <v>#N/A</v>
      </c>
      <c r="G54" s="30" t="e">
        <f>VLOOKUP(A54,BUFFS!$H$5:$AF$195,9,)</f>
        <v>#N/A</v>
      </c>
      <c r="H54" s="31" t="e">
        <f t="shared" si="5"/>
        <v>#N/A</v>
      </c>
      <c r="I54" s="40" t="str">
        <f>IFERROR(VLOOKUP(A54,BUFFS!$H$5:$AF$195,8,),"")</f>
        <v/>
      </c>
      <c r="J54" s="29" t="e">
        <f>VLOOKUP(A54,BUFFS!$H$5:$AF$195,10,)</f>
        <v>#N/A</v>
      </c>
      <c r="K54" s="30" t="e">
        <f>VLOOKUP(A54,BUFFS!$H$5:$AF$195,11,)</f>
        <v>#N/A</v>
      </c>
      <c r="L54" s="30" t="e">
        <f>VLOOKUP(A54,BUFFS!$H$5:$AF$195,12,)</f>
        <v>#N/A</v>
      </c>
      <c r="M54" s="30" t="e">
        <f>VLOOKUP(A54,BUFFS!$H$5:$AF$195,14,)</f>
        <v>#N/A</v>
      </c>
      <c r="N54" s="32" t="e">
        <f t="shared" si="6"/>
        <v>#N/A</v>
      </c>
      <c r="O54" s="29" t="e">
        <f>VLOOKUP(A54,BUFFS!$H$5:$AF$195,15,)</f>
        <v>#N/A</v>
      </c>
      <c r="P54" s="30" t="e">
        <f>VLOOKUP(A54,BUFFS!$H$5:$AF$195,16,)</f>
        <v>#N/A</v>
      </c>
      <c r="Q54" s="30" t="e">
        <f>VLOOKUP(A54,BUFFS!$H$5:$AF$195,17,)</f>
        <v>#N/A</v>
      </c>
      <c r="R54" s="30" t="e">
        <f>VLOOKUP(A54,BUFFS!$H$5:$AF$195,19,)</f>
        <v>#N/A</v>
      </c>
      <c r="S54" s="32" t="e">
        <f t="shared" si="7"/>
        <v>#N/A</v>
      </c>
      <c r="T54" s="33" t="e">
        <f>VLOOKUP(A54,BUFFS!$H$5:$AF$195,20,)</f>
        <v>#N/A</v>
      </c>
    </row>
    <row r="55" spans="1:20" x14ac:dyDescent="0.3">
      <c r="A55" s="17"/>
      <c r="B55" s="19"/>
      <c r="C55" s="13"/>
      <c r="D55" s="29" t="e">
        <f>VLOOKUP(A55,BUFFS!$H$5:$AF$195,5,)</f>
        <v>#N/A</v>
      </c>
      <c r="E55" s="30" t="e">
        <f>VLOOKUP(A55,BUFFS!$H$5:$AF$195,6,)</f>
        <v>#N/A</v>
      </c>
      <c r="F55" s="31" t="e">
        <f>VLOOKUP(A55,BUFFS!$H$5:$AF$195,7,)</f>
        <v>#N/A</v>
      </c>
      <c r="G55" s="30" t="e">
        <f>VLOOKUP(A55,BUFFS!$H$5:$AF$195,9,)</f>
        <v>#N/A</v>
      </c>
      <c r="H55" s="31" t="e">
        <f t="shared" si="5"/>
        <v>#N/A</v>
      </c>
      <c r="I55" s="40" t="str">
        <f>IFERROR(VLOOKUP(A55,BUFFS!$H$5:$AF$195,8,),"")</f>
        <v/>
      </c>
      <c r="J55" s="29" t="e">
        <f>VLOOKUP(A55,BUFFS!$H$5:$AF$195,10,)</f>
        <v>#N/A</v>
      </c>
      <c r="K55" s="30" t="e">
        <f>VLOOKUP(A55,BUFFS!$H$5:$AF$195,11,)</f>
        <v>#N/A</v>
      </c>
      <c r="L55" s="30" t="e">
        <f>VLOOKUP(A55,BUFFS!$H$5:$AF$195,12,)</f>
        <v>#N/A</v>
      </c>
      <c r="M55" s="30" t="e">
        <f>VLOOKUP(A55,BUFFS!$H$5:$AF$195,14,)</f>
        <v>#N/A</v>
      </c>
      <c r="N55" s="32" t="e">
        <f t="shared" si="6"/>
        <v>#N/A</v>
      </c>
      <c r="O55" s="29" t="e">
        <f>VLOOKUP(A55,BUFFS!$H$5:$AF$195,15,)</f>
        <v>#N/A</v>
      </c>
      <c r="P55" s="30" t="e">
        <f>VLOOKUP(A55,BUFFS!$H$5:$AF$195,16,)</f>
        <v>#N/A</v>
      </c>
      <c r="Q55" s="30" t="e">
        <f>VLOOKUP(A55,BUFFS!$H$5:$AF$195,17,)</f>
        <v>#N/A</v>
      </c>
      <c r="R55" s="30" t="e">
        <f>VLOOKUP(A55,BUFFS!$H$5:$AF$195,19,)</f>
        <v>#N/A</v>
      </c>
      <c r="S55" s="32" t="e">
        <f t="shared" si="7"/>
        <v>#N/A</v>
      </c>
      <c r="T55" s="33" t="e">
        <f>VLOOKUP(A55,BUFFS!$H$5:$AF$195,20,)</f>
        <v>#N/A</v>
      </c>
    </row>
    <row r="56" spans="1:20" x14ac:dyDescent="0.3">
      <c r="A56" s="17"/>
      <c r="B56" s="19"/>
      <c r="C56" s="13"/>
      <c r="D56" s="29" t="e">
        <f>VLOOKUP(A56,BUFFS!$H$5:$AF$195,5,)</f>
        <v>#N/A</v>
      </c>
      <c r="E56" s="30" t="e">
        <f>VLOOKUP(A56,BUFFS!$H$5:$AF$195,6,)</f>
        <v>#N/A</v>
      </c>
      <c r="F56" s="31" t="e">
        <f>VLOOKUP(A56,BUFFS!$H$5:$AF$195,7,)</f>
        <v>#N/A</v>
      </c>
      <c r="G56" s="30" t="e">
        <f>VLOOKUP(A56,BUFFS!$H$5:$AF$195,9,)</f>
        <v>#N/A</v>
      </c>
      <c r="H56" s="31" t="e">
        <f t="shared" si="5"/>
        <v>#N/A</v>
      </c>
      <c r="I56" s="40" t="str">
        <f>IFERROR(VLOOKUP(A56,BUFFS!$H$5:$AF$195,8,),"")</f>
        <v/>
      </c>
      <c r="J56" s="29" t="e">
        <f>VLOOKUP(A56,BUFFS!$H$5:$AF$195,10,)</f>
        <v>#N/A</v>
      </c>
      <c r="K56" s="30" t="e">
        <f>VLOOKUP(A56,BUFFS!$H$5:$AF$195,11,)</f>
        <v>#N/A</v>
      </c>
      <c r="L56" s="30" t="e">
        <f>VLOOKUP(A56,BUFFS!$H$5:$AF$195,12,)</f>
        <v>#N/A</v>
      </c>
      <c r="M56" s="30" t="e">
        <f>VLOOKUP(A56,BUFFS!$H$5:$AF$195,14,)</f>
        <v>#N/A</v>
      </c>
      <c r="N56" s="32" t="e">
        <f t="shared" si="6"/>
        <v>#N/A</v>
      </c>
      <c r="O56" s="29" t="e">
        <f>VLOOKUP(A56,BUFFS!$H$5:$AF$195,15,)</f>
        <v>#N/A</v>
      </c>
      <c r="P56" s="30" t="e">
        <f>VLOOKUP(A56,BUFFS!$H$5:$AF$195,16,)</f>
        <v>#N/A</v>
      </c>
      <c r="Q56" s="30" t="e">
        <f>VLOOKUP(A56,BUFFS!$H$5:$AF$195,17,)</f>
        <v>#N/A</v>
      </c>
      <c r="R56" s="30" t="e">
        <f>VLOOKUP(A56,BUFFS!$H$5:$AF$195,19,)</f>
        <v>#N/A</v>
      </c>
      <c r="S56" s="32" t="e">
        <f t="shared" si="7"/>
        <v>#N/A</v>
      </c>
      <c r="T56" s="33" t="e">
        <f>VLOOKUP(A56,BUFFS!$H$5:$AF$195,20,)</f>
        <v>#N/A</v>
      </c>
    </row>
    <row r="57" spans="1:20" x14ac:dyDescent="0.3">
      <c r="B57" s="19"/>
      <c r="C57" s="13"/>
      <c r="D57" s="29" t="e">
        <f>VLOOKUP(A57,BUFFS!$H$5:$AF$195,5,)</f>
        <v>#N/A</v>
      </c>
      <c r="E57" s="30" t="e">
        <f>VLOOKUP(A57,BUFFS!$H$5:$AF$195,6,)</f>
        <v>#N/A</v>
      </c>
      <c r="F57" s="31" t="e">
        <f>VLOOKUP(A57,BUFFS!$H$5:$AF$195,7,)</f>
        <v>#N/A</v>
      </c>
      <c r="G57" s="30" t="e">
        <f>VLOOKUP(A57,BUFFS!$H$5:$AF$195,9,)</f>
        <v>#N/A</v>
      </c>
      <c r="H57" s="31" t="e">
        <f t="shared" si="5"/>
        <v>#N/A</v>
      </c>
      <c r="I57" s="40" t="str">
        <f>IFERROR(VLOOKUP(A57,BUFFS!$H$5:$AF$195,8,),"")</f>
        <v/>
      </c>
      <c r="J57" s="29" t="e">
        <f>VLOOKUP(A57,BUFFS!$H$5:$AF$195,10,)</f>
        <v>#N/A</v>
      </c>
      <c r="K57" s="30" t="e">
        <f>VLOOKUP(A57,BUFFS!$H$5:$AF$195,11,)</f>
        <v>#N/A</v>
      </c>
      <c r="L57" s="30" t="e">
        <f>VLOOKUP(A57,BUFFS!$H$5:$AF$195,12,)</f>
        <v>#N/A</v>
      </c>
      <c r="M57" s="30" t="e">
        <f>VLOOKUP(A57,BUFFS!$H$5:$AF$195,14,)</f>
        <v>#N/A</v>
      </c>
      <c r="N57" s="32" t="e">
        <f t="shared" si="6"/>
        <v>#N/A</v>
      </c>
      <c r="O57" s="29" t="e">
        <f>VLOOKUP(A57,BUFFS!$H$5:$AF$195,15,)</f>
        <v>#N/A</v>
      </c>
      <c r="P57" s="30" t="e">
        <f>VLOOKUP(A57,BUFFS!$H$5:$AF$195,16,)</f>
        <v>#N/A</v>
      </c>
      <c r="Q57" s="30" t="e">
        <f>VLOOKUP(A57,BUFFS!$H$5:$AF$195,17,)</f>
        <v>#N/A</v>
      </c>
      <c r="R57" s="30" t="e">
        <f>VLOOKUP(A57,BUFFS!$H$5:$AF$195,19,)</f>
        <v>#N/A</v>
      </c>
      <c r="S57" s="32" t="e">
        <f t="shared" si="7"/>
        <v>#N/A</v>
      </c>
      <c r="T57" s="33" t="e">
        <f>VLOOKUP(A57,BUFFS!$H$5:$AF$195,20,)</f>
        <v>#N/A</v>
      </c>
    </row>
    <row r="58" spans="1:20" x14ac:dyDescent="0.3">
      <c r="B58" s="19"/>
      <c r="C58" s="13"/>
      <c r="D58" s="29" t="e">
        <f>VLOOKUP(A58,BUFFS!$H$5:$AF$195,5,)</f>
        <v>#N/A</v>
      </c>
      <c r="E58" s="30" t="e">
        <f>VLOOKUP(A58,BUFFS!$H$5:$AF$195,6,)</f>
        <v>#N/A</v>
      </c>
      <c r="F58" s="31" t="e">
        <f>VLOOKUP(A58,BUFFS!$H$5:$AF$195,7,)</f>
        <v>#N/A</v>
      </c>
      <c r="G58" s="30" t="e">
        <f>VLOOKUP(A58,BUFFS!$H$5:$AF$195,9,)</f>
        <v>#N/A</v>
      </c>
      <c r="H58" s="31" t="e">
        <f t="shared" si="5"/>
        <v>#N/A</v>
      </c>
      <c r="I58" s="40" t="str">
        <f>IFERROR(VLOOKUP(A58,BUFFS!$H$5:$AF$195,8,),"")</f>
        <v/>
      </c>
      <c r="J58" s="29" t="e">
        <f>VLOOKUP(A58,BUFFS!$H$5:$AF$195,10,)</f>
        <v>#N/A</v>
      </c>
      <c r="K58" s="30" t="e">
        <f>VLOOKUP(A58,BUFFS!$H$5:$AF$195,11,)</f>
        <v>#N/A</v>
      </c>
      <c r="L58" s="30" t="e">
        <f>VLOOKUP(A58,BUFFS!$H$5:$AF$195,12,)</f>
        <v>#N/A</v>
      </c>
      <c r="M58" s="30" t="e">
        <f>VLOOKUP(A58,BUFFS!$H$5:$AF$195,14,)</f>
        <v>#N/A</v>
      </c>
      <c r="N58" s="32" t="e">
        <f t="shared" si="6"/>
        <v>#N/A</v>
      </c>
      <c r="O58" s="29" t="e">
        <f>VLOOKUP(A58,BUFFS!$H$5:$AF$195,15,)</f>
        <v>#N/A</v>
      </c>
      <c r="P58" s="30" t="e">
        <f>VLOOKUP(A58,BUFFS!$H$5:$AF$195,16,)</f>
        <v>#N/A</v>
      </c>
      <c r="Q58" s="30" t="e">
        <f>VLOOKUP(A58,BUFFS!$H$5:$AF$195,17,)</f>
        <v>#N/A</v>
      </c>
      <c r="R58" s="30" t="e">
        <f>VLOOKUP(A58,BUFFS!$H$5:$AF$195,19,)</f>
        <v>#N/A</v>
      </c>
      <c r="S58" s="32" t="e">
        <f t="shared" si="7"/>
        <v>#N/A</v>
      </c>
      <c r="T58" s="33" t="e">
        <f>VLOOKUP(A58,BUFFS!$H$5:$AF$195,20,)</f>
        <v>#N/A</v>
      </c>
    </row>
    <row r="59" spans="1:20" x14ac:dyDescent="0.3">
      <c r="B59" s="19"/>
      <c r="C59" s="13"/>
      <c r="D59" s="34"/>
      <c r="E59" s="30"/>
      <c r="F59" s="30"/>
      <c r="G59" s="30"/>
      <c r="H59" s="30"/>
      <c r="I59" s="40" t="str">
        <f>IFERROR(VLOOKUP(A59,BUFFS!$H$5:$AF$195,8,),"")</f>
        <v/>
      </c>
      <c r="J59" s="34"/>
      <c r="K59" s="30"/>
      <c r="L59" s="30"/>
      <c r="M59" s="30"/>
      <c r="N59" s="32"/>
      <c r="O59" s="34"/>
      <c r="P59" s="30"/>
      <c r="Q59" s="30"/>
      <c r="R59" s="30"/>
      <c r="S59" s="32"/>
      <c r="T59" s="33"/>
    </row>
    <row r="60" spans="1:20" x14ac:dyDescent="0.3">
      <c r="B60" s="19"/>
      <c r="C60" s="13"/>
      <c r="D60" s="34"/>
      <c r="E60" s="30"/>
      <c r="F60" s="30"/>
      <c r="G60" s="30"/>
      <c r="H60" s="30"/>
      <c r="I60" s="40" t="str">
        <f>IFERROR(VLOOKUP(A60,BUFFS!$H$5:$AF$195,8,),"")</f>
        <v/>
      </c>
      <c r="J60" s="34"/>
      <c r="K60" s="30"/>
      <c r="L60" s="30"/>
      <c r="M60" s="30"/>
      <c r="N60" s="32"/>
      <c r="O60" s="34"/>
      <c r="P60" s="30"/>
      <c r="Q60" s="30"/>
      <c r="R60" s="30"/>
      <c r="S60" s="32"/>
      <c r="T60" s="33"/>
    </row>
    <row r="61" spans="1:20" x14ac:dyDescent="0.3">
      <c r="B61" s="19"/>
      <c r="C61" s="13"/>
      <c r="D61" s="34"/>
      <c r="E61" s="30"/>
      <c r="F61" s="30"/>
      <c r="G61" s="30"/>
      <c r="H61" s="30"/>
      <c r="I61" s="40" t="str">
        <f>IFERROR(VLOOKUP(A61,BUFFS!$H$5:$AF$195,8,),"")</f>
        <v/>
      </c>
      <c r="J61" s="34"/>
      <c r="K61" s="30"/>
      <c r="L61" s="30"/>
      <c r="M61" s="30"/>
      <c r="N61" s="32"/>
      <c r="O61" s="34"/>
      <c r="P61" s="30"/>
      <c r="Q61" s="30"/>
      <c r="R61" s="30"/>
      <c r="S61" s="32"/>
      <c r="T61" s="33"/>
    </row>
    <row r="62" spans="1:20" x14ac:dyDescent="0.3">
      <c r="B62" s="19"/>
      <c r="C62" s="13"/>
      <c r="D62" s="34"/>
      <c r="E62" s="30"/>
      <c r="F62" s="30"/>
      <c r="G62" s="30"/>
      <c r="H62" s="30"/>
      <c r="I62" s="40" t="str">
        <f>IFERROR(VLOOKUP(A62,BUFFS!$H$5:$AF$195,8,),"")</f>
        <v/>
      </c>
      <c r="J62" s="34"/>
      <c r="K62" s="30"/>
      <c r="L62" s="30"/>
      <c r="M62" s="30"/>
      <c r="N62" s="32"/>
      <c r="O62" s="34"/>
      <c r="P62" s="30"/>
      <c r="Q62" s="30"/>
      <c r="R62" s="30"/>
      <c r="S62" s="32"/>
      <c r="T62" s="33"/>
    </row>
    <row r="63" spans="1:20" x14ac:dyDescent="0.3">
      <c r="B63" s="19"/>
      <c r="C63" s="13"/>
      <c r="D63" s="34"/>
      <c r="E63" s="30"/>
      <c r="F63" s="30"/>
      <c r="G63" s="30"/>
      <c r="H63" s="30"/>
      <c r="I63" s="40" t="str">
        <f>IFERROR(VLOOKUP(A63,BUFFS!$H$5:$AF$195,8,),"")</f>
        <v/>
      </c>
      <c r="J63" s="34"/>
      <c r="K63" s="30"/>
      <c r="L63" s="30"/>
      <c r="M63" s="30"/>
      <c r="N63" s="32"/>
      <c r="O63" s="34"/>
      <c r="P63" s="30"/>
      <c r="Q63" s="30"/>
      <c r="R63" s="30"/>
      <c r="S63" s="32"/>
      <c r="T63" s="33"/>
    </row>
    <row r="64" spans="1:20" x14ac:dyDescent="0.3">
      <c r="B64" s="19"/>
      <c r="C64" s="13"/>
      <c r="D64" s="34"/>
      <c r="E64" s="30"/>
      <c r="F64" s="30"/>
      <c r="G64" s="30"/>
      <c r="H64" s="30"/>
      <c r="I64" s="40" t="str">
        <f>IFERROR(VLOOKUP(A64,BUFFS!$H$5:$AF$195,8,),"")</f>
        <v/>
      </c>
      <c r="J64" s="34"/>
      <c r="K64" s="30"/>
      <c r="L64" s="30"/>
      <c r="M64" s="30"/>
      <c r="N64" s="32"/>
      <c r="O64" s="34"/>
      <c r="P64" s="30"/>
      <c r="Q64" s="30"/>
      <c r="R64" s="30"/>
      <c r="S64" s="32"/>
      <c r="T64" s="33"/>
    </row>
    <row r="65" spans="2:20" x14ac:dyDescent="0.3">
      <c r="B65" s="19"/>
      <c r="C65" s="13"/>
      <c r="D65" s="34"/>
      <c r="E65" s="30"/>
      <c r="F65" s="30"/>
      <c r="G65" s="30"/>
      <c r="H65" s="30"/>
      <c r="I65" s="40" t="str">
        <f>IFERROR(VLOOKUP(A65,BUFFS!$H$5:$AF$195,8,),"")</f>
        <v/>
      </c>
      <c r="J65" s="34"/>
      <c r="K65" s="30"/>
      <c r="L65" s="30"/>
      <c r="M65" s="30"/>
      <c r="N65" s="32"/>
      <c r="O65" s="34"/>
      <c r="P65" s="30"/>
      <c r="Q65" s="30"/>
      <c r="R65" s="30"/>
      <c r="S65" s="32"/>
      <c r="T65" s="33"/>
    </row>
    <row r="66" spans="2:20" x14ac:dyDescent="0.3">
      <c r="B66" s="19"/>
      <c r="C66" s="13"/>
      <c r="D66" s="34"/>
      <c r="E66" s="30"/>
      <c r="F66" s="30"/>
      <c r="G66" s="30"/>
      <c r="H66" s="30"/>
      <c r="I66" s="40" t="str">
        <f>IFERROR(VLOOKUP(A66,BUFFS!$H$5:$AF$195,8,),"")</f>
        <v/>
      </c>
      <c r="J66" s="34"/>
      <c r="K66" s="30"/>
      <c r="L66" s="30"/>
      <c r="M66" s="30"/>
      <c r="N66" s="32"/>
      <c r="O66" s="34"/>
      <c r="P66" s="30"/>
      <c r="Q66" s="30"/>
      <c r="R66" s="30"/>
      <c r="S66" s="32"/>
      <c r="T66" s="33"/>
    </row>
    <row r="67" spans="2:20" x14ac:dyDescent="0.3">
      <c r="B67" s="19"/>
      <c r="C67" s="13"/>
      <c r="D67" s="34"/>
      <c r="E67" s="30"/>
      <c r="F67" s="30"/>
      <c r="G67" s="30"/>
      <c r="H67" s="30"/>
      <c r="I67" s="40" t="str">
        <f>IFERROR(VLOOKUP(A67,BUFFS!$H$5:$AF$195,8,),"")</f>
        <v/>
      </c>
      <c r="J67" s="34"/>
      <c r="K67" s="30"/>
      <c r="L67" s="30"/>
      <c r="M67" s="30"/>
      <c r="N67" s="32"/>
      <c r="O67" s="34"/>
      <c r="P67" s="30"/>
      <c r="Q67" s="30"/>
      <c r="R67" s="30"/>
      <c r="S67" s="32"/>
      <c r="T67" s="33"/>
    </row>
    <row r="68" spans="2:20" x14ac:dyDescent="0.3">
      <c r="B68" s="19"/>
      <c r="C68" s="13"/>
      <c r="D68" s="34"/>
      <c r="E68" s="30"/>
      <c r="F68" s="30"/>
      <c r="G68" s="30"/>
      <c r="H68" s="30"/>
      <c r="I68" s="40" t="str">
        <f>IFERROR(VLOOKUP(A68,BUFFS!$H$5:$AF$195,8,),"")</f>
        <v/>
      </c>
      <c r="J68" s="34"/>
      <c r="K68" s="30"/>
      <c r="L68" s="30"/>
      <c r="M68" s="30"/>
      <c r="N68" s="32"/>
      <c r="O68" s="34"/>
      <c r="P68" s="30"/>
      <c r="Q68" s="30"/>
      <c r="R68" s="30"/>
      <c r="S68" s="32"/>
      <c r="T68" s="33"/>
    </row>
    <row r="69" spans="2:20" x14ac:dyDescent="0.3">
      <c r="B69" s="19"/>
      <c r="C69" s="13"/>
      <c r="D69" s="34"/>
      <c r="E69" s="30"/>
      <c r="F69" s="30"/>
      <c r="G69" s="30"/>
      <c r="H69" s="30"/>
      <c r="I69" s="40" t="str">
        <f>IFERROR(VLOOKUP(A69,BUFFS!$H$5:$AF$195,8,),"")</f>
        <v/>
      </c>
      <c r="J69" s="34"/>
      <c r="K69" s="30"/>
      <c r="L69" s="30"/>
      <c r="M69" s="30"/>
      <c r="N69" s="32"/>
      <c r="O69" s="34"/>
      <c r="P69" s="30"/>
      <c r="Q69" s="30"/>
      <c r="R69" s="30"/>
      <c r="S69" s="32"/>
      <c r="T69" s="33"/>
    </row>
    <row r="70" spans="2:20" x14ac:dyDescent="0.3">
      <c r="B70" s="19"/>
      <c r="C70" s="13"/>
      <c r="D70" s="34"/>
      <c r="E70" s="30"/>
      <c r="F70" s="30"/>
      <c r="G70" s="30"/>
      <c r="H70" s="30"/>
      <c r="I70" s="40" t="str">
        <f>IFERROR(VLOOKUP(A70,BUFFS!$H$5:$AF$195,8,),"")</f>
        <v/>
      </c>
      <c r="J70" s="34"/>
      <c r="K70" s="30"/>
      <c r="L70" s="30"/>
      <c r="M70" s="30"/>
      <c r="N70" s="32"/>
      <c r="O70" s="34"/>
      <c r="P70" s="30"/>
      <c r="Q70" s="30"/>
      <c r="R70" s="30"/>
      <c r="S70" s="32"/>
      <c r="T70" s="33"/>
    </row>
    <row r="71" spans="2:20" x14ac:dyDescent="0.3">
      <c r="B71" s="19"/>
      <c r="C71" s="13"/>
      <c r="D71" s="34"/>
      <c r="E71" s="30"/>
      <c r="F71" s="30"/>
      <c r="G71" s="30"/>
      <c r="H71" s="30"/>
      <c r="I71" s="40" t="str">
        <f>IFERROR(VLOOKUP(A71,BUFFS!$H$5:$AF$195,8,),"")</f>
        <v/>
      </c>
      <c r="J71" s="34"/>
      <c r="K71" s="30"/>
      <c r="L71" s="30"/>
      <c r="M71" s="30"/>
      <c r="N71" s="32"/>
      <c r="O71" s="34"/>
      <c r="P71" s="30"/>
      <c r="Q71" s="30"/>
      <c r="R71" s="30"/>
      <c r="S71" s="32"/>
      <c r="T71" s="33"/>
    </row>
    <row r="72" spans="2:20" x14ac:dyDescent="0.3">
      <c r="B72" s="19"/>
      <c r="C72" s="13"/>
      <c r="D72" s="34"/>
      <c r="E72" s="30"/>
      <c r="F72" s="30"/>
      <c r="G72" s="30"/>
      <c r="H72" s="30"/>
      <c r="I72" s="40" t="str">
        <f>IFERROR(VLOOKUP(A72,BUFFS!$H$5:$AF$195,8,),"")</f>
        <v/>
      </c>
      <c r="J72" s="34"/>
      <c r="K72" s="30"/>
      <c r="L72" s="30"/>
      <c r="M72" s="30"/>
      <c r="N72" s="32"/>
      <c r="O72" s="34"/>
      <c r="P72" s="30"/>
      <c r="Q72" s="30"/>
      <c r="R72" s="30"/>
      <c r="S72" s="32"/>
      <c r="T72" s="33"/>
    </row>
    <row r="73" spans="2:20" x14ac:dyDescent="0.3">
      <c r="B73" s="19"/>
      <c r="C73" s="13"/>
      <c r="D73" s="34"/>
      <c r="E73" s="30"/>
      <c r="F73" s="30"/>
      <c r="G73" s="30"/>
      <c r="H73" s="30"/>
      <c r="I73" s="40" t="str">
        <f>IFERROR(VLOOKUP(A73,BUFFS!$H$5:$AF$195,8,),"")</f>
        <v/>
      </c>
      <c r="J73" s="34"/>
      <c r="K73" s="30"/>
      <c r="L73" s="30"/>
      <c r="M73" s="30"/>
      <c r="N73" s="32"/>
      <c r="O73" s="34"/>
      <c r="P73" s="30"/>
      <c r="Q73" s="30"/>
      <c r="R73" s="30"/>
      <c r="S73" s="32"/>
      <c r="T73" s="33"/>
    </row>
    <row r="74" spans="2:20" x14ac:dyDescent="0.3">
      <c r="B74" s="19"/>
      <c r="C74" s="13"/>
      <c r="D74" s="34"/>
      <c r="E74" s="30"/>
      <c r="F74" s="30"/>
      <c r="G74" s="30"/>
      <c r="H74" s="30"/>
      <c r="I74" s="40" t="str">
        <f>IFERROR(VLOOKUP(A74,BUFFS!$H$5:$AF$195,8,),"")</f>
        <v/>
      </c>
      <c r="J74" s="34"/>
      <c r="K74" s="30"/>
      <c r="L74" s="30"/>
      <c r="M74" s="30"/>
      <c r="N74" s="32"/>
      <c r="O74" s="34"/>
      <c r="P74" s="30"/>
      <c r="Q74" s="30"/>
      <c r="R74" s="30"/>
      <c r="S74" s="32"/>
      <c r="T74" s="33"/>
    </row>
    <row r="75" spans="2:20" x14ac:dyDescent="0.3">
      <c r="B75" s="19"/>
      <c r="C75" s="13"/>
      <c r="D75" s="34"/>
      <c r="E75" s="30"/>
      <c r="F75" s="30"/>
      <c r="G75" s="30"/>
      <c r="H75" s="30"/>
      <c r="I75" s="40" t="str">
        <f>IFERROR(VLOOKUP(A75,BUFFS!$H$5:$AF$195,8,),"")</f>
        <v/>
      </c>
      <c r="J75" s="34"/>
      <c r="K75" s="30"/>
      <c r="L75" s="30"/>
      <c r="M75" s="30"/>
      <c r="N75" s="32"/>
      <c r="O75" s="34"/>
      <c r="P75" s="30"/>
      <c r="Q75" s="30"/>
      <c r="R75" s="30"/>
      <c r="S75" s="32"/>
      <c r="T75" s="33"/>
    </row>
    <row r="76" spans="2:20" x14ac:dyDescent="0.3">
      <c r="B76" s="19"/>
      <c r="C76" s="13"/>
      <c r="D76" s="34"/>
      <c r="E76" s="30"/>
      <c r="F76" s="30"/>
      <c r="G76" s="30"/>
      <c r="H76" s="30"/>
      <c r="I76" s="40" t="str">
        <f>IFERROR(VLOOKUP(A76,BUFFS!$H$5:$AF$195,8,),"")</f>
        <v/>
      </c>
      <c r="J76" s="34"/>
      <c r="K76" s="30"/>
      <c r="L76" s="30"/>
      <c r="M76" s="30"/>
      <c r="N76" s="32"/>
      <c r="O76" s="34"/>
      <c r="P76" s="30"/>
      <c r="Q76" s="30"/>
      <c r="R76" s="30"/>
      <c r="S76" s="32"/>
      <c r="T76" s="33"/>
    </row>
    <row r="77" spans="2:20" x14ac:dyDescent="0.3">
      <c r="B77" s="19"/>
      <c r="C77" s="13"/>
      <c r="D77" s="34"/>
      <c r="E77" s="30"/>
      <c r="F77" s="30"/>
      <c r="G77" s="30"/>
      <c r="H77" s="30"/>
      <c r="I77" s="40" t="str">
        <f>IFERROR(VLOOKUP(A77,BUFFS!$H$5:$AF$195,8,),"")</f>
        <v/>
      </c>
      <c r="J77" s="34"/>
      <c r="K77" s="30"/>
      <c r="L77" s="30"/>
      <c r="M77" s="30"/>
      <c r="N77" s="32"/>
      <c r="O77" s="34"/>
      <c r="P77" s="30"/>
      <c r="Q77" s="30"/>
      <c r="R77" s="30"/>
      <c r="S77" s="32"/>
      <c r="T77" s="33"/>
    </row>
    <row r="78" spans="2:20" x14ac:dyDescent="0.3">
      <c r="B78" s="19"/>
      <c r="C78" s="13"/>
      <c r="D78" s="34"/>
      <c r="E78" s="30"/>
      <c r="F78" s="30"/>
      <c r="G78" s="30"/>
      <c r="H78" s="30"/>
      <c r="I78" s="40" t="str">
        <f>IFERROR(VLOOKUP(A78,BUFFS!$H$5:$AF$195,8,),"")</f>
        <v/>
      </c>
      <c r="J78" s="34"/>
      <c r="K78" s="30"/>
      <c r="L78" s="30"/>
      <c r="M78" s="30"/>
      <c r="N78" s="32"/>
      <c r="O78" s="34"/>
      <c r="P78" s="30"/>
      <c r="Q78" s="30"/>
      <c r="R78" s="30"/>
      <c r="S78" s="32"/>
      <c r="T78" s="33"/>
    </row>
    <row r="79" spans="2:20" x14ac:dyDescent="0.3">
      <c r="B79" s="19"/>
      <c r="C79" s="13"/>
      <c r="D79" s="34"/>
      <c r="E79" s="30"/>
      <c r="F79" s="30"/>
      <c r="G79" s="30"/>
      <c r="H79" s="30"/>
      <c r="I79" s="40" t="str">
        <f>IFERROR(VLOOKUP(A79,BUFFS!$H$5:$AF$195,8,),"")</f>
        <v/>
      </c>
      <c r="J79" s="34"/>
      <c r="K79" s="30"/>
      <c r="L79" s="30"/>
      <c r="M79" s="30"/>
      <c r="N79" s="32"/>
      <c r="O79" s="34"/>
      <c r="P79" s="30"/>
      <c r="Q79" s="30"/>
      <c r="R79" s="30"/>
      <c r="S79" s="32"/>
      <c r="T79" s="33"/>
    </row>
    <row r="80" spans="2:20" x14ac:dyDescent="0.3">
      <c r="B80" s="19"/>
      <c r="C80" s="13"/>
      <c r="D80" s="34"/>
      <c r="E80" s="30"/>
      <c r="F80" s="30"/>
      <c r="G80" s="30"/>
      <c r="H80" s="30"/>
      <c r="I80" s="40" t="str">
        <f>IFERROR(VLOOKUP(A80,BUFFS!$H$5:$AF$195,8,),"")</f>
        <v/>
      </c>
      <c r="J80" s="34"/>
      <c r="K80" s="30"/>
      <c r="L80" s="30"/>
      <c r="M80" s="30"/>
      <c r="N80" s="32"/>
      <c r="O80" s="34"/>
      <c r="P80" s="30"/>
      <c r="Q80" s="30"/>
      <c r="R80" s="30"/>
      <c r="S80" s="32"/>
      <c r="T80" s="33"/>
    </row>
    <row r="81" spans="2:20" x14ac:dyDescent="0.3">
      <c r="B81" s="19"/>
      <c r="C81" s="13"/>
      <c r="D81" s="34"/>
      <c r="E81" s="30"/>
      <c r="F81" s="30"/>
      <c r="G81" s="30"/>
      <c r="H81" s="30"/>
      <c r="I81" s="40" t="str">
        <f>IFERROR(VLOOKUP(A81,BUFFS!$H$5:$AF$195,8,),"")</f>
        <v/>
      </c>
      <c r="J81" s="34"/>
      <c r="K81" s="30"/>
      <c r="L81" s="30"/>
      <c r="M81" s="30"/>
      <c r="N81" s="32"/>
      <c r="O81" s="34"/>
      <c r="P81" s="30"/>
      <c r="Q81" s="30"/>
      <c r="R81" s="30"/>
      <c r="S81" s="32"/>
      <c r="T81" s="33"/>
    </row>
    <row r="82" spans="2:20" x14ac:dyDescent="0.3">
      <c r="B82" s="19"/>
      <c r="C82" s="13"/>
      <c r="D82" s="34"/>
      <c r="E82" s="30"/>
      <c r="F82" s="30"/>
      <c r="G82" s="30"/>
      <c r="H82" s="30"/>
      <c r="I82" s="40" t="str">
        <f>IFERROR(VLOOKUP(A82,BUFFS!$H$5:$AF$195,8,),"")</f>
        <v/>
      </c>
      <c r="J82" s="34"/>
      <c r="K82" s="30"/>
      <c r="L82" s="30"/>
      <c r="M82" s="30"/>
      <c r="N82" s="32"/>
      <c r="O82" s="34"/>
      <c r="P82" s="30"/>
      <c r="Q82" s="30"/>
      <c r="R82" s="30"/>
      <c r="S82" s="32"/>
      <c r="T82" s="33"/>
    </row>
    <row r="83" spans="2:20" x14ac:dyDescent="0.3">
      <c r="B83" s="19"/>
      <c r="C83" s="13"/>
      <c r="D83" s="34"/>
      <c r="E83" s="30"/>
      <c r="F83" s="30"/>
      <c r="G83" s="30"/>
      <c r="H83" s="30"/>
      <c r="I83" s="40" t="str">
        <f>IFERROR(VLOOKUP(A83,BUFFS!$H$5:$AF$195,8,),"")</f>
        <v/>
      </c>
      <c r="J83" s="34"/>
      <c r="K83" s="30"/>
      <c r="L83" s="30"/>
      <c r="M83" s="30"/>
      <c r="N83" s="32"/>
      <c r="O83" s="34"/>
      <c r="P83" s="30"/>
      <c r="Q83" s="30"/>
      <c r="R83" s="30"/>
      <c r="S83" s="32"/>
      <c r="T83" s="35"/>
    </row>
    <row r="84" spans="2:20" x14ac:dyDescent="0.3">
      <c r="B84" s="19"/>
      <c r="C84" s="13"/>
      <c r="D84" s="34"/>
      <c r="E84" s="30"/>
      <c r="F84" s="30"/>
      <c r="G84" s="30"/>
      <c r="H84" s="30"/>
      <c r="I84" s="40" t="str">
        <f>IFERROR(VLOOKUP(A84,BUFFS!$H$5:$AF$195,8,),"")</f>
        <v/>
      </c>
      <c r="J84" s="34"/>
      <c r="K84" s="30"/>
      <c r="L84" s="30"/>
      <c r="M84" s="30"/>
      <c r="N84" s="32"/>
      <c r="O84" s="34"/>
      <c r="P84" s="30"/>
      <c r="Q84" s="30"/>
      <c r="R84" s="30"/>
      <c r="S84" s="32"/>
      <c r="T84" s="35"/>
    </row>
    <row r="85" spans="2:20" x14ac:dyDescent="0.3">
      <c r="B85" s="19"/>
      <c r="C85" s="13"/>
      <c r="D85" s="34"/>
      <c r="E85" s="30"/>
      <c r="F85" s="30"/>
      <c r="G85" s="30"/>
      <c r="H85" s="30"/>
      <c r="I85" s="40" t="str">
        <f>IFERROR(VLOOKUP(A85,BUFFS!$H$5:$AF$195,8,),"")</f>
        <v/>
      </c>
      <c r="J85" s="34"/>
      <c r="K85" s="30"/>
      <c r="L85" s="30"/>
      <c r="M85" s="30"/>
      <c r="N85" s="32"/>
      <c r="O85" s="34"/>
      <c r="P85" s="30"/>
      <c r="Q85" s="30"/>
      <c r="R85" s="30"/>
      <c r="S85" s="32"/>
      <c r="T85" s="35"/>
    </row>
    <row r="86" spans="2:20" x14ac:dyDescent="0.3">
      <c r="B86" s="19"/>
      <c r="C86" s="13"/>
      <c r="D86" s="34"/>
      <c r="E86" s="30"/>
      <c r="F86" s="30"/>
      <c r="G86" s="30"/>
      <c r="H86" s="30"/>
      <c r="I86" s="40" t="str">
        <f>IFERROR(VLOOKUP(A86,BUFFS!$H$5:$AF$195,8,),"")</f>
        <v/>
      </c>
      <c r="J86" s="34"/>
      <c r="K86" s="30"/>
      <c r="L86" s="30"/>
      <c r="M86" s="30"/>
      <c r="N86" s="32"/>
      <c r="O86" s="34"/>
      <c r="P86" s="30"/>
      <c r="Q86" s="30"/>
      <c r="R86" s="30"/>
      <c r="S86" s="32"/>
      <c r="T86" s="35"/>
    </row>
    <row r="87" spans="2:20" x14ac:dyDescent="0.3">
      <c r="B87" s="19"/>
      <c r="C87" s="13"/>
      <c r="D87" s="34"/>
      <c r="E87" s="30"/>
      <c r="F87" s="30"/>
      <c r="G87" s="30"/>
      <c r="H87" s="30"/>
      <c r="I87" s="40" t="str">
        <f>IFERROR(VLOOKUP(A87,BUFFS!$H$5:$AF$195,8,),"")</f>
        <v/>
      </c>
      <c r="J87" s="34"/>
      <c r="K87" s="30"/>
      <c r="L87" s="30"/>
      <c r="M87" s="30"/>
      <c r="N87" s="32"/>
      <c r="O87" s="34"/>
      <c r="P87" s="30"/>
      <c r="Q87" s="30"/>
      <c r="R87" s="30"/>
      <c r="S87" s="32"/>
      <c r="T87" s="35"/>
    </row>
    <row r="88" spans="2:20" x14ac:dyDescent="0.3">
      <c r="B88" s="19"/>
      <c r="C88" s="13"/>
      <c r="D88" s="34"/>
      <c r="E88" s="30"/>
      <c r="F88" s="30"/>
      <c r="G88" s="30"/>
      <c r="H88" s="30"/>
      <c r="I88" s="40" t="str">
        <f>IFERROR(VLOOKUP(A88,BUFFS!$H$5:$AF$195,8,),"")</f>
        <v/>
      </c>
      <c r="J88" s="34"/>
      <c r="K88" s="30"/>
      <c r="L88" s="30"/>
      <c r="M88" s="30"/>
      <c r="N88" s="32"/>
      <c r="O88" s="34"/>
      <c r="P88" s="30"/>
      <c r="Q88" s="30"/>
      <c r="R88" s="30"/>
      <c r="S88" s="32"/>
      <c r="T88" s="35"/>
    </row>
    <row r="89" spans="2:20" x14ac:dyDescent="0.3">
      <c r="B89" s="19"/>
      <c r="C89" s="13"/>
      <c r="D89" s="34"/>
      <c r="E89" s="30"/>
      <c r="F89" s="30"/>
      <c r="G89" s="30"/>
      <c r="H89" s="30"/>
      <c r="I89" s="40" t="str">
        <f>IFERROR(VLOOKUP(A89,BUFFS!$H$5:$AF$195,8,),"")</f>
        <v/>
      </c>
      <c r="J89" s="34"/>
      <c r="K89" s="30"/>
      <c r="L89" s="30"/>
      <c r="M89" s="30"/>
      <c r="N89" s="32"/>
      <c r="O89" s="34"/>
      <c r="P89" s="30"/>
      <c r="Q89" s="30"/>
      <c r="R89" s="30"/>
      <c r="S89" s="32"/>
      <c r="T89" s="35"/>
    </row>
    <row r="90" spans="2:20" x14ac:dyDescent="0.3">
      <c r="B90" s="19"/>
      <c r="C90" s="13"/>
      <c r="D90" s="34"/>
      <c r="E90" s="30"/>
      <c r="F90" s="30"/>
      <c r="G90" s="30"/>
      <c r="H90" s="30"/>
      <c r="I90" s="40" t="str">
        <f>IFERROR(VLOOKUP(A90,BUFFS!$H$5:$AF$195,8,),"")</f>
        <v/>
      </c>
      <c r="J90" s="34"/>
      <c r="K90" s="30"/>
      <c r="L90" s="30"/>
      <c r="M90" s="30"/>
      <c r="N90" s="32"/>
      <c r="O90" s="34"/>
      <c r="P90" s="30"/>
      <c r="Q90" s="30"/>
      <c r="R90" s="30"/>
      <c r="S90" s="32"/>
      <c r="T90" s="35"/>
    </row>
    <row r="91" spans="2:20" x14ac:dyDescent="0.3">
      <c r="B91" s="19"/>
      <c r="C91" s="13"/>
      <c r="D91" s="34"/>
      <c r="E91" s="30"/>
      <c r="F91" s="30"/>
      <c r="G91" s="30"/>
      <c r="H91" s="30"/>
      <c r="I91" s="40" t="str">
        <f>IFERROR(VLOOKUP(A91,BUFFS!$H$5:$AF$195,8,),"")</f>
        <v/>
      </c>
      <c r="J91" s="34"/>
      <c r="K91" s="30"/>
      <c r="L91" s="30"/>
      <c r="M91" s="30"/>
      <c r="N91" s="32"/>
      <c r="O91" s="34"/>
      <c r="P91" s="30"/>
      <c r="Q91" s="30"/>
      <c r="R91" s="30"/>
      <c r="S91" s="32"/>
      <c r="T91" s="35"/>
    </row>
    <row r="92" spans="2:20" x14ac:dyDescent="0.3">
      <c r="B92" s="19"/>
      <c r="C92" s="13"/>
      <c r="D92" s="34"/>
      <c r="E92" s="30"/>
      <c r="F92" s="30"/>
      <c r="G92" s="30"/>
      <c r="H92" s="30"/>
      <c r="I92" s="40" t="str">
        <f>IFERROR(VLOOKUP(A92,BUFFS!$H$5:$AF$195,8,),"")</f>
        <v/>
      </c>
      <c r="J92" s="34"/>
      <c r="K92" s="30"/>
      <c r="L92" s="30"/>
      <c r="M92" s="30"/>
      <c r="N92" s="32"/>
      <c r="O92" s="34"/>
      <c r="P92" s="30"/>
      <c r="Q92" s="30"/>
      <c r="R92" s="30"/>
      <c r="S92" s="32"/>
      <c r="T92" s="35"/>
    </row>
    <row r="93" spans="2:20" x14ac:dyDescent="0.3">
      <c r="B93" s="19"/>
      <c r="C93" s="13"/>
      <c r="D93" s="34"/>
      <c r="E93" s="30"/>
      <c r="F93" s="30"/>
      <c r="G93" s="30"/>
      <c r="H93" s="30"/>
      <c r="I93" s="40" t="str">
        <f>IFERROR(VLOOKUP(A93,BUFFS!$H$5:$AF$195,8,),"")</f>
        <v/>
      </c>
      <c r="J93" s="34"/>
      <c r="K93" s="30"/>
      <c r="L93" s="30"/>
      <c r="M93" s="30"/>
      <c r="N93" s="32"/>
      <c r="O93" s="34"/>
      <c r="P93" s="30"/>
      <c r="Q93" s="30"/>
      <c r="R93" s="30"/>
      <c r="S93" s="32"/>
      <c r="T93" s="35"/>
    </row>
    <row r="94" spans="2:20" x14ac:dyDescent="0.3">
      <c r="B94" s="19"/>
      <c r="C94" s="13"/>
      <c r="D94" s="34"/>
      <c r="E94" s="30"/>
      <c r="F94" s="30"/>
      <c r="G94" s="30"/>
      <c r="H94" s="30"/>
      <c r="I94" s="40" t="str">
        <f>IFERROR(VLOOKUP(A94,BUFFS!$H$5:$AF$195,8,),"")</f>
        <v/>
      </c>
      <c r="J94" s="34"/>
      <c r="K94" s="30"/>
      <c r="L94" s="30"/>
      <c r="M94" s="30"/>
      <c r="N94" s="32"/>
      <c r="O94" s="34"/>
      <c r="P94" s="30"/>
      <c r="Q94" s="30"/>
      <c r="R94" s="30"/>
      <c r="S94" s="32"/>
      <c r="T94" s="35"/>
    </row>
    <row r="95" spans="2:20" x14ac:dyDescent="0.3">
      <c r="B95" s="19"/>
      <c r="C95" s="13"/>
      <c r="D95" s="34"/>
      <c r="E95" s="30"/>
      <c r="F95" s="30"/>
      <c r="G95" s="30"/>
      <c r="H95" s="30"/>
      <c r="I95" s="40" t="str">
        <f>IFERROR(VLOOKUP(A95,BUFFS!$H$5:$AF$195,8,),"")</f>
        <v/>
      </c>
      <c r="J95" s="34"/>
      <c r="K95" s="30"/>
      <c r="L95" s="30"/>
      <c r="M95" s="30"/>
      <c r="N95" s="32"/>
      <c r="O95" s="34"/>
      <c r="P95" s="30"/>
      <c r="Q95" s="30"/>
      <c r="R95" s="30"/>
      <c r="S95" s="32"/>
      <c r="T95" s="35"/>
    </row>
    <row r="96" spans="2:20" x14ac:dyDescent="0.3">
      <c r="B96" s="19"/>
      <c r="C96" s="13"/>
      <c r="D96" s="34"/>
      <c r="E96" s="30"/>
      <c r="F96" s="30"/>
      <c r="G96" s="30"/>
      <c r="H96" s="30"/>
      <c r="I96" s="40" t="str">
        <f>IFERROR(VLOOKUP(A96,BUFFS!$H$5:$AF$195,8,),"")</f>
        <v/>
      </c>
      <c r="J96" s="34"/>
      <c r="K96" s="30"/>
      <c r="L96" s="30"/>
      <c r="M96" s="30"/>
      <c r="N96" s="32"/>
      <c r="O96" s="34"/>
      <c r="P96" s="30"/>
      <c r="Q96" s="30"/>
      <c r="R96" s="30"/>
      <c r="S96" s="32"/>
      <c r="T96" s="35"/>
    </row>
    <row r="97" spans="2:20" x14ac:dyDescent="0.3">
      <c r="B97" s="19"/>
      <c r="C97" s="13"/>
      <c r="D97" s="34"/>
      <c r="E97" s="30"/>
      <c r="F97" s="30"/>
      <c r="G97" s="30"/>
      <c r="H97" s="30"/>
      <c r="I97" s="40" t="str">
        <f>IFERROR(VLOOKUP(A97,BUFFS!$H$5:$AF$195,8,),"")</f>
        <v/>
      </c>
      <c r="J97" s="34"/>
      <c r="K97" s="30"/>
      <c r="L97" s="30"/>
      <c r="M97" s="30"/>
      <c r="N97" s="32"/>
      <c r="O97" s="34"/>
      <c r="P97" s="30"/>
      <c r="Q97" s="30"/>
      <c r="R97" s="30"/>
      <c r="S97" s="32"/>
      <c r="T97" s="35"/>
    </row>
    <row r="98" spans="2:20" x14ac:dyDescent="0.3">
      <c r="B98" s="19"/>
      <c r="C98" s="13"/>
      <c r="D98" s="34"/>
      <c r="E98" s="30"/>
      <c r="F98" s="30"/>
      <c r="G98" s="30"/>
      <c r="H98" s="30"/>
      <c r="I98" s="40" t="str">
        <f>IFERROR(VLOOKUP(A98,BUFFS!$H$5:$AF$195,8,),"")</f>
        <v/>
      </c>
      <c r="J98" s="34"/>
      <c r="K98" s="30"/>
      <c r="L98" s="30"/>
      <c r="M98" s="30"/>
      <c r="N98" s="32"/>
      <c r="O98" s="34"/>
      <c r="P98" s="30"/>
      <c r="Q98" s="30"/>
      <c r="R98" s="30"/>
      <c r="S98" s="32"/>
      <c r="T98" s="35"/>
    </row>
    <row r="99" spans="2:20" x14ac:dyDescent="0.3">
      <c r="B99" s="19"/>
      <c r="C99" s="13"/>
      <c r="D99" s="34"/>
      <c r="E99" s="30"/>
      <c r="F99" s="30"/>
      <c r="G99" s="30"/>
      <c r="H99" s="30"/>
      <c r="I99" s="40" t="str">
        <f>IFERROR(VLOOKUP(A99,BUFFS!$H$5:$AF$195,8,),"")</f>
        <v/>
      </c>
      <c r="J99" s="34"/>
      <c r="K99" s="30"/>
      <c r="L99" s="30"/>
      <c r="M99" s="30"/>
      <c r="N99" s="32"/>
      <c r="O99" s="34"/>
      <c r="P99" s="30"/>
      <c r="Q99" s="30"/>
      <c r="R99" s="30"/>
      <c r="S99" s="32"/>
      <c r="T99" s="35"/>
    </row>
    <row r="100" spans="2:20" x14ac:dyDescent="0.3">
      <c r="B100" s="19"/>
      <c r="C100" s="13"/>
      <c r="D100" s="34"/>
      <c r="E100" s="30"/>
      <c r="F100" s="30"/>
      <c r="G100" s="30"/>
      <c r="H100" s="30"/>
      <c r="I100" s="40" t="str">
        <f>IFERROR(VLOOKUP(A100,BUFFS!$H$5:$AF$195,8,),"")</f>
        <v/>
      </c>
      <c r="J100" s="34"/>
      <c r="K100" s="30"/>
      <c r="L100" s="30"/>
      <c r="M100" s="30"/>
      <c r="N100" s="32"/>
      <c r="O100" s="34"/>
      <c r="P100" s="30"/>
      <c r="Q100" s="30"/>
      <c r="R100" s="30"/>
      <c r="S100" s="32"/>
      <c r="T100" s="35"/>
    </row>
    <row r="101" spans="2:20" x14ac:dyDescent="0.3">
      <c r="B101" s="19"/>
      <c r="D101" s="34"/>
      <c r="E101" s="30"/>
      <c r="F101" s="30"/>
      <c r="G101" s="30"/>
      <c r="H101" s="30"/>
      <c r="I101" s="40" t="str">
        <f>IFERROR(VLOOKUP(A101,BUFFS!$H$5:$AF$195,8,),"")</f>
        <v/>
      </c>
      <c r="J101" s="34"/>
      <c r="K101" s="30"/>
      <c r="L101" s="30"/>
      <c r="M101" s="30"/>
      <c r="N101" s="32"/>
      <c r="O101" s="34"/>
      <c r="P101" s="30"/>
      <c r="Q101" s="30"/>
      <c r="R101" s="30"/>
      <c r="S101" s="32"/>
      <c r="T101" s="35"/>
    </row>
    <row r="102" spans="2:20" x14ac:dyDescent="0.3">
      <c r="B102" s="19"/>
      <c r="D102" s="34"/>
      <c r="E102" s="30"/>
      <c r="F102" s="30"/>
      <c r="G102" s="30"/>
      <c r="H102" s="30"/>
      <c r="I102" s="40" t="str">
        <f>IFERROR(VLOOKUP(A102,BUFFS!$H$5:$AF$195,8,),"")</f>
        <v/>
      </c>
      <c r="J102" s="34"/>
      <c r="K102" s="30"/>
      <c r="L102" s="30"/>
      <c r="M102" s="30"/>
      <c r="N102" s="32"/>
      <c r="O102" s="34"/>
      <c r="P102" s="30"/>
      <c r="Q102" s="30"/>
      <c r="R102" s="30"/>
      <c r="S102" s="32"/>
      <c r="T102" s="35"/>
    </row>
    <row r="103" spans="2:20" x14ac:dyDescent="0.3">
      <c r="B103" s="19"/>
      <c r="D103" s="34"/>
      <c r="E103" s="30"/>
      <c r="F103" s="30"/>
      <c r="G103" s="30"/>
      <c r="H103" s="30"/>
      <c r="I103" s="40" t="str">
        <f>IFERROR(VLOOKUP(A103,BUFFS!$H$5:$AF$195,8,),"")</f>
        <v/>
      </c>
      <c r="J103" s="34"/>
      <c r="K103" s="30"/>
      <c r="L103" s="30"/>
      <c r="M103" s="30"/>
      <c r="N103" s="32"/>
      <c r="O103" s="34"/>
      <c r="P103" s="30"/>
      <c r="Q103" s="30"/>
      <c r="R103" s="30"/>
      <c r="S103" s="32"/>
      <c r="T103" s="35"/>
    </row>
    <row r="104" spans="2:20" x14ac:dyDescent="0.3">
      <c r="B104" s="19"/>
      <c r="D104" s="34"/>
      <c r="E104" s="30"/>
      <c r="F104" s="30"/>
      <c r="G104" s="30"/>
      <c r="H104" s="30"/>
      <c r="I104" s="40" t="str">
        <f>IFERROR(VLOOKUP(A104,BUFFS!$H$5:$AF$195,8,),"")</f>
        <v/>
      </c>
      <c r="J104" s="34"/>
      <c r="K104" s="30"/>
      <c r="L104" s="30"/>
      <c r="M104" s="30"/>
      <c r="N104" s="32"/>
      <c r="O104" s="34"/>
      <c r="P104" s="30"/>
      <c r="Q104" s="30"/>
      <c r="R104" s="30"/>
      <c r="S104" s="32"/>
      <c r="T104" s="35"/>
    </row>
    <row r="105" spans="2:20" x14ac:dyDescent="0.3">
      <c r="B105" s="19"/>
      <c r="D105" s="34"/>
      <c r="E105" s="30"/>
      <c r="F105" s="30"/>
      <c r="G105" s="30"/>
      <c r="H105" s="30"/>
      <c r="I105" s="40" t="str">
        <f>IFERROR(VLOOKUP(A105,BUFFS!$H$5:$AF$195,8,),"")</f>
        <v/>
      </c>
      <c r="J105" s="34"/>
      <c r="K105" s="30"/>
      <c r="L105" s="30"/>
      <c r="M105" s="30"/>
      <c r="N105" s="32"/>
      <c r="O105" s="34"/>
      <c r="P105" s="30"/>
      <c r="Q105" s="30"/>
      <c r="R105" s="30"/>
      <c r="S105" s="32"/>
      <c r="T105" s="35"/>
    </row>
    <row r="106" spans="2:20" x14ac:dyDescent="0.3">
      <c r="B106" s="19"/>
      <c r="D106" s="34"/>
      <c r="E106" s="30"/>
      <c r="F106" s="30"/>
      <c r="G106" s="30"/>
      <c r="H106" s="30"/>
      <c r="I106" s="40" t="str">
        <f>IFERROR(VLOOKUP(A106,BUFFS!$H$5:$AF$195,8,),"")</f>
        <v/>
      </c>
      <c r="J106" s="34"/>
      <c r="K106" s="30"/>
      <c r="L106" s="30"/>
      <c r="M106" s="30"/>
      <c r="N106" s="32"/>
      <c r="O106" s="34"/>
      <c r="P106" s="30"/>
      <c r="Q106" s="30"/>
      <c r="R106" s="30"/>
      <c r="S106" s="32"/>
      <c r="T106" s="35"/>
    </row>
    <row r="107" spans="2:20" x14ac:dyDescent="0.3">
      <c r="B107" s="19"/>
      <c r="D107" s="34"/>
      <c r="E107" s="30"/>
      <c r="F107" s="30"/>
      <c r="G107" s="30"/>
      <c r="H107" s="30"/>
      <c r="I107" s="40" t="str">
        <f>IFERROR(VLOOKUP(A107,BUFFS!$H$5:$AF$195,8,),"")</f>
        <v/>
      </c>
      <c r="J107" s="34"/>
      <c r="K107" s="30"/>
      <c r="L107" s="30"/>
      <c r="M107" s="30"/>
      <c r="N107" s="32"/>
      <c r="O107" s="34"/>
      <c r="P107" s="30"/>
      <c r="Q107" s="30"/>
      <c r="R107" s="30"/>
      <c r="S107" s="32"/>
      <c r="T107" s="35"/>
    </row>
    <row r="108" spans="2:20" x14ac:dyDescent="0.3">
      <c r="B108" s="19"/>
      <c r="D108" s="34"/>
      <c r="E108" s="30"/>
      <c r="F108" s="30"/>
      <c r="G108" s="30"/>
      <c r="H108" s="30"/>
      <c r="I108" s="40" t="str">
        <f>IFERROR(VLOOKUP(A108,BUFFS!$H$5:$AF$195,8,),"")</f>
        <v/>
      </c>
      <c r="J108" s="34"/>
      <c r="K108" s="30"/>
      <c r="L108" s="30"/>
      <c r="M108" s="30"/>
      <c r="N108" s="32"/>
      <c r="O108" s="34"/>
      <c r="P108" s="30"/>
      <c r="Q108" s="30"/>
      <c r="R108" s="30"/>
      <c r="S108" s="32"/>
      <c r="T108" s="35"/>
    </row>
    <row r="109" spans="2:20" x14ac:dyDescent="0.3">
      <c r="B109" s="19"/>
      <c r="D109" s="34"/>
      <c r="E109" s="30"/>
      <c r="F109" s="30"/>
      <c r="G109" s="30"/>
      <c r="H109" s="30"/>
      <c r="I109" s="40" t="str">
        <f>IFERROR(VLOOKUP(A109,BUFFS!$H$5:$AF$195,8,),"")</f>
        <v/>
      </c>
      <c r="J109" s="34"/>
      <c r="K109" s="30"/>
      <c r="L109" s="30"/>
      <c r="M109" s="30"/>
      <c r="N109" s="32"/>
      <c r="O109" s="34"/>
      <c r="P109" s="30"/>
      <c r="Q109" s="30"/>
      <c r="R109" s="30"/>
      <c r="S109" s="32"/>
      <c r="T109" s="35"/>
    </row>
    <row r="110" spans="2:20" x14ac:dyDescent="0.3">
      <c r="B110" s="19"/>
      <c r="D110" s="34"/>
      <c r="E110" s="30"/>
      <c r="F110" s="30"/>
      <c r="G110" s="30"/>
      <c r="H110" s="30"/>
      <c r="I110" s="40" t="str">
        <f>IFERROR(VLOOKUP(A110,BUFFS!$H$5:$AF$195,8,),"")</f>
        <v/>
      </c>
      <c r="J110" s="34"/>
      <c r="K110" s="30"/>
      <c r="L110" s="30"/>
      <c r="M110" s="30"/>
      <c r="N110" s="32"/>
      <c r="O110" s="34"/>
      <c r="P110" s="30"/>
      <c r="Q110" s="30"/>
      <c r="R110" s="30"/>
      <c r="S110" s="32"/>
      <c r="T110" s="35"/>
    </row>
    <row r="111" spans="2:20" x14ac:dyDescent="0.3">
      <c r="B111" s="19"/>
      <c r="D111" s="34"/>
      <c r="E111" s="30"/>
      <c r="F111" s="30"/>
      <c r="G111" s="30"/>
      <c r="H111" s="30"/>
      <c r="I111" s="40" t="str">
        <f>IFERROR(VLOOKUP(A111,BUFFS!$H$5:$AF$195,8,),"")</f>
        <v/>
      </c>
      <c r="J111" s="34"/>
      <c r="K111" s="30"/>
      <c r="L111" s="30"/>
      <c r="M111" s="30"/>
      <c r="N111" s="32"/>
      <c r="O111" s="34"/>
      <c r="P111" s="30"/>
      <c r="Q111" s="30"/>
      <c r="R111" s="30"/>
      <c r="S111" s="32"/>
      <c r="T111" s="35"/>
    </row>
    <row r="112" spans="2:20" x14ac:dyDescent="0.3">
      <c r="B112" s="19"/>
      <c r="D112" s="34"/>
      <c r="E112" s="30"/>
      <c r="F112" s="30"/>
      <c r="G112" s="30"/>
      <c r="H112" s="30"/>
      <c r="I112" s="40" t="str">
        <f>IFERROR(VLOOKUP(A112,BUFFS!$H$5:$AF$195,8,),"")</f>
        <v/>
      </c>
      <c r="J112" s="34"/>
      <c r="K112" s="30"/>
      <c r="L112" s="30"/>
      <c r="M112" s="30"/>
      <c r="N112" s="32"/>
      <c r="O112" s="34"/>
      <c r="P112" s="30"/>
      <c r="Q112" s="30"/>
      <c r="R112" s="30"/>
      <c r="S112" s="32"/>
      <c r="T112" s="35"/>
    </row>
    <row r="113" spans="2:20" x14ac:dyDescent="0.3">
      <c r="B113" s="19"/>
      <c r="D113" s="34"/>
      <c r="E113" s="30"/>
      <c r="F113" s="30"/>
      <c r="G113" s="30"/>
      <c r="H113" s="30"/>
      <c r="I113" s="40" t="str">
        <f>IFERROR(VLOOKUP(A113,BUFFS!$H$5:$AF$195,8,),"")</f>
        <v/>
      </c>
      <c r="J113" s="34"/>
      <c r="K113" s="30"/>
      <c r="L113" s="30"/>
      <c r="M113" s="30"/>
      <c r="N113" s="32"/>
      <c r="O113" s="34"/>
      <c r="P113" s="30"/>
      <c r="Q113" s="30"/>
      <c r="R113" s="30"/>
      <c r="S113" s="32"/>
      <c r="T113" s="35"/>
    </row>
    <row r="114" spans="2:20" x14ac:dyDescent="0.3">
      <c r="B114" s="19"/>
      <c r="D114" s="34"/>
      <c r="E114" s="30"/>
      <c r="F114" s="30"/>
      <c r="G114" s="30"/>
      <c r="H114" s="30"/>
      <c r="I114" s="40" t="str">
        <f>IFERROR(VLOOKUP(A114,BUFFS!$H$5:$AF$195,8,),"")</f>
        <v/>
      </c>
      <c r="J114" s="34"/>
      <c r="K114" s="30"/>
      <c r="L114" s="30"/>
      <c r="M114" s="30"/>
      <c r="N114" s="32"/>
      <c r="O114" s="34"/>
      <c r="P114" s="30"/>
      <c r="Q114" s="30"/>
      <c r="R114" s="30"/>
      <c r="S114" s="32"/>
      <c r="T114" s="35"/>
    </row>
    <row r="115" spans="2:20" x14ac:dyDescent="0.3">
      <c r="B115" s="19"/>
      <c r="D115" s="34"/>
      <c r="E115" s="30"/>
      <c r="F115" s="30"/>
      <c r="G115" s="30"/>
      <c r="H115" s="30"/>
      <c r="I115" s="40" t="str">
        <f>IFERROR(VLOOKUP(A115,BUFFS!$H$5:$AF$195,8,),"")</f>
        <v/>
      </c>
      <c r="J115" s="34"/>
      <c r="K115" s="30"/>
      <c r="L115" s="30"/>
      <c r="M115" s="30"/>
      <c r="N115" s="32"/>
      <c r="O115" s="34"/>
      <c r="P115" s="30"/>
      <c r="Q115" s="30"/>
      <c r="R115" s="30"/>
      <c r="S115" s="32"/>
      <c r="T115" s="35"/>
    </row>
    <row r="116" spans="2:20" x14ac:dyDescent="0.3">
      <c r="B116" s="19"/>
      <c r="D116" s="34"/>
      <c r="E116" s="30"/>
      <c r="F116" s="30"/>
      <c r="G116" s="30"/>
      <c r="H116" s="30"/>
      <c r="I116" s="40" t="str">
        <f>IFERROR(VLOOKUP(A116,BUFFS!$H$5:$AF$195,8,),"")</f>
        <v/>
      </c>
      <c r="J116" s="34"/>
      <c r="K116" s="30"/>
      <c r="L116" s="30"/>
      <c r="M116" s="30"/>
      <c r="N116" s="32"/>
      <c r="O116" s="34"/>
      <c r="P116" s="30"/>
      <c r="Q116" s="30"/>
      <c r="R116" s="30"/>
      <c r="S116" s="32"/>
      <c r="T116" s="35"/>
    </row>
    <row r="117" spans="2:20" x14ac:dyDescent="0.3">
      <c r="B117" s="19"/>
      <c r="D117" s="34"/>
      <c r="E117" s="30"/>
      <c r="F117" s="30"/>
      <c r="G117" s="30"/>
      <c r="H117" s="30"/>
      <c r="I117" s="40" t="str">
        <f>IFERROR(VLOOKUP(A117,BUFFS!$H$5:$AF$195,8,),"")</f>
        <v/>
      </c>
      <c r="J117" s="34"/>
      <c r="K117" s="30"/>
      <c r="L117" s="30"/>
      <c r="M117" s="30"/>
      <c r="N117" s="32"/>
      <c r="O117" s="34"/>
      <c r="P117" s="30"/>
      <c r="Q117" s="30"/>
      <c r="R117" s="30"/>
      <c r="S117" s="32"/>
      <c r="T117" s="35"/>
    </row>
    <row r="118" spans="2:20" x14ac:dyDescent="0.3">
      <c r="B118" s="19"/>
      <c r="D118" s="34"/>
      <c r="E118" s="30"/>
      <c r="F118" s="30"/>
      <c r="G118" s="30"/>
      <c r="H118" s="30"/>
      <c r="I118" s="40" t="str">
        <f>IFERROR(VLOOKUP(A118,BUFFS!$H$5:$AF$195,8,),"")</f>
        <v/>
      </c>
      <c r="J118" s="34"/>
      <c r="K118" s="30"/>
      <c r="L118" s="30"/>
      <c r="M118" s="30"/>
      <c r="N118" s="32"/>
      <c r="O118" s="34"/>
      <c r="P118" s="30"/>
      <c r="Q118" s="30"/>
      <c r="R118" s="30"/>
      <c r="S118" s="32"/>
      <c r="T118" s="35"/>
    </row>
    <row r="119" spans="2:20" x14ac:dyDescent="0.3">
      <c r="B119" s="19"/>
      <c r="D119" s="34"/>
      <c r="E119" s="30"/>
      <c r="F119" s="30"/>
      <c r="G119" s="30"/>
      <c r="H119" s="30"/>
      <c r="I119" s="40" t="str">
        <f>IFERROR(VLOOKUP(A119,BUFFS!$H$5:$AF$195,8,),"")</f>
        <v/>
      </c>
      <c r="J119" s="34"/>
      <c r="K119" s="30"/>
      <c r="L119" s="30"/>
      <c r="M119" s="30"/>
      <c r="N119" s="32"/>
      <c r="O119" s="34"/>
      <c r="P119" s="30"/>
      <c r="Q119" s="30"/>
      <c r="R119" s="30"/>
      <c r="S119" s="32"/>
      <c r="T119" s="35"/>
    </row>
    <row r="120" spans="2:20" x14ac:dyDescent="0.3">
      <c r="B120" s="19"/>
      <c r="D120" s="34"/>
      <c r="E120" s="30"/>
      <c r="F120" s="30"/>
      <c r="G120" s="30"/>
      <c r="H120" s="30"/>
      <c r="I120" s="40" t="str">
        <f>IFERROR(VLOOKUP(A120,BUFFS!$H$5:$AF$195,8,),"")</f>
        <v/>
      </c>
      <c r="J120" s="34"/>
      <c r="K120" s="30"/>
      <c r="L120" s="30"/>
      <c r="M120" s="30"/>
      <c r="N120" s="32"/>
      <c r="O120" s="34"/>
      <c r="P120" s="30"/>
      <c r="Q120" s="30"/>
      <c r="R120" s="30"/>
      <c r="S120" s="32"/>
      <c r="T120" s="35"/>
    </row>
    <row r="121" spans="2:20" x14ac:dyDescent="0.3">
      <c r="B121" s="19"/>
      <c r="D121" s="34"/>
      <c r="E121" s="30"/>
      <c r="F121" s="30"/>
      <c r="G121" s="30"/>
      <c r="H121" s="30"/>
      <c r="I121" s="40" t="str">
        <f>IFERROR(VLOOKUP(A121,BUFFS!$H$5:$AF$195,8,),"")</f>
        <v/>
      </c>
      <c r="J121" s="34"/>
      <c r="K121" s="30"/>
      <c r="L121" s="30"/>
      <c r="M121" s="30"/>
      <c r="N121" s="32"/>
      <c r="O121" s="34"/>
      <c r="P121" s="30"/>
      <c r="Q121" s="30"/>
      <c r="R121" s="30"/>
      <c r="S121" s="32"/>
      <c r="T121" s="35"/>
    </row>
    <row r="122" spans="2:20" x14ac:dyDescent="0.3">
      <c r="B122" s="19"/>
      <c r="D122" s="34"/>
      <c r="E122" s="30"/>
      <c r="F122" s="30"/>
      <c r="G122" s="30"/>
      <c r="H122" s="30"/>
      <c r="I122" s="40" t="str">
        <f>IFERROR(VLOOKUP(A122,BUFFS!$H$5:$AF$195,8,),"")</f>
        <v/>
      </c>
      <c r="J122" s="34"/>
      <c r="K122" s="30"/>
      <c r="L122" s="30"/>
      <c r="M122" s="30"/>
      <c r="N122" s="32"/>
      <c r="O122" s="34"/>
      <c r="P122" s="30"/>
      <c r="Q122" s="30"/>
      <c r="R122" s="30"/>
      <c r="S122" s="32"/>
      <c r="T122" s="35"/>
    </row>
    <row r="123" spans="2:20" x14ac:dyDescent="0.3">
      <c r="B123" s="19"/>
      <c r="D123" s="34"/>
      <c r="E123" s="30"/>
      <c r="F123" s="30"/>
      <c r="G123" s="30"/>
      <c r="H123" s="30"/>
      <c r="I123" s="40" t="str">
        <f>IFERROR(VLOOKUP(A123,BUFFS!$H$5:$AF$195,8,),"")</f>
        <v/>
      </c>
      <c r="J123" s="34"/>
      <c r="K123" s="30"/>
      <c r="L123" s="30"/>
      <c r="M123" s="30"/>
      <c r="N123" s="32"/>
      <c r="O123" s="34"/>
      <c r="P123" s="30"/>
      <c r="Q123" s="30"/>
      <c r="R123" s="30"/>
      <c r="S123" s="32"/>
      <c r="T123" s="35"/>
    </row>
    <row r="124" spans="2:20" x14ac:dyDescent="0.3">
      <c r="B124" s="19"/>
      <c r="D124" s="34"/>
      <c r="E124" s="30"/>
      <c r="F124" s="30"/>
      <c r="G124" s="30"/>
      <c r="H124" s="30"/>
      <c r="I124" s="40" t="str">
        <f>IFERROR(VLOOKUP(A124,BUFFS!$H$5:$AF$195,8,),"")</f>
        <v/>
      </c>
      <c r="J124" s="34"/>
      <c r="K124" s="30"/>
      <c r="L124" s="30"/>
      <c r="M124" s="30"/>
      <c r="N124" s="32"/>
      <c r="O124" s="34"/>
      <c r="P124" s="30"/>
      <c r="Q124" s="30"/>
      <c r="R124" s="30"/>
      <c r="S124" s="32"/>
      <c r="T124" s="35"/>
    </row>
    <row r="125" spans="2:20" x14ac:dyDescent="0.3">
      <c r="B125" s="19"/>
      <c r="D125" s="34"/>
      <c r="E125" s="30"/>
      <c r="F125" s="30"/>
      <c r="G125" s="30"/>
      <c r="H125" s="30"/>
      <c r="I125" s="40" t="str">
        <f>IFERROR(VLOOKUP(A125,BUFFS!$H$5:$AF$195,8,),"")</f>
        <v/>
      </c>
      <c r="J125" s="34"/>
      <c r="K125" s="30"/>
      <c r="L125" s="30"/>
      <c r="M125" s="30"/>
      <c r="N125" s="32"/>
      <c r="O125" s="34"/>
      <c r="P125" s="30"/>
      <c r="Q125" s="30"/>
      <c r="R125" s="30"/>
      <c r="S125" s="32"/>
      <c r="T125" s="35"/>
    </row>
    <row r="126" spans="2:20" x14ac:dyDescent="0.3">
      <c r="B126" s="19"/>
      <c r="D126" s="34"/>
      <c r="E126" s="30"/>
      <c r="F126" s="30"/>
      <c r="G126" s="30"/>
      <c r="H126" s="30"/>
      <c r="I126" s="40" t="str">
        <f>IFERROR(VLOOKUP(A126,BUFFS!$H$5:$AF$195,8,),"")</f>
        <v/>
      </c>
      <c r="J126" s="34"/>
      <c r="K126" s="30"/>
      <c r="L126" s="30"/>
      <c r="M126" s="30"/>
      <c r="N126" s="32"/>
      <c r="O126" s="34"/>
      <c r="P126" s="30"/>
      <c r="Q126" s="30"/>
      <c r="R126" s="30"/>
      <c r="S126" s="32"/>
      <c r="T126" s="35"/>
    </row>
    <row r="127" spans="2:20" x14ac:dyDescent="0.3">
      <c r="B127" s="19"/>
      <c r="D127" s="34"/>
      <c r="E127" s="30"/>
      <c r="F127" s="30"/>
      <c r="G127" s="30"/>
      <c r="H127" s="30"/>
      <c r="I127" s="40" t="str">
        <f>IFERROR(VLOOKUP(A127,BUFFS!$H$5:$AF$195,8,),"")</f>
        <v/>
      </c>
      <c r="J127" s="34"/>
      <c r="K127" s="30"/>
      <c r="L127" s="30"/>
      <c r="M127" s="30"/>
      <c r="N127" s="32"/>
      <c r="O127" s="34"/>
      <c r="P127" s="30"/>
      <c r="Q127" s="30"/>
      <c r="R127" s="30"/>
      <c r="S127" s="32"/>
      <c r="T127" s="35"/>
    </row>
    <row r="128" spans="2:20" x14ac:dyDescent="0.3">
      <c r="B128" s="19"/>
      <c r="D128" s="34"/>
      <c r="E128" s="30"/>
      <c r="F128" s="30"/>
      <c r="G128" s="30"/>
      <c r="H128" s="30"/>
      <c r="I128" s="40" t="str">
        <f>IFERROR(VLOOKUP(A128,BUFFS!$H$5:$AF$195,8,),"")</f>
        <v/>
      </c>
      <c r="J128" s="34"/>
      <c r="K128" s="30"/>
      <c r="L128" s="30"/>
      <c r="M128" s="30"/>
      <c r="N128" s="32"/>
      <c r="O128" s="34"/>
      <c r="P128" s="30"/>
      <c r="Q128" s="30"/>
      <c r="R128" s="30"/>
      <c r="S128" s="32"/>
      <c r="T128" s="35"/>
    </row>
    <row r="129" spans="2:20" x14ac:dyDescent="0.3">
      <c r="B129" s="19"/>
      <c r="D129" s="34"/>
      <c r="E129" s="30"/>
      <c r="F129" s="30"/>
      <c r="G129" s="30"/>
      <c r="H129" s="30"/>
      <c r="I129" s="40" t="str">
        <f>IFERROR(VLOOKUP(A129,BUFFS!$H$5:$AF$195,8,),"")</f>
        <v/>
      </c>
      <c r="J129" s="34"/>
      <c r="K129" s="30"/>
      <c r="L129" s="30"/>
      <c r="M129" s="30"/>
      <c r="N129" s="32"/>
      <c r="O129" s="34"/>
      <c r="P129" s="30"/>
      <c r="Q129" s="30"/>
      <c r="R129" s="30"/>
      <c r="S129" s="32"/>
      <c r="T129" s="35"/>
    </row>
    <row r="130" spans="2:20" x14ac:dyDescent="0.3">
      <c r="B130" s="19"/>
      <c r="D130" s="34"/>
      <c r="E130" s="30"/>
      <c r="F130" s="30"/>
      <c r="G130" s="30"/>
      <c r="H130" s="30"/>
      <c r="I130" s="40" t="str">
        <f>IFERROR(VLOOKUP(A130,BUFFS!$H$5:$AF$195,8,),"")</f>
        <v/>
      </c>
      <c r="J130" s="34"/>
      <c r="K130" s="30"/>
      <c r="L130" s="30"/>
      <c r="M130" s="30"/>
      <c r="N130" s="32"/>
      <c r="O130" s="34"/>
      <c r="P130" s="30"/>
      <c r="Q130" s="30"/>
      <c r="R130" s="30"/>
      <c r="S130" s="32"/>
      <c r="T130" s="35"/>
    </row>
    <row r="131" spans="2:20" x14ac:dyDescent="0.3">
      <c r="B131" s="19"/>
      <c r="D131" s="34"/>
      <c r="E131" s="30"/>
      <c r="F131" s="30"/>
      <c r="G131" s="30"/>
      <c r="H131" s="30"/>
      <c r="I131" s="40" t="str">
        <f>IFERROR(VLOOKUP(A131,BUFFS!$H$5:$AF$195,8,),"")</f>
        <v/>
      </c>
      <c r="J131" s="34"/>
      <c r="K131" s="30"/>
      <c r="L131" s="30"/>
      <c r="M131" s="30"/>
      <c r="N131" s="32"/>
      <c r="O131" s="34"/>
      <c r="P131" s="30"/>
      <c r="Q131" s="30"/>
      <c r="R131" s="30"/>
      <c r="S131" s="32"/>
      <c r="T131" s="35"/>
    </row>
    <row r="132" spans="2:20" x14ac:dyDescent="0.3">
      <c r="B132" s="19"/>
      <c r="D132" s="34"/>
      <c r="E132" s="30"/>
      <c r="F132" s="30"/>
      <c r="G132" s="30"/>
      <c r="H132" s="30"/>
      <c r="I132" s="40" t="str">
        <f>IFERROR(VLOOKUP(A132,BUFFS!$H$5:$AF$195,8,),"")</f>
        <v/>
      </c>
      <c r="J132" s="34"/>
      <c r="K132" s="30"/>
      <c r="L132" s="30"/>
      <c r="M132" s="30"/>
      <c r="N132" s="32"/>
      <c r="O132" s="34"/>
      <c r="P132" s="30"/>
      <c r="Q132" s="30"/>
      <c r="R132" s="30"/>
      <c r="S132" s="32"/>
      <c r="T132" s="35"/>
    </row>
    <row r="133" spans="2:20" x14ac:dyDescent="0.3">
      <c r="B133" s="19"/>
      <c r="D133" s="34"/>
      <c r="E133" s="30"/>
      <c r="F133" s="30"/>
      <c r="G133" s="30"/>
      <c r="H133" s="30"/>
      <c r="I133" s="40" t="str">
        <f>IFERROR(VLOOKUP(A133,BUFFS!$H$5:$AF$195,8,),"")</f>
        <v/>
      </c>
      <c r="J133" s="34"/>
      <c r="K133" s="30"/>
      <c r="L133" s="30"/>
      <c r="M133" s="30"/>
      <c r="N133" s="32"/>
      <c r="O133" s="34"/>
      <c r="P133" s="30"/>
      <c r="Q133" s="30"/>
      <c r="R133" s="30"/>
      <c r="S133" s="32"/>
      <c r="T133" s="35"/>
    </row>
    <row r="134" spans="2:20" x14ac:dyDescent="0.3">
      <c r="B134" s="19"/>
      <c r="D134" s="34"/>
      <c r="E134" s="30"/>
      <c r="F134" s="30"/>
      <c r="G134" s="30"/>
      <c r="H134" s="30"/>
      <c r="I134" s="40" t="str">
        <f>IFERROR(VLOOKUP(A134,BUFFS!$H$5:$AF$195,8,),"")</f>
        <v/>
      </c>
      <c r="J134" s="34"/>
      <c r="K134" s="30"/>
      <c r="L134" s="30"/>
      <c r="M134" s="30"/>
      <c r="N134" s="32"/>
      <c r="O134" s="34"/>
      <c r="P134" s="30"/>
      <c r="Q134" s="30"/>
      <c r="R134" s="30"/>
      <c r="S134" s="32"/>
      <c r="T134" s="35"/>
    </row>
    <row r="135" spans="2:20" x14ac:dyDescent="0.3">
      <c r="B135" s="19"/>
      <c r="D135" s="34"/>
      <c r="E135" s="30"/>
      <c r="F135" s="30"/>
      <c r="G135" s="30"/>
      <c r="H135" s="30"/>
      <c r="I135" s="40" t="str">
        <f>IFERROR(VLOOKUP(A135,BUFFS!$H$5:$AF$195,8,),"")</f>
        <v/>
      </c>
      <c r="J135" s="34"/>
      <c r="K135" s="30"/>
      <c r="L135" s="30"/>
      <c r="M135" s="30"/>
      <c r="N135" s="32"/>
      <c r="O135" s="34"/>
      <c r="P135" s="30"/>
      <c r="Q135" s="30"/>
      <c r="R135" s="30"/>
      <c r="S135" s="32"/>
      <c r="T135" s="35"/>
    </row>
    <row r="136" spans="2:20" x14ac:dyDescent="0.3">
      <c r="B136" s="19"/>
      <c r="D136" s="34"/>
      <c r="E136" s="30"/>
      <c r="F136" s="30"/>
      <c r="G136" s="30"/>
      <c r="H136" s="30"/>
      <c r="I136" s="40" t="str">
        <f>IFERROR(VLOOKUP(A136,BUFFS!$H$5:$AF$195,8,),"")</f>
        <v/>
      </c>
      <c r="J136" s="34"/>
      <c r="K136" s="30"/>
      <c r="L136" s="30"/>
      <c r="M136" s="30"/>
      <c r="N136" s="32"/>
      <c r="O136" s="34"/>
      <c r="P136" s="30"/>
      <c r="Q136" s="30"/>
      <c r="R136" s="30"/>
      <c r="S136" s="32"/>
      <c r="T136" s="35"/>
    </row>
    <row r="137" spans="2:20" x14ac:dyDescent="0.3">
      <c r="B137" s="19"/>
      <c r="D137" s="34"/>
      <c r="E137" s="30"/>
      <c r="F137" s="30"/>
      <c r="G137" s="30"/>
      <c r="H137" s="30"/>
      <c r="I137" s="40" t="str">
        <f>IFERROR(VLOOKUP(A137,BUFFS!$H$5:$AF$195,8,),"")</f>
        <v/>
      </c>
      <c r="J137" s="34"/>
      <c r="K137" s="30"/>
      <c r="L137" s="30"/>
      <c r="M137" s="30"/>
      <c r="N137" s="32"/>
      <c r="O137" s="34"/>
      <c r="P137" s="30"/>
      <c r="Q137" s="30"/>
      <c r="R137" s="30"/>
      <c r="S137" s="32"/>
      <c r="T137" s="35"/>
    </row>
    <row r="138" spans="2:20" x14ac:dyDescent="0.3">
      <c r="B138" s="19"/>
      <c r="D138" s="34"/>
      <c r="E138" s="30"/>
      <c r="F138" s="30"/>
      <c r="G138" s="30"/>
      <c r="H138" s="30"/>
      <c r="I138" s="40" t="str">
        <f>IFERROR(VLOOKUP(A138,BUFFS!$H$5:$AF$195,8,),"")</f>
        <v/>
      </c>
      <c r="J138" s="34"/>
      <c r="K138" s="30"/>
      <c r="L138" s="30"/>
      <c r="M138" s="30"/>
      <c r="N138" s="32"/>
      <c r="O138" s="34"/>
      <c r="P138" s="30"/>
      <c r="Q138" s="30"/>
      <c r="R138" s="30"/>
      <c r="S138" s="32"/>
      <c r="T138" s="35"/>
    </row>
    <row r="139" spans="2:20" x14ac:dyDescent="0.3">
      <c r="B139" s="19"/>
      <c r="D139" s="34"/>
      <c r="E139" s="30"/>
      <c r="F139" s="30"/>
      <c r="G139" s="30"/>
      <c r="H139" s="30"/>
      <c r="I139" s="40" t="str">
        <f>IFERROR(VLOOKUP(A139,BUFFS!$H$5:$AF$195,8,),"")</f>
        <v/>
      </c>
      <c r="J139" s="34"/>
      <c r="K139" s="30"/>
      <c r="L139" s="30"/>
      <c r="M139" s="30"/>
      <c r="N139" s="32"/>
      <c r="O139" s="34"/>
      <c r="P139" s="30"/>
      <c r="Q139" s="30"/>
      <c r="R139" s="30"/>
      <c r="S139" s="32"/>
      <c r="T139" s="35"/>
    </row>
    <row r="140" spans="2:20" x14ac:dyDescent="0.3">
      <c r="B140" s="19"/>
      <c r="D140" s="34"/>
      <c r="E140" s="30"/>
      <c r="F140" s="30"/>
      <c r="G140" s="30"/>
      <c r="H140" s="30"/>
      <c r="I140" s="40" t="str">
        <f>IFERROR(VLOOKUP(A140,BUFFS!$H$5:$AF$195,8,),"")</f>
        <v/>
      </c>
      <c r="J140" s="34"/>
      <c r="K140" s="30"/>
      <c r="L140" s="30"/>
      <c r="M140" s="30"/>
      <c r="N140" s="32"/>
      <c r="O140" s="34"/>
      <c r="P140" s="30"/>
      <c r="Q140" s="30"/>
      <c r="R140" s="30"/>
      <c r="S140" s="32"/>
      <c r="T140" s="35"/>
    </row>
    <row r="141" spans="2:20" x14ac:dyDescent="0.3">
      <c r="B141" s="19"/>
      <c r="D141" s="34"/>
      <c r="E141" s="30"/>
      <c r="F141" s="30"/>
      <c r="G141" s="30"/>
      <c r="H141" s="30"/>
      <c r="I141" s="40" t="str">
        <f>IFERROR(VLOOKUP(A141,BUFFS!$H$5:$AF$195,8,),"")</f>
        <v/>
      </c>
      <c r="J141" s="34"/>
      <c r="K141" s="30"/>
      <c r="L141" s="30"/>
      <c r="M141" s="30"/>
      <c r="N141" s="32"/>
      <c r="O141" s="34"/>
      <c r="P141" s="30"/>
      <c r="Q141" s="30"/>
      <c r="R141" s="30"/>
      <c r="S141" s="32"/>
      <c r="T141" s="35"/>
    </row>
    <row r="142" spans="2:20" x14ac:dyDescent="0.3">
      <c r="B142" s="19"/>
      <c r="D142" s="34"/>
      <c r="E142" s="30"/>
      <c r="F142" s="30"/>
      <c r="G142" s="30"/>
      <c r="H142" s="30"/>
      <c r="I142" s="40" t="str">
        <f>IFERROR(VLOOKUP(A142,BUFFS!$H$5:$AF$195,8,),"")</f>
        <v/>
      </c>
      <c r="J142" s="34"/>
      <c r="K142" s="30"/>
      <c r="L142" s="30"/>
      <c r="M142" s="30"/>
      <c r="N142" s="32"/>
      <c r="O142" s="34"/>
      <c r="P142" s="30"/>
      <c r="Q142" s="30"/>
      <c r="R142" s="30"/>
      <c r="S142" s="32"/>
      <c r="T142" s="35"/>
    </row>
    <row r="143" spans="2:20" x14ac:dyDescent="0.3">
      <c r="B143" s="19"/>
      <c r="D143" s="34"/>
      <c r="E143" s="30"/>
      <c r="F143" s="30"/>
      <c r="G143" s="30"/>
      <c r="H143" s="30"/>
      <c r="I143" s="40" t="str">
        <f>IFERROR(VLOOKUP(A143,BUFFS!$H$5:$AF$195,8,),"")</f>
        <v/>
      </c>
      <c r="J143" s="34"/>
      <c r="K143" s="30"/>
      <c r="L143" s="30"/>
      <c r="M143" s="30"/>
      <c r="N143" s="32"/>
      <c r="O143" s="34"/>
      <c r="P143" s="30"/>
      <c r="Q143" s="30"/>
      <c r="R143" s="30"/>
      <c r="S143" s="32"/>
      <c r="T143" s="35"/>
    </row>
    <row r="144" spans="2:20" x14ac:dyDescent="0.3">
      <c r="B144" s="19"/>
      <c r="D144" s="34"/>
      <c r="E144" s="30"/>
      <c r="F144" s="30"/>
      <c r="G144" s="30"/>
      <c r="H144" s="30"/>
      <c r="I144" s="40" t="str">
        <f>IFERROR(VLOOKUP(A144,BUFFS!$H$5:$AF$195,8,),"")</f>
        <v/>
      </c>
      <c r="J144" s="34"/>
      <c r="K144" s="30"/>
      <c r="L144" s="30"/>
      <c r="M144" s="30"/>
      <c r="N144" s="32"/>
      <c r="O144" s="34"/>
      <c r="P144" s="30"/>
      <c r="Q144" s="30"/>
      <c r="R144" s="30"/>
      <c r="S144" s="32"/>
      <c r="T144" s="35"/>
    </row>
    <row r="145" spans="2:20" x14ac:dyDescent="0.3">
      <c r="B145" s="19"/>
      <c r="D145" s="34"/>
      <c r="E145" s="30"/>
      <c r="F145" s="30"/>
      <c r="G145" s="30"/>
      <c r="H145" s="30"/>
      <c r="I145" s="40" t="str">
        <f>IFERROR(VLOOKUP(A145,BUFFS!$H$5:$AF$195,8,),"")</f>
        <v/>
      </c>
      <c r="J145" s="34"/>
      <c r="K145" s="30"/>
      <c r="L145" s="30"/>
      <c r="M145" s="30"/>
      <c r="N145" s="32"/>
      <c r="O145" s="34"/>
      <c r="P145" s="30"/>
      <c r="Q145" s="30"/>
      <c r="R145" s="30"/>
      <c r="S145" s="32"/>
      <c r="T145" s="35"/>
    </row>
    <row r="146" spans="2:20" x14ac:dyDescent="0.3">
      <c r="B146" s="19"/>
      <c r="D146" s="34"/>
      <c r="E146" s="30"/>
      <c r="F146" s="30"/>
      <c r="G146" s="30"/>
      <c r="H146" s="30"/>
      <c r="I146" s="40" t="str">
        <f>IFERROR(VLOOKUP(A146,BUFFS!$H$5:$AF$195,8,),"")</f>
        <v/>
      </c>
      <c r="J146" s="34"/>
      <c r="K146" s="30"/>
      <c r="L146" s="30"/>
      <c r="M146" s="30"/>
      <c r="N146" s="32"/>
      <c r="O146" s="34"/>
      <c r="P146" s="30"/>
      <c r="Q146" s="30"/>
      <c r="R146" s="30"/>
      <c r="S146" s="32"/>
      <c r="T146" s="35"/>
    </row>
    <row r="147" spans="2:20" x14ac:dyDescent="0.3">
      <c r="B147" s="19"/>
      <c r="D147" s="34"/>
      <c r="E147" s="30"/>
      <c r="F147" s="30"/>
      <c r="G147" s="30"/>
      <c r="H147" s="30"/>
      <c r="I147" s="40" t="str">
        <f>IFERROR(VLOOKUP(A147,BUFFS!$H$5:$AF$195,8,),"")</f>
        <v/>
      </c>
      <c r="J147" s="34"/>
      <c r="K147" s="30"/>
      <c r="L147" s="30"/>
      <c r="M147" s="30"/>
      <c r="N147" s="32"/>
      <c r="O147" s="34"/>
      <c r="P147" s="30"/>
      <c r="Q147" s="30"/>
      <c r="R147" s="30"/>
      <c r="S147" s="32"/>
      <c r="T147" s="35"/>
    </row>
    <row r="148" spans="2:20" x14ac:dyDescent="0.3">
      <c r="B148" s="19"/>
      <c r="D148" s="34"/>
      <c r="E148" s="30"/>
      <c r="F148" s="30"/>
      <c r="G148" s="30"/>
      <c r="H148" s="30"/>
      <c r="I148" s="40" t="str">
        <f>IFERROR(VLOOKUP(A148,BUFFS!$H$5:$AF$195,8,),"")</f>
        <v/>
      </c>
      <c r="J148" s="34"/>
      <c r="K148" s="30"/>
      <c r="L148" s="30"/>
      <c r="M148" s="30"/>
      <c r="N148" s="32"/>
      <c r="O148" s="34"/>
      <c r="P148" s="30"/>
      <c r="Q148" s="30"/>
      <c r="R148" s="30"/>
      <c r="S148" s="32"/>
      <c r="T148" s="35"/>
    </row>
    <row r="149" spans="2:20" x14ac:dyDescent="0.3">
      <c r="B149" s="19"/>
      <c r="D149" s="34"/>
      <c r="E149" s="30"/>
      <c r="F149" s="30"/>
      <c r="G149" s="30"/>
      <c r="H149" s="30"/>
      <c r="I149" s="40" t="str">
        <f>IFERROR(VLOOKUP(A149,BUFFS!$H$5:$AF$195,8,),"")</f>
        <v/>
      </c>
      <c r="J149" s="34"/>
      <c r="K149" s="30"/>
      <c r="L149" s="30"/>
      <c r="M149" s="30"/>
      <c r="N149" s="32"/>
      <c r="O149" s="34"/>
      <c r="P149" s="30"/>
      <c r="Q149" s="30"/>
      <c r="R149" s="30"/>
      <c r="S149" s="32"/>
      <c r="T149" s="35"/>
    </row>
    <row r="150" spans="2:20" x14ac:dyDescent="0.3">
      <c r="B150" s="19"/>
      <c r="D150" s="34"/>
      <c r="E150" s="30"/>
      <c r="F150" s="30"/>
      <c r="G150" s="30"/>
      <c r="H150" s="30"/>
      <c r="I150" s="40" t="str">
        <f>IFERROR(VLOOKUP(A150,BUFFS!$H$5:$AF$195,8,),"")</f>
        <v/>
      </c>
      <c r="J150" s="34"/>
      <c r="K150" s="30"/>
      <c r="L150" s="30"/>
      <c r="M150" s="30"/>
      <c r="N150" s="32"/>
      <c r="O150" s="34"/>
      <c r="P150" s="30"/>
      <c r="Q150" s="30"/>
      <c r="R150" s="30"/>
      <c r="S150" s="32"/>
      <c r="T150" s="35"/>
    </row>
    <row r="151" spans="2:20" x14ac:dyDescent="0.3">
      <c r="B151" s="19"/>
      <c r="D151" s="34"/>
      <c r="E151" s="30"/>
      <c r="F151" s="30"/>
      <c r="G151" s="30"/>
      <c r="H151" s="30"/>
      <c r="I151" s="40" t="str">
        <f>IFERROR(VLOOKUP(A151,BUFFS!$H$5:$AF$195,8,),"")</f>
        <v/>
      </c>
      <c r="J151" s="34"/>
      <c r="K151" s="30"/>
      <c r="L151" s="30"/>
      <c r="M151" s="30"/>
      <c r="N151" s="32"/>
      <c r="O151" s="34"/>
      <c r="P151" s="30"/>
      <c r="Q151" s="30"/>
      <c r="R151" s="30"/>
      <c r="S151" s="32"/>
      <c r="T151" s="35"/>
    </row>
    <row r="152" spans="2:20" x14ac:dyDescent="0.3">
      <c r="B152" s="19"/>
      <c r="D152" s="34"/>
      <c r="E152" s="30"/>
      <c r="F152" s="30"/>
      <c r="G152" s="30"/>
      <c r="H152" s="30"/>
      <c r="I152" s="40" t="str">
        <f>IFERROR(VLOOKUP(A152,BUFFS!$H$5:$AF$195,8,),"")</f>
        <v/>
      </c>
      <c r="J152" s="34"/>
      <c r="K152" s="30"/>
      <c r="L152" s="30"/>
      <c r="M152" s="30"/>
      <c r="N152" s="32"/>
      <c r="O152" s="34"/>
      <c r="P152" s="30"/>
      <c r="Q152" s="30"/>
      <c r="R152" s="30"/>
      <c r="S152" s="32"/>
      <c r="T152" s="35"/>
    </row>
    <row r="153" spans="2:20" x14ac:dyDescent="0.3">
      <c r="B153" s="19"/>
      <c r="D153" s="34"/>
      <c r="E153" s="30"/>
      <c r="F153" s="30"/>
      <c r="G153" s="30"/>
      <c r="H153" s="30"/>
      <c r="I153" s="40" t="str">
        <f>IFERROR(VLOOKUP(A153,BUFFS!$H$5:$AF$195,8,),"")</f>
        <v/>
      </c>
      <c r="J153" s="34"/>
      <c r="K153" s="30"/>
      <c r="L153" s="30"/>
      <c r="M153" s="30"/>
      <c r="N153" s="32"/>
      <c r="O153" s="34"/>
      <c r="P153" s="30"/>
      <c r="Q153" s="30"/>
      <c r="R153" s="30"/>
      <c r="S153" s="32"/>
      <c r="T153" s="35"/>
    </row>
    <row r="154" spans="2:20" x14ac:dyDescent="0.3">
      <c r="B154" s="19"/>
      <c r="D154" s="34"/>
      <c r="E154" s="30"/>
      <c r="F154" s="30"/>
      <c r="G154" s="30"/>
      <c r="H154" s="30"/>
      <c r="I154" s="40" t="str">
        <f>IFERROR(VLOOKUP(A154,BUFFS!$H$5:$AF$195,8,),"")</f>
        <v/>
      </c>
      <c r="J154" s="34"/>
      <c r="K154" s="30"/>
      <c r="L154" s="30"/>
      <c r="M154" s="30"/>
      <c r="N154" s="32"/>
      <c r="O154" s="34"/>
      <c r="P154" s="30"/>
      <c r="Q154" s="30"/>
      <c r="R154" s="30"/>
      <c r="S154" s="32"/>
      <c r="T154" s="35"/>
    </row>
    <row r="155" spans="2:20" x14ac:dyDescent="0.3">
      <c r="B155" s="19"/>
      <c r="D155" s="34"/>
      <c r="E155" s="30"/>
      <c r="F155" s="30"/>
      <c r="G155" s="30"/>
      <c r="H155" s="30"/>
      <c r="I155" s="40" t="str">
        <f>IFERROR(VLOOKUP(A155,BUFFS!$H$5:$AF$195,8,),"")</f>
        <v/>
      </c>
      <c r="J155" s="34"/>
      <c r="K155" s="30"/>
      <c r="L155" s="30"/>
      <c r="M155" s="30"/>
      <c r="N155" s="32"/>
      <c r="O155" s="34"/>
      <c r="P155" s="30"/>
      <c r="Q155" s="30"/>
      <c r="R155" s="30"/>
      <c r="S155" s="32"/>
      <c r="T155" s="35"/>
    </row>
    <row r="156" spans="2:20" x14ac:dyDescent="0.3">
      <c r="B156" s="19"/>
      <c r="D156" s="34"/>
      <c r="E156" s="30"/>
      <c r="F156" s="30"/>
      <c r="G156" s="30"/>
      <c r="H156" s="30"/>
      <c r="I156" s="40" t="str">
        <f>IFERROR(VLOOKUP(A156,BUFFS!$H$5:$AF$195,8,),"")</f>
        <v/>
      </c>
      <c r="J156" s="34"/>
      <c r="K156" s="30"/>
      <c r="L156" s="30"/>
      <c r="M156" s="30"/>
      <c r="N156" s="32"/>
      <c r="O156" s="34"/>
      <c r="P156" s="30"/>
      <c r="Q156" s="30"/>
      <c r="R156" s="30"/>
      <c r="S156" s="32"/>
      <c r="T156" s="35"/>
    </row>
    <row r="157" spans="2:20" x14ac:dyDescent="0.3">
      <c r="B157" s="19"/>
      <c r="D157" s="34"/>
      <c r="E157" s="30"/>
      <c r="F157" s="30"/>
      <c r="G157" s="30"/>
      <c r="H157" s="30"/>
      <c r="I157" s="40" t="str">
        <f>IFERROR(VLOOKUP(A157,BUFFS!$H$5:$AF$195,8,),"")</f>
        <v/>
      </c>
      <c r="J157" s="34"/>
      <c r="K157" s="30"/>
      <c r="L157" s="30"/>
      <c r="M157" s="30"/>
      <c r="N157" s="32"/>
      <c r="O157" s="34"/>
      <c r="P157" s="30"/>
      <c r="Q157" s="30"/>
      <c r="R157" s="30"/>
      <c r="S157" s="32"/>
      <c r="T157" s="35"/>
    </row>
    <row r="158" spans="2:20" x14ac:dyDescent="0.3">
      <c r="B158" s="19"/>
      <c r="D158" s="34"/>
      <c r="E158" s="30"/>
      <c r="F158" s="30"/>
      <c r="G158" s="30"/>
      <c r="H158" s="30"/>
      <c r="I158" s="40" t="str">
        <f>IFERROR(VLOOKUP(A158,BUFFS!$H$5:$AF$195,8,),"")</f>
        <v/>
      </c>
      <c r="J158" s="34"/>
      <c r="K158" s="30"/>
      <c r="L158" s="30"/>
      <c r="M158" s="30"/>
      <c r="N158" s="32"/>
      <c r="O158" s="34"/>
      <c r="P158" s="30"/>
      <c r="Q158" s="30"/>
      <c r="R158" s="30"/>
      <c r="S158" s="32"/>
      <c r="T158" s="35"/>
    </row>
    <row r="159" spans="2:20" x14ac:dyDescent="0.3">
      <c r="B159" s="19"/>
      <c r="D159" s="34"/>
      <c r="E159" s="30"/>
      <c r="F159" s="30"/>
      <c r="G159" s="30"/>
      <c r="H159" s="30"/>
      <c r="I159" s="40" t="str">
        <f>IFERROR(VLOOKUP(A159,BUFFS!$H$5:$AF$195,8,),"")</f>
        <v/>
      </c>
      <c r="J159" s="34"/>
      <c r="K159" s="30"/>
      <c r="L159" s="30"/>
      <c r="M159" s="30"/>
      <c r="N159" s="32"/>
      <c r="O159" s="34"/>
      <c r="P159" s="30"/>
      <c r="Q159" s="30"/>
      <c r="R159" s="30"/>
      <c r="S159" s="32"/>
      <c r="T159" s="35"/>
    </row>
    <row r="160" spans="2:20" x14ac:dyDescent="0.3">
      <c r="B160" s="19"/>
      <c r="D160" s="34"/>
      <c r="E160" s="30"/>
      <c r="F160" s="30"/>
      <c r="G160" s="30"/>
      <c r="H160" s="30"/>
      <c r="I160" s="40" t="str">
        <f>IFERROR(VLOOKUP(A160,BUFFS!$H$5:$AF$195,8,),"")</f>
        <v/>
      </c>
      <c r="J160" s="34"/>
      <c r="K160" s="30"/>
      <c r="L160" s="30"/>
      <c r="M160" s="30"/>
      <c r="N160" s="32"/>
      <c r="O160" s="34"/>
      <c r="P160" s="30"/>
      <c r="Q160" s="30"/>
      <c r="R160" s="30"/>
      <c r="S160" s="32"/>
      <c r="T160" s="35"/>
    </row>
    <row r="161" spans="2:20" x14ac:dyDescent="0.3">
      <c r="B161" s="19"/>
      <c r="D161" s="34"/>
      <c r="E161" s="30"/>
      <c r="F161" s="30"/>
      <c r="G161" s="30"/>
      <c r="H161" s="30"/>
      <c r="I161" s="40" t="str">
        <f>IFERROR(VLOOKUP(A161,BUFFS!$H$5:$AF$195,8,),"")</f>
        <v/>
      </c>
      <c r="J161" s="34"/>
      <c r="K161" s="30"/>
      <c r="L161" s="30"/>
      <c r="M161" s="30"/>
      <c r="N161" s="32"/>
      <c r="O161" s="34"/>
      <c r="P161" s="30"/>
      <c r="Q161" s="30"/>
      <c r="R161" s="30"/>
      <c r="S161" s="32"/>
      <c r="T161" s="35"/>
    </row>
    <row r="162" spans="2:20" x14ac:dyDescent="0.3">
      <c r="B162" s="19"/>
      <c r="D162" s="34"/>
      <c r="E162" s="30"/>
      <c r="F162" s="30"/>
      <c r="G162" s="30"/>
      <c r="H162" s="30"/>
      <c r="I162" s="40" t="str">
        <f>IFERROR(VLOOKUP(A162,BUFFS!$H$5:$AF$195,8,),"")</f>
        <v/>
      </c>
      <c r="J162" s="34"/>
      <c r="K162" s="30"/>
      <c r="L162" s="30"/>
      <c r="M162" s="30"/>
      <c r="N162" s="32"/>
      <c r="O162" s="34"/>
      <c r="P162" s="30"/>
      <c r="Q162" s="30"/>
      <c r="R162" s="30"/>
      <c r="S162" s="32"/>
      <c r="T162" s="35"/>
    </row>
    <row r="163" spans="2:20" x14ac:dyDescent="0.3">
      <c r="B163" s="19"/>
      <c r="D163" s="34"/>
      <c r="E163" s="30"/>
      <c r="F163" s="30"/>
      <c r="G163" s="30"/>
      <c r="H163" s="30"/>
      <c r="I163" s="40" t="str">
        <f>IFERROR(VLOOKUP(A163,BUFFS!$H$5:$AF$195,8,),"")</f>
        <v/>
      </c>
      <c r="J163" s="34"/>
      <c r="K163" s="30"/>
      <c r="L163" s="30"/>
      <c r="M163" s="30"/>
      <c r="N163" s="32"/>
      <c r="O163" s="34"/>
      <c r="P163" s="30"/>
      <c r="Q163" s="30"/>
      <c r="R163" s="30"/>
      <c r="S163" s="32"/>
      <c r="T163" s="35"/>
    </row>
    <row r="164" spans="2:20" x14ac:dyDescent="0.3">
      <c r="B164" s="19"/>
      <c r="D164" s="34"/>
      <c r="E164" s="30"/>
      <c r="F164" s="30"/>
      <c r="G164" s="30"/>
      <c r="H164" s="30"/>
      <c r="I164" s="40" t="str">
        <f>IFERROR(VLOOKUP(A164,BUFFS!$H$5:$AF$195,8,),"")</f>
        <v/>
      </c>
      <c r="J164" s="34"/>
      <c r="K164" s="30"/>
      <c r="L164" s="30"/>
      <c r="M164" s="30"/>
      <c r="N164" s="32"/>
      <c r="O164" s="34"/>
      <c r="P164" s="30"/>
      <c r="Q164" s="30"/>
      <c r="R164" s="30"/>
      <c r="S164" s="32"/>
      <c r="T164" s="35"/>
    </row>
    <row r="165" spans="2:20" x14ac:dyDescent="0.3">
      <c r="B165" s="19"/>
      <c r="D165" s="34"/>
      <c r="E165" s="30"/>
      <c r="F165" s="30"/>
      <c r="G165" s="30"/>
      <c r="H165" s="30"/>
      <c r="I165" s="40" t="str">
        <f>IFERROR(VLOOKUP(A165,BUFFS!$H$5:$AF$195,8,),"")</f>
        <v/>
      </c>
      <c r="J165" s="34"/>
      <c r="K165" s="30"/>
      <c r="L165" s="30"/>
      <c r="M165" s="30"/>
      <c r="N165" s="32"/>
      <c r="O165" s="34"/>
      <c r="P165" s="30"/>
      <c r="Q165" s="30"/>
      <c r="R165" s="30"/>
      <c r="S165" s="32"/>
      <c r="T165" s="35"/>
    </row>
    <row r="166" spans="2:20" x14ac:dyDescent="0.3">
      <c r="B166" s="19"/>
      <c r="D166" s="34"/>
      <c r="E166" s="30"/>
      <c r="F166" s="30"/>
      <c r="G166" s="30"/>
      <c r="H166" s="30"/>
      <c r="I166" s="40" t="str">
        <f>IFERROR(VLOOKUP(A166,BUFFS!$H$5:$AF$195,8,),"")</f>
        <v/>
      </c>
      <c r="J166" s="34"/>
      <c r="K166" s="30"/>
      <c r="L166" s="30"/>
      <c r="M166" s="30"/>
      <c r="N166" s="32"/>
      <c r="O166" s="34"/>
      <c r="P166" s="30"/>
      <c r="Q166" s="30"/>
      <c r="R166" s="30"/>
      <c r="S166" s="32"/>
      <c r="T166" s="35"/>
    </row>
    <row r="167" spans="2:20" x14ac:dyDescent="0.3">
      <c r="B167" s="19"/>
      <c r="D167" s="34"/>
      <c r="E167" s="30"/>
      <c r="F167" s="30"/>
      <c r="G167" s="30"/>
      <c r="H167" s="30"/>
      <c r="I167" s="40" t="str">
        <f>IFERROR(VLOOKUP(A167,BUFFS!$H$5:$AF$195,8,),"")</f>
        <v/>
      </c>
      <c r="J167" s="34"/>
      <c r="K167" s="30"/>
      <c r="L167" s="30"/>
      <c r="M167" s="30"/>
      <c r="N167" s="32"/>
      <c r="O167" s="34"/>
      <c r="P167" s="30"/>
      <c r="Q167" s="30"/>
      <c r="R167" s="30"/>
      <c r="S167" s="32"/>
      <c r="T167" s="35"/>
    </row>
    <row r="168" spans="2:20" x14ac:dyDescent="0.3">
      <c r="B168" s="19"/>
      <c r="D168" s="34"/>
      <c r="E168" s="30"/>
      <c r="F168" s="30"/>
      <c r="G168" s="30"/>
      <c r="H168" s="30"/>
      <c r="I168" s="40" t="str">
        <f>IFERROR(VLOOKUP(A168,BUFFS!$H$5:$AF$195,8,),"")</f>
        <v/>
      </c>
      <c r="J168" s="34"/>
      <c r="K168" s="30"/>
      <c r="L168" s="30"/>
      <c r="M168" s="30"/>
      <c r="N168" s="32"/>
      <c r="O168" s="34"/>
      <c r="P168" s="30"/>
      <c r="Q168" s="30"/>
      <c r="R168" s="30"/>
      <c r="S168" s="32"/>
      <c r="T168" s="35"/>
    </row>
    <row r="169" spans="2:20" x14ac:dyDescent="0.3">
      <c r="B169" s="19"/>
      <c r="D169" s="34"/>
      <c r="E169" s="30"/>
      <c r="F169" s="30"/>
      <c r="G169" s="30"/>
      <c r="H169" s="30"/>
      <c r="I169" s="40" t="str">
        <f>IFERROR(VLOOKUP(A169,BUFFS!$H$5:$AF$195,8,),"")</f>
        <v/>
      </c>
      <c r="J169" s="34"/>
      <c r="K169" s="30"/>
      <c r="L169" s="30"/>
      <c r="M169" s="30"/>
      <c r="N169" s="32"/>
      <c r="O169" s="34"/>
      <c r="P169" s="30"/>
      <c r="Q169" s="30"/>
      <c r="R169" s="30"/>
      <c r="S169" s="32"/>
      <c r="T169" s="35"/>
    </row>
    <row r="170" spans="2:20" x14ac:dyDescent="0.3">
      <c r="B170" s="19"/>
      <c r="D170" s="34"/>
      <c r="E170" s="30"/>
      <c r="F170" s="30"/>
      <c r="G170" s="30"/>
      <c r="H170" s="30"/>
      <c r="I170" s="40" t="str">
        <f>IFERROR(VLOOKUP(A170,BUFFS!$H$5:$AF$195,8,),"")</f>
        <v/>
      </c>
      <c r="J170" s="34"/>
      <c r="K170" s="30"/>
      <c r="L170" s="30"/>
      <c r="M170" s="30"/>
      <c r="N170" s="32"/>
      <c r="O170" s="34"/>
      <c r="P170" s="30"/>
      <c r="Q170" s="30"/>
      <c r="R170" s="30"/>
      <c r="S170" s="32"/>
      <c r="T170" s="35"/>
    </row>
    <row r="171" spans="2:20" x14ac:dyDescent="0.3">
      <c r="B171" s="19"/>
      <c r="D171" s="34"/>
      <c r="E171" s="30"/>
      <c r="F171" s="30"/>
      <c r="G171" s="30"/>
      <c r="H171" s="30"/>
      <c r="I171" s="40" t="str">
        <f>IFERROR(VLOOKUP(A171,BUFFS!$H$5:$AF$195,8,),"")</f>
        <v/>
      </c>
      <c r="J171" s="34"/>
      <c r="K171" s="30"/>
      <c r="L171" s="30"/>
      <c r="M171" s="30"/>
      <c r="N171" s="32"/>
      <c r="O171" s="34"/>
      <c r="P171" s="30"/>
      <c r="Q171" s="30"/>
      <c r="R171" s="30"/>
      <c r="S171" s="32"/>
      <c r="T171" s="35"/>
    </row>
    <row r="172" spans="2:20" x14ac:dyDescent="0.3">
      <c r="B172" s="19"/>
      <c r="D172" s="34"/>
      <c r="E172" s="30"/>
      <c r="F172" s="30"/>
      <c r="G172" s="30"/>
      <c r="H172" s="30"/>
      <c r="I172" s="40" t="str">
        <f>IFERROR(VLOOKUP(A172,BUFFS!$H$5:$AF$195,8,),"")</f>
        <v/>
      </c>
      <c r="J172" s="34"/>
      <c r="K172" s="30"/>
      <c r="L172" s="30"/>
      <c r="M172" s="30"/>
      <c r="N172" s="32"/>
      <c r="O172" s="34"/>
      <c r="P172" s="30"/>
      <c r="Q172" s="30"/>
      <c r="R172" s="30"/>
      <c r="S172" s="32"/>
      <c r="T172" s="35"/>
    </row>
    <row r="173" spans="2:20" x14ac:dyDescent="0.3">
      <c r="B173" s="19"/>
      <c r="D173" s="34"/>
      <c r="E173" s="30"/>
      <c r="F173" s="30"/>
      <c r="G173" s="30"/>
      <c r="H173" s="30"/>
      <c r="I173" s="40" t="str">
        <f>IFERROR(VLOOKUP(A173,BUFFS!$H$5:$AF$195,8,),"")</f>
        <v/>
      </c>
      <c r="J173" s="34"/>
      <c r="K173" s="30"/>
      <c r="L173" s="30"/>
      <c r="M173" s="30"/>
      <c r="N173" s="32"/>
      <c r="O173" s="34"/>
      <c r="P173" s="30"/>
      <c r="Q173" s="30"/>
      <c r="R173" s="30"/>
      <c r="S173" s="32"/>
      <c r="T173" s="35"/>
    </row>
    <row r="174" spans="2:20" x14ac:dyDescent="0.3">
      <c r="B174" s="19"/>
      <c r="D174" s="34"/>
      <c r="E174" s="30"/>
      <c r="F174" s="30"/>
      <c r="G174" s="30"/>
      <c r="H174" s="30"/>
      <c r="I174" s="40" t="str">
        <f>IFERROR(VLOOKUP(A174,BUFFS!$H$5:$AF$195,8,),"")</f>
        <v/>
      </c>
      <c r="J174" s="34"/>
      <c r="K174" s="30"/>
      <c r="L174" s="30"/>
      <c r="M174" s="30"/>
      <c r="N174" s="32"/>
      <c r="O174" s="34"/>
      <c r="P174" s="30"/>
      <c r="Q174" s="30"/>
      <c r="R174" s="30"/>
      <c r="S174" s="32"/>
      <c r="T174" s="35"/>
    </row>
    <row r="175" spans="2:20" x14ac:dyDescent="0.3">
      <c r="B175" s="19"/>
      <c r="D175" s="34"/>
      <c r="E175" s="30"/>
      <c r="F175" s="30"/>
      <c r="G175" s="30"/>
      <c r="H175" s="30"/>
      <c r="I175" s="40" t="str">
        <f>IFERROR(VLOOKUP(A175,BUFFS!$H$5:$AF$195,8,),"")</f>
        <v/>
      </c>
      <c r="J175" s="34"/>
      <c r="K175" s="30"/>
      <c r="L175" s="30"/>
      <c r="M175" s="30"/>
      <c r="N175" s="32"/>
      <c r="O175" s="34"/>
      <c r="P175" s="30"/>
      <c r="Q175" s="30"/>
      <c r="R175" s="30"/>
      <c r="S175" s="32"/>
      <c r="T175" s="35"/>
    </row>
    <row r="176" spans="2:20" x14ac:dyDescent="0.3">
      <c r="B176" s="19"/>
      <c r="D176" s="34"/>
      <c r="E176" s="30"/>
      <c r="F176" s="30"/>
      <c r="G176" s="30"/>
      <c r="H176" s="30"/>
      <c r="I176" s="40" t="str">
        <f>IFERROR(VLOOKUP(A176,BUFFS!$H$5:$AF$195,8,),"")</f>
        <v/>
      </c>
      <c r="J176" s="34"/>
      <c r="K176" s="30"/>
      <c r="L176" s="30"/>
      <c r="M176" s="30"/>
      <c r="N176" s="32"/>
      <c r="O176" s="35"/>
      <c r="P176" s="35"/>
      <c r="Q176" s="35"/>
      <c r="R176" s="35"/>
      <c r="S176" s="35"/>
      <c r="T176" s="35"/>
    </row>
    <row r="177" spans="2:20" x14ac:dyDescent="0.3">
      <c r="B177" s="19"/>
      <c r="D177" s="34"/>
      <c r="E177" s="30"/>
      <c r="F177" s="30"/>
      <c r="G177" s="30"/>
      <c r="H177" s="30"/>
      <c r="I177" s="40" t="str">
        <f>IFERROR(VLOOKUP(A177,BUFFS!$H$5:$AF$195,8,),"")</f>
        <v/>
      </c>
      <c r="J177" s="34"/>
      <c r="K177" s="30"/>
      <c r="L177" s="30"/>
      <c r="M177" s="30"/>
      <c r="N177" s="32"/>
      <c r="O177" s="35"/>
      <c r="P177" s="35"/>
      <c r="Q177" s="35"/>
      <c r="R177" s="35"/>
      <c r="S177" s="35"/>
      <c r="T177" s="35"/>
    </row>
    <row r="178" spans="2:20" x14ac:dyDescent="0.3">
      <c r="B178" s="19"/>
      <c r="D178" s="34"/>
      <c r="E178" s="30"/>
      <c r="F178" s="30"/>
      <c r="G178" s="30"/>
      <c r="H178" s="30"/>
      <c r="I178" s="40" t="str">
        <f>IFERROR(VLOOKUP(A178,BUFFS!$H$5:$AF$195,8,),"")</f>
        <v/>
      </c>
      <c r="J178" s="34"/>
      <c r="K178" s="30"/>
      <c r="L178" s="30"/>
      <c r="M178" s="30"/>
      <c r="N178" s="32"/>
      <c r="O178" s="35"/>
      <c r="P178" s="35"/>
      <c r="Q178" s="35"/>
      <c r="R178" s="35"/>
      <c r="S178" s="35"/>
      <c r="T178" s="35"/>
    </row>
    <row r="179" spans="2:20" x14ac:dyDescent="0.3">
      <c r="B179" s="19"/>
      <c r="D179" s="34"/>
      <c r="E179" s="30"/>
      <c r="F179" s="30"/>
      <c r="G179" s="30"/>
      <c r="H179" s="30"/>
      <c r="I179" s="40" t="str">
        <f>IFERROR(VLOOKUP(A179,BUFFS!$H$5:$AF$195,8,),"")</f>
        <v/>
      </c>
      <c r="J179" s="34"/>
      <c r="K179" s="30"/>
      <c r="L179" s="30"/>
      <c r="M179" s="30"/>
      <c r="N179" s="32"/>
      <c r="O179" s="35"/>
      <c r="P179" s="35"/>
      <c r="Q179" s="35"/>
      <c r="R179" s="35"/>
      <c r="S179" s="35"/>
      <c r="T179" s="35"/>
    </row>
    <row r="180" spans="2:20" x14ac:dyDescent="0.3">
      <c r="B180" s="19"/>
      <c r="D180" s="34"/>
      <c r="E180" s="30"/>
      <c r="F180" s="30"/>
      <c r="G180" s="30"/>
      <c r="H180" s="30"/>
      <c r="I180" s="40" t="str">
        <f>IFERROR(VLOOKUP(A180,BUFFS!$H$5:$AF$195,8,),"")</f>
        <v/>
      </c>
      <c r="J180" s="34"/>
      <c r="K180" s="30"/>
      <c r="L180" s="30"/>
      <c r="M180" s="30"/>
      <c r="N180" s="32"/>
      <c r="O180" s="35"/>
      <c r="P180" s="35"/>
      <c r="Q180" s="35"/>
      <c r="R180" s="35"/>
      <c r="S180" s="35"/>
      <c r="T180" s="35"/>
    </row>
    <row r="181" spans="2:20" x14ac:dyDescent="0.3">
      <c r="B181" s="19"/>
      <c r="D181" s="34"/>
      <c r="E181" s="30"/>
      <c r="F181" s="30"/>
      <c r="G181" s="30"/>
      <c r="H181" s="30"/>
      <c r="I181" s="40" t="str">
        <f>IFERROR(VLOOKUP(A181,BUFFS!$H$5:$AF$195,8,),"")</f>
        <v/>
      </c>
      <c r="J181" s="34"/>
      <c r="K181" s="30"/>
      <c r="L181" s="30"/>
      <c r="M181" s="30"/>
      <c r="N181" s="32"/>
      <c r="O181" s="35"/>
      <c r="P181" s="35"/>
      <c r="Q181" s="35"/>
      <c r="R181" s="35"/>
      <c r="S181" s="35"/>
      <c r="T181" s="35"/>
    </row>
    <row r="182" spans="2:20" x14ac:dyDescent="0.3">
      <c r="B182" s="19"/>
      <c r="D182" s="34"/>
      <c r="E182" s="30"/>
      <c r="F182" s="30"/>
      <c r="G182" s="30"/>
      <c r="H182" s="30"/>
      <c r="I182" s="40" t="str">
        <f>IFERROR(VLOOKUP(A182,BUFFS!$H$5:$AF$195,8,),"")</f>
        <v/>
      </c>
      <c r="J182" s="34"/>
      <c r="K182" s="30"/>
      <c r="L182" s="30"/>
      <c r="M182" s="30"/>
      <c r="N182" s="32"/>
      <c r="O182" s="35"/>
      <c r="P182" s="35"/>
      <c r="Q182" s="35"/>
      <c r="R182" s="35"/>
      <c r="S182" s="35"/>
      <c r="T182" s="35"/>
    </row>
    <row r="183" spans="2:20" x14ac:dyDescent="0.3">
      <c r="B183" s="19"/>
      <c r="D183" s="34"/>
      <c r="E183" s="30"/>
      <c r="F183" s="30"/>
      <c r="G183" s="30"/>
      <c r="H183" s="30"/>
      <c r="I183" s="40" t="str">
        <f>IFERROR(VLOOKUP(A183,BUFFS!$H$5:$AF$195,8,),"")</f>
        <v/>
      </c>
      <c r="J183" s="34"/>
      <c r="K183" s="30"/>
      <c r="L183" s="30"/>
      <c r="M183" s="30"/>
      <c r="N183" s="32"/>
      <c r="O183" s="35"/>
      <c r="P183" s="35"/>
      <c r="Q183" s="35"/>
      <c r="R183" s="35"/>
      <c r="S183" s="35"/>
      <c r="T183" s="35"/>
    </row>
    <row r="184" spans="2:20" x14ac:dyDescent="0.3">
      <c r="B184" s="19"/>
      <c r="D184" s="34"/>
      <c r="E184" s="30"/>
      <c r="F184" s="30"/>
      <c r="G184" s="30"/>
      <c r="H184" s="30"/>
      <c r="I184" s="40" t="str">
        <f>IFERROR(VLOOKUP(A184,BUFFS!$H$5:$AF$195,8,),"")</f>
        <v/>
      </c>
      <c r="J184" s="34"/>
      <c r="K184" s="30"/>
      <c r="L184" s="30"/>
      <c r="M184" s="30"/>
      <c r="N184" s="32"/>
      <c r="O184" s="35"/>
      <c r="P184" s="35"/>
      <c r="Q184" s="35"/>
      <c r="R184" s="35"/>
      <c r="S184" s="35"/>
      <c r="T184" s="35"/>
    </row>
    <row r="185" spans="2:20" x14ac:dyDescent="0.3">
      <c r="B185" s="19"/>
      <c r="D185" s="34"/>
      <c r="E185" s="30"/>
      <c r="F185" s="30"/>
      <c r="G185" s="30"/>
      <c r="H185" s="30"/>
      <c r="I185" s="40" t="str">
        <f>IFERROR(VLOOKUP(A185,BUFFS!$H$5:$AF$195,8,),"")</f>
        <v/>
      </c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</row>
    <row r="186" spans="2:20" x14ac:dyDescent="0.3">
      <c r="B186" s="19"/>
      <c r="D186" s="34"/>
      <c r="E186" s="30"/>
      <c r="F186" s="30"/>
      <c r="G186" s="30"/>
      <c r="H186" s="30"/>
      <c r="I186" s="40" t="str">
        <f>IFERROR(VLOOKUP(A186,BUFFS!$H$5:$AF$195,8,),"")</f>
        <v/>
      </c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</row>
    <row r="187" spans="2:20" x14ac:dyDescent="0.3">
      <c r="B187" s="19"/>
      <c r="D187" s="11"/>
      <c r="E187" s="12"/>
      <c r="F187" s="12"/>
      <c r="G187" s="12"/>
      <c r="H187" s="12"/>
      <c r="I187" s="40" t="str">
        <f>IFERROR(VLOOKUP(A187,BUFFS!$H$5:$AF$195,8,),"")</f>
        <v/>
      </c>
    </row>
    <row r="188" spans="2:20" x14ac:dyDescent="0.3">
      <c r="B188" s="19"/>
      <c r="D188" s="11"/>
      <c r="E188" s="12"/>
      <c r="F188" s="12"/>
      <c r="G188" s="12"/>
      <c r="H188" s="12"/>
      <c r="I188" s="40" t="str">
        <f>IFERROR(VLOOKUP(A188,BUFFS!$H$5:$AF$195,8,),"")</f>
        <v/>
      </c>
    </row>
    <row r="189" spans="2:20" x14ac:dyDescent="0.3">
      <c r="B189" s="19"/>
      <c r="D189" s="11"/>
      <c r="E189" s="12"/>
      <c r="F189" s="12"/>
      <c r="G189" s="12"/>
      <c r="H189" s="12"/>
      <c r="I189" s="40" t="str">
        <f>IFERROR(VLOOKUP(A189,BUFFS!$H$5:$AF$195,8,),"")</f>
        <v/>
      </c>
    </row>
    <row r="190" spans="2:20" x14ac:dyDescent="0.3">
      <c r="B190" s="19"/>
      <c r="D190" s="11"/>
      <c r="E190" s="12"/>
      <c r="F190" s="12"/>
      <c r="G190" s="12"/>
      <c r="H190" s="12"/>
      <c r="I190" s="40" t="str">
        <f>IFERROR(VLOOKUP(A190,BUFFS!$H$5:$AF$195,8,),"")</f>
        <v/>
      </c>
    </row>
    <row r="191" spans="2:20" x14ac:dyDescent="0.3">
      <c r="B191" s="19"/>
      <c r="D191" s="11"/>
      <c r="E191" s="12"/>
      <c r="F191" s="12"/>
      <c r="G191" s="12"/>
      <c r="H191" s="12"/>
      <c r="I191" s="40" t="str">
        <f>IFERROR(VLOOKUP(A191,BUFFS!$H$5:$AF$195,8,),"")</f>
        <v/>
      </c>
    </row>
    <row r="192" spans="2:20" x14ac:dyDescent="0.3">
      <c r="B192" s="19"/>
      <c r="D192" s="11"/>
      <c r="E192" s="12"/>
      <c r="F192" s="12"/>
      <c r="G192" s="12"/>
      <c r="H192" s="12"/>
      <c r="I192" s="40" t="str">
        <f>IFERROR(VLOOKUP(A192,BUFFS!$H$5:$AF$195,8,),"")</f>
        <v/>
      </c>
    </row>
    <row r="193" spans="2:9" x14ac:dyDescent="0.3">
      <c r="B193" s="19"/>
      <c r="D193" s="11"/>
      <c r="E193" s="12"/>
      <c r="F193" s="12"/>
      <c r="G193" s="12"/>
      <c r="H193" s="12"/>
      <c r="I193" s="40" t="str">
        <f>IFERROR(VLOOKUP(A193,BUFFS!$H$5:$AF$195,8,),"")</f>
        <v/>
      </c>
    </row>
    <row r="194" spans="2:9" x14ac:dyDescent="0.3">
      <c r="B194" s="19"/>
      <c r="D194" s="11"/>
      <c r="E194" s="12"/>
      <c r="F194" s="12"/>
      <c r="G194" s="12"/>
      <c r="H194" s="12"/>
      <c r="I194" s="40" t="str">
        <f>IFERROR(VLOOKUP(A194,BUFFS!$H$5:$AF$195,8,),"")</f>
        <v/>
      </c>
    </row>
    <row r="195" spans="2:9" x14ac:dyDescent="0.3">
      <c r="B195" s="19"/>
      <c r="D195" s="11"/>
      <c r="E195" s="12"/>
      <c r="F195" s="12"/>
      <c r="G195" s="12"/>
      <c r="H195" s="12"/>
      <c r="I195" s="40" t="str">
        <f>IFERROR(VLOOKUP(A195,BUFFS!$H$5:$AF$195,8,),"")</f>
        <v/>
      </c>
    </row>
    <row r="196" spans="2:9" x14ac:dyDescent="0.3">
      <c r="B196" s="19"/>
      <c r="D196" s="11"/>
      <c r="E196" s="12"/>
      <c r="F196" s="12"/>
      <c r="G196" s="12"/>
      <c r="H196" s="12"/>
      <c r="I196" s="40" t="str">
        <f>IFERROR(VLOOKUP(A196,BUFFS!$H$5:$AF$195,8,),"")</f>
        <v/>
      </c>
    </row>
    <row r="197" spans="2:9" x14ac:dyDescent="0.3">
      <c r="B197" s="19"/>
      <c r="D197" s="11"/>
      <c r="E197" s="12"/>
      <c r="F197" s="12"/>
      <c r="G197" s="12"/>
      <c r="H197" s="12"/>
      <c r="I197" s="40" t="str">
        <f>IFERROR(VLOOKUP(A197,BUFFS!$H$5:$AF$195,8,),"")</f>
        <v/>
      </c>
    </row>
    <row r="198" spans="2:9" x14ac:dyDescent="0.3">
      <c r="B198" s="19"/>
      <c r="D198" s="11"/>
      <c r="E198" s="12"/>
      <c r="F198" s="12"/>
      <c r="G198" s="12"/>
      <c r="H198" s="12"/>
      <c r="I198" s="40" t="str">
        <f>IFERROR(VLOOKUP(A198,BUFFS!$H$5:$AF$195,8,),"")</f>
        <v/>
      </c>
    </row>
    <row r="199" spans="2:9" x14ac:dyDescent="0.3">
      <c r="B199" s="19"/>
      <c r="D199" s="11"/>
      <c r="E199" s="12"/>
      <c r="F199" s="12"/>
      <c r="G199" s="12"/>
      <c r="H199" s="12"/>
      <c r="I199" s="40" t="str">
        <f>IFERROR(VLOOKUP(A199,BUFFS!$H$5:$AF$195,8,),"")</f>
        <v/>
      </c>
    </row>
    <row r="200" spans="2:9" x14ac:dyDescent="0.3">
      <c r="B200" s="19"/>
      <c r="D200" s="11"/>
      <c r="E200" s="12"/>
      <c r="F200" s="12"/>
      <c r="G200" s="12"/>
      <c r="H200" s="12"/>
      <c r="I200" s="40" t="str">
        <f>IFERROR(VLOOKUP(A200,BUFFS!$H$5:$AF$195,8,),"")</f>
        <v/>
      </c>
    </row>
    <row r="201" spans="2:9" x14ac:dyDescent="0.3">
      <c r="B201" s="19"/>
      <c r="D201" s="11"/>
      <c r="E201" s="12"/>
      <c r="F201" s="12"/>
      <c r="G201" s="12"/>
      <c r="H201" s="12"/>
      <c r="I201" s="40" t="str">
        <f>IFERROR(VLOOKUP(A201,BUFFS!$H$5:$AF$195,8,),"")</f>
        <v/>
      </c>
    </row>
    <row r="202" spans="2:9" x14ac:dyDescent="0.3">
      <c r="B202" s="19"/>
      <c r="D202" s="11"/>
      <c r="E202" s="12"/>
      <c r="F202" s="12"/>
      <c r="G202" s="12"/>
      <c r="H202" s="12"/>
      <c r="I202" s="40" t="str">
        <f>IFERROR(VLOOKUP(A202,BUFFS!$H$5:$AF$195,8,),"")</f>
        <v/>
      </c>
    </row>
    <row r="203" spans="2:9" x14ac:dyDescent="0.3">
      <c r="B203" s="19"/>
      <c r="D203" s="11"/>
      <c r="E203" s="12"/>
      <c r="F203" s="12"/>
      <c r="G203" s="12"/>
      <c r="H203" s="12"/>
      <c r="I203" s="40" t="str">
        <f>IFERROR(VLOOKUP(A203,BUFFS!$H$5:$AF$195,8,),"")</f>
        <v/>
      </c>
    </row>
    <row r="204" spans="2:9" x14ac:dyDescent="0.3">
      <c r="B204" s="19"/>
      <c r="D204" s="11"/>
      <c r="E204" s="12"/>
      <c r="F204" s="12"/>
      <c r="G204" s="12"/>
      <c r="H204" s="12"/>
      <c r="I204" s="40" t="str">
        <f>IFERROR(VLOOKUP(A204,BUFFS!$H$5:$AF$195,8,),"")</f>
        <v/>
      </c>
    </row>
    <row r="205" spans="2:9" x14ac:dyDescent="0.3">
      <c r="D205" s="11"/>
      <c r="E205" s="12"/>
      <c r="F205" s="12"/>
      <c r="G205" s="12"/>
      <c r="H205" s="12"/>
      <c r="I205" s="32" t="str">
        <f>IFERROR(VLOOKUP(A205,BUFFS!$H$5:$AF$195,8,),"")</f>
        <v/>
      </c>
    </row>
    <row r="206" spans="2:9" x14ac:dyDescent="0.3">
      <c r="D206" s="11"/>
      <c r="E206" s="12"/>
      <c r="F206" s="12"/>
      <c r="G206" s="12"/>
      <c r="H206" s="12"/>
      <c r="I206" s="32" t="str">
        <f>IFERROR(VLOOKUP(A206,BUFFS!$H$5:$AF$195,8,),"")</f>
        <v/>
      </c>
    </row>
    <row r="207" spans="2:9" x14ac:dyDescent="0.3">
      <c r="D207" s="11"/>
      <c r="E207" s="12"/>
      <c r="F207" s="12"/>
      <c r="G207" s="12"/>
      <c r="H207" s="12"/>
      <c r="I207" s="32" t="str">
        <f>IFERROR(VLOOKUP(A207,BUFFS!$H$5:$AF$195,8,),"")</f>
        <v/>
      </c>
    </row>
    <row r="208" spans="2:9" x14ac:dyDescent="0.3">
      <c r="D208" s="11"/>
      <c r="E208" s="12"/>
      <c r="F208" s="12"/>
      <c r="G208" s="12"/>
      <c r="H208" s="12"/>
      <c r="I208" s="32" t="str">
        <f>IFERROR(VLOOKUP(A208,BUFFS!$H$5:$AF$195,8,),"")</f>
        <v/>
      </c>
    </row>
    <row r="209" spans="4:9" x14ac:dyDescent="0.3">
      <c r="D209" s="11"/>
      <c r="E209" s="12"/>
      <c r="F209" s="12"/>
      <c r="G209" s="12"/>
      <c r="H209" s="12"/>
      <c r="I209" s="32" t="str">
        <f>IFERROR(VLOOKUP(A209,BUFFS!$H$5:$AF$195,8,),"")</f>
        <v/>
      </c>
    </row>
    <row r="210" spans="4:9" x14ac:dyDescent="0.3">
      <c r="D210" s="11"/>
      <c r="E210" s="12"/>
      <c r="F210" s="12"/>
      <c r="G210" s="12"/>
      <c r="H210" s="12"/>
      <c r="I210" s="32" t="str">
        <f>IFERROR(VLOOKUP(A210,BUFFS!$H$5:$AF$195,8,),"")</f>
        <v/>
      </c>
    </row>
    <row r="211" spans="4:9" x14ac:dyDescent="0.3">
      <c r="D211" s="11"/>
      <c r="E211" s="12"/>
      <c r="F211" s="12"/>
      <c r="G211" s="12"/>
      <c r="H211" s="12"/>
      <c r="I211" s="32" t="str">
        <f>IFERROR(VLOOKUP(A211,BUFFS!$H$5:$AF$195,8,),"")</f>
        <v/>
      </c>
    </row>
    <row r="212" spans="4:9" x14ac:dyDescent="0.3">
      <c r="D212" s="11"/>
      <c r="E212" s="12"/>
      <c r="F212" s="12"/>
      <c r="G212" s="12"/>
      <c r="H212" s="12"/>
      <c r="I212" s="32" t="str">
        <f>IFERROR(VLOOKUP(A212,BUFFS!$H$5:$AF$195,8,),"")</f>
        <v/>
      </c>
    </row>
    <row r="213" spans="4:9" x14ac:dyDescent="0.3">
      <c r="D213" s="11"/>
      <c r="E213" s="12"/>
      <c r="F213" s="12"/>
      <c r="G213" s="12"/>
      <c r="H213" s="12"/>
      <c r="I213" s="13"/>
    </row>
    <row r="214" spans="4:9" x14ac:dyDescent="0.3">
      <c r="D214" s="11"/>
      <c r="E214" s="12"/>
      <c r="F214" s="12"/>
      <c r="G214" s="12"/>
      <c r="H214" s="12"/>
      <c r="I214" s="13"/>
    </row>
    <row r="215" spans="4:9" x14ac:dyDescent="0.3">
      <c r="D215" s="11"/>
      <c r="E215" s="12"/>
      <c r="F215" s="12"/>
      <c r="G215" s="12"/>
      <c r="H215" s="12"/>
      <c r="I215" s="13"/>
    </row>
    <row r="216" spans="4:9" x14ac:dyDescent="0.3">
      <c r="D216" s="11"/>
      <c r="E216" s="12"/>
      <c r="F216" s="12"/>
      <c r="G216" s="12"/>
      <c r="H216" s="12"/>
      <c r="I216" s="13"/>
    </row>
    <row r="217" spans="4:9" x14ac:dyDescent="0.3">
      <c r="D217" s="11"/>
      <c r="E217" s="12"/>
      <c r="F217" s="12"/>
      <c r="G217" s="12"/>
      <c r="H217" s="12"/>
      <c r="I217" s="13"/>
    </row>
    <row r="218" spans="4:9" x14ac:dyDescent="0.3">
      <c r="D218" s="11"/>
      <c r="E218" s="12"/>
      <c r="F218" s="12"/>
      <c r="G218" s="12"/>
      <c r="H218" s="12"/>
      <c r="I218" s="13"/>
    </row>
    <row r="219" spans="4:9" x14ac:dyDescent="0.3">
      <c r="D219" s="11"/>
      <c r="E219" s="12"/>
      <c r="F219" s="12"/>
      <c r="G219" s="12"/>
      <c r="H219" s="12"/>
      <c r="I219" s="13"/>
    </row>
    <row r="220" spans="4:9" x14ac:dyDescent="0.3">
      <c r="D220" s="11"/>
      <c r="E220" s="12"/>
      <c r="F220" s="12"/>
      <c r="G220" s="12"/>
      <c r="H220" s="12"/>
      <c r="I220" s="13"/>
    </row>
    <row r="221" spans="4:9" x14ac:dyDescent="0.3">
      <c r="D221" s="11"/>
      <c r="E221" s="12"/>
      <c r="F221" s="12"/>
      <c r="G221" s="12"/>
      <c r="H221" s="12"/>
      <c r="I221" s="13"/>
    </row>
    <row r="222" spans="4:9" x14ac:dyDescent="0.3">
      <c r="D222" s="11"/>
      <c r="E222" s="12"/>
      <c r="F222" s="12"/>
      <c r="G222" s="12"/>
      <c r="H222" s="12"/>
      <c r="I222" s="13"/>
    </row>
    <row r="223" spans="4:9" x14ac:dyDescent="0.3">
      <c r="D223" s="11"/>
      <c r="E223" s="12"/>
      <c r="F223" s="12"/>
      <c r="G223" s="12"/>
      <c r="H223" s="12"/>
      <c r="I223" s="13"/>
    </row>
    <row r="224" spans="4:9" x14ac:dyDescent="0.3">
      <c r="D224" s="11"/>
      <c r="E224" s="12"/>
      <c r="F224" s="12"/>
      <c r="G224" s="12"/>
      <c r="H224" s="12"/>
      <c r="I224" s="13"/>
    </row>
    <row r="225" spans="4:9" x14ac:dyDescent="0.3">
      <c r="D225" s="11"/>
      <c r="E225" s="12"/>
      <c r="F225" s="12"/>
      <c r="G225" s="12"/>
      <c r="H225" s="12"/>
      <c r="I225" s="13"/>
    </row>
    <row r="226" spans="4:9" x14ac:dyDescent="0.3">
      <c r="D226" s="11"/>
      <c r="E226" s="12"/>
      <c r="F226" s="12"/>
      <c r="G226" s="12"/>
      <c r="H226" s="12"/>
      <c r="I226" s="13"/>
    </row>
    <row r="227" spans="4:9" x14ac:dyDescent="0.3">
      <c r="D227" s="11"/>
      <c r="E227" s="12"/>
      <c r="F227" s="12"/>
      <c r="G227" s="12"/>
      <c r="H227" s="12"/>
      <c r="I227" s="13"/>
    </row>
    <row r="228" spans="4:9" x14ac:dyDescent="0.3">
      <c r="D228" s="11"/>
      <c r="E228" s="12"/>
      <c r="F228" s="12"/>
      <c r="G228" s="12"/>
      <c r="H228" s="12"/>
      <c r="I228" s="13"/>
    </row>
    <row r="229" spans="4:9" x14ac:dyDescent="0.3">
      <c r="D229" s="11"/>
      <c r="E229" s="12"/>
      <c r="F229" s="12"/>
      <c r="G229" s="12"/>
      <c r="H229" s="12"/>
      <c r="I229" s="13"/>
    </row>
    <row r="230" spans="4:9" x14ac:dyDescent="0.3">
      <c r="D230" s="11"/>
      <c r="E230" s="12"/>
      <c r="F230" s="12"/>
      <c r="G230" s="12"/>
      <c r="H230" s="12"/>
      <c r="I230" s="13"/>
    </row>
    <row r="231" spans="4:9" x14ac:dyDescent="0.3">
      <c r="D231" s="11"/>
      <c r="E231" s="12"/>
      <c r="F231" s="12"/>
      <c r="G231" s="12"/>
      <c r="H231" s="12"/>
      <c r="I231" s="13"/>
    </row>
    <row r="232" spans="4:9" x14ac:dyDescent="0.3">
      <c r="D232" s="11"/>
      <c r="E232" s="12"/>
      <c r="F232" s="12"/>
      <c r="G232" s="12"/>
      <c r="H232" s="12"/>
      <c r="I232" s="13"/>
    </row>
    <row r="233" spans="4:9" x14ac:dyDescent="0.3">
      <c r="D233" s="11"/>
      <c r="E233" s="12"/>
      <c r="F233" s="12"/>
      <c r="G233" s="12"/>
      <c r="H233" s="12"/>
      <c r="I233" s="13"/>
    </row>
    <row r="234" spans="4:9" x14ac:dyDescent="0.3">
      <c r="D234" s="11"/>
      <c r="E234" s="12"/>
      <c r="F234" s="12"/>
      <c r="G234" s="12"/>
      <c r="H234" s="12"/>
      <c r="I234" s="13"/>
    </row>
    <row r="235" spans="4:9" x14ac:dyDescent="0.3">
      <c r="D235" s="11"/>
      <c r="E235" s="12"/>
      <c r="F235" s="12"/>
      <c r="G235" s="12"/>
      <c r="H235" s="12"/>
      <c r="I235" s="13"/>
    </row>
    <row r="236" spans="4:9" x14ac:dyDescent="0.3">
      <c r="D236" s="11"/>
      <c r="E236" s="12"/>
      <c r="F236" s="12"/>
      <c r="G236" s="12"/>
      <c r="H236" s="12"/>
      <c r="I236" s="13"/>
    </row>
    <row r="237" spans="4:9" x14ac:dyDescent="0.3">
      <c r="D237" s="11"/>
      <c r="E237" s="12"/>
      <c r="F237" s="12"/>
      <c r="G237" s="12"/>
      <c r="H237" s="12"/>
      <c r="I237" s="13"/>
    </row>
    <row r="238" spans="4:9" x14ac:dyDescent="0.3">
      <c r="D238" s="11"/>
      <c r="E238" s="12"/>
      <c r="F238" s="12"/>
      <c r="G238" s="12"/>
      <c r="H238" s="12"/>
      <c r="I238" s="13"/>
    </row>
    <row r="239" spans="4:9" x14ac:dyDescent="0.3">
      <c r="D239" s="11"/>
      <c r="E239" s="12"/>
      <c r="F239" s="12"/>
      <c r="G239" s="12"/>
      <c r="H239" s="12"/>
      <c r="I239" s="13"/>
    </row>
    <row r="240" spans="4:9" x14ac:dyDescent="0.3">
      <c r="D240" s="11"/>
      <c r="E240" s="12"/>
      <c r="F240" s="12"/>
      <c r="G240" s="12"/>
      <c r="H240" s="12"/>
      <c r="I240" s="13"/>
    </row>
    <row r="241" spans="4:9" x14ac:dyDescent="0.3">
      <c r="D241" s="11"/>
      <c r="E241" s="12"/>
      <c r="F241" s="12"/>
      <c r="G241" s="12"/>
      <c r="H241" s="12"/>
      <c r="I241" s="13"/>
    </row>
    <row r="242" spans="4:9" x14ac:dyDescent="0.3">
      <c r="D242" s="11"/>
      <c r="E242" s="12"/>
      <c r="F242" s="12"/>
      <c r="G242" s="12"/>
      <c r="H242" s="12"/>
      <c r="I242" s="13"/>
    </row>
    <row r="243" spans="4:9" x14ac:dyDescent="0.3">
      <c r="D243" s="11"/>
      <c r="E243" s="12"/>
      <c r="F243" s="12"/>
      <c r="G243" s="12"/>
      <c r="H243" s="12"/>
      <c r="I243" s="13"/>
    </row>
    <row r="244" spans="4:9" x14ac:dyDescent="0.3">
      <c r="D244" s="11"/>
      <c r="E244" s="12"/>
      <c r="F244" s="12"/>
      <c r="G244" s="12"/>
      <c r="H244" s="12"/>
      <c r="I244" s="13"/>
    </row>
    <row r="245" spans="4:9" x14ac:dyDescent="0.3">
      <c r="D245" s="11"/>
      <c r="E245" s="12"/>
      <c r="F245" s="12"/>
      <c r="G245" s="12"/>
      <c r="H245" s="12"/>
      <c r="I245" s="13"/>
    </row>
    <row r="246" spans="4:9" x14ac:dyDescent="0.3">
      <c r="D246" s="11"/>
      <c r="E246" s="12"/>
      <c r="F246" s="12"/>
      <c r="G246" s="12"/>
      <c r="H246" s="12"/>
      <c r="I246" s="13"/>
    </row>
    <row r="247" spans="4:9" x14ac:dyDescent="0.3">
      <c r="D247" s="11"/>
      <c r="E247" s="12"/>
      <c r="F247" s="12"/>
      <c r="G247" s="12"/>
      <c r="H247" s="12"/>
      <c r="I247" s="13"/>
    </row>
    <row r="248" spans="4:9" x14ac:dyDescent="0.3">
      <c r="D248" s="11"/>
      <c r="E248" s="12"/>
      <c r="F248" s="12"/>
      <c r="G248" s="12"/>
      <c r="H248" s="12"/>
      <c r="I248" s="13"/>
    </row>
    <row r="249" spans="4:9" x14ac:dyDescent="0.3">
      <c r="D249" s="11"/>
      <c r="E249" s="12"/>
      <c r="F249" s="12"/>
      <c r="G249" s="12"/>
      <c r="H249" s="12"/>
      <c r="I249" s="13"/>
    </row>
    <row r="250" spans="4:9" x14ac:dyDescent="0.3">
      <c r="D250" s="11"/>
      <c r="E250" s="12"/>
      <c r="F250" s="12"/>
      <c r="G250" s="12"/>
      <c r="H250" s="12"/>
      <c r="I250" s="13"/>
    </row>
    <row r="251" spans="4:9" x14ac:dyDescent="0.3">
      <c r="D251" s="11"/>
      <c r="E251" s="12"/>
      <c r="F251" s="12"/>
      <c r="G251" s="12"/>
      <c r="H251" s="12"/>
      <c r="I251" s="13"/>
    </row>
    <row r="252" spans="4:9" x14ac:dyDescent="0.3">
      <c r="D252" s="11"/>
      <c r="E252" s="12"/>
      <c r="F252" s="12"/>
      <c r="G252" s="12"/>
      <c r="H252" s="12"/>
      <c r="I252" s="13"/>
    </row>
    <row r="253" spans="4:9" x14ac:dyDescent="0.3">
      <c r="D253" s="11"/>
      <c r="E253" s="12"/>
      <c r="F253" s="12"/>
      <c r="G253" s="12"/>
      <c r="H253" s="12"/>
      <c r="I253" s="13"/>
    </row>
    <row r="254" spans="4:9" x14ac:dyDescent="0.3">
      <c r="D254" s="11"/>
      <c r="E254" s="12"/>
      <c r="F254" s="12"/>
      <c r="G254" s="12"/>
      <c r="H254" s="12"/>
      <c r="I254" s="13"/>
    </row>
    <row r="255" spans="4:9" x14ac:dyDescent="0.3">
      <c r="D255" s="11"/>
      <c r="E255" s="12"/>
      <c r="F255" s="12"/>
      <c r="G255" s="12"/>
      <c r="H255" s="12"/>
      <c r="I255" s="13"/>
    </row>
    <row r="256" spans="4:9" x14ac:dyDescent="0.3">
      <c r="D256" s="11"/>
      <c r="E256" s="12"/>
      <c r="F256" s="12"/>
      <c r="G256" s="12"/>
      <c r="H256" s="12"/>
      <c r="I256" s="13"/>
    </row>
    <row r="257" spans="4:9" x14ac:dyDescent="0.3">
      <c r="D257" s="11"/>
      <c r="E257" s="12"/>
      <c r="F257" s="12"/>
      <c r="G257" s="12"/>
      <c r="H257" s="12"/>
      <c r="I257" s="13"/>
    </row>
    <row r="258" spans="4:9" x14ac:dyDescent="0.3">
      <c r="D258" s="11"/>
      <c r="E258" s="12"/>
      <c r="F258" s="12"/>
      <c r="G258" s="12"/>
      <c r="H258" s="12"/>
      <c r="I258" s="13"/>
    </row>
    <row r="259" spans="4:9" x14ac:dyDescent="0.3">
      <c r="D259" s="11"/>
      <c r="E259" s="12"/>
      <c r="F259" s="12"/>
      <c r="G259" s="12"/>
      <c r="H259" s="12"/>
      <c r="I259" s="13"/>
    </row>
    <row r="260" spans="4:9" x14ac:dyDescent="0.3">
      <c r="D260" s="11"/>
      <c r="E260" s="12"/>
      <c r="F260" s="12"/>
      <c r="G260" s="12"/>
      <c r="H260" s="12"/>
      <c r="I260" s="13"/>
    </row>
    <row r="261" spans="4:9" x14ac:dyDescent="0.3">
      <c r="D261" s="11"/>
      <c r="E261" s="12"/>
      <c r="F261" s="12"/>
      <c r="G261" s="12"/>
      <c r="H261" s="12"/>
      <c r="I261" s="13"/>
    </row>
    <row r="262" spans="4:9" x14ac:dyDescent="0.3">
      <c r="D262" s="11"/>
      <c r="E262" s="12"/>
      <c r="F262" s="12"/>
      <c r="G262" s="12"/>
      <c r="H262" s="12"/>
      <c r="I262" s="13"/>
    </row>
    <row r="263" spans="4:9" x14ac:dyDescent="0.3">
      <c r="D263" s="11"/>
      <c r="E263" s="12"/>
      <c r="F263" s="12"/>
      <c r="G263" s="12"/>
      <c r="H263" s="12"/>
      <c r="I263" s="13"/>
    </row>
    <row r="264" spans="4:9" x14ac:dyDescent="0.3">
      <c r="D264" s="11"/>
      <c r="E264" s="12"/>
      <c r="F264" s="12"/>
      <c r="G264" s="12"/>
      <c r="H264" s="12"/>
      <c r="I264" s="13"/>
    </row>
    <row r="265" spans="4:9" x14ac:dyDescent="0.3">
      <c r="D265" s="11"/>
      <c r="E265" s="12"/>
      <c r="F265" s="12"/>
      <c r="G265" s="12"/>
      <c r="H265" s="12"/>
      <c r="I265" s="13"/>
    </row>
    <row r="266" spans="4:9" x14ac:dyDescent="0.3">
      <c r="D266" s="11"/>
      <c r="E266" s="12"/>
      <c r="F266" s="12"/>
      <c r="G266" s="12"/>
      <c r="H266" s="12"/>
      <c r="I266" s="13"/>
    </row>
    <row r="267" spans="4:9" x14ac:dyDescent="0.3">
      <c r="D267" s="11"/>
      <c r="E267" s="12"/>
      <c r="F267" s="12"/>
      <c r="G267" s="12"/>
      <c r="H267" s="12"/>
      <c r="I267" s="13"/>
    </row>
    <row r="268" spans="4:9" x14ac:dyDescent="0.3">
      <c r="D268" s="11"/>
      <c r="E268" s="12"/>
      <c r="F268" s="12"/>
      <c r="G268" s="12"/>
      <c r="H268" s="12"/>
      <c r="I268" s="13"/>
    </row>
    <row r="269" spans="4:9" x14ac:dyDescent="0.3">
      <c r="D269" s="11"/>
      <c r="E269" s="12"/>
      <c r="F269" s="12"/>
      <c r="G269" s="12"/>
      <c r="H269" s="12"/>
      <c r="I269" s="13"/>
    </row>
    <row r="270" spans="4:9" x14ac:dyDescent="0.3">
      <c r="D270" s="11"/>
      <c r="E270" s="12"/>
      <c r="F270" s="12"/>
      <c r="G270" s="12"/>
      <c r="H270" s="12"/>
      <c r="I270" s="13"/>
    </row>
    <row r="271" spans="4:9" x14ac:dyDescent="0.3">
      <c r="D271" s="11"/>
      <c r="E271" s="12"/>
      <c r="F271" s="12"/>
      <c r="G271" s="12"/>
      <c r="H271" s="12"/>
      <c r="I271" s="13"/>
    </row>
    <row r="272" spans="4:9" x14ac:dyDescent="0.3">
      <c r="D272" s="11"/>
      <c r="E272" s="12"/>
      <c r="F272" s="12"/>
      <c r="G272" s="12"/>
      <c r="H272" s="12"/>
      <c r="I272" s="13"/>
    </row>
    <row r="273" spans="4:9" x14ac:dyDescent="0.3">
      <c r="D273" s="11"/>
      <c r="E273" s="12"/>
      <c r="F273" s="12"/>
      <c r="G273" s="12"/>
      <c r="H273" s="12"/>
      <c r="I273" s="13"/>
    </row>
    <row r="274" spans="4:9" x14ac:dyDescent="0.3">
      <c r="D274" s="11"/>
      <c r="E274" s="12"/>
      <c r="F274" s="12"/>
      <c r="G274" s="12"/>
      <c r="H274" s="12"/>
      <c r="I274" s="13"/>
    </row>
    <row r="275" spans="4:9" x14ac:dyDescent="0.3">
      <c r="D275" s="11"/>
      <c r="E275" s="12"/>
      <c r="F275" s="12"/>
      <c r="G275" s="12"/>
      <c r="H275" s="12"/>
      <c r="I275" s="13"/>
    </row>
    <row r="276" spans="4:9" x14ac:dyDescent="0.3">
      <c r="D276" s="11"/>
      <c r="E276" s="12"/>
      <c r="F276" s="12"/>
      <c r="G276" s="12"/>
      <c r="H276" s="12"/>
      <c r="I276" s="13"/>
    </row>
    <row r="277" spans="4:9" x14ac:dyDescent="0.3">
      <c r="D277" s="11"/>
      <c r="E277" s="12"/>
      <c r="F277" s="12"/>
      <c r="G277" s="12"/>
      <c r="H277" s="12"/>
      <c r="I277" s="13"/>
    </row>
    <row r="278" spans="4:9" x14ac:dyDescent="0.3">
      <c r="D278" s="11"/>
      <c r="E278" s="12"/>
      <c r="F278" s="12"/>
      <c r="G278" s="12"/>
      <c r="H278" s="12"/>
      <c r="I278" s="13"/>
    </row>
    <row r="279" spans="4:9" x14ac:dyDescent="0.3">
      <c r="D279" s="11"/>
      <c r="E279" s="12"/>
      <c r="F279" s="12"/>
      <c r="G279" s="12"/>
      <c r="H279" s="12"/>
      <c r="I279" s="13"/>
    </row>
    <row r="280" spans="4:9" x14ac:dyDescent="0.3">
      <c r="D280" s="11"/>
      <c r="E280" s="12"/>
      <c r="F280" s="12"/>
      <c r="G280" s="12"/>
      <c r="H280" s="12"/>
      <c r="I280" s="13"/>
    </row>
    <row r="281" spans="4:9" x14ac:dyDescent="0.3">
      <c r="D281" s="11"/>
      <c r="E281" s="12"/>
      <c r="F281" s="12"/>
      <c r="G281" s="12"/>
      <c r="H281" s="12"/>
      <c r="I281" s="13"/>
    </row>
    <row r="282" spans="4:9" x14ac:dyDescent="0.3">
      <c r="D282" s="11"/>
      <c r="E282" s="12"/>
      <c r="F282" s="12"/>
      <c r="G282" s="12"/>
      <c r="H282" s="12"/>
      <c r="I282" s="13"/>
    </row>
    <row r="283" spans="4:9" x14ac:dyDescent="0.3">
      <c r="D283" s="11"/>
      <c r="E283" s="12"/>
      <c r="F283" s="12"/>
      <c r="G283" s="12"/>
      <c r="H283" s="12"/>
      <c r="I283" s="13"/>
    </row>
    <row r="284" spans="4:9" x14ac:dyDescent="0.3">
      <c r="D284" s="11"/>
      <c r="E284" s="12"/>
      <c r="F284" s="12"/>
      <c r="G284" s="12"/>
      <c r="H284" s="12"/>
      <c r="I284" s="13"/>
    </row>
    <row r="285" spans="4:9" x14ac:dyDescent="0.3">
      <c r="D285" s="11"/>
      <c r="E285" s="12"/>
      <c r="F285" s="12"/>
      <c r="G285" s="12"/>
      <c r="H285" s="12"/>
      <c r="I285" s="13"/>
    </row>
    <row r="286" spans="4:9" x14ac:dyDescent="0.3">
      <c r="D286" s="11"/>
      <c r="E286" s="12"/>
      <c r="F286" s="12"/>
      <c r="G286" s="12"/>
      <c r="H286" s="12"/>
      <c r="I286" s="13"/>
    </row>
    <row r="287" spans="4:9" x14ac:dyDescent="0.3">
      <c r="D287" s="11"/>
      <c r="E287" s="12"/>
      <c r="F287" s="12"/>
      <c r="G287" s="12"/>
      <c r="H287" s="12"/>
      <c r="I287" s="13"/>
    </row>
    <row r="288" spans="4:9" x14ac:dyDescent="0.3">
      <c r="D288" s="11"/>
      <c r="E288" s="12"/>
      <c r="F288" s="12"/>
      <c r="G288" s="12"/>
      <c r="H288" s="12"/>
      <c r="I288" s="13"/>
    </row>
    <row r="289" spans="3:9" x14ac:dyDescent="0.3">
      <c r="D289" s="11"/>
      <c r="E289" s="12"/>
      <c r="F289" s="12"/>
      <c r="G289" s="12"/>
      <c r="H289" s="12"/>
      <c r="I289" s="13"/>
    </row>
    <row r="290" spans="3:9" x14ac:dyDescent="0.3">
      <c r="D290" s="11"/>
      <c r="E290" s="12"/>
      <c r="F290" s="12"/>
      <c r="G290" s="12"/>
      <c r="H290" s="12"/>
      <c r="I290" s="13"/>
    </row>
    <row r="291" spans="3:9" x14ac:dyDescent="0.3">
      <c r="D291" s="11"/>
      <c r="E291" s="12"/>
      <c r="F291" s="12"/>
      <c r="G291" s="12"/>
      <c r="H291" s="12"/>
      <c r="I291" s="13"/>
    </row>
    <row r="292" spans="3:9" x14ac:dyDescent="0.3">
      <c r="D292" s="11"/>
      <c r="E292" s="12"/>
      <c r="F292" s="12"/>
      <c r="G292" s="12"/>
      <c r="H292" s="12"/>
      <c r="I292" s="13"/>
    </row>
    <row r="293" spans="3:9" x14ac:dyDescent="0.3">
      <c r="D293" s="11"/>
      <c r="E293" s="12"/>
      <c r="F293" s="12"/>
      <c r="G293" s="12"/>
      <c r="H293" s="12"/>
      <c r="I293" s="13"/>
    </row>
    <row r="294" spans="3:9" x14ac:dyDescent="0.3">
      <c r="D294" s="11"/>
      <c r="E294" s="12"/>
      <c r="F294" s="12"/>
      <c r="G294" s="12"/>
      <c r="H294" s="12"/>
      <c r="I294" s="13"/>
    </row>
    <row r="295" spans="3:9" x14ac:dyDescent="0.3">
      <c r="D295" s="11"/>
      <c r="E295" s="12"/>
      <c r="F295" s="12"/>
      <c r="G295" s="12"/>
      <c r="H295" s="12"/>
      <c r="I295" s="13"/>
    </row>
    <row r="296" spans="3:9" x14ac:dyDescent="0.3">
      <c r="C296" s="11"/>
      <c r="D296" s="12"/>
      <c r="E296" s="12"/>
      <c r="F296" s="12"/>
      <c r="G296" s="12"/>
      <c r="H296" s="13"/>
    </row>
    <row r="297" spans="3:9" x14ac:dyDescent="0.3">
      <c r="C297" s="11"/>
      <c r="D297" s="12"/>
      <c r="E297" s="12"/>
      <c r="F297" s="12"/>
      <c r="G297" s="12"/>
      <c r="H297" s="13"/>
    </row>
    <row r="298" spans="3:9" x14ac:dyDescent="0.3">
      <c r="C298" s="11"/>
      <c r="D298" s="12"/>
      <c r="E298" s="12"/>
      <c r="F298" s="12"/>
      <c r="G298" s="12"/>
      <c r="H298" s="13"/>
    </row>
    <row r="299" spans="3:9" x14ac:dyDescent="0.3">
      <c r="C299" s="11"/>
      <c r="D299" s="12"/>
      <c r="E299" s="12"/>
      <c r="F299" s="12"/>
      <c r="G299" s="12"/>
      <c r="H299" s="13"/>
    </row>
  </sheetData>
  <mergeCells count="18">
    <mergeCell ref="B1:C1"/>
    <mergeCell ref="I1:J1"/>
    <mergeCell ref="L1:M1"/>
    <mergeCell ref="B2:C2"/>
    <mergeCell ref="I2:J2"/>
    <mergeCell ref="L2:M2"/>
    <mergeCell ref="B3:C3"/>
    <mergeCell ref="I3:J3"/>
    <mergeCell ref="L3:M3"/>
    <mergeCell ref="B26:C26"/>
    <mergeCell ref="B27:C27"/>
    <mergeCell ref="D27:F27"/>
    <mergeCell ref="B28:C28"/>
    <mergeCell ref="D28:F28"/>
    <mergeCell ref="B29:C29"/>
    <mergeCell ref="D29:F29"/>
    <mergeCell ref="B30:C30"/>
    <mergeCell ref="D30:F30"/>
  </mergeCells>
  <dataValidations count="2">
    <dataValidation type="list" allowBlank="1" showInputMessage="1" showErrorMessage="1" sqref="J4:M4 O4:AH4 AJ4:AK4">
      <formula1>$A$5:$A$37</formula1>
    </dataValidation>
    <dataValidation type="list" allowBlank="1" showInputMessage="1" showErrorMessage="1" sqref="A35:A56">
      <formula1>BUFFS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FIRST SHEET</vt:lpstr>
      <vt:lpstr>BUFFS</vt:lpstr>
      <vt:lpstr>NUM1</vt:lpstr>
      <vt:lpstr>NUM2</vt:lpstr>
      <vt:lpstr>NUM3</vt:lpstr>
      <vt:lpstr>NUM4</vt:lpstr>
      <vt:lpstr>NUM5</vt:lpstr>
      <vt:lpstr>NUM6</vt:lpstr>
      <vt:lpstr>NUM7</vt:lpstr>
      <vt:lpstr>NUM8</vt:lpstr>
      <vt:lpstr>NUM9</vt:lpstr>
      <vt:lpstr>NUM10</vt:lpstr>
      <vt:lpstr>NUM11</vt:lpstr>
      <vt:lpstr>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2018-07-21T22:27:50Z</dcterms:modified>
</cp:coreProperties>
</file>