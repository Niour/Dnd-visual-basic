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FIRST SHEET" sheetId="6" r:id="rId1"/>
    <sheet name="BUFFS" sheetId="7" r:id="rId2"/>
    <sheet name="NUM1" sheetId="3" r:id="rId3"/>
    <sheet name="NUM2" sheetId="4" r:id="rId4"/>
    <sheet name="NUM3" sheetId="5" r:id="rId5"/>
    <sheet name="NUM4" sheetId="8" r:id="rId6"/>
    <sheet name="NUM5" sheetId="9" r:id="rId7"/>
    <sheet name="NUM6" sheetId="14" r:id="rId8"/>
    <sheet name="NUM7" sheetId="10" r:id="rId9"/>
    <sheet name="NUM8" sheetId="15" r:id="rId10"/>
    <sheet name="NUM9" sheetId="11" r:id="rId11"/>
    <sheet name="NUM10" sheetId="12" r:id="rId12"/>
    <sheet name="NUM11" sheetId="13" r:id="rId13"/>
  </sheets>
  <definedNames>
    <definedName name="BUFFS">OFFSET(BUFFS!$K$5,,,COUNTIF(BUFFS!$K$5:$K$200,"?*"))</definedName>
    <definedName name="Modifiers_List">OFFSET(BUFFS!$E$5,,,COUNTIF(BUFFS!$E$5:$E$30,"?*"))</definedName>
    <definedName name="Types">BUFFS!$F$8:$F$25</definedName>
  </definedNames>
  <calcPr calcId="152511"/>
</workbook>
</file>

<file path=xl/calcChain.xml><?xml version="1.0" encoding="utf-8"?>
<calcChain xmlns="http://schemas.openxmlformats.org/spreadsheetml/2006/main">
  <c r="D53" i="3" l="1"/>
  <c r="F53" i="3"/>
  <c r="G53" i="3"/>
  <c r="H53" i="3"/>
  <c r="I53" i="3"/>
  <c r="J53" i="3"/>
  <c r="K53" i="3"/>
  <c r="L53" i="3"/>
  <c r="M53" i="3"/>
  <c r="N53" i="3" s="1"/>
  <c r="O53" i="3"/>
  <c r="P53" i="3"/>
  <c r="Q53" i="3"/>
  <c r="R53" i="3"/>
  <c r="S53" i="3" s="1"/>
  <c r="T53" i="3"/>
  <c r="E53" i="3" l="1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15" i="7"/>
  <c r="Z24" i="7" l="1"/>
  <c r="U24" i="7"/>
  <c r="P24" i="7"/>
  <c r="B23" i="3"/>
  <c r="BG7" i="3"/>
  <c r="BA10" i="3"/>
  <c r="B24" i="3"/>
  <c r="B13" i="3"/>
  <c r="C13" i="3"/>
  <c r="M12" i="3"/>
  <c r="G12" i="3"/>
  <c r="E9" i="6"/>
  <c r="E8" i="6"/>
  <c r="AY21" i="3"/>
  <c r="BB21" i="3"/>
  <c r="AY24" i="3"/>
  <c r="BB24" i="3"/>
  <c r="B12" i="3"/>
  <c r="C12" i="3"/>
  <c r="AZ25" i="3"/>
  <c r="N12" i="3"/>
  <c r="N13" i="3"/>
  <c r="B25" i="3"/>
  <c r="I12" i="3"/>
  <c r="AY21" i="8"/>
  <c r="BB21" i="8"/>
  <c r="AY24" i="8"/>
  <c r="BB24" i="8"/>
  <c r="B12" i="8"/>
  <c r="C12" i="8"/>
  <c r="BB25" i="8"/>
  <c r="N16" i="8"/>
  <c r="N17" i="8"/>
  <c r="M16" i="8"/>
  <c r="B23" i="8"/>
  <c r="B24" i="8"/>
  <c r="G16" i="8"/>
  <c r="B25" i="8"/>
  <c r="I16" i="8"/>
  <c r="G17" i="8"/>
  <c r="N14" i="8"/>
  <c r="N15" i="8"/>
  <c r="M14" i="8"/>
  <c r="G14" i="8"/>
  <c r="I14" i="8"/>
  <c r="G15" i="8"/>
  <c r="N12" i="8"/>
  <c r="N13" i="8"/>
  <c r="M12" i="8"/>
  <c r="G12" i="8"/>
  <c r="I12" i="8"/>
  <c r="G13" i="8"/>
  <c r="M14" i="5"/>
  <c r="B12" i="5"/>
  <c r="C12" i="5"/>
  <c r="B23" i="5"/>
  <c r="B24" i="5"/>
  <c r="G14" i="5"/>
  <c r="BB25" i="5"/>
  <c r="N14" i="5"/>
  <c r="N15" i="5"/>
  <c r="B25" i="5"/>
  <c r="I14" i="5"/>
  <c r="G15" i="5"/>
  <c r="N16" i="5"/>
  <c r="N17" i="5"/>
  <c r="M16" i="5"/>
  <c r="G16" i="5"/>
  <c r="I16" i="5"/>
  <c r="G17" i="5"/>
  <c r="M12" i="5"/>
  <c r="G12" i="5"/>
  <c r="N12" i="5"/>
  <c r="N13" i="5"/>
  <c r="I12" i="5"/>
  <c r="G13" i="5"/>
  <c r="AY21" i="5"/>
  <c r="BB21" i="5"/>
  <c r="BB24" i="5"/>
  <c r="AY24" i="5"/>
  <c r="BA24" i="5"/>
  <c r="BC21" i="5"/>
  <c r="BC24" i="5"/>
  <c r="BD21" i="5"/>
  <c r="BD24" i="5"/>
  <c r="AZ24" i="5"/>
  <c r="B14" i="4"/>
  <c r="C14" i="4"/>
  <c r="C6" i="4"/>
  <c r="B6" i="4"/>
  <c r="D7" i="6"/>
  <c r="B14" i="5"/>
  <c r="C14" i="5"/>
  <c r="C6" i="5"/>
  <c r="B6" i="5"/>
  <c r="D8" i="6"/>
  <c r="B14" i="8"/>
  <c r="C14" i="8"/>
  <c r="C6" i="8"/>
  <c r="B6" i="8"/>
  <c r="D9" i="6"/>
  <c r="B14" i="3"/>
  <c r="C14" i="3"/>
  <c r="C6" i="3"/>
  <c r="BG3" i="3"/>
  <c r="B6" i="3"/>
  <c r="D6" i="6"/>
  <c r="B13" i="4"/>
  <c r="C13" i="4"/>
  <c r="B7" i="4"/>
  <c r="E7" i="6"/>
  <c r="B7" i="3"/>
  <c r="E6" i="6"/>
  <c r="H1" i="8"/>
  <c r="D41" i="8"/>
  <c r="I41" i="8"/>
  <c r="E41" i="8" s="1"/>
  <c r="H41" i="8"/>
  <c r="T35" i="8"/>
  <c r="F41" i="8"/>
  <c r="G41" i="8"/>
  <c r="J41" i="8"/>
  <c r="K41" i="8"/>
  <c r="L41" i="8"/>
  <c r="M41" i="8"/>
  <c r="O41" i="8"/>
  <c r="P41" i="8"/>
  <c r="Q41" i="8"/>
  <c r="R41" i="8"/>
  <c r="S41" i="8" s="1"/>
  <c r="T41" i="8"/>
  <c r="D42" i="8"/>
  <c r="I42" i="8"/>
  <c r="F42" i="8"/>
  <c r="G42" i="8"/>
  <c r="H42" i="8"/>
  <c r="J42" i="8"/>
  <c r="K42" i="8"/>
  <c r="L42" i="8"/>
  <c r="M42" i="8"/>
  <c r="N42" i="8" s="1"/>
  <c r="O42" i="8"/>
  <c r="P42" i="8"/>
  <c r="Q42" i="8"/>
  <c r="R42" i="8"/>
  <c r="S42" i="8" s="1"/>
  <c r="T42" i="8"/>
  <c r="D43" i="8"/>
  <c r="I43" i="8"/>
  <c r="F43" i="8"/>
  <c r="G43" i="8"/>
  <c r="H43" i="8"/>
  <c r="J43" i="8"/>
  <c r="K43" i="8"/>
  <c r="L43" i="8"/>
  <c r="M43" i="8"/>
  <c r="N43" i="8" s="1"/>
  <c r="O43" i="8"/>
  <c r="P43" i="8"/>
  <c r="Q43" i="8"/>
  <c r="R43" i="8"/>
  <c r="S43" i="8" s="1"/>
  <c r="T43" i="8"/>
  <c r="D44" i="8"/>
  <c r="I44" i="8"/>
  <c r="E44" i="8" s="1"/>
  <c r="F44" i="8"/>
  <c r="G44" i="8"/>
  <c r="H44" i="8"/>
  <c r="J44" i="8"/>
  <c r="K44" i="8"/>
  <c r="L44" i="8"/>
  <c r="M44" i="8"/>
  <c r="N44" i="8" s="1"/>
  <c r="O44" i="8"/>
  <c r="P44" i="8"/>
  <c r="Q44" i="8"/>
  <c r="R44" i="8"/>
  <c r="S44" i="8" s="1"/>
  <c r="T44" i="8"/>
  <c r="D45" i="8"/>
  <c r="I45" i="8"/>
  <c r="E45" i="8" s="1"/>
  <c r="F45" i="8"/>
  <c r="G45" i="8"/>
  <c r="H45" i="8"/>
  <c r="J45" i="8"/>
  <c r="K45" i="8"/>
  <c r="L45" i="8"/>
  <c r="M45" i="8"/>
  <c r="N45" i="8" s="1"/>
  <c r="O45" i="8"/>
  <c r="P45" i="8"/>
  <c r="Q45" i="8"/>
  <c r="R45" i="8"/>
  <c r="S45" i="8" s="1"/>
  <c r="T45" i="8"/>
  <c r="D46" i="8"/>
  <c r="I46" i="8"/>
  <c r="E46" i="8" s="1"/>
  <c r="F46" i="8"/>
  <c r="G46" i="8"/>
  <c r="H46" i="8"/>
  <c r="J46" i="8"/>
  <c r="K46" i="8"/>
  <c r="L46" i="8"/>
  <c r="M46" i="8"/>
  <c r="N46" i="8" s="1"/>
  <c r="O46" i="8"/>
  <c r="P46" i="8"/>
  <c r="Q46" i="8"/>
  <c r="R46" i="8"/>
  <c r="S46" i="8" s="1"/>
  <c r="T46" i="8"/>
  <c r="D47" i="8"/>
  <c r="I47" i="8"/>
  <c r="E47" i="8" s="1"/>
  <c r="F47" i="8"/>
  <c r="G47" i="8"/>
  <c r="H47" i="8"/>
  <c r="J47" i="8"/>
  <c r="K47" i="8"/>
  <c r="L47" i="8"/>
  <c r="M47" i="8"/>
  <c r="N47" i="8" s="1"/>
  <c r="O47" i="8"/>
  <c r="P47" i="8"/>
  <c r="Q47" i="8"/>
  <c r="R47" i="8"/>
  <c r="S47" i="8" s="1"/>
  <c r="T47" i="8"/>
  <c r="D48" i="8"/>
  <c r="I48" i="8"/>
  <c r="E48" i="8" s="1"/>
  <c r="F48" i="8"/>
  <c r="G48" i="8"/>
  <c r="H48" i="8"/>
  <c r="J48" i="8"/>
  <c r="K48" i="8"/>
  <c r="L48" i="8"/>
  <c r="M48" i="8"/>
  <c r="N48" i="8" s="1"/>
  <c r="O48" i="8"/>
  <c r="P48" i="8"/>
  <c r="Q48" i="8"/>
  <c r="R48" i="8"/>
  <c r="S48" i="8" s="1"/>
  <c r="T48" i="8"/>
  <c r="D49" i="8"/>
  <c r="I49" i="8"/>
  <c r="E49" i="8" s="1"/>
  <c r="F49" i="8"/>
  <c r="G49" i="8"/>
  <c r="H49" i="8"/>
  <c r="J49" i="8"/>
  <c r="K49" i="8"/>
  <c r="L49" i="8"/>
  <c r="M49" i="8"/>
  <c r="N49" i="8" s="1"/>
  <c r="O49" i="8"/>
  <c r="P49" i="8"/>
  <c r="Q49" i="8"/>
  <c r="R49" i="8"/>
  <c r="S49" i="8" s="1"/>
  <c r="T49" i="8"/>
  <c r="D50" i="8"/>
  <c r="I50" i="8"/>
  <c r="E50" i="8" s="1"/>
  <c r="F50" i="8"/>
  <c r="G50" i="8"/>
  <c r="H50" i="8"/>
  <c r="J50" i="8"/>
  <c r="K50" i="8"/>
  <c r="L50" i="8"/>
  <c r="M50" i="8"/>
  <c r="N50" i="8" s="1"/>
  <c r="O50" i="8"/>
  <c r="P50" i="8"/>
  <c r="Q50" i="8"/>
  <c r="R50" i="8"/>
  <c r="S50" i="8" s="1"/>
  <c r="T50" i="8"/>
  <c r="D51" i="8"/>
  <c r="I51" i="8"/>
  <c r="E51" i="8" s="1"/>
  <c r="F51" i="8"/>
  <c r="G51" i="8"/>
  <c r="H51" i="8"/>
  <c r="J51" i="8"/>
  <c r="K51" i="8"/>
  <c r="L51" i="8"/>
  <c r="M51" i="8"/>
  <c r="N51" i="8" s="1"/>
  <c r="O51" i="8"/>
  <c r="P51" i="8"/>
  <c r="Q51" i="8"/>
  <c r="R51" i="8"/>
  <c r="S51" i="8" s="1"/>
  <c r="T51" i="8"/>
  <c r="D52" i="8"/>
  <c r="I52" i="8"/>
  <c r="E52" i="8" s="1"/>
  <c r="F52" i="8"/>
  <c r="G52" i="8"/>
  <c r="H52" i="8"/>
  <c r="J52" i="8"/>
  <c r="K52" i="8"/>
  <c r="L52" i="8"/>
  <c r="M52" i="8"/>
  <c r="N52" i="8" s="1"/>
  <c r="O52" i="8"/>
  <c r="P52" i="8"/>
  <c r="Q52" i="8"/>
  <c r="R52" i="8"/>
  <c r="S52" i="8" s="1"/>
  <c r="T52" i="8"/>
  <c r="D53" i="8"/>
  <c r="I53" i="8"/>
  <c r="E53" i="8" s="1"/>
  <c r="F53" i="8"/>
  <c r="G53" i="8"/>
  <c r="H53" i="8"/>
  <c r="J53" i="8"/>
  <c r="K53" i="8"/>
  <c r="L53" i="8"/>
  <c r="M53" i="8"/>
  <c r="N53" i="8" s="1"/>
  <c r="O53" i="8"/>
  <c r="P53" i="8"/>
  <c r="Q53" i="8"/>
  <c r="R53" i="8"/>
  <c r="S53" i="8" s="1"/>
  <c r="T53" i="8"/>
  <c r="D54" i="8"/>
  <c r="I54" i="8"/>
  <c r="E54" i="8" s="1"/>
  <c r="F54" i="8"/>
  <c r="G54" i="8"/>
  <c r="H54" i="8"/>
  <c r="J54" i="8"/>
  <c r="K54" i="8"/>
  <c r="L54" i="8"/>
  <c r="M54" i="8"/>
  <c r="N54" i="8" s="1"/>
  <c r="O54" i="8"/>
  <c r="P54" i="8"/>
  <c r="Q54" i="8"/>
  <c r="R54" i="8"/>
  <c r="S54" i="8" s="1"/>
  <c r="T54" i="8"/>
  <c r="D55" i="8"/>
  <c r="I55" i="8"/>
  <c r="E55" i="8" s="1"/>
  <c r="F55" i="8"/>
  <c r="G55" i="8"/>
  <c r="H55" i="8"/>
  <c r="J55" i="8"/>
  <c r="K55" i="8"/>
  <c r="L55" i="8"/>
  <c r="M55" i="8"/>
  <c r="N55" i="8" s="1"/>
  <c r="O55" i="8"/>
  <c r="P55" i="8"/>
  <c r="Q55" i="8"/>
  <c r="R55" i="8"/>
  <c r="S55" i="8" s="1"/>
  <c r="T55" i="8"/>
  <c r="D56" i="8"/>
  <c r="I56" i="8"/>
  <c r="E56" i="8" s="1"/>
  <c r="F56" i="8"/>
  <c r="G56" i="8"/>
  <c r="H56" i="8"/>
  <c r="J56" i="8"/>
  <c r="K56" i="8"/>
  <c r="L56" i="8"/>
  <c r="M56" i="8"/>
  <c r="N56" i="8" s="1"/>
  <c r="O56" i="8"/>
  <c r="P56" i="8"/>
  <c r="Q56" i="8"/>
  <c r="R56" i="8"/>
  <c r="S56" i="8" s="1"/>
  <c r="T56" i="8"/>
  <c r="D57" i="8"/>
  <c r="I57" i="8"/>
  <c r="E57" i="8" s="1"/>
  <c r="F57" i="8"/>
  <c r="G57" i="8"/>
  <c r="H57" i="8"/>
  <c r="J57" i="8"/>
  <c r="K57" i="8"/>
  <c r="L57" i="8"/>
  <c r="M57" i="8"/>
  <c r="N57" i="8" s="1"/>
  <c r="O57" i="8"/>
  <c r="P57" i="8"/>
  <c r="Q57" i="8"/>
  <c r="R57" i="8"/>
  <c r="S57" i="8" s="1"/>
  <c r="T57" i="8"/>
  <c r="D58" i="8"/>
  <c r="I58" i="8"/>
  <c r="E58" i="8" s="1"/>
  <c r="F58" i="8"/>
  <c r="G58" i="8"/>
  <c r="H58" i="8"/>
  <c r="J58" i="8"/>
  <c r="K58" i="8"/>
  <c r="L58" i="8"/>
  <c r="M58" i="8"/>
  <c r="N58" i="8" s="1"/>
  <c r="O58" i="8"/>
  <c r="P58" i="8"/>
  <c r="Q58" i="8"/>
  <c r="R58" i="8"/>
  <c r="S58" i="8" s="1"/>
  <c r="T58" i="8"/>
  <c r="D59" i="8"/>
  <c r="I59" i="8"/>
  <c r="E59" i="8" s="1"/>
  <c r="F59" i="8"/>
  <c r="G59" i="8"/>
  <c r="H59" i="8"/>
  <c r="J59" i="8"/>
  <c r="K59" i="8"/>
  <c r="L59" i="8"/>
  <c r="M59" i="8"/>
  <c r="N59" i="8" s="1"/>
  <c r="O59" i="8"/>
  <c r="P59" i="8"/>
  <c r="Q59" i="8"/>
  <c r="R59" i="8"/>
  <c r="S59" i="8" s="1"/>
  <c r="T59" i="8"/>
  <c r="D60" i="8"/>
  <c r="I60" i="8"/>
  <c r="E60" i="8" s="1"/>
  <c r="F60" i="8"/>
  <c r="G60" i="8"/>
  <c r="H60" i="8"/>
  <c r="J60" i="8"/>
  <c r="K60" i="8"/>
  <c r="L60" i="8"/>
  <c r="M60" i="8"/>
  <c r="N60" i="8" s="1"/>
  <c r="O60" i="8"/>
  <c r="P60" i="8"/>
  <c r="Q60" i="8"/>
  <c r="R60" i="8"/>
  <c r="S60" i="8" s="1"/>
  <c r="T60" i="8"/>
  <c r="D61" i="8"/>
  <c r="I61" i="8"/>
  <c r="E61" i="8" s="1"/>
  <c r="F61" i="8"/>
  <c r="G61" i="8"/>
  <c r="H61" i="8"/>
  <c r="J61" i="8"/>
  <c r="K61" i="8"/>
  <c r="L61" i="8"/>
  <c r="M61" i="8"/>
  <c r="N61" i="8" s="1"/>
  <c r="O61" i="8"/>
  <c r="P61" i="8"/>
  <c r="Q61" i="8"/>
  <c r="R61" i="8"/>
  <c r="S61" i="8" s="1"/>
  <c r="T61" i="8"/>
  <c r="D62" i="8"/>
  <c r="I62" i="8"/>
  <c r="E62" i="8" s="1"/>
  <c r="F62" i="8"/>
  <c r="G62" i="8"/>
  <c r="H62" i="8"/>
  <c r="J62" i="8"/>
  <c r="K62" i="8"/>
  <c r="L62" i="8"/>
  <c r="M62" i="8"/>
  <c r="N62" i="8" s="1"/>
  <c r="O62" i="8"/>
  <c r="P62" i="8"/>
  <c r="Q62" i="8"/>
  <c r="R62" i="8"/>
  <c r="S62" i="8" s="1"/>
  <c r="T62" i="8"/>
  <c r="D63" i="8"/>
  <c r="I63" i="8"/>
  <c r="E63" i="8" s="1"/>
  <c r="F63" i="8"/>
  <c r="G63" i="8"/>
  <c r="H63" i="8"/>
  <c r="J63" i="8"/>
  <c r="K63" i="8"/>
  <c r="L63" i="8"/>
  <c r="M63" i="8"/>
  <c r="N63" i="8" s="1"/>
  <c r="O63" i="8"/>
  <c r="P63" i="8"/>
  <c r="Q63" i="8"/>
  <c r="R63" i="8"/>
  <c r="S63" i="8" s="1"/>
  <c r="T63" i="8"/>
  <c r="D64" i="8"/>
  <c r="I64" i="8"/>
  <c r="E64" i="8" s="1"/>
  <c r="F64" i="8"/>
  <c r="G64" i="8"/>
  <c r="H64" i="8"/>
  <c r="J64" i="8"/>
  <c r="K64" i="8"/>
  <c r="L64" i="8"/>
  <c r="M64" i="8"/>
  <c r="N64" i="8" s="1"/>
  <c r="O64" i="8"/>
  <c r="P64" i="8"/>
  <c r="Q64" i="8"/>
  <c r="R64" i="8"/>
  <c r="S64" i="8" s="1"/>
  <c r="T64" i="8"/>
  <c r="D65" i="8"/>
  <c r="I65" i="8"/>
  <c r="E65" i="8" s="1"/>
  <c r="F65" i="8"/>
  <c r="G65" i="8"/>
  <c r="H65" i="8"/>
  <c r="J65" i="8"/>
  <c r="K65" i="8"/>
  <c r="L65" i="8"/>
  <c r="M65" i="8"/>
  <c r="N65" i="8" s="1"/>
  <c r="O65" i="8"/>
  <c r="P65" i="8"/>
  <c r="Q65" i="8"/>
  <c r="R65" i="8"/>
  <c r="S65" i="8" s="1"/>
  <c r="T65" i="8"/>
  <c r="D66" i="8"/>
  <c r="I66" i="8"/>
  <c r="E66" i="8" s="1"/>
  <c r="F66" i="8"/>
  <c r="G66" i="8"/>
  <c r="H66" i="8"/>
  <c r="J66" i="8"/>
  <c r="K66" i="8"/>
  <c r="L66" i="8"/>
  <c r="M66" i="8"/>
  <c r="N66" i="8" s="1"/>
  <c r="O66" i="8"/>
  <c r="P66" i="8"/>
  <c r="Q66" i="8"/>
  <c r="R66" i="8"/>
  <c r="S66" i="8" s="1"/>
  <c r="T66" i="8"/>
  <c r="D67" i="8"/>
  <c r="I67" i="8"/>
  <c r="E67" i="8" s="1"/>
  <c r="F67" i="8"/>
  <c r="G67" i="8"/>
  <c r="H67" i="8"/>
  <c r="J67" i="8"/>
  <c r="K67" i="8"/>
  <c r="L67" i="8"/>
  <c r="M67" i="8"/>
  <c r="N67" i="8" s="1"/>
  <c r="O67" i="8"/>
  <c r="P67" i="8"/>
  <c r="Q67" i="8"/>
  <c r="R67" i="8"/>
  <c r="S67" i="8" s="1"/>
  <c r="T67" i="8"/>
  <c r="D68" i="8"/>
  <c r="I68" i="8"/>
  <c r="E68" i="8" s="1"/>
  <c r="F68" i="8"/>
  <c r="G68" i="8"/>
  <c r="H68" i="8"/>
  <c r="J68" i="8"/>
  <c r="K68" i="8"/>
  <c r="L68" i="8"/>
  <c r="M68" i="8"/>
  <c r="N68" i="8" s="1"/>
  <c r="O68" i="8"/>
  <c r="P68" i="8"/>
  <c r="Q68" i="8"/>
  <c r="R68" i="8"/>
  <c r="S68" i="8" s="1"/>
  <c r="T68" i="8"/>
  <c r="D69" i="8"/>
  <c r="I69" i="8"/>
  <c r="E69" i="8" s="1"/>
  <c r="F69" i="8"/>
  <c r="G69" i="8"/>
  <c r="H69" i="8"/>
  <c r="J69" i="8"/>
  <c r="K69" i="8"/>
  <c r="L69" i="8"/>
  <c r="M69" i="8"/>
  <c r="N69" i="8" s="1"/>
  <c r="O69" i="8"/>
  <c r="P69" i="8"/>
  <c r="Q69" i="8"/>
  <c r="R69" i="8"/>
  <c r="S69" i="8" s="1"/>
  <c r="T69" i="8"/>
  <c r="D70" i="8"/>
  <c r="I70" i="8"/>
  <c r="E70" i="8" s="1"/>
  <c r="F70" i="8"/>
  <c r="G70" i="8"/>
  <c r="H70" i="8"/>
  <c r="J70" i="8"/>
  <c r="K70" i="8"/>
  <c r="L70" i="8"/>
  <c r="M70" i="8"/>
  <c r="N70" i="8" s="1"/>
  <c r="O70" i="8"/>
  <c r="P70" i="8"/>
  <c r="Q70" i="8"/>
  <c r="R70" i="8"/>
  <c r="S70" i="8" s="1"/>
  <c r="T70" i="8"/>
  <c r="D71" i="8"/>
  <c r="I71" i="8"/>
  <c r="E71" i="8" s="1"/>
  <c r="F71" i="8"/>
  <c r="G71" i="8"/>
  <c r="H71" i="8"/>
  <c r="J71" i="8"/>
  <c r="K71" i="8"/>
  <c r="L71" i="8"/>
  <c r="M71" i="8"/>
  <c r="N71" i="8" s="1"/>
  <c r="O71" i="8"/>
  <c r="P71" i="8"/>
  <c r="Q71" i="8"/>
  <c r="R71" i="8"/>
  <c r="S71" i="8" s="1"/>
  <c r="T71" i="8"/>
  <c r="D72" i="8"/>
  <c r="I72" i="8"/>
  <c r="E72" i="8" s="1"/>
  <c r="F72" i="8"/>
  <c r="G72" i="8"/>
  <c r="H72" i="8"/>
  <c r="J72" i="8"/>
  <c r="K72" i="8"/>
  <c r="L72" i="8"/>
  <c r="M72" i="8"/>
  <c r="N72" i="8" s="1"/>
  <c r="O72" i="8"/>
  <c r="P72" i="8"/>
  <c r="Q72" i="8"/>
  <c r="R72" i="8"/>
  <c r="S72" i="8" s="1"/>
  <c r="T72" i="8"/>
  <c r="D73" i="8"/>
  <c r="I73" i="8"/>
  <c r="E73" i="8" s="1"/>
  <c r="F73" i="8"/>
  <c r="G73" i="8"/>
  <c r="H73" i="8"/>
  <c r="J73" i="8"/>
  <c r="K73" i="8"/>
  <c r="L73" i="8"/>
  <c r="M73" i="8"/>
  <c r="N73" i="8" s="1"/>
  <c r="O73" i="8"/>
  <c r="P73" i="8"/>
  <c r="Q73" i="8"/>
  <c r="R73" i="8"/>
  <c r="S73" i="8" s="1"/>
  <c r="T73" i="8"/>
  <c r="D74" i="8"/>
  <c r="I74" i="8"/>
  <c r="E74" i="8" s="1"/>
  <c r="F74" i="8"/>
  <c r="G74" i="8"/>
  <c r="H74" i="8"/>
  <c r="J74" i="8"/>
  <c r="K74" i="8"/>
  <c r="L74" i="8"/>
  <c r="M74" i="8"/>
  <c r="N74" i="8" s="1"/>
  <c r="O74" i="8"/>
  <c r="P74" i="8"/>
  <c r="Q74" i="8"/>
  <c r="R74" i="8"/>
  <c r="S74" i="8" s="1"/>
  <c r="T74" i="8"/>
  <c r="D75" i="8"/>
  <c r="I75" i="8"/>
  <c r="E75" i="8" s="1"/>
  <c r="F75" i="8"/>
  <c r="G75" i="8"/>
  <c r="H75" i="8"/>
  <c r="J75" i="8"/>
  <c r="K75" i="8"/>
  <c r="L75" i="8"/>
  <c r="M75" i="8"/>
  <c r="N75" i="8" s="1"/>
  <c r="O75" i="8"/>
  <c r="P75" i="8"/>
  <c r="Q75" i="8"/>
  <c r="R75" i="8"/>
  <c r="S75" i="8" s="1"/>
  <c r="T75" i="8"/>
  <c r="D76" i="8"/>
  <c r="I76" i="8"/>
  <c r="E76" i="8" s="1"/>
  <c r="F76" i="8"/>
  <c r="G76" i="8"/>
  <c r="H76" i="8"/>
  <c r="J76" i="8"/>
  <c r="K76" i="8"/>
  <c r="L76" i="8"/>
  <c r="M76" i="8"/>
  <c r="N76" i="8" s="1"/>
  <c r="O76" i="8"/>
  <c r="P76" i="8"/>
  <c r="Q76" i="8"/>
  <c r="R76" i="8"/>
  <c r="S76" i="8" s="1"/>
  <c r="T76" i="8"/>
  <c r="D77" i="8"/>
  <c r="I77" i="8"/>
  <c r="E77" i="8" s="1"/>
  <c r="F77" i="8"/>
  <c r="G77" i="8"/>
  <c r="H77" i="8"/>
  <c r="J77" i="8"/>
  <c r="K77" i="8"/>
  <c r="L77" i="8"/>
  <c r="M77" i="8"/>
  <c r="N77" i="8" s="1"/>
  <c r="O77" i="8"/>
  <c r="P77" i="8"/>
  <c r="Q77" i="8"/>
  <c r="R77" i="8"/>
  <c r="S77" i="8" s="1"/>
  <c r="T77" i="8"/>
  <c r="D78" i="8"/>
  <c r="I78" i="8"/>
  <c r="E78" i="8" s="1"/>
  <c r="F78" i="8"/>
  <c r="G78" i="8"/>
  <c r="H78" i="8"/>
  <c r="J78" i="8"/>
  <c r="K78" i="8"/>
  <c r="L78" i="8"/>
  <c r="M78" i="8"/>
  <c r="N78" i="8" s="1"/>
  <c r="O78" i="8"/>
  <c r="P78" i="8"/>
  <c r="Q78" i="8"/>
  <c r="R78" i="8"/>
  <c r="S78" i="8" s="1"/>
  <c r="T78" i="8"/>
  <c r="D79" i="8"/>
  <c r="I79" i="8"/>
  <c r="E79" i="8" s="1"/>
  <c r="F79" i="8"/>
  <c r="G79" i="8"/>
  <c r="H79" i="8"/>
  <c r="J79" i="8"/>
  <c r="K79" i="8"/>
  <c r="L79" i="8"/>
  <c r="M79" i="8"/>
  <c r="N79" i="8" s="1"/>
  <c r="O79" i="8"/>
  <c r="P79" i="8"/>
  <c r="Q79" i="8"/>
  <c r="R79" i="8"/>
  <c r="S79" i="8" s="1"/>
  <c r="T79" i="8"/>
  <c r="D80" i="8"/>
  <c r="I80" i="8"/>
  <c r="E80" i="8" s="1"/>
  <c r="F80" i="8"/>
  <c r="G80" i="8"/>
  <c r="H80" i="8"/>
  <c r="J80" i="8"/>
  <c r="K80" i="8"/>
  <c r="L80" i="8"/>
  <c r="M80" i="8"/>
  <c r="N80" i="8" s="1"/>
  <c r="O80" i="8"/>
  <c r="P80" i="8"/>
  <c r="Q80" i="8"/>
  <c r="R80" i="8"/>
  <c r="S80" i="8" s="1"/>
  <c r="T80" i="8"/>
  <c r="D81" i="8"/>
  <c r="I81" i="8"/>
  <c r="E81" i="8" s="1"/>
  <c r="F81" i="8"/>
  <c r="G81" i="8"/>
  <c r="H81" i="8"/>
  <c r="J81" i="8"/>
  <c r="K81" i="8"/>
  <c r="L81" i="8"/>
  <c r="M81" i="8"/>
  <c r="N81" i="8" s="1"/>
  <c r="O81" i="8"/>
  <c r="P81" i="8"/>
  <c r="Q81" i="8"/>
  <c r="R81" i="8"/>
  <c r="S81" i="8" s="1"/>
  <c r="T81" i="8"/>
  <c r="D82" i="8"/>
  <c r="I82" i="8"/>
  <c r="E82" i="8" s="1"/>
  <c r="F82" i="8"/>
  <c r="G82" i="8"/>
  <c r="H82" i="8"/>
  <c r="J82" i="8"/>
  <c r="K82" i="8"/>
  <c r="L82" i="8"/>
  <c r="M82" i="8"/>
  <c r="N82" i="8" s="1"/>
  <c r="O82" i="8"/>
  <c r="P82" i="8"/>
  <c r="Q82" i="8"/>
  <c r="R82" i="8"/>
  <c r="S82" i="8" s="1"/>
  <c r="T82" i="8"/>
  <c r="D83" i="8"/>
  <c r="I83" i="8"/>
  <c r="E83" i="8" s="1"/>
  <c r="F83" i="8"/>
  <c r="G83" i="8"/>
  <c r="H83" i="8"/>
  <c r="J83" i="8"/>
  <c r="K83" i="8"/>
  <c r="L83" i="8"/>
  <c r="M83" i="8"/>
  <c r="N83" i="8" s="1"/>
  <c r="O83" i="8"/>
  <c r="P83" i="8"/>
  <c r="Q83" i="8"/>
  <c r="R83" i="8"/>
  <c r="S83" i="8" s="1"/>
  <c r="T83" i="8"/>
  <c r="D84" i="8"/>
  <c r="I84" i="8"/>
  <c r="E84" i="8" s="1"/>
  <c r="F84" i="8"/>
  <c r="G84" i="8"/>
  <c r="H84" i="8"/>
  <c r="J84" i="8"/>
  <c r="K84" i="8"/>
  <c r="L84" i="8"/>
  <c r="M84" i="8"/>
  <c r="N84" i="8" s="1"/>
  <c r="O84" i="8"/>
  <c r="P84" i="8"/>
  <c r="Q84" i="8"/>
  <c r="R84" i="8"/>
  <c r="S84" i="8" s="1"/>
  <c r="T84" i="8"/>
  <c r="D85" i="8"/>
  <c r="I85" i="8"/>
  <c r="E85" i="8" s="1"/>
  <c r="F85" i="8"/>
  <c r="G85" i="8"/>
  <c r="H85" i="8"/>
  <c r="J85" i="8"/>
  <c r="K85" i="8"/>
  <c r="L85" i="8"/>
  <c r="M85" i="8"/>
  <c r="N85" i="8" s="1"/>
  <c r="O85" i="8"/>
  <c r="P85" i="8"/>
  <c r="Q85" i="8"/>
  <c r="R85" i="8"/>
  <c r="S85" i="8" s="1"/>
  <c r="T85" i="8"/>
  <c r="D86" i="8"/>
  <c r="I86" i="8"/>
  <c r="E86" i="8" s="1"/>
  <c r="F86" i="8"/>
  <c r="G86" i="8"/>
  <c r="H86" i="8"/>
  <c r="J86" i="8"/>
  <c r="K86" i="8"/>
  <c r="L86" i="8"/>
  <c r="M86" i="8"/>
  <c r="N86" i="8" s="1"/>
  <c r="O86" i="8"/>
  <c r="P86" i="8"/>
  <c r="Q86" i="8"/>
  <c r="R86" i="8"/>
  <c r="S86" i="8" s="1"/>
  <c r="T86" i="8"/>
  <c r="D87" i="8"/>
  <c r="I87" i="8"/>
  <c r="E87" i="8" s="1"/>
  <c r="F87" i="8"/>
  <c r="G87" i="8"/>
  <c r="H87" i="8"/>
  <c r="J87" i="8"/>
  <c r="K87" i="8"/>
  <c r="L87" i="8"/>
  <c r="M87" i="8"/>
  <c r="N87" i="8" s="1"/>
  <c r="O87" i="8"/>
  <c r="P87" i="8"/>
  <c r="Q87" i="8"/>
  <c r="R87" i="8"/>
  <c r="S87" i="8" s="1"/>
  <c r="T87" i="8"/>
  <c r="D88" i="8"/>
  <c r="I88" i="8"/>
  <c r="E88" i="8" s="1"/>
  <c r="F88" i="8"/>
  <c r="G88" i="8"/>
  <c r="H88" i="8"/>
  <c r="J88" i="8"/>
  <c r="K88" i="8"/>
  <c r="L88" i="8"/>
  <c r="M88" i="8"/>
  <c r="N88" i="8" s="1"/>
  <c r="O88" i="8"/>
  <c r="P88" i="8"/>
  <c r="Q88" i="8"/>
  <c r="R88" i="8"/>
  <c r="S88" i="8" s="1"/>
  <c r="T88" i="8"/>
  <c r="D89" i="8"/>
  <c r="I89" i="8"/>
  <c r="E89" i="8" s="1"/>
  <c r="F89" i="8"/>
  <c r="G89" i="8"/>
  <c r="H89" i="8"/>
  <c r="J89" i="8"/>
  <c r="K89" i="8"/>
  <c r="L89" i="8"/>
  <c r="M89" i="8"/>
  <c r="N89" i="8" s="1"/>
  <c r="O89" i="8"/>
  <c r="P89" i="8"/>
  <c r="Q89" i="8"/>
  <c r="R89" i="8"/>
  <c r="S89" i="8" s="1"/>
  <c r="T89" i="8"/>
  <c r="D90" i="8"/>
  <c r="I90" i="8"/>
  <c r="E90" i="8" s="1"/>
  <c r="F90" i="8"/>
  <c r="G90" i="8"/>
  <c r="H90" i="8"/>
  <c r="J90" i="8"/>
  <c r="K90" i="8"/>
  <c r="L90" i="8"/>
  <c r="M90" i="8"/>
  <c r="N90" i="8" s="1"/>
  <c r="O90" i="8"/>
  <c r="P90" i="8"/>
  <c r="Q90" i="8"/>
  <c r="R90" i="8"/>
  <c r="S90" i="8" s="1"/>
  <c r="T90" i="8"/>
  <c r="D91" i="8"/>
  <c r="I91" i="8"/>
  <c r="E91" i="8" s="1"/>
  <c r="F91" i="8"/>
  <c r="G91" i="8"/>
  <c r="H91" i="8"/>
  <c r="J91" i="8"/>
  <c r="K91" i="8"/>
  <c r="L91" i="8"/>
  <c r="M91" i="8"/>
  <c r="N91" i="8" s="1"/>
  <c r="O91" i="8"/>
  <c r="P91" i="8"/>
  <c r="Q91" i="8"/>
  <c r="R91" i="8"/>
  <c r="S91" i="8" s="1"/>
  <c r="T91" i="8"/>
  <c r="D92" i="8"/>
  <c r="I92" i="8"/>
  <c r="E92" i="8" s="1"/>
  <c r="F92" i="8"/>
  <c r="G92" i="8"/>
  <c r="H92" i="8"/>
  <c r="J92" i="8"/>
  <c r="K92" i="8"/>
  <c r="L92" i="8"/>
  <c r="M92" i="8"/>
  <c r="N92" i="8" s="1"/>
  <c r="O92" i="8"/>
  <c r="P92" i="8"/>
  <c r="Q92" i="8"/>
  <c r="R92" i="8"/>
  <c r="S92" i="8" s="1"/>
  <c r="T92" i="8"/>
  <c r="D93" i="8"/>
  <c r="I93" i="8"/>
  <c r="E93" i="8" s="1"/>
  <c r="F93" i="8"/>
  <c r="G93" i="8"/>
  <c r="H93" i="8"/>
  <c r="J93" i="8"/>
  <c r="K93" i="8"/>
  <c r="L93" i="8"/>
  <c r="M93" i="8"/>
  <c r="N93" i="8" s="1"/>
  <c r="O93" i="8"/>
  <c r="P93" i="8"/>
  <c r="Q93" i="8"/>
  <c r="R93" i="8"/>
  <c r="S93" i="8" s="1"/>
  <c r="T93" i="8"/>
  <c r="D94" i="8"/>
  <c r="I94" i="8"/>
  <c r="E94" i="8" s="1"/>
  <c r="F94" i="8"/>
  <c r="G94" i="8"/>
  <c r="H94" i="8"/>
  <c r="J94" i="8"/>
  <c r="K94" i="8"/>
  <c r="L94" i="8"/>
  <c r="M94" i="8"/>
  <c r="N94" i="8" s="1"/>
  <c r="O94" i="8"/>
  <c r="P94" i="8"/>
  <c r="Q94" i="8"/>
  <c r="R94" i="8"/>
  <c r="S94" i="8" s="1"/>
  <c r="T94" i="8"/>
  <c r="D95" i="8"/>
  <c r="I95" i="8"/>
  <c r="E95" i="8" s="1"/>
  <c r="F95" i="8"/>
  <c r="G95" i="8"/>
  <c r="H95" i="8"/>
  <c r="J95" i="8"/>
  <c r="K95" i="8"/>
  <c r="L95" i="8"/>
  <c r="M95" i="8"/>
  <c r="N95" i="8" s="1"/>
  <c r="O95" i="8"/>
  <c r="P95" i="8"/>
  <c r="Q95" i="8"/>
  <c r="R95" i="8"/>
  <c r="S95" i="8" s="1"/>
  <c r="T95" i="8"/>
  <c r="D96" i="8"/>
  <c r="I96" i="8"/>
  <c r="E96" i="8" s="1"/>
  <c r="F96" i="8"/>
  <c r="G96" i="8"/>
  <c r="H96" i="8"/>
  <c r="J96" i="8"/>
  <c r="K96" i="8"/>
  <c r="L96" i="8"/>
  <c r="M96" i="8"/>
  <c r="N96" i="8" s="1"/>
  <c r="O96" i="8"/>
  <c r="P96" i="8"/>
  <c r="Q96" i="8"/>
  <c r="R96" i="8"/>
  <c r="S96" i="8" s="1"/>
  <c r="T96" i="8"/>
  <c r="D97" i="8"/>
  <c r="I97" i="8"/>
  <c r="E97" i="8" s="1"/>
  <c r="F97" i="8"/>
  <c r="G97" i="8"/>
  <c r="H97" i="8"/>
  <c r="J97" i="8"/>
  <c r="K97" i="8"/>
  <c r="L97" i="8"/>
  <c r="M97" i="8"/>
  <c r="N97" i="8" s="1"/>
  <c r="O97" i="8"/>
  <c r="P97" i="8"/>
  <c r="Q97" i="8"/>
  <c r="R97" i="8"/>
  <c r="S97" i="8" s="1"/>
  <c r="T97" i="8"/>
  <c r="D98" i="8"/>
  <c r="I98" i="8"/>
  <c r="E98" i="8" s="1"/>
  <c r="F98" i="8"/>
  <c r="G98" i="8"/>
  <c r="H98" i="8"/>
  <c r="J98" i="8"/>
  <c r="K98" i="8"/>
  <c r="L98" i="8"/>
  <c r="M98" i="8"/>
  <c r="N98" i="8" s="1"/>
  <c r="O98" i="8"/>
  <c r="P98" i="8"/>
  <c r="Q98" i="8"/>
  <c r="R98" i="8"/>
  <c r="S98" i="8" s="1"/>
  <c r="T98" i="8"/>
  <c r="D99" i="8"/>
  <c r="I99" i="8"/>
  <c r="E99" i="8" s="1"/>
  <c r="F99" i="8"/>
  <c r="G99" i="8"/>
  <c r="H99" i="8"/>
  <c r="J99" i="8"/>
  <c r="K99" i="8"/>
  <c r="L99" i="8"/>
  <c r="M99" i="8"/>
  <c r="N99" i="8" s="1"/>
  <c r="O99" i="8"/>
  <c r="P99" i="8"/>
  <c r="Q99" i="8"/>
  <c r="R99" i="8"/>
  <c r="S99" i="8" s="1"/>
  <c r="T99" i="8"/>
  <c r="D100" i="8"/>
  <c r="I100" i="8"/>
  <c r="E100" i="8" s="1"/>
  <c r="F100" i="8"/>
  <c r="G100" i="8"/>
  <c r="H100" i="8"/>
  <c r="J100" i="8"/>
  <c r="K100" i="8"/>
  <c r="L100" i="8"/>
  <c r="M100" i="8"/>
  <c r="N100" i="8" s="1"/>
  <c r="O100" i="8"/>
  <c r="P100" i="8"/>
  <c r="Q100" i="8"/>
  <c r="R100" i="8"/>
  <c r="S100" i="8" s="1"/>
  <c r="T100" i="8"/>
  <c r="D101" i="8"/>
  <c r="I101" i="8"/>
  <c r="E101" i="8" s="1"/>
  <c r="F101" i="8"/>
  <c r="G101" i="8"/>
  <c r="H101" i="8"/>
  <c r="J101" i="8"/>
  <c r="K101" i="8"/>
  <c r="L101" i="8"/>
  <c r="M101" i="8"/>
  <c r="N101" i="8" s="1"/>
  <c r="O101" i="8"/>
  <c r="P101" i="8"/>
  <c r="Q101" i="8"/>
  <c r="R101" i="8"/>
  <c r="S101" i="8" s="1"/>
  <c r="T101" i="8"/>
  <c r="D102" i="8"/>
  <c r="I102" i="8"/>
  <c r="E102" i="8" s="1"/>
  <c r="F102" i="8"/>
  <c r="G102" i="8"/>
  <c r="H102" i="8"/>
  <c r="J102" i="8"/>
  <c r="K102" i="8"/>
  <c r="L102" i="8"/>
  <c r="M102" i="8"/>
  <c r="N102" i="8" s="1"/>
  <c r="O102" i="8"/>
  <c r="P102" i="8"/>
  <c r="Q102" i="8"/>
  <c r="R102" i="8"/>
  <c r="S102" i="8" s="1"/>
  <c r="T102" i="8"/>
  <c r="D103" i="8"/>
  <c r="I103" i="8"/>
  <c r="E103" i="8" s="1"/>
  <c r="F103" i="8"/>
  <c r="G103" i="8"/>
  <c r="H103" i="8"/>
  <c r="J103" i="8"/>
  <c r="K103" i="8"/>
  <c r="L103" i="8"/>
  <c r="M103" i="8"/>
  <c r="N103" i="8" s="1"/>
  <c r="O103" i="8"/>
  <c r="P103" i="8"/>
  <c r="Q103" i="8"/>
  <c r="R103" i="8"/>
  <c r="S103" i="8" s="1"/>
  <c r="T103" i="8"/>
  <c r="D104" i="8"/>
  <c r="I104" i="8"/>
  <c r="E104" i="8" s="1"/>
  <c r="F104" i="8"/>
  <c r="G104" i="8"/>
  <c r="H104" i="8"/>
  <c r="J104" i="8"/>
  <c r="K104" i="8"/>
  <c r="L104" i="8"/>
  <c r="M104" i="8"/>
  <c r="N104" i="8" s="1"/>
  <c r="O104" i="8"/>
  <c r="P104" i="8"/>
  <c r="Q104" i="8"/>
  <c r="R104" i="8"/>
  <c r="S104" i="8" s="1"/>
  <c r="T104" i="8"/>
  <c r="D105" i="8"/>
  <c r="I105" i="8"/>
  <c r="E105" i="8" s="1"/>
  <c r="F105" i="8"/>
  <c r="G105" i="8"/>
  <c r="H105" i="8"/>
  <c r="J105" i="8"/>
  <c r="K105" i="8"/>
  <c r="L105" i="8"/>
  <c r="M105" i="8"/>
  <c r="N105" i="8" s="1"/>
  <c r="O105" i="8"/>
  <c r="P105" i="8"/>
  <c r="Q105" i="8"/>
  <c r="R105" i="8"/>
  <c r="S105" i="8" s="1"/>
  <c r="T105" i="8"/>
  <c r="D106" i="8"/>
  <c r="I106" i="8"/>
  <c r="E106" i="8" s="1"/>
  <c r="F106" i="8"/>
  <c r="G106" i="8"/>
  <c r="H106" i="8"/>
  <c r="J106" i="8"/>
  <c r="K106" i="8"/>
  <c r="L106" i="8"/>
  <c r="M106" i="8"/>
  <c r="N106" i="8" s="1"/>
  <c r="O106" i="8"/>
  <c r="P106" i="8"/>
  <c r="Q106" i="8"/>
  <c r="R106" i="8"/>
  <c r="S106" i="8" s="1"/>
  <c r="T106" i="8"/>
  <c r="D107" i="8"/>
  <c r="I107" i="8"/>
  <c r="E107" i="8" s="1"/>
  <c r="F107" i="8"/>
  <c r="G107" i="8"/>
  <c r="H107" i="8"/>
  <c r="J107" i="8"/>
  <c r="K107" i="8"/>
  <c r="L107" i="8"/>
  <c r="M107" i="8"/>
  <c r="N107" i="8" s="1"/>
  <c r="O107" i="8"/>
  <c r="P107" i="8"/>
  <c r="Q107" i="8"/>
  <c r="R107" i="8"/>
  <c r="S107" i="8" s="1"/>
  <c r="T107" i="8"/>
  <c r="D108" i="8"/>
  <c r="I108" i="8"/>
  <c r="E108" i="8" s="1"/>
  <c r="F108" i="8"/>
  <c r="G108" i="8"/>
  <c r="H108" i="8"/>
  <c r="J108" i="8"/>
  <c r="K108" i="8"/>
  <c r="L108" i="8"/>
  <c r="M108" i="8"/>
  <c r="N108" i="8" s="1"/>
  <c r="O108" i="8"/>
  <c r="P108" i="8"/>
  <c r="Q108" i="8"/>
  <c r="R108" i="8"/>
  <c r="S108" i="8" s="1"/>
  <c r="T108" i="8"/>
  <c r="D109" i="8"/>
  <c r="I109" i="8"/>
  <c r="E109" i="8" s="1"/>
  <c r="F109" i="8"/>
  <c r="G109" i="8"/>
  <c r="H109" i="8"/>
  <c r="J109" i="8"/>
  <c r="K109" i="8"/>
  <c r="L109" i="8"/>
  <c r="M109" i="8"/>
  <c r="N109" i="8" s="1"/>
  <c r="O109" i="8"/>
  <c r="P109" i="8"/>
  <c r="Q109" i="8"/>
  <c r="R109" i="8"/>
  <c r="S109" i="8" s="1"/>
  <c r="T109" i="8"/>
  <c r="D110" i="8"/>
  <c r="I110" i="8"/>
  <c r="E110" i="8" s="1"/>
  <c r="F110" i="8"/>
  <c r="G110" i="8"/>
  <c r="H110" i="8"/>
  <c r="J110" i="8"/>
  <c r="K110" i="8"/>
  <c r="L110" i="8"/>
  <c r="M110" i="8"/>
  <c r="N110" i="8" s="1"/>
  <c r="O110" i="8"/>
  <c r="P110" i="8"/>
  <c r="Q110" i="8"/>
  <c r="R110" i="8"/>
  <c r="S110" i="8" s="1"/>
  <c r="T110" i="8"/>
  <c r="D111" i="8"/>
  <c r="I111" i="8"/>
  <c r="E111" i="8" s="1"/>
  <c r="F111" i="8"/>
  <c r="G111" i="8"/>
  <c r="H111" i="8"/>
  <c r="J111" i="8"/>
  <c r="K111" i="8"/>
  <c r="L111" i="8"/>
  <c r="M111" i="8"/>
  <c r="N111" i="8" s="1"/>
  <c r="O111" i="8"/>
  <c r="P111" i="8"/>
  <c r="Q111" i="8"/>
  <c r="R111" i="8"/>
  <c r="S111" i="8" s="1"/>
  <c r="T111" i="8"/>
  <c r="D112" i="8"/>
  <c r="I112" i="8"/>
  <c r="E112" i="8" s="1"/>
  <c r="F112" i="8"/>
  <c r="G112" i="8"/>
  <c r="H112" i="8"/>
  <c r="J112" i="8"/>
  <c r="K112" i="8"/>
  <c r="L112" i="8"/>
  <c r="M112" i="8"/>
  <c r="N112" i="8" s="1"/>
  <c r="O112" i="8"/>
  <c r="P112" i="8"/>
  <c r="Q112" i="8"/>
  <c r="R112" i="8"/>
  <c r="S112" i="8" s="1"/>
  <c r="T112" i="8"/>
  <c r="D113" i="8"/>
  <c r="I113" i="8"/>
  <c r="E113" i="8" s="1"/>
  <c r="F113" i="8"/>
  <c r="G113" i="8"/>
  <c r="H113" i="8"/>
  <c r="J113" i="8"/>
  <c r="K113" i="8"/>
  <c r="L113" i="8"/>
  <c r="M113" i="8"/>
  <c r="N113" i="8" s="1"/>
  <c r="O113" i="8"/>
  <c r="P113" i="8"/>
  <c r="Q113" i="8"/>
  <c r="R113" i="8"/>
  <c r="S113" i="8" s="1"/>
  <c r="T113" i="8"/>
  <c r="D114" i="8"/>
  <c r="I114" i="8"/>
  <c r="E114" i="8" s="1"/>
  <c r="F114" i="8"/>
  <c r="G114" i="8"/>
  <c r="H114" i="8"/>
  <c r="J114" i="8"/>
  <c r="K114" i="8"/>
  <c r="L114" i="8"/>
  <c r="M114" i="8"/>
  <c r="N114" i="8" s="1"/>
  <c r="O114" i="8"/>
  <c r="P114" i="8"/>
  <c r="Q114" i="8"/>
  <c r="R114" i="8"/>
  <c r="S114" i="8" s="1"/>
  <c r="T114" i="8"/>
  <c r="D115" i="8"/>
  <c r="I115" i="8"/>
  <c r="E115" i="8" s="1"/>
  <c r="F115" i="8"/>
  <c r="G115" i="8"/>
  <c r="H115" i="8"/>
  <c r="J115" i="8"/>
  <c r="K115" i="8"/>
  <c r="L115" i="8"/>
  <c r="M115" i="8"/>
  <c r="N115" i="8" s="1"/>
  <c r="O115" i="8"/>
  <c r="P115" i="8"/>
  <c r="Q115" i="8"/>
  <c r="R115" i="8"/>
  <c r="S115" i="8" s="1"/>
  <c r="T115" i="8"/>
  <c r="D116" i="8"/>
  <c r="I116" i="8"/>
  <c r="E116" i="8" s="1"/>
  <c r="F116" i="8"/>
  <c r="G116" i="8"/>
  <c r="H116" i="8"/>
  <c r="J116" i="8"/>
  <c r="K116" i="8"/>
  <c r="L116" i="8"/>
  <c r="M116" i="8"/>
  <c r="N116" i="8" s="1"/>
  <c r="O116" i="8"/>
  <c r="P116" i="8"/>
  <c r="Q116" i="8"/>
  <c r="R116" i="8"/>
  <c r="S116" i="8" s="1"/>
  <c r="T116" i="8"/>
  <c r="D117" i="8"/>
  <c r="I117" i="8"/>
  <c r="E117" i="8" s="1"/>
  <c r="F117" i="8"/>
  <c r="G117" i="8"/>
  <c r="H117" i="8"/>
  <c r="J117" i="8"/>
  <c r="K117" i="8"/>
  <c r="L117" i="8"/>
  <c r="M117" i="8"/>
  <c r="N117" i="8" s="1"/>
  <c r="O117" i="8"/>
  <c r="P117" i="8"/>
  <c r="Q117" i="8"/>
  <c r="R117" i="8"/>
  <c r="S117" i="8" s="1"/>
  <c r="T117" i="8"/>
  <c r="D118" i="8"/>
  <c r="I118" i="8"/>
  <c r="E118" i="8" s="1"/>
  <c r="F118" i="8"/>
  <c r="G118" i="8"/>
  <c r="H118" i="8"/>
  <c r="J118" i="8"/>
  <c r="K118" i="8"/>
  <c r="L118" i="8"/>
  <c r="M118" i="8"/>
  <c r="N118" i="8" s="1"/>
  <c r="O118" i="8"/>
  <c r="P118" i="8"/>
  <c r="Q118" i="8"/>
  <c r="R118" i="8"/>
  <c r="S118" i="8" s="1"/>
  <c r="T118" i="8"/>
  <c r="D119" i="8"/>
  <c r="I119" i="8"/>
  <c r="E119" i="8" s="1"/>
  <c r="F119" i="8"/>
  <c r="G119" i="8"/>
  <c r="H119" i="8"/>
  <c r="J119" i="8"/>
  <c r="K119" i="8"/>
  <c r="L119" i="8"/>
  <c r="M119" i="8"/>
  <c r="N119" i="8" s="1"/>
  <c r="O119" i="8"/>
  <c r="P119" i="8"/>
  <c r="Q119" i="8"/>
  <c r="R119" i="8"/>
  <c r="S119" i="8" s="1"/>
  <c r="T119" i="8"/>
  <c r="D120" i="8"/>
  <c r="I120" i="8"/>
  <c r="E120" i="8" s="1"/>
  <c r="F120" i="8"/>
  <c r="G120" i="8"/>
  <c r="H120" i="8"/>
  <c r="J120" i="8"/>
  <c r="K120" i="8"/>
  <c r="L120" i="8"/>
  <c r="M120" i="8"/>
  <c r="N120" i="8" s="1"/>
  <c r="O120" i="8"/>
  <c r="P120" i="8"/>
  <c r="Q120" i="8"/>
  <c r="R120" i="8"/>
  <c r="S120" i="8" s="1"/>
  <c r="T120" i="8"/>
  <c r="D121" i="8"/>
  <c r="I121" i="8"/>
  <c r="E121" i="8" s="1"/>
  <c r="F121" i="8"/>
  <c r="G121" i="8"/>
  <c r="H121" i="8"/>
  <c r="J121" i="8"/>
  <c r="K121" i="8"/>
  <c r="L121" i="8"/>
  <c r="M121" i="8"/>
  <c r="N121" i="8" s="1"/>
  <c r="O121" i="8"/>
  <c r="P121" i="8"/>
  <c r="Q121" i="8"/>
  <c r="R121" i="8"/>
  <c r="S121" i="8" s="1"/>
  <c r="T121" i="8"/>
  <c r="D122" i="8"/>
  <c r="I122" i="8"/>
  <c r="E122" i="8" s="1"/>
  <c r="F122" i="8"/>
  <c r="G122" i="8"/>
  <c r="H122" i="8"/>
  <c r="J122" i="8"/>
  <c r="K122" i="8"/>
  <c r="L122" i="8"/>
  <c r="M122" i="8"/>
  <c r="N122" i="8" s="1"/>
  <c r="O122" i="8"/>
  <c r="P122" i="8"/>
  <c r="Q122" i="8"/>
  <c r="R122" i="8"/>
  <c r="S122" i="8" s="1"/>
  <c r="T122" i="8"/>
  <c r="D123" i="8"/>
  <c r="I123" i="8"/>
  <c r="E123" i="8" s="1"/>
  <c r="F123" i="8"/>
  <c r="G123" i="8"/>
  <c r="H123" i="8"/>
  <c r="J123" i="8"/>
  <c r="K123" i="8"/>
  <c r="L123" i="8"/>
  <c r="M123" i="8"/>
  <c r="N123" i="8" s="1"/>
  <c r="O123" i="8"/>
  <c r="P123" i="8"/>
  <c r="Q123" i="8"/>
  <c r="R123" i="8"/>
  <c r="S123" i="8" s="1"/>
  <c r="T123" i="8"/>
  <c r="D124" i="8"/>
  <c r="I124" i="8"/>
  <c r="E124" i="8" s="1"/>
  <c r="F124" i="8"/>
  <c r="G124" i="8"/>
  <c r="H124" i="8"/>
  <c r="J124" i="8"/>
  <c r="K124" i="8"/>
  <c r="L124" i="8"/>
  <c r="M124" i="8"/>
  <c r="N124" i="8" s="1"/>
  <c r="O124" i="8"/>
  <c r="P124" i="8"/>
  <c r="Q124" i="8"/>
  <c r="R124" i="8"/>
  <c r="S124" i="8" s="1"/>
  <c r="T124" i="8"/>
  <c r="D125" i="8"/>
  <c r="I125" i="8"/>
  <c r="E125" i="8" s="1"/>
  <c r="F125" i="8"/>
  <c r="G125" i="8"/>
  <c r="H125" i="8"/>
  <c r="J125" i="8"/>
  <c r="K125" i="8"/>
  <c r="L125" i="8"/>
  <c r="M125" i="8"/>
  <c r="N125" i="8" s="1"/>
  <c r="O125" i="8"/>
  <c r="P125" i="8"/>
  <c r="Q125" i="8"/>
  <c r="R125" i="8"/>
  <c r="S125" i="8" s="1"/>
  <c r="T125" i="8"/>
  <c r="D126" i="8"/>
  <c r="I126" i="8"/>
  <c r="E126" i="8" s="1"/>
  <c r="F126" i="8"/>
  <c r="G126" i="8"/>
  <c r="H126" i="8"/>
  <c r="J126" i="8"/>
  <c r="K126" i="8"/>
  <c r="L126" i="8"/>
  <c r="M126" i="8"/>
  <c r="N126" i="8" s="1"/>
  <c r="O126" i="8"/>
  <c r="P126" i="8"/>
  <c r="Q126" i="8"/>
  <c r="R126" i="8"/>
  <c r="S126" i="8" s="1"/>
  <c r="T126" i="8"/>
  <c r="D127" i="8"/>
  <c r="I127" i="8"/>
  <c r="E127" i="8" s="1"/>
  <c r="F127" i="8"/>
  <c r="G127" i="8"/>
  <c r="H127" i="8"/>
  <c r="J127" i="8"/>
  <c r="K127" i="8"/>
  <c r="L127" i="8"/>
  <c r="M127" i="8"/>
  <c r="N127" i="8" s="1"/>
  <c r="O127" i="8"/>
  <c r="P127" i="8"/>
  <c r="Q127" i="8"/>
  <c r="R127" i="8"/>
  <c r="S127" i="8" s="1"/>
  <c r="T127" i="8"/>
  <c r="D128" i="8"/>
  <c r="I128" i="8"/>
  <c r="E128" i="8" s="1"/>
  <c r="F128" i="8"/>
  <c r="G128" i="8"/>
  <c r="H128" i="8"/>
  <c r="J128" i="8"/>
  <c r="K128" i="8"/>
  <c r="L128" i="8"/>
  <c r="M128" i="8"/>
  <c r="N128" i="8" s="1"/>
  <c r="O128" i="8"/>
  <c r="P128" i="8"/>
  <c r="Q128" i="8"/>
  <c r="R128" i="8"/>
  <c r="S128" i="8" s="1"/>
  <c r="T128" i="8"/>
  <c r="D129" i="8"/>
  <c r="I129" i="8"/>
  <c r="E129" i="8" s="1"/>
  <c r="F129" i="8"/>
  <c r="G129" i="8"/>
  <c r="H129" i="8"/>
  <c r="J129" i="8"/>
  <c r="K129" i="8"/>
  <c r="L129" i="8"/>
  <c r="M129" i="8"/>
  <c r="N129" i="8" s="1"/>
  <c r="O129" i="8"/>
  <c r="P129" i="8"/>
  <c r="Q129" i="8"/>
  <c r="R129" i="8"/>
  <c r="S129" i="8" s="1"/>
  <c r="T129" i="8"/>
  <c r="D130" i="8"/>
  <c r="I130" i="8"/>
  <c r="E130" i="8" s="1"/>
  <c r="F130" i="8"/>
  <c r="G130" i="8"/>
  <c r="H130" i="8"/>
  <c r="J130" i="8"/>
  <c r="K130" i="8"/>
  <c r="L130" i="8"/>
  <c r="M130" i="8"/>
  <c r="N130" i="8" s="1"/>
  <c r="O130" i="8"/>
  <c r="P130" i="8"/>
  <c r="Q130" i="8"/>
  <c r="R130" i="8"/>
  <c r="S130" i="8" s="1"/>
  <c r="T130" i="8"/>
  <c r="D131" i="8"/>
  <c r="I131" i="8"/>
  <c r="E131" i="8" s="1"/>
  <c r="F131" i="8"/>
  <c r="G131" i="8"/>
  <c r="H131" i="8"/>
  <c r="J131" i="8"/>
  <c r="K131" i="8"/>
  <c r="L131" i="8"/>
  <c r="M131" i="8"/>
  <c r="N131" i="8" s="1"/>
  <c r="O131" i="8"/>
  <c r="P131" i="8"/>
  <c r="Q131" i="8"/>
  <c r="R131" i="8"/>
  <c r="S131" i="8" s="1"/>
  <c r="T131" i="8"/>
  <c r="D132" i="8"/>
  <c r="I132" i="8"/>
  <c r="E132" i="8" s="1"/>
  <c r="F132" i="8"/>
  <c r="G132" i="8"/>
  <c r="H132" i="8"/>
  <c r="J132" i="8"/>
  <c r="K132" i="8"/>
  <c r="L132" i="8"/>
  <c r="M132" i="8"/>
  <c r="N132" i="8" s="1"/>
  <c r="O132" i="8"/>
  <c r="P132" i="8"/>
  <c r="Q132" i="8"/>
  <c r="R132" i="8"/>
  <c r="S132" i="8" s="1"/>
  <c r="T132" i="8"/>
  <c r="D133" i="8"/>
  <c r="I133" i="8"/>
  <c r="E133" i="8" s="1"/>
  <c r="F133" i="8"/>
  <c r="G133" i="8"/>
  <c r="H133" i="8"/>
  <c r="J133" i="8"/>
  <c r="K133" i="8"/>
  <c r="L133" i="8"/>
  <c r="M133" i="8"/>
  <c r="N133" i="8" s="1"/>
  <c r="O133" i="8"/>
  <c r="P133" i="8"/>
  <c r="Q133" i="8"/>
  <c r="R133" i="8"/>
  <c r="S133" i="8" s="1"/>
  <c r="T133" i="8"/>
  <c r="D134" i="8"/>
  <c r="I134" i="8"/>
  <c r="E134" i="8" s="1"/>
  <c r="F134" i="8"/>
  <c r="G134" i="8"/>
  <c r="H134" i="8"/>
  <c r="J134" i="8"/>
  <c r="K134" i="8"/>
  <c r="L134" i="8"/>
  <c r="M134" i="8"/>
  <c r="N134" i="8" s="1"/>
  <c r="O134" i="8"/>
  <c r="P134" i="8"/>
  <c r="Q134" i="8"/>
  <c r="R134" i="8"/>
  <c r="S134" i="8" s="1"/>
  <c r="T134" i="8"/>
  <c r="D135" i="8"/>
  <c r="I135" i="8"/>
  <c r="E135" i="8" s="1"/>
  <c r="F135" i="8"/>
  <c r="G135" i="8"/>
  <c r="H135" i="8"/>
  <c r="J135" i="8"/>
  <c r="K135" i="8"/>
  <c r="L135" i="8"/>
  <c r="M135" i="8"/>
  <c r="N135" i="8" s="1"/>
  <c r="O135" i="8"/>
  <c r="P135" i="8"/>
  <c r="Q135" i="8"/>
  <c r="R135" i="8"/>
  <c r="S135" i="8" s="1"/>
  <c r="T135" i="8"/>
  <c r="D136" i="8"/>
  <c r="I136" i="8"/>
  <c r="E136" i="8" s="1"/>
  <c r="F136" i="8"/>
  <c r="G136" i="8"/>
  <c r="H136" i="8"/>
  <c r="J136" i="8"/>
  <c r="K136" i="8"/>
  <c r="L136" i="8"/>
  <c r="M136" i="8"/>
  <c r="N136" i="8" s="1"/>
  <c r="O136" i="8"/>
  <c r="P136" i="8"/>
  <c r="Q136" i="8"/>
  <c r="R136" i="8"/>
  <c r="S136" i="8" s="1"/>
  <c r="T136" i="8"/>
  <c r="D137" i="8"/>
  <c r="I137" i="8"/>
  <c r="E137" i="8" s="1"/>
  <c r="F137" i="8"/>
  <c r="G137" i="8"/>
  <c r="H137" i="8"/>
  <c r="J137" i="8"/>
  <c r="K137" i="8"/>
  <c r="L137" i="8"/>
  <c r="M137" i="8"/>
  <c r="N137" i="8" s="1"/>
  <c r="O137" i="8"/>
  <c r="P137" i="8"/>
  <c r="Q137" i="8"/>
  <c r="R137" i="8"/>
  <c r="S137" i="8" s="1"/>
  <c r="T137" i="8"/>
  <c r="D138" i="8"/>
  <c r="I138" i="8"/>
  <c r="E138" i="8" s="1"/>
  <c r="F138" i="8"/>
  <c r="G138" i="8"/>
  <c r="H138" i="8"/>
  <c r="J138" i="8"/>
  <c r="K138" i="8"/>
  <c r="L138" i="8"/>
  <c r="M138" i="8"/>
  <c r="N138" i="8" s="1"/>
  <c r="O138" i="8"/>
  <c r="P138" i="8"/>
  <c r="Q138" i="8"/>
  <c r="R138" i="8"/>
  <c r="S138" i="8" s="1"/>
  <c r="T138" i="8"/>
  <c r="D139" i="8"/>
  <c r="I139" i="8"/>
  <c r="E139" i="8" s="1"/>
  <c r="F139" i="8"/>
  <c r="G139" i="8"/>
  <c r="H139" i="8"/>
  <c r="J139" i="8"/>
  <c r="K139" i="8"/>
  <c r="L139" i="8"/>
  <c r="M139" i="8"/>
  <c r="N139" i="8" s="1"/>
  <c r="O139" i="8"/>
  <c r="P139" i="8"/>
  <c r="Q139" i="8"/>
  <c r="R139" i="8"/>
  <c r="S139" i="8" s="1"/>
  <c r="T139" i="8"/>
  <c r="D140" i="8"/>
  <c r="I140" i="8"/>
  <c r="E140" i="8" s="1"/>
  <c r="F140" i="8"/>
  <c r="G140" i="8"/>
  <c r="H140" i="8"/>
  <c r="J140" i="8"/>
  <c r="K140" i="8"/>
  <c r="L140" i="8"/>
  <c r="M140" i="8"/>
  <c r="N140" i="8" s="1"/>
  <c r="O140" i="8"/>
  <c r="P140" i="8"/>
  <c r="Q140" i="8"/>
  <c r="R140" i="8"/>
  <c r="S140" i="8" s="1"/>
  <c r="T140" i="8"/>
  <c r="D40" i="8"/>
  <c r="T163" i="8"/>
  <c r="R163" i="8"/>
  <c r="S163" i="8" s="1"/>
  <c r="Q163" i="8"/>
  <c r="P163" i="8"/>
  <c r="O163" i="8"/>
  <c r="M163" i="8"/>
  <c r="N163" i="8" s="1"/>
  <c r="L163" i="8"/>
  <c r="K163" i="8"/>
  <c r="J163" i="8"/>
  <c r="I163" i="8"/>
  <c r="H163" i="8"/>
  <c r="G163" i="8"/>
  <c r="F163" i="8"/>
  <c r="E163" i="8"/>
  <c r="D163" i="8"/>
  <c r="T162" i="8"/>
  <c r="R162" i="8"/>
  <c r="S162" i="8" s="1"/>
  <c r="Q162" i="8"/>
  <c r="P162" i="8"/>
  <c r="O162" i="8"/>
  <c r="M162" i="8"/>
  <c r="N162" i="8" s="1"/>
  <c r="L162" i="8"/>
  <c r="K162" i="8"/>
  <c r="J162" i="8"/>
  <c r="I162" i="8"/>
  <c r="H162" i="8"/>
  <c r="G162" i="8"/>
  <c r="F162" i="8"/>
  <c r="E162" i="8"/>
  <c r="D162" i="8"/>
  <c r="T161" i="8"/>
  <c r="R161" i="8"/>
  <c r="S161" i="8" s="1"/>
  <c r="Q161" i="8"/>
  <c r="P161" i="8"/>
  <c r="O161" i="8"/>
  <c r="M161" i="8"/>
  <c r="N161" i="8" s="1"/>
  <c r="L161" i="8"/>
  <c r="K161" i="8"/>
  <c r="J161" i="8"/>
  <c r="I161" i="8"/>
  <c r="E161" i="8" s="1"/>
  <c r="H161" i="8"/>
  <c r="G161" i="8"/>
  <c r="F161" i="8"/>
  <c r="D161" i="8"/>
  <c r="T160" i="8"/>
  <c r="R160" i="8"/>
  <c r="S160" i="8" s="1"/>
  <c r="Q160" i="8"/>
  <c r="P160" i="8"/>
  <c r="O160" i="8"/>
  <c r="M160" i="8"/>
  <c r="N160" i="8" s="1"/>
  <c r="L160" i="8"/>
  <c r="K160" i="8"/>
  <c r="J160" i="8"/>
  <c r="I160" i="8"/>
  <c r="H160" i="8"/>
  <c r="G160" i="8"/>
  <c r="F160" i="8"/>
  <c r="E160" i="8"/>
  <c r="D160" i="8"/>
  <c r="T159" i="8"/>
  <c r="R159" i="8"/>
  <c r="S159" i="8" s="1"/>
  <c r="Q159" i="8"/>
  <c r="P159" i="8"/>
  <c r="O159" i="8"/>
  <c r="M159" i="8"/>
  <c r="N159" i="8" s="1"/>
  <c r="L159" i="8"/>
  <c r="K159" i="8"/>
  <c r="J159" i="8"/>
  <c r="I159" i="8"/>
  <c r="H159" i="8"/>
  <c r="G159" i="8"/>
  <c r="F159" i="8"/>
  <c r="E159" i="8"/>
  <c r="D159" i="8"/>
  <c r="T158" i="8"/>
  <c r="R158" i="8"/>
  <c r="S158" i="8" s="1"/>
  <c r="Q158" i="8"/>
  <c r="P158" i="8"/>
  <c r="O158" i="8"/>
  <c r="M158" i="8"/>
  <c r="N158" i="8" s="1"/>
  <c r="L158" i="8"/>
  <c r="K158" i="8"/>
  <c r="J158" i="8"/>
  <c r="I158" i="8"/>
  <c r="E158" i="8" s="1"/>
  <c r="H158" i="8"/>
  <c r="G158" i="8"/>
  <c r="F158" i="8"/>
  <c r="D158" i="8"/>
  <c r="T157" i="8"/>
  <c r="R157" i="8"/>
  <c r="S157" i="8" s="1"/>
  <c r="Q157" i="8"/>
  <c r="P157" i="8"/>
  <c r="O157" i="8"/>
  <c r="M157" i="8"/>
  <c r="N157" i="8" s="1"/>
  <c r="L157" i="8"/>
  <c r="K157" i="8"/>
  <c r="J157" i="8"/>
  <c r="I157" i="8"/>
  <c r="E157" i="8" s="1"/>
  <c r="H157" i="8"/>
  <c r="G157" i="8"/>
  <c r="F157" i="8"/>
  <c r="D157" i="8"/>
  <c r="T156" i="8"/>
  <c r="R156" i="8"/>
  <c r="S156" i="8" s="1"/>
  <c r="Q156" i="8"/>
  <c r="P156" i="8"/>
  <c r="O156" i="8"/>
  <c r="M156" i="8"/>
  <c r="N156" i="8" s="1"/>
  <c r="L156" i="8"/>
  <c r="K156" i="8"/>
  <c r="J156" i="8"/>
  <c r="I156" i="8"/>
  <c r="E156" i="8" s="1"/>
  <c r="H156" i="8"/>
  <c r="G156" i="8"/>
  <c r="F156" i="8"/>
  <c r="D156" i="8"/>
  <c r="T155" i="8"/>
  <c r="R155" i="8"/>
  <c r="S155" i="8" s="1"/>
  <c r="Q155" i="8"/>
  <c r="P155" i="8"/>
  <c r="O155" i="8"/>
  <c r="M155" i="8"/>
  <c r="N155" i="8" s="1"/>
  <c r="L155" i="8"/>
  <c r="K155" i="8"/>
  <c r="J155" i="8"/>
  <c r="I155" i="8"/>
  <c r="E155" i="8" s="1"/>
  <c r="H155" i="8"/>
  <c r="G155" i="8"/>
  <c r="F155" i="8"/>
  <c r="D155" i="8"/>
  <c r="T154" i="8"/>
  <c r="R154" i="8"/>
  <c r="S154" i="8" s="1"/>
  <c r="Q154" i="8"/>
  <c r="P154" i="8"/>
  <c r="O154" i="8"/>
  <c r="M154" i="8"/>
  <c r="N154" i="8" s="1"/>
  <c r="L154" i="8"/>
  <c r="K154" i="8"/>
  <c r="J154" i="8"/>
  <c r="I154" i="8"/>
  <c r="E154" i="8" s="1"/>
  <c r="H154" i="8"/>
  <c r="G154" i="8"/>
  <c r="F154" i="8"/>
  <c r="D154" i="8"/>
  <c r="T153" i="8"/>
  <c r="R153" i="8"/>
  <c r="S153" i="8" s="1"/>
  <c r="Q153" i="8"/>
  <c r="P153" i="8"/>
  <c r="O153" i="8"/>
  <c r="M153" i="8"/>
  <c r="N153" i="8" s="1"/>
  <c r="L153" i="8"/>
  <c r="K153" i="8"/>
  <c r="J153" i="8"/>
  <c r="I153" i="8"/>
  <c r="E153" i="8" s="1"/>
  <c r="H153" i="8"/>
  <c r="G153" i="8"/>
  <c r="F153" i="8"/>
  <c r="D153" i="8"/>
  <c r="T152" i="8"/>
  <c r="R152" i="8"/>
  <c r="S152" i="8" s="1"/>
  <c r="Q152" i="8"/>
  <c r="P152" i="8"/>
  <c r="O152" i="8"/>
  <c r="M152" i="8"/>
  <c r="N152" i="8" s="1"/>
  <c r="L152" i="8"/>
  <c r="K152" i="8"/>
  <c r="J152" i="8"/>
  <c r="I152" i="8"/>
  <c r="E152" i="8" s="1"/>
  <c r="H152" i="8"/>
  <c r="G152" i="8"/>
  <c r="F152" i="8"/>
  <c r="D152" i="8"/>
  <c r="T151" i="8"/>
  <c r="R151" i="8"/>
  <c r="S151" i="8" s="1"/>
  <c r="Q151" i="8"/>
  <c r="P151" i="8"/>
  <c r="O151" i="8"/>
  <c r="M151" i="8"/>
  <c r="N151" i="8" s="1"/>
  <c r="L151" i="8"/>
  <c r="K151" i="8"/>
  <c r="J151" i="8"/>
  <c r="I151" i="8"/>
  <c r="H151" i="8"/>
  <c r="G151" i="8"/>
  <c r="F151" i="8"/>
  <c r="E151" i="8"/>
  <c r="D151" i="8"/>
  <c r="T150" i="8"/>
  <c r="R150" i="8"/>
  <c r="S150" i="8" s="1"/>
  <c r="Q150" i="8"/>
  <c r="P150" i="8"/>
  <c r="O150" i="8"/>
  <c r="M150" i="8"/>
  <c r="N150" i="8" s="1"/>
  <c r="L150" i="8"/>
  <c r="K150" i="8"/>
  <c r="J150" i="8"/>
  <c r="I150" i="8"/>
  <c r="E150" i="8" s="1"/>
  <c r="H150" i="8"/>
  <c r="G150" i="8"/>
  <c r="F150" i="8"/>
  <c r="D150" i="8"/>
  <c r="T149" i="8"/>
  <c r="R149" i="8"/>
  <c r="S149" i="8" s="1"/>
  <c r="Q149" i="8"/>
  <c r="P149" i="8"/>
  <c r="O149" i="8"/>
  <c r="M149" i="8"/>
  <c r="N149" i="8" s="1"/>
  <c r="L149" i="8"/>
  <c r="K149" i="8"/>
  <c r="J149" i="8"/>
  <c r="I149" i="8"/>
  <c r="E149" i="8" s="1"/>
  <c r="H149" i="8"/>
  <c r="G149" i="8"/>
  <c r="F149" i="8"/>
  <c r="D149" i="8"/>
  <c r="T148" i="8"/>
  <c r="R148" i="8"/>
  <c r="S148" i="8" s="1"/>
  <c r="Q148" i="8"/>
  <c r="P148" i="8"/>
  <c r="O148" i="8"/>
  <c r="M148" i="8"/>
  <c r="N148" i="8" s="1"/>
  <c r="L148" i="8"/>
  <c r="K148" i="8"/>
  <c r="J148" i="8"/>
  <c r="I148" i="8"/>
  <c r="H148" i="8"/>
  <c r="G148" i="8"/>
  <c r="F148" i="8"/>
  <c r="E148" i="8"/>
  <c r="D148" i="8"/>
  <c r="T147" i="8"/>
  <c r="R147" i="8"/>
  <c r="S147" i="8" s="1"/>
  <c r="Q147" i="8"/>
  <c r="P147" i="8"/>
  <c r="O147" i="8"/>
  <c r="M147" i="8"/>
  <c r="N147" i="8" s="1"/>
  <c r="L147" i="8"/>
  <c r="K147" i="8"/>
  <c r="J147" i="8"/>
  <c r="I147" i="8"/>
  <c r="E147" i="8" s="1"/>
  <c r="H147" i="8"/>
  <c r="G147" i="8"/>
  <c r="F147" i="8"/>
  <c r="D147" i="8"/>
  <c r="T146" i="8"/>
  <c r="R146" i="8"/>
  <c r="S146" i="8" s="1"/>
  <c r="Q146" i="8"/>
  <c r="P146" i="8"/>
  <c r="O146" i="8"/>
  <c r="M146" i="8"/>
  <c r="N146" i="8" s="1"/>
  <c r="L146" i="8"/>
  <c r="K146" i="8"/>
  <c r="J146" i="8"/>
  <c r="I146" i="8"/>
  <c r="E146" i="8" s="1"/>
  <c r="H146" i="8"/>
  <c r="G146" i="8"/>
  <c r="F146" i="8"/>
  <c r="D146" i="8"/>
  <c r="T145" i="8"/>
  <c r="R145" i="8"/>
  <c r="S145" i="8" s="1"/>
  <c r="Q145" i="8"/>
  <c r="P145" i="8"/>
  <c r="O145" i="8"/>
  <c r="M145" i="8"/>
  <c r="N145" i="8" s="1"/>
  <c r="L145" i="8"/>
  <c r="K145" i="8"/>
  <c r="J145" i="8"/>
  <c r="I145" i="8"/>
  <c r="E145" i="8" s="1"/>
  <c r="H145" i="8"/>
  <c r="G145" i="8"/>
  <c r="F145" i="8"/>
  <c r="D145" i="8"/>
  <c r="T144" i="8"/>
  <c r="R144" i="8"/>
  <c r="S144" i="8" s="1"/>
  <c r="Q144" i="8"/>
  <c r="P144" i="8"/>
  <c r="O144" i="8"/>
  <c r="M144" i="8"/>
  <c r="N144" i="8" s="1"/>
  <c r="L144" i="8"/>
  <c r="K144" i="8"/>
  <c r="J144" i="8"/>
  <c r="I144" i="8"/>
  <c r="E144" i="8" s="1"/>
  <c r="H144" i="8"/>
  <c r="G144" i="8"/>
  <c r="F144" i="8"/>
  <c r="D144" i="8"/>
  <c r="T143" i="8"/>
  <c r="R143" i="8"/>
  <c r="S143" i="8" s="1"/>
  <c r="Q143" i="8"/>
  <c r="P143" i="8"/>
  <c r="O143" i="8"/>
  <c r="M143" i="8"/>
  <c r="N143" i="8" s="1"/>
  <c r="L143" i="8"/>
  <c r="K143" i="8"/>
  <c r="J143" i="8"/>
  <c r="I143" i="8"/>
  <c r="E143" i="8" s="1"/>
  <c r="H143" i="8"/>
  <c r="G143" i="8"/>
  <c r="F143" i="8"/>
  <c r="D143" i="8"/>
  <c r="T142" i="8"/>
  <c r="R142" i="8"/>
  <c r="S142" i="8" s="1"/>
  <c r="Q142" i="8"/>
  <c r="P142" i="8"/>
  <c r="O142" i="8"/>
  <c r="M142" i="8"/>
  <c r="N142" i="8" s="1"/>
  <c r="L142" i="8"/>
  <c r="K142" i="8"/>
  <c r="J142" i="8"/>
  <c r="I142" i="8"/>
  <c r="E142" i="8" s="1"/>
  <c r="H142" i="8"/>
  <c r="G142" i="8"/>
  <c r="F142" i="8"/>
  <c r="D142" i="8"/>
  <c r="T141" i="8"/>
  <c r="R141" i="8"/>
  <c r="S141" i="8" s="1"/>
  <c r="Q141" i="8"/>
  <c r="P141" i="8"/>
  <c r="O141" i="8"/>
  <c r="M141" i="8"/>
  <c r="N141" i="8" s="1"/>
  <c r="L141" i="8"/>
  <c r="K141" i="8"/>
  <c r="J141" i="8"/>
  <c r="I141" i="8"/>
  <c r="E141" i="8" s="1"/>
  <c r="H141" i="8"/>
  <c r="G141" i="8"/>
  <c r="F141" i="8"/>
  <c r="D141" i="8"/>
  <c r="T40" i="8"/>
  <c r="R40" i="8"/>
  <c r="Q40" i="8"/>
  <c r="P40" i="8"/>
  <c r="O40" i="8"/>
  <c r="M40" i="8"/>
  <c r="L40" i="8"/>
  <c r="K40" i="8"/>
  <c r="J40" i="8"/>
  <c r="I40" i="8"/>
  <c r="H40" i="8"/>
  <c r="G40" i="8"/>
  <c r="F40" i="8"/>
  <c r="T39" i="8"/>
  <c r="R39" i="8"/>
  <c r="Q39" i="8"/>
  <c r="P39" i="8"/>
  <c r="O39" i="8"/>
  <c r="M39" i="8"/>
  <c r="L39" i="8"/>
  <c r="K39" i="8"/>
  <c r="J39" i="8"/>
  <c r="I39" i="8"/>
  <c r="H39" i="8"/>
  <c r="G39" i="8"/>
  <c r="F39" i="8"/>
  <c r="D39" i="8"/>
  <c r="T38" i="8"/>
  <c r="R38" i="8"/>
  <c r="Q38" i="8"/>
  <c r="P38" i="8"/>
  <c r="O38" i="8"/>
  <c r="M38" i="8"/>
  <c r="L38" i="8"/>
  <c r="K38" i="8"/>
  <c r="J38" i="8"/>
  <c r="I38" i="8"/>
  <c r="H38" i="8"/>
  <c r="G38" i="8"/>
  <c r="F38" i="8"/>
  <c r="D38" i="8"/>
  <c r="T37" i="8"/>
  <c r="R37" i="8"/>
  <c r="Q37" i="8"/>
  <c r="P37" i="8"/>
  <c r="O37" i="8"/>
  <c r="M37" i="8"/>
  <c r="L37" i="8"/>
  <c r="K37" i="8"/>
  <c r="J37" i="8"/>
  <c r="I37" i="8"/>
  <c r="H37" i="8"/>
  <c r="G37" i="8"/>
  <c r="F37" i="8"/>
  <c r="D37" i="8"/>
  <c r="T36" i="8"/>
  <c r="R36" i="8"/>
  <c r="Q36" i="8"/>
  <c r="P36" i="8"/>
  <c r="O36" i="8"/>
  <c r="M36" i="8"/>
  <c r="L36" i="8"/>
  <c r="K36" i="8"/>
  <c r="J36" i="8"/>
  <c r="I36" i="8"/>
  <c r="H36" i="8"/>
  <c r="G36" i="8"/>
  <c r="F36" i="8"/>
  <c r="D36" i="8"/>
  <c r="R35" i="8"/>
  <c r="Q35" i="8"/>
  <c r="P35" i="8"/>
  <c r="O35" i="8"/>
  <c r="M35" i="8"/>
  <c r="L35" i="8"/>
  <c r="K35" i="8"/>
  <c r="J35" i="8"/>
  <c r="I35" i="8"/>
  <c r="H35" i="8"/>
  <c r="G35" i="8"/>
  <c r="F35" i="8"/>
  <c r="D35" i="8"/>
  <c r="B33" i="8"/>
  <c r="BE26" i="8"/>
  <c r="BB10" i="8"/>
  <c r="B26" i="8"/>
  <c r="BE25" i="8"/>
  <c r="BD25" i="8"/>
  <c r="BC25" i="8"/>
  <c r="BA25" i="8"/>
  <c r="AZ25" i="8"/>
  <c r="AZ24" i="8"/>
  <c r="BE24" i="8"/>
  <c r="BD21" i="8"/>
  <c r="BD24" i="8"/>
  <c r="BC21" i="8"/>
  <c r="BC24" i="8"/>
  <c r="BA24" i="8"/>
  <c r="BG7" i="8"/>
  <c r="BA10" i="8"/>
  <c r="B16" i="8"/>
  <c r="C16" i="8"/>
  <c r="BG6" i="8"/>
  <c r="B21" i="8"/>
  <c r="B13" i="8"/>
  <c r="C13" i="8"/>
  <c r="BG5" i="8"/>
  <c r="B20" i="8"/>
  <c r="BG4" i="8"/>
  <c r="B19" i="8"/>
  <c r="B17" i="8"/>
  <c r="C17" i="8"/>
  <c r="B15" i="8"/>
  <c r="C15" i="8"/>
  <c r="B10" i="8"/>
  <c r="B7" i="8"/>
  <c r="B9" i="8"/>
  <c r="B8" i="8"/>
  <c r="BG3" i="8"/>
  <c r="D41" i="5"/>
  <c r="I41" i="5"/>
  <c r="H41" i="5"/>
  <c r="T35" i="5"/>
  <c r="F41" i="5"/>
  <c r="G41" i="5"/>
  <c r="J41" i="5"/>
  <c r="K41" i="5"/>
  <c r="L41" i="5"/>
  <c r="M41" i="5"/>
  <c r="O41" i="5"/>
  <c r="P41" i="5"/>
  <c r="Q41" i="5"/>
  <c r="R41" i="5"/>
  <c r="T41" i="5"/>
  <c r="D42" i="5"/>
  <c r="I42" i="5"/>
  <c r="H42" i="5"/>
  <c r="F42" i="5"/>
  <c r="G42" i="5"/>
  <c r="J42" i="5"/>
  <c r="K42" i="5"/>
  <c r="L42" i="5"/>
  <c r="M42" i="5"/>
  <c r="O42" i="5"/>
  <c r="P42" i="5"/>
  <c r="Q42" i="5"/>
  <c r="R42" i="5"/>
  <c r="T42" i="5"/>
  <c r="D43" i="5"/>
  <c r="I43" i="5"/>
  <c r="F43" i="5"/>
  <c r="G43" i="5"/>
  <c r="H43" i="5"/>
  <c r="J43" i="5"/>
  <c r="K43" i="5"/>
  <c r="L43" i="5"/>
  <c r="M43" i="5"/>
  <c r="O43" i="5"/>
  <c r="P43" i="5"/>
  <c r="Q43" i="5"/>
  <c r="R43" i="5"/>
  <c r="T43" i="5"/>
  <c r="D44" i="5"/>
  <c r="I44" i="5"/>
  <c r="F44" i="5"/>
  <c r="G44" i="5"/>
  <c r="H44" i="5"/>
  <c r="J44" i="5"/>
  <c r="K44" i="5"/>
  <c r="L44" i="5"/>
  <c r="M44" i="5"/>
  <c r="N44" i="5" s="1"/>
  <c r="O44" i="5"/>
  <c r="P44" i="5"/>
  <c r="Q44" i="5"/>
  <c r="R44" i="5"/>
  <c r="T44" i="5"/>
  <c r="D45" i="5"/>
  <c r="I45" i="5"/>
  <c r="F45" i="5"/>
  <c r="G45" i="5"/>
  <c r="H45" i="5"/>
  <c r="J45" i="5"/>
  <c r="K45" i="5"/>
  <c r="L45" i="5"/>
  <c r="M45" i="5"/>
  <c r="O45" i="5"/>
  <c r="P45" i="5"/>
  <c r="Q45" i="5"/>
  <c r="R45" i="5"/>
  <c r="T45" i="5"/>
  <c r="D46" i="5"/>
  <c r="I46" i="5"/>
  <c r="F46" i="5"/>
  <c r="G46" i="5"/>
  <c r="H46" i="5"/>
  <c r="J46" i="5"/>
  <c r="K46" i="5"/>
  <c r="L46" i="5"/>
  <c r="M46" i="5"/>
  <c r="N46" i="5" s="1"/>
  <c r="O46" i="5"/>
  <c r="P46" i="5"/>
  <c r="Q46" i="5"/>
  <c r="R46" i="5"/>
  <c r="T46" i="5"/>
  <c r="D47" i="5"/>
  <c r="I47" i="5"/>
  <c r="F47" i="5"/>
  <c r="G47" i="5"/>
  <c r="H47" i="5"/>
  <c r="J47" i="5"/>
  <c r="K47" i="5"/>
  <c r="L47" i="5"/>
  <c r="M47" i="5"/>
  <c r="O47" i="5"/>
  <c r="P47" i="5"/>
  <c r="Q47" i="5"/>
  <c r="R47" i="5"/>
  <c r="T47" i="5"/>
  <c r="D48" i="5"/>
  <c r="I48" i="5"/>
  <c r="F48" i="5"/>
  <c r="G48" i="5"/>
  <c r="H48" i="5"/>
  <c r="J48" i="5"/>
  <c r="K48" i="5"/>
  <c r="L48" i="5"/>
  <c r="M48" i="5"/>
  <c r="O48" i="5"/>
  <c r="P48" i="5"/>
  <c r="Q48" i="5"/>
  <c r="R48" i="5"/>
  <c r="T48" i="5"/>
  <c r="D49" i="5"/>
  <c r="I49" i="5"/>
  <c r="F49" i="5"/>
  <c r="G49" i="5"/>
  <c r="H49" i="5"/>
  <c r="J49" i="5"/>
  <c r="K49" i="5"/>
  <c r="L49" i="5"/>
  <c r="M49" i="5"/>
  <c r="O49" i="5"/>
  <c r="P49" i="5"/>
  <c r="Q49" i="5"/>
  <c r="R49" i="5"/>
  <c r="T49" i="5"/>
  <c r="D50" i="5"/>
  <c r="I50" i="5"/>
  <c r="F50" i="5"/>
  <c r="G50" i="5"/>
  <c r="H50" i="5"/>
  <c r="J50" i="5"/>
  <c r="K50" i="5"/>
  <c r="L50" i="5"/>
  <c r="M50" i="5"/>
  <c r="O50" i="5"/>
  <c r="P50" i="5"/>
  <c r="Q50" i="5"/>
  <c r="R50" i="5"/>
  <c r="T50" i="5"/>
  <c r="D51" i="5"/>
  <c r="I51" i="5"/>
  <c r="F51" i="5"/>
  <c r="G51" i="5"/>
  <c r="H51" i="5"/>
  <c r="J51" i="5"/>
  <c r="K51" i="5"/>
  <c r="L51" i="5"/>
  <c r="M51" i="5"/>
  <c r="O51" i="5"/>
  <c r="P51" i="5"/>
  <c r="Q51" i="5"/>
  <c r="R51" i="5"/>
  <c r="T51" i="5"/>
  <c r="D52" i="5"/>
  <c r="I52" i="5"/>
  <c r="F52" i="5"/>
  <c r="G52" i="5"/>
  <c r="H52" i="5"/>
  <c r="J52" i="5"/>
  <c r="K52" i="5"/>
  <c r="L52" i="5"/>
  <c r="M52" i="5"/>
  <c r="O52" i="5"/>
  <c r="P52" i="5"/>
  <c r="Q52" i="5"/>
  <c r="R52" i="5"/>
  <c r="T52" i="5"/>
  <c r="D53" i="5"/>
  <c r="I53" i="5"/>
  <c r="F53" i="5"/>
  <c r="G53" i="5"/>
  <c r="H53" i="5"/>
  <c r="J53" i="5"/>
  <c r="K53" i="5"/>
  <c r="L53" i="5"/>
  <c r="M53" i="5"/>
  <c r="O53" i="5"/>
  <c r="P53" i="5"/>
  <c r="Q53" i="5"/>
  <c r="R53" i="5"/>
  <c r="T53" i="5"/>
  <c r="D54" i="5"/>
  <c r="I54" i="5"/>
  <c r="F54" i="5"/>
  <c r="G54" i="5"/>
  <c r="H54" i="5"/>
  <c r="J54" i="5"/>
  <c r="K54" i="5"/>
  <c r="L54" i="5"/>
  <c r="M54" i="5"/>
  <c r="O54" i="5"/>
  <c r="P54" i="5"/>
  <c r="Q54" i="5"/>
  <c r="R54" i="5"/>
  <c r="T54" i="5"/>
  <c r="D55" i="5"/>
  <c r="I55" i="5"/>
  <c r="F55" i="5"/>
  <c r="G55" i="5"/>
  <c r="H55" i="5"/>
  <c r="J55" i="5"/>
  <c r="K55" i="5"/>
  <c r="L55" i="5"/>
  <c r="M55" i="5"/>
  <c r="O55" i="5"/>
  <c r="P55" i="5"/>
  <c r="Q55" i="5"/>
  <c r="R55" i="5"/>
  <c r="T55" i="5"/>
  <c r="D56" i="5"/>
  <c r="I56" i="5"/>
  <c r="F56" i="5"/>
  <c r="G56" i="5"/>
  <c r="H56" i="5"/>
  <c r="J56" i="5"/>
  <c r="K56" i="5"/>
  <c r="L56" i="5"/>
  <c r="M56" i="5"/>
  <c r="O56" i="5"/>
  <c r="P56" i="5"/>
  <c r="Q56" i="5"/>
  <c r="R56" i="5"/>
  <c r="T56" i="5"/>
  <c r="D57" i="5"/>
  <c r="I57" i="5"/>
  <c r="F57" i="5"/>
  <c r="G57" i="5"/>
  <c r="H57" i="5"/>
  <c r="J57" i="5"/>
  <c r="K57" i="5"/>
  <c r="L57" i="5"/>
  <c r="M57" i="5"/>
  <c r="O57" i="5"/>
  <c r="P57" i="5"/>
  <c r="Q57" i="5"/>
  <c r="R57" i="5"/>
  <c r="T57" i="5"/>
  <c r="D58" i="5"/>
  <c r="I58" i="5"/>
  <c r="F58" i="5"/>
  <c r="G58" i="5"/>
  <c r="H58" i="5"/>
  <c r="J58" i="5"/>
  <c r="K58" i="5"/>
  <c r="L58" i="5"/>
  <c r="M58" i="5"/>
  <c r="O58" i="5"/>
  <c r="P58" i="5"/>
  <c r="Q58" i="5"/>
  <c r="R58" i="5"/>
  <c r="T58" i="5"/>
  <c r="D59" i="5"/>
  <c r="I59" i="5"/>
  <c r="F59" i="5"/>
  <c r="G59" i="5"/>
  <c r="H59" i="5"/>
  <c r="J59" i="5"/>
  <c r="K59" i="5"/>
  <c r="L59" i="5"/>
  <c r="M59" i="5"/>
  <c r="O59" i="5"/>
  <c r="P59" i="5"/>
  <c r="Q59" i="5"/>
  <c r="R59" i="5"/>
  <c r="T59" i="5"/>
  <c r="D60" i="5"/>
  <c r="I60" i="5"/>
  <c r="F60" i="5"/>
  <c r="G60" i="5"/>
  <c r="H60" i="5"/>
  <c r="J60" i="5"/>
  <c r="K60" i="5"/>
  <c r="L60" i="5"/>
  <c r="M60" i="5"/>
  <c r="O60" i="5"/>
  <c r="P60" i="5"/>
  <c r="Q60" i="5"/>
  <c r="R60" i="5"/>
  <c r="T60" i="5"/>
  <c r="D61" i="5"/>
  <c r="I61" i="5"/>
  <c r="F61" i="5"/>
  <c r="G61" i="5"/>
  <c r="H61" i="5"/>
  <c r="J61" i="5"/>
  <c r="K61" i="5"/>
  <c r="L61" i="5"/>
  <c r="M61" i="5"/>
  <c r="O61" i="5"/>
  <c r="P61" i="5"/>
  <c r="Q61" i="5"/>
  <c r="R61" i="5"/>
  <c r="T61" i="5"/>
  <c r="D62" i="5"/>
  <c r="I62" i="5"/>
  <c r="F62" i="5"/>
  <c r="G62" i="5"/>
  <c r="H62" i="5"/>
  <c r="J62" i="5"/>
  <c r="K62" i="5"/>
  <c r="L62" i="5"/>
  <c r="M62" i="5"/>
  <c r="O62" i="5"/>
  <c r="P62" i="5"/>
  <c r="Q62" i="5"/>
  <c r="R62" i="5"/>
  <c r="T62" i="5"/>
  <c r="D63" i="5"/>
  <c r="I63" i="5"/>
  <c r="F63" i="5"/>
  <c r="G63" i="5"/>
  <c r="H63" i="5"/>
  <c r="J63" i="5"/>
  <c r="K63" i="5"/>
  <c r="L63" i="5"/>
  <c r="M63" i="5"/>
  <c r="O63" i="5"/>
  <c r="P63" i="5"/>
  <c r="Q63" i="5"/>
  <c r="R63" i="5"/>
  <c r="T63" i="5"/>
  <c r="D64" i="5"/>
  <c r="I64" i="5"/>
  <c r="F64" i="5"/>
  <c r="G64" i="5"/>
  <c r="H64" i="5"/>
  <c r="J64" i="5"/>
  <c r="K64" i="5"/>
  <c r="L64" i="5"/>
  <c r="M64" i="5"/>
  <c r="O64" i="5"/>
  <c r="P64" i="5"/>
  <c r="Q64" i="5"/>
  <c r="R64" i="5"/>
  <c r="T64" i="5"/>
  <c r="D65" i="5"/>
  <c r="I65" i="5"/>
  <c r="F65" i="5"/>
  <c r="G65" i="5"/>
  <c r="H65" i="5"/>
  <c r="J65" i="5"/>
  <c r="K65" i="5"/>
  <c r="L65" i="5"/>
  <c r="M65" i="5"/>
  <c r="O65" i="5"/>
  <c r="P65" i="5"/>
  <c r="Q65" i="5"/>
  <c r="R65" i="5"/>
  <c r="T65" i="5"/>
  <c r="D66" i="5"/>
  <c r="I66" i="5"/>
  <c r="F66" i="5"/>
  <c r="G66" i="5"/>
  <c r="H66" i="5"/>
  <c r="J66" i="5"/>
  <c r="K66" i="5"/>
  <c r="L66" i="5"/>
  <c r="M66" i="5"/>
  <c r="O66" i="5"/>
  <c r="P66" i="5"/>
  <c r="Q66" i="5"/>
  <c r="R66" i="5"/>
  <c r="T66" i="5"/>
  <c r="D67" i="5"/>
  <c r="I67" i="5"/>
  <c r="F67" i="5"/>
  <c r="G67" i="5"/>
  <c r="H67" i="5"/>
  <c r="J67" i="5"/>
  <c r="K67" i="5"/>
  <c r="L67" i="5"/>
  <c r="M67" i="5"/>
  <c r="O67" i="5"/>
  <c r="P67" i="5"/>
  <c r="Q67" i="5"/>
  <c r="R67" i="5"/>
  <c r="T67" i="5"/>
  <c r="D68" i="5"/>
  <c r="I68" i="5"/>
  <c r="F68" i="5"/>
  <c r="G68" i="5"/>
  <c r="H68" i="5"/>
  <c r="J68" i="5"/>
  <c r="K68" i="5"/>
  <c r="L68" i="5"/>
  <c r="M68" i="5"/>
  <c r="O68" i="5"/>
  <c r="P68" i="5"/>
  <c r="Q68" i="5"/>
  <c r="R68" i="5"/>
  <c r="T68" i="5"/>
  <c r="D69" i="5"/>
  <c r="I69" i="5"/>
  <c r="F69" i="5"/>
  <c r="G69" i="5"/>
  <c r="H69" i="5"/>
  <c r="J69" i="5"/>
  <c r="K69" i="5"/>
  <c r="L69" i="5"/>
  <c r="M69" i="5"/>
  <c r="O69" i="5"/>
  <c r="P69" i="5"/>
  <c r="Q69" i="5"/>
  <c r="R69" i="5"/>
  <c r="T69" i="5"/>
  <c r="D70" i="5"/>
  <c r="I70" i="5"/>
  <c r="F70" i="5"/>
  <c r="G70" i="5"/>
  <c r="H70" i="5"/>
  <c r="J70" i="5"/>
  <c r="K70" i="5"/>
  <c r="L70" i="5"/>
  <c r="M70" i="5"/>
  <c r="O70" i="5"/>
  <c r="P70" i="5"/>
  <c r="Q70" i="5"/>
  <c r="R70" i="5"/>
  <c r="T70" i="5"/>
  <c r="D71" i="5"/>
  <c r="I71" i="5"/>
  <c r="F71" i="5"/>
  <c r="G71" i="5"/>
  <c r="H71" i="5"/>
  <c r="J71" i="5"/>
  <c r="K71" i="5"/>
  <c r="L71" i="5"/>
  <c r="M71" i="5"/>
  <c r="O71" i="5"/>
  <c r="P71" i="5"/>
  <c r="Q71" i="5"/>
  <c r="R71" i="5"/>
  <c r="T71" i="5"/>
  <c r="D72" i="5"/>
  <c r="I72" i="5"/>
  <c r="F72" i="5"/>
  <c r="G72" i="5"/>
  <c r="H72" i="5"/>
  <c r="J72" i="5"/>
  <c r="K72" i="5"/>
  <c r="L72" i="5"/>
  <c r="M72" i="5"/>
  <c r="O72" i="5"/>
  <c r="P72" i="5"/>
  <c r="Q72" i="5"/>
  <c r="R72" i="5"/>
  <c r="T72" i="5"/>
  <c r="D73" i="5"/>
  <c r="I73" i="5"/>
  <c r="F73" i="5"/>
  <c r="G73" i="5"/>
  <c r="H73" i="5"/>
  <c r="J73" i="5"/>
  <c r="K73" i="5"/>
  <c r="L73" i="5"/>
  <c r="M73" i="5"/>
  <c r="O73" i="5"/>
  <c r="P73" i="5"/>
  <c r="Q73" i="5"/>
  <c r="R73" i="5"/>
  <c r="T73" i="5"/>
  <c r="D74" i="5"/>
  <c r="I74" i="5"/>
  <c r="F74" i="5"/>
  <c r="G74" i="5"/>
  <c r="H74" i="5"/>
  <c r="J74" i="5"/>
  <c r="K74" i="5"/>
  <c r="L74" i="5"/>
  <c r="M74" i="5"/>
  <c r="O74" i="5"/>
  <c r="P74" i="5"/>
  <c r="Q74" i="5"/>
  <c r="R74" i="5"/>
  <c r="T74" i="5"/>
  <c r="D75" i="5"/>
  <c r="I75" i="5"/>
  <c r="F75" i="5"/>
  <c r="G75" i="5"/>
  <c r="H75" i="5"/>
  <c r="J75" i="5"/>
  <c r="K75" i="5"/>
  <c r="L75" i="5"/>
  <c r="M75" i="5"/>
  <c r="O75" i="5"/>
  <c r="P75" i="5"/>
  <c r="Q75" i="5"/>
  <c r="R75" i="5"/>
  <c r="T75" i="5"/>
  <c r="D76" i="5"/>
  <c r="I76" i="5"/>
  <c r="F76" i="5"/>
  <c r="G76" i="5"/>
  <c r="H76" i="5"/>
  <c r="J76" i="5"/>
  <c r="K76" i="5"/>
  <c r="L76" i="5"/>
  <c r="M76" i="5"/>
  <c r="O76" i="5"/>
  <c r="P76" i="5"/>
  <c r="Q76" i="5"/>
  <c r="R76" i="5"/>
  <c r="T76" i="5"/>
  <c r="D77" i="5"/>
  <c r="I77" i="5"/>
  <c r="F77" i="5"/>
  <c r="G77" i="5"/>
  <c r="H77" i="5"/>
  <c r="J77" i="5"/>
  <c r="K77" i="5"/>
  <c r="L77" i="5"/>
  <c r="M77" i="5"/>
  <c r="O77" i="5"/>
  <c r="P77" i="5"/>
  <c r="Q77" i="5"/>
  <c r="R77" i="5"/>
  <c r="T77" i="5"/>
  <c r="D78" i="5"/>
  <c r="I78" i="5"/>
  <c r="F78" i="5"/>
  <c r="G78" i="5"/>
  <c r="H78" i="5"/>
  <c r="J78" i="5"/>
  <c r="K78" i="5"/>
  <c r="L78" i="5"/>
  <c r="M78" i="5"/>
  <c r="O78" i="5"/>
  <c r="P78" i="5"/>
  <c r="Q78" i="5"/>
  <c r="R78" i="5"/>
  <c r="T78" i="5"/>
  <c r="D79" i="5"/>
  <c r="I79" i="5"/>
  <c r="F79" i="5"/>
  <c r="G79" i="5"/>
  <c r="H79" i="5"/>
  <c r="J79" i="5"/>
  <c r="K79" i="5"/>
  <c r="L79" i="5"/>
  <c r="M79" i="5"/>
  <c r="O79" i="5"/>
  <c r="P79" i="5"/>
  <c r="Q79" i="5"/>
  <c r="R79" i="5"/>
  <c r="T79" i="5"/>
  <c r="D80" i="5"/>
  <c r="I80" i="5"/>
  <c r="F80" i="5"/>
  <c r="G80" i="5"/>
  <c r="H80" i="5"/>
  <c r="J80" i="5"/>
  <c r="K80" i="5"/>
  <c r="L80" i="5"/>
  <c r="M80" i="5"/>
  <c r="O80" i="5"/>
  <c r="P80" i="5"/>
  <c r="Q80" i="5"/>
  <c r="R80" i="5"/>
  <c r="T80" i="5"/>
  <c r="D81" i="5"/>
  <c r="I81" i="5"/>
  <c r="F81" i="5"/>
  <c r="G81" i="5"/>
  <c r="H81" i="5"/>
  <c r="J81" i="5"/>
  <c r="K81" i="5"/>
  <c r="L81" i="5"/>
  <c r="M81" i="5"/>
  <c r="O81" i="5"/>
  <c r="P81" i="5"/>
  <c r="Q81" i="5"/>
  <c r="R81" i="5"/>
  <c r="T81" i="5"/>
  <c r="D82" i="5"/>
  <c r="I82" i="5"/>
  <c r="F82" i="5"/>
  <c r="G82" i="5"/>
  <c r="H82" i="5"/>
  <c r="J82" i="5"/>
  <c r="K82" i="5"/>
  <c r="L82" i="5"/>
  <c r="M82" i="5"/>
  <c r="O82" i="5"/>
  <c r="P82" i="5"/>
  <c r="Q82" i="5"/>
  <c r="R82" i="5"/>
  <c r="T82" i="5"/>
  <c r="D83" i="5"/>
  <c r="I83" i="5"/>
  <c r="F83" i="5"/>
  <c r="G83" i="5"/>
  <c r="H83" i="5"/>
  <c r="J83" i="5"/>
  <c r="K83" i="5"/>
  <c r="L83" i="5"/>
  <c r="M83" i="5"/>
  <c r="O83" i="5"/>
  <c r="P83" i="5"/>
  <c r="Q83" i="5"/>
  <c r="R83" i="5"/>
  <c r="T83" i="5"/>
  <c r="D84" i="5"/>
  <c r="I84" i="5"/>
  <c r="F84" i="5"/>
  <c r="G84" i="5"/>
  <c r="H84" i="5"/>
  <c r="J84" i="5"/>
  <c r="K84" i="5"/>
  <c r="L84" i="5"/>
  <c r="M84" i="5"/>
  <c r="O84" i="5"/>
  <c r="P84" i="5"/>
  <c r="Q84" i="5"/>
  <c r="R84" i="5"/>
  <c r="T84" i="5"/>
  <c r="D85" i="5"/>
  <c r="I85" i="5"/>
  <c r="F85" i="5"/>
  <c r="G85" i="5"/>
  <c r="H85" i="5"/>
  <c r="J85" i="5"/>
  <c r="K85" i="5"/>
  <c r="L85" i="5"/>
  <c r="M85" i="5"/>
  <c r="O85" i="5"/>
  <c r="P85" i="5"/>
  <c r="Q85" i="5"/>
  <c r="R85" i="5"/>
  <c r="T85" i="5"/>
  <c r="D86" i="5"/>
  <c r="I86" i="5"/>
  <c r="F86" i="5"/>
  <c r="G86" i="5"/>
  <c r="H86" i="5"/>
  <c r="J86" i="5"/>
  <c r="K86" i="5"/>
  <c r="L86" i="5"/>
  <c r="M86" i="5"/>
  <c r="O86" i="5"/>
  <c r="P86" i="5"/>
  <c r="Q86" i="5"/>
  <c r="R86" i="5"/>
  <c r="T86" i="5"/>
  <c r="D87" i="5"/>
  <c r="I87" i="5"/>
  <c r="F87" i="5"/>
  <c r="G87" i="5"/>
  <c r="H87" i="5"/>
  <c r="J87" i="5"/>
  <c r="K87" i="5"/>
  <c r="L87" i="5"/>
  <c r="M87" i="5"/>
  <c r="O87" i="5"/>
  <c r="P87" i="5"/>
  <c r="Q87" i="5"/>
  <c r="R87" i="5"/>
  <c r="T87" i="5"/>
  <c r="D88" i="5"/>
  <c r="I88" i="5"/>
  <c r="F88" i="5"/>
  <c r="G88" i="5"/>
  <c r="H88" i="5"/>
  <c r="J88" i="5"/>
  <c r="K88" i="5"/>
  <c r="L88" i="5"/>
  <c r="M88" i="5"/>
  <c r="O88" i="5"/>
  <c r="P88" i="5"/>
  <c r="Q88" i="5"/>
  <c r="R88" i="5"/>
  <c r="T88" i="5"/>
  <c r="D89" i="5"/>
  <c r="I89" i="5"/>
  <c r="F89" i="5"/>
  <c r="G89" i="5"/>
  <c r="H89" i="5"/>
  <c r="J89" i="5"/>
  <c r="K89" i="5"/>
  <c r="L89" i="5"/>
  <c r="M89" i="5"/>
  <c r="O89" i="5"/>
  <c r="P89" i="5"/>
  <c r="Q89" i="5"/>
  <c r="R89" i="5"/>
  <c r="T89" i="5"/>
  <c r="D90" i="5"/>
  <c r="I90" i="5"/>
  <c r="F90" i="5"/>
  <c r="G90" i="5"/>
  <c r="H90" i="5"/>
  <c r="J90" i="5"/>
  <c r="K90" i="5"/>
  <c r="L90" i="5"/>
  <c r="M90" i="5"/>
  <c r="O90" i="5"/>
  <c r="P90" i="5"/>
  <c r="Q90" i="5"/>
  <c r="R90" i="5"/>
  <c r="T90" i="5"/>
  <c r="D91" i="5"/>
  <c r="I91" i="5"/>
  <c r="F91" i="5"/>
  <c r="G91" i="5"/>
  <c r="H91" i="5"/>
  <c r="J91" i="5"/>
  <c r="K91" i="5"/>
  <c r="L91" i="5"/>
  <c r="M91" i="5"/>
  <c r="O91" i="5"/>
  <c r="P91" i="5"/>
  <c r="Q91" i="5"/>
  <c r="R91" i="5"/>
  <c r="T91" i="5"/>
  <c r="D92" i="5"/>
  <c r="I92" i="5"/>
  <c r="F92" i="5"/>
  <c r="G92" i="5"/>
  <c r="H92" i="5"/>
  <c r="J92" i="5"/>
  <c r="K92" i="5"/>
  <c r="L92" i="5"/>
  <c r="M92" i="5"/>
  <c r="O92" i="5"/>
  <c r="P92" i="5"/>
  <c r="Q92" i="5"/>
  <c r="R92" i="5"/>
  <c r="T92" i="5"/>
  <c r="D93" i="5"/>
  <c r="I93" i="5"/>
  <c r="F93" i="5"/>
  <c r="G93" i="5"/>
  <c r="H93" i="5"/>
  <c r="J93" i="5"/>
  <c r="K93" i="5"/>
  <c r="L93" i="5"/>
  <c r="M93" i="5"/>
  <c r="O93" i="5"/>
  <c r="P93" i="5"/>
  <c r="Q93" i="5"/>
  <c r="R93" i="5"/>
  <c r="T93" i="5"/>
  <c r="D94" i="5"/>
  <c r="I94" i="5"/>
  <c r="F94" i="5"/>
  <c r="G94" i="5"/>
  <c r="H94" i="5"/>
  <c r="J94" i="5"/>
  <c r="K94" i="5"/>
  <c r="L94" i="5"/>
  <c r="M94" i="5"/>
  <c r="O94" i="5"/>
  <c r="P94" i="5"/>
  <c r="Q94" i="5"/>
  <c r="R94" i="5"/>
  <c r="T94" i="5"/>
  <c r="D95" i="5"/>
  <c r="I95" i="5"/>
  <c r="F95" i="5"/>
  <c r="G95" i="5"/>
  <c r="H95" i="5"/>
  <c r="J95" i="5"/>
  <c r="K95" i="5"/>
  <c r="L95" i="5"/>
  <c r="M95" i="5"/>
  <c r="O95" i="5"/>
  <c r="P95" i="5"/>
  <c r="Q95" i="5"/>
  <c r="R95" i="5"/>
  <c r="T95" i="5"/>
  <c r="D96" i="5"/>
  <c r="I96" i="5"/>
  <c r="F96" i="5"/>
  <c r="G96" i="5"/>
  <c r="H96" i="5"/>
  <c r="J96" i="5"/>
  <c r="K96" i="5"/>
  <c r="L96" i="5"/>
  <c r="M96" i="5"/>
  <c r="O96" i="5"/>
  <c r="P96" i="5"/>
  <c r="Q96" i="5"/>
  <c r="R96" i="5"/>
  <c r="T96" i="5"/>
  <c r="D97" i="5"/>
  <c r="I97" i="5"/>
  <c r="F97" i="5"/>
  <c r="G97" i="5"/>
  <c r="H97" i="5"/>
  <c r="J97" i="5"/>
  <c r="K97" i="5"/>
  <c r="L97" i="5"/>
  <c r="M97" i="5"/>
  <c r="O97" i="5"/>
  <c r="P97" i="5"/>
  <c r="Q97" i="5"/>
  <c r="R97" i="5"/>
  <c r="T97" i="5"/>
  <c r="D98" i="5"/>
  <c r="I98" i="5"/>
  <c r="F98" i="5"/>
  <c r="G98" i="5"/>
  <c r="H98" i="5"/>
  <c r="J98" i="5"/>
  <c r="K98" i="5"/>
  <c r="L98" i="5"/>
  <c r="M98" i="5"/>
  <c r="O98" i="5"/>
  <c r="P98" i="5"/>
  <c r="Q98" i="5"/>
  <c r="R98" i="5"/>
  <c r="T98" i="5"/>
  <c r="D99" i="5"/>
  <c r="I99" i="5"/>
  <c r="F99" i="5"/>
  <c r="G99" i="5"/>
  <c r="H99" i="5"/>
  <c r="J99" i="5"/>
  <c r="K99" i="5"/>
  <c r="L99" i="5"/>
  <c r="M99" i="5"/>
  <c r="O99" i="5"/>
  <c r="P99" i="5"/>
  <c r="Q99" i="5"/>
  <c r="R99" i="5"/>
  <c r="T99" i="5"/>
  <c r="D100" i="5"/>
  <c r="I100" i="5"/>
  <c r="F100" i="5"/>
  <c r="G100" i="5"/>
  <c r="H100" i="5"/>
  <c r="J100" i="5"/>
  <c r="K100" i="5"/>
  <c r="L100" i="5"/>
  <c r="M100" i="5"/>
  <c r="O100" i="5"/>
  <c r="P100" i="5"/>
  <c r="Q100" i="5"/>
  <c r="R100" i="5"/>
  <c r="T100" i="5"/>
  <c r="D101" i="5"/>
  <c r="I101" i="5"/>
  <c r="F101" i="5"/>
  <c r="G101" i="5"/>
  <c r="H101" i="5"/>
  <c r="J101" i="5"/>
  <c r="K101" i="5"/>
  <c r="L101" i="5"/>
  <c r="M101" i="5"/>
  <c r="O101" i="5"/>
  <c r="P101" i="5"/>
  <c r="Q101" i="5"/>
  <c r="R101" i="5"/>
  <c r="T101" i="5"/>
  <c r="D102" i="5"/>
  <c r="I102" i="5"/>
  <c r="F102" i="5"/>
  <c r="G102" i="5"/>
  <c r="H102" i="5"/>
  <c r="J102" i="5"/>
  <c r="K102" i="5"/>
  <c r="L102" i="5"/>
  <c r="M102" i="5"/>
  <c r="O102" i="5"/>
  <c r="P102" i="5"/>
  <c r="Q102" i="5"/>
  <c r="R102" i="5"/>
  <c r="T102" i="5"/>
  <c r="D103" i="5"/>
  <c r="I103" i="5"/>
  <c r="F103" i="5"/>
  <c r="G103" i="5"/>
  <c r="H103" i="5"/>
  <c r="J103" i="5"/>
  <c r="K103" i="5"/>
  <c r="L103" i="5"/>
  <c r="M103" i="5"/>
  <c r="O103" i="5"/>
  <c r="P103" i="5"/>
  <c r="Q103" i="5"/>
  <c r="R103" i="5"/>
  <c r="T103" i="5"/>
  <c r="D104" i="5"/>
  <c r="I104" i="5"/>
  <c r="F104" i="5"/>
  <c r="G104" i="5"/>
  <c r="H104" i="5"/>
  <c r="J104" i="5"/>
  <c r="K104" i="5"/>
  <c r="L104" i="5"/>
  <c r="M104" i="5"/>
  <c r="O104" i="5"/>
  <c r="P104" i="5"/>
  <c r="Q104" i="5"/>
  <c r="R104" i="5"/>
  <c r="T104" i="5"/>
  <c r="D105" i="5"/>
  <c r="I105" i="5"/>
  <c r="F105" i="5"/>
  <c r="G105" i="5"/>
  <c r="H105" i="5"/>
  <c r="J105" i="5"/>
  <c r="K105" i="5"/>
  <c r="L105" i="5"/>
  <c r="M105" i="5"/>
  <c r="O105" i="5"/>
  <c r="P105" i="5"/>
  <c r="Q105" i="5"/>
  <c r="R105" i="5"/>
  <c r="T105" i="5"/>
  <c r="D106" i="5"/>
  <c r="I106" i="5"/>
  <c r="F106" i="5"/>
  <c r="G106" i="5"/>
  <c r="H106" i="5"/>
  <c r="J106" i="5"/>
  <c r="K106" i="5"/>
  <c r="L106" i="5"/>
  <c r="M106" i="5"/>
  <c r="O106" i="5"/>
  <c r="P106" i="5"/>
  <c r="Q106" i="5"/>
  <c r="R106" i="5"/>
  <c r="T106" i="5"/>
  <c r="D107" i="5"/>
  <c r="I107" i="5"/>
  <c r="F107" i="5"/>
  <c r="G107" i="5"/>
  <c r="H107" i="5"/>
  <c r="J107" i="5"/>
  <c r="K107" i="5"/>
  <c r="L107" i="5"/>
  <c r="M107" i="5"/>
  <c r="O107" i="5"/>
  <c r="P107" i="5"/>
  <c r="Q107" i="5"/>
  <c r="R107" i="5"/>
  <c r="T107" i="5"/>
  <c r="D108" i="5"/>
  <c r="I108" i="5"/>
  <c r="F108" i="5"/>
  <c r="G108" i="5"/>
  <c r="H108" i="5"/>
  <c r="J108" i="5"/>
  <c r="K108" i="5"/>
  <c r="L108" i="5"/>
  <c r="M108" i="5"/>
  <c r="O108" i="5"/>
  <c r="P108" i="5"/>
  <c r="Q108" i="5"/>
  <c r="R108" i="5"/>
  <c r="T108" i="5"/>
  <c r="D109" i="5"/>
  <c r="I109" i="5"/>
  <c r="F109" i="5"/>
  <c r="G109" i="5"/>
  <c r="H109" i="5"/>
  <c r="J109" i="5"/>
  <c r="K109" i="5"/>
  <c r="L109" i="5"/>
  <c r="M109" i="5"/>
  <c r="O109" i="5"/>
  <c r="P109" i="5"/>
  <c r="Q109" i="5"/>
  <c r="R109" i="5"/>
  <c r="T109" i="5"/>
  <c r="D110" i="5"/>
  <c r="I110" i="5"/>
  <c r="F110" i="5"/>
  <c r="G110" i="5"/>
  <c r="H110" i="5"/>
  <c r="J110" i="5"/>
  <c r="K110" i="5"/>
  <c r="L110" i="5"/>
  <c r="M110" i="5"/>
  <c r="O110" i="5"/>
  <c r="P110" i="5"/>
  <c r="Q110" i="5"/>
  <c r="R110" i="5"/>
  <c r="T110" i="5"/>
  <c r="D111" i="5"/>
  <c r="I111" i="5"/>
  <c r="F111" i="5"/>
  <c r="G111" i="5"/>
  <c r="H111" i="5"/>
  <c r="J111" i="5"/>
  <c r="K111" i="5"/>
  <c r="L111" i="5"/>
  <c r="M111" i="5"/>
  <c r="O111" i="5"/>
  <c r="P111" i="5"/>
  <c r="Q111" i="5"/>
  <c r="R111" i="5"/>
  <c r="T111" i="5"/>
  <c r="D112" i="5"/>
  <c r="I112" i="5"/>
  <c r="F112" i="5"/>
  <c r="G112" i="5"/>
  <c r="H112" i="5"/>
  <c r="J112" i="5"/>
  <c r="K112" i="5"/>
  <c r="L112" i="5"/>
  <c r="M112" i="5"/>
  <c r="O112" i="5"/>
  <c r="P112" i="5"/>
  <c r="Q112" i="5"/>
  <c r="R112" i="5"/>
  <c r="T112" i="5"/>
  <c r="D113" i="5"/>
  <c r="I113" i="5"/>
  <c r="F113" i="5"/>
  <c r="G113" i="5"/>
  <c r="H113" i="5"/>
  <c r="J113" i="5"/>
  <c r="K113" i="5"/>
  <c r="L113" i="5"/>
  <c r="M113" i="5"/>
  <c r="O113" i="5"/>
  <c r="P113" i="5"/>
  <c r="Q113" i="5"/>
  <c r="R113" i="5"/>
  <c r="T113" i="5"/>
  <c r="D114" i="5"/>
  <c r="I114" i="5"/>
  <c r="F114" i="5"/>
  <c r="G114" i="5"/>
  <c r="H114" i="5"/>
  <c r="J114" i="5"/>
  <c r="K114" i="5"/>
  <c r="L114" i="5"/>
  <c r="M114" i="5"/>
  <c r="O114" i="5"/>
  <c r="P114" i="5"/>
  <c r="Q114" i="5"/>
  <c r="R114" i="5"/>
  <c r="T114" i="5"/>
  <c r="D115" i="5"/>
  <c r="I115" i="5"/>
  <c r="F115" i="5"/>
  <c r="G115" i="5"/>
  <c r="H115" i="5"/>
  <c r="J115" i="5"/>
  <c r="K115" i="5"/>
  <c r="L115" i="5"/>
  <c r="M115" i="5"/>
  <c r="O115" i="5"/>
  <c r="P115" i="5"/>
  <c r="Q115" i="5"/>
  <c r="R115" i="5"/>
  <c r="T115" i="5"/>
  <c r="D116" i="5"/>
  <c r="I116" i="5"/>
  <c r="F116" i="5"/>
  <c r="G116" i="5"/>
  <c r="H116" i="5"/>
  <c r="J116" i="5"/>
  <c r="K116" i="5"/>
  <c r="L116" i="5"/>
  <c r="M116" i="5"/>
  <c r="O116" i="5"/>
  <c r="P116" i="5"/>
  <c r="Q116" i="5"/>
  <c r="R116" i="5"/>
  <c r="T116" i="5"/>
  <c r="D117" i="5"/>
  <c r="I117" i="5"/>
  <c r="F117" i="5"/>
  <c r="G117" i="5"/>
  <c r="H117" i="5"/>
  <c r="J117" i="5"/>
  <c r="K117" i="5"/>
  <c r="L117" i="5"/>
  <c r="M117" i="5"/>
  <c r="O117" i="5"/>
  <c r="P117" i="5"/>
  <c r="Q117" i="5"/>
  <c r="R117" i="5"/>
  <c r="T117" i="5"/>
  <c r="D118" i="5"/>
  <c r="I118" i="5"/>
  <c r="F118" i="5"/>
  <c r="G118" i="5"/>
  <c r="H118" i="5"/>
  <c r="J118" i="5"/>
  <c r="K118" i="5"/>
  <c r="L118" i="5"/>
  <c r="M118" i="5"/>
  <c r="O118" i="5"/>
  <c r="P118" i="5"/>
  <c r="Q118" i="5"/>
  <c r="R118" i="5"/>
  <c r="T118" i="5"/>
  <c r="D119" i="5"/>
  <c r="I119" i="5"/>
  <c r="F119" i="5"/>
  <c r="G119" i="5"/>
  <c r="H119" i="5"/>
  <c r="J119" i="5"/>
  <c r="K119" i="5"/>
  <c r="L119" i="5"/>
  <c r="M119" i="5"/>
  <c r="O119" i="5"/>
  <c r="P119" i="5"/>
  <c r="Q119" i="5"/>
  <c r="R119" i="5"/>
  <c r="T119" i="5"/>
  <c r="D120" i="5"/>
  <c r="I120" i="5"/>
  <c r="F120" i="5"/>
  <c r="G120" i="5"/>
  <c r="H120" i="5"/>
  <c r="J120" i="5"/>
  <c r="K120" i="5"/>
  <c r="L120" i="5"/>
  <c r="M120" i="5"/>
  <c r="O120" i="5"/>
  <c r="P120" i="5"/>
  <c r="Q120" i="5"/>
  <c r="R120" i="5"/>
  <c r="T120" i="5"/>
  <c r="D121" i="5"/>
  <c r="I121" i="5"/>
  <c r="F121" i="5"/>
  <c r="G121" i="5"/>
  <c r="H121" i="5"/>
  <c r="J121" i="5"/>
  <c r="K121" i="5"/>
  <c r="L121" i="5"/>
  <c r="M121" i="5"/>
  <c r="O121" i="5"/>
  <c r="P121" i="5"/>
  <c r="Q121" i="5"/>
  <c r="R121" i="5"/>
  <c r="T121" i="5"/>
  <c r="D122" i="5"/>
  <c r="I122" i="5"/>
  <c r="F122" i="5"/>
  <c r="G122" i="5"/>
  <c r="H122" i="5"/>
  <c r="J122" i="5"/>
  <c r="K122" i="5"/>
  <c r="L122" i="5"/>
  <c r="M122" i="5"/>
  <c r="O122" i="5"/>
  <c r="P122" i="5"/>
  <c r="Q122" i="5"/>
  <c r="R122" i="5"/>
  <c r="T122" i="5"/>
  <c r="D123" i="5"/>
  <c r="I123" i="5"/>
  <c r="F123" i="5"/>
  <c r="G123" i="5"/>
  <c r="H123" i="5"/>
  <c r="J123" i="5"/>
  <c r="K123" i="5"/>
  <c r="L123" i="5"/>
  <c r="M123" i="5"/>
  <c r="O123" i="5"/>
  <c r="P123" i="5"/>
  <c r="Q123" i="5"/>
  <c r="R123" i="5"/>
  <c r="T123" i="5"/>
  <c r="D124" i="5"/>
  <c r="I124" i="5"/>
  <c r="F124" i="5"/>
  <c r="G124" i="5"/>
  <c r="H124" i="5"/>
  <c r="J124" i="5"/>
  <c r="K124" i="5"/>
  <c r="L124" i="5"/>
  <c r="M124" i="5"/>
  <c r="O124" i="5"/>
  <c r="P124" i="5"/>
  <c r="Q124" i="5"/>
  <c r="R124" i="5"/>
  <c r="T124" i="5"/>
  <c r="D125" i="5"/>
  <c r="I125" i="5"/>
  <c r="F125" i="5"/>
  <c r="G125" i="5"/>
  <c r="H125" i="5"/>
  <c r="J125" i="5"/>
  <c r="K125" i="5"/>
  <c r="L125" i="5"/>
  <c r="M125" i="5"/>
  <c r="O125" i="5"/>
  <c r="P125" i="5"/>
  <c r="Q125" i="5"/>
  <c r="R125" i="5"/>
  <c r="T125" i="5"/>
  <c r="D126" i="5"/>
  <c r="I126" i="5"/>
  <c r="F126" i="5"/>
  <c r="G126" i="5"/>
  <c r="H126" i="5"/>
  <c r="J126" i="5"/>
  <c r="K126" i="5"/>
  <c r="L126" i="5"/>
  <c r="M126" i="5"/>
  <c r="O126" i="5"/>
  <c r="P126" i="5"/>
  <c r="Q126" i="5"/>
  <c r="R126" i="5"/>
  <c r="T126" i="5"/>
  <c r="D127" i="5"/>
  <c r="I127" i="5"/>
  <c r="F127" i="5"/>
  <c r="G127" i="5"/>
  <c r="H127" i="5"/>
  <c r="J127" i="5"/>
  <c r="K127" i="5"/>
  <c r="L127" i="5"/>
  <c r="M127" i="5"/>
  <c r="O127" i="5"/>
  <c r="P127" i="5"/>
  <c r="Q127" i="5"/>
  <c r="R127" i="5"/>
  <c r="T127" i="5"/>
  <c r="D128" i="5"/>
  <c r="I128" i="5"/>
  <c r="F128" i="5"/>
  <c r="G128" i="5"/>
  <c r="H128" i="5"/>
  <c r="J128" i="5"/>
  <c r="K128" i="5"/>
  <c r="L128" i="5"/>
  <c r="M128" i="5"/>
  <c r="O128" i="5"/>
  <c r="P128" i="5"/>
  <c r="Q128" i="5"/>
  <c r="R128" i="5"/>
  <c r="T128" i="5"/>
  <c r="D129" i="5"/>
  <c r="I129" i="5"/>
  <c r="F129" i="5"/>
  <c r="G129" i="5"/>
  <c r="H129" i="5"/>
  <c r="J129" i="5"/>
  <c r="K129" i="5"/>
  <c r="L129" i="5"/>
  <c r="M129" i="5"/>
  <c r="O129" i="5"/>
  <c r="P129" i="5"/>
  <c r="Q129" i="5"/>
  <c r="R129" i="5"/>
  <c r="T129" i="5"/>
  <c r="D130" i="5"/>
  <c r="I130" i="5"/>
  <c r="F130" i="5"/>
  <c r="G130" i="5"/>
  <c r="H130" i="5"/>
  <c r="J130" i="5"/>
  <c r="K130" i="5"/>
  <c r="L130" i="5"/>
  <c r="M130" i="5"/>
  <c r="O130" i="5"/>
  <c r="P130" i="5"/>
  <c r="Q130" i="5"/>
  <c r="R130" i="5"/>
  <c r="T130" i="5"/>
  <c r="D131" i="5"/>
  <c r="I131" i="5"/>
  <c r="F131" i="5"/>
  <c r="G131" i="5"/>
  <c r="H131" i="5"/>
  <c r="J131" i="5"/>
  <c r="K131" i="5"/>
  <c r="L131" i="5"/>
  <c r="M131" i="5"/>
  <c r="O131" i="5"/>
  <c r="P131" i="5"/>
  <c r="Q131" i="5"/>
  <c r="R131" i="5"/>
  <c r="T131" i="5"/>
  <c r="D132" i="5"/>
  <c r="I132" i="5"/>
  <c r="F132" i="5"/>
  <c r="G132" i="5"/>
  <c r="H132" i="5"/>
  <c r="J132" i="5"/>
  <c r="K132" i="5"/>
  <c r="L132" i="5"/>
  <c r="M132" i="5"/>
  <c r="O132" i="5"/>
  <c r="P132" i="5"/>
  <c r="Q132" i="5"/>
  <c r="R132" i="5"/>
  <c r="T132" i="5"/>
  <c r="D133" i="5"/>
  <c r="I133" i="5"/>
  <c r="F133" i="5"/>
  <c r="G133" i="5"/>
  <c r="H133" i="5"/>
  <c r="J133" i="5"/>
  <c r="K133" i="5"/>
  <c r="L133" i="5"/>
  <c r="M133" i="5"/>
  <c r="O133" i="5"/>
  <c r="P133" i="5"/>
  <c r="Q133" i="5"/>
  <c r="R133" i="5"/>
  <c r="T133" i="5"/>
  <c r="D134" i="5"/>
  <c r="I134" i="5"/>
  <c r="F134" i="5"/>
  <c r="G134" i="5"/>
  <c r="H134" i="5"/>
  <c r="J134" i="5"/>
  <c r="K134" i="5"/>
  <c r="L134" i="5"/>
  <c r="M134" i="5"/>
  <c r="O134" i="5"/>
  <c r="P134" i="5"/>
  <c r="Q134" i="5"/>
  <c r="R134" i="5"/>
  <c r="T134" i="5"/>
  <c r="D135" i="5"/>
  <c r="I135" i="5"/>
  <c r="F135" i="5"/>
  <c r="G135" i="5"/>
  <c r="H135" i="5"/>
  <c r="J135" i="5"/>
  <c r="K135" i="5"/>
  <c r="L135" i="5"/>
  <c r="M135" i="5"/>
  <c r="O135" i="5"/>
  <c r="P135" i="5"/>
  <c r="Q135" i="5"/>
  <c r="R135" i="5"/>
  <c r="T135" i="5"/>
  <c r="D136" i="5"/>
  <c r="I136" i="5"/>
  <c r="F136" i="5"/>
  <c r="G136" i="5"/>
  <c r="H136" i="5"/>
  <c r="J136" i="5"/>
  <c r="K136" i="5"/>
  <c r="L136" i="5"/>
  <c r="M136" i="5"/>
  <c r="O136" i="5"/>
  <c r="P136" i="5"/>
  <c r="Q136" i="5"/>
  <c r="R136" i="5"/>
  <c r="T136" i="5"/>
  <c r="D137" i="5"/>
  <c r="I137" i="5"/>
  <c r="F137" i="5"/>
  <c r="G137" i="5"/>
  <c r="H137" i="5"/>
  <c r="J137" i="5"/>
  <c r="K137" i="5"/>
  <c r="L137" i="5"/>
  <c r="M137" i="5"/>
  <c r="O137" i="5"/>
  <c r="P137" i="5"/>
  <c r="Q137" i="5"/>
  <c r="R137" i="5"/>
  <c r="T137" i="5"/>
  <c r="D138" i="5"/>
  <c r="I138" i="5"/>
  <c r="F138" i="5"/>
  <c r="G138" i="5"/>
  <c r="H138" i="5"/>
  <c r="J138" i="5"/>
  <c r="K138" i="5"/>
  <c r="L138" i="5"/>
  <c r="M138" i="5"/>
  <c r="O138" i="5"/>
  <c r="P138" i="5"/>
  <c r="Q138" i="5"/>
  <c r="R138" i="5"/>
  <c r="T138" i="5"/>
  <c r="D139" i="5"/>
  <c r="I139" i="5"/>
  <c r="F139" i="5"/>
  <c r="G139" i="5"/>
  <c r="H139" i="5"/>
  <c r="J139" i="5"/>
  <c r="K139" i="5"/>
  <c r="L139" i="5"/>
  <c r="M139" i="5"/>
  <c r="O139" i="5"/>
  <c r="P139" i="5"/>
  <c r="Q139" i="5"/>
  <c r="R139" i="5"/>
  <c r="T139" i="5"/>
  <c r="D140" i="5"/>
  <c r="I140" i="5"/>
  <c r="F140" i="5"/>
  <c r="G140" i="5"/>
  <c r="H140" i="5"/>
  <c r="J140" i="5"/>
  <c r="K140" i="5"/>
  <c r="L140" i="5"/>
  <c r="M140" i="5"/>
  <c r="O140" i="5"/>
  <c r="P140" i="5"/>
  <c r="Q140" i="5"/>
  <c r="R140" i="5"/>
  <c r="S140" i="5" s="1"/>
  <c r="T140" i="5"/>
  <c r="D141" i="5"/>
  <c r="I141" i="5"/>
  <c r="F141" i="5"/>
  <c r="G141" i="5"/>
  <c r="H141" i="5"/>
  <c r="J141" i="5"/>
  <c r="K141" i="5"/>
  <c r="L141" i="5"/>
  <c r="M141" i="5"/>
  <c r="O141" i="5"/>
  <c r="P141" i="5"/>
  <c r="Q141" i="5"/>
  <c r="R141" i="5"/>
  <c r="T141" i="5"/>
  <c r="D142" i="5"/>
  <c r="I142" i="5"/>
  <c r="F142" i="5"/>
  <c r="G142" i="5"/>
  <c r="H142" i="5"/>
  <c r="J142" i="5"/>
  <c r="K142" i="5"/>
  <c r="L142" i="5"/>
  <c r="M142" i="5"/>
  <c r="O142" i="5"/>
  <c r="P142" i="5"/>
  <c r="Q142" i="5"/>
  <c r="R142" i="5"/>
  <c r="T142" i="5"/>
  <c r="D143" i="5"/>
  <c r="I143" i="5"/>
  <c r="F143" i="5"/>
  <c r="G143" i="5"/>
  <c r="H143" i="5"/>
  <c r="J143" i="5"/>
  <c r="K143" i="5"/>
  <c r="L143" i="5"/>
  <c r="M143" i="5"/>
  <c r="O143" i="5"/>
  <c r="P143" i="5"/>
  <c r="Q143" i="5"/>
  <c r="R143" i="5"/>
  <c r="T143" i="5"/>
  <c r="D144" i="5"/>
  <c r="I144" i="5"/>
  <c r="F144" i="5"/>
  <c r="G144" i="5"/>
  <c r="H144" i="5"/>
  <c r="J144" i="5"/>
  <c r="K144" i="5"/>
  <c r="L144" i="5"/>
  <c r="M144" i="5"/>
  <c r="O144" i="5"/>
  <c r="P144" i="5"/>
  <c r="Q144" i="5"/>
  <c r="R144" i="5"/>
  <c r="T144" i="5"/>
  <c r="D145" i="5"/>
  <c r="I145" i="5"/>
  <c r="F145" i="5"/>
  <c r="G145" i="5"/>
  <c r="H145" i="5"/>
  <c r="J145" i="5"/>
  <c r="K145" i="5"/>
  <c r="L145" i="5"/>
  <c r="M145" i="5"/>
  <c r="O145" i="5"/>
  <c r="P145" i="5"/>
  <c r="Q145" i="5"/>
  <c r="R145" i="5"/>
  <c r="T145" i="5"/>
  <c r="D146" i="5"/>
  <c r="I146" i="5"/>
  <c r="F146" i="5"/>
  <c r="G146" i="5"/>
  <c r="H146" i="5"/>
  <c r="J146" i="5"/>
  <c r="K146" i="5"/>
  <c r="L146" i="5"/>
  <c r="M146" i="5"/>
  <c r="O146" i="5"/>
  <c r="P146" i="5"/>
  <c r="Q146" i="5"/>
  <c r="R146" i="5"/>
  <c r="T146" i="5"/>
  <c r="D147" i="5"/>
  <c r="I147" i="5"/>
  <c r="F147" i="5"/>
  <c r="G147" i="5"/>
  <c r="H147" i="5"/>
  <c r="J147" i="5"/>
  <c r="K147" i="5"/>
  <c r="L147" i="5"/>
  <c r="M147" i="5"/>
  <c r="O147" i="5"/>
  <c r="P147" i="5"/>
  <c r="Q147" i="5"/>
  <c r="R147" i="5"/>
  <c r="T147" i="5"/>
  <c r="D148" i="5"/>
  <c r="I148" i="5"/>
  <c r="F148" i="5"/>
  <c r="G148" i="5"/>
  <c r="H148" i="5"/>
  <c r="J148" i="5"/>
  <c r="K148" i="5"/>
  <c r="L148" i="5"/>
  <c r="M148" i="5"/>
  <c r="O148" i="5"/>
  <c r="P148" i="5"/>
  <c r="Q148" i="5"/>
  <c r="R148" i="5"/>
  <c r="T148" i="5"/>
  <c r="D149" i="5"/>
  <c r="I149" i="5"/>
  <c r="F149" i="5"/>
  <c r="G149" i="5"/>
  <c r="H149" i="5"/>
  <c r="J149" i="5"/>
  <c r="K149" i="5"/>
  <c r="L149" i="5"/>
  <c r="M149" i="5"/>
  <c r="O149" i="5"/>
  <c r="P149" i="5"/>
  <c r="Q149" i="5"/>
  <c r="R149" i="5"/>
  <c r="T149" i="5"/>
  <c r="D150" i="5"/>
  <c r="I150" i="5"/>
  <c r="F150" i="5"/>
  <c r="G150" i="5"/>
  <c r="H150" i="5"/>
  <c r="J150" i="5"/>
  <c r="K150" i="5"/>
  <c r="L150" i="5"/>
  <c r="M150" i="5"/>
  <c r="O150" i="5"/>
  <c r="P150" i="5"/>
  <c r="Q150" i="5"/>
  <c r="R150" i="5"/>
  <c r="T150" i="5"/>
  <c r="D151" i="5"/>
  <c r="I151" i="5"/>
  <c r="F151" i="5"/>
  <c r="G151" i="5"/>
  <c r="H151" i="5"/>
  <c r="J151" i="5"/>
  <c r="K151" i="5"/>
  <c r="L151" i="5"/>
  <c r="M151" i="5"/>
  <c r="O151" i="5"/>
  <c r="P151" i="5"/>
  <c r="Q151" i="5"/>
  <c r="R151" i="5"/>
  <c r="T151" i="5"/>
  <c r="D152" i="5"/>
  <c r="I152" i="5"/>
  <c r="F152" i="5"/>
  <c r="G152" i="5"/>
  <c r="H152" i="5"/>
  <c r="J152" i="5"/>
  <c r="K152" i="5"/>
  <c r="L152" i="5"/>
  <c r="M152" i="5"/>
  <c r="O152" i="5"/>
  <c r="P152" i="5"/>
  <c r="Q152" i="5"/>
  <c r="R152" i="5"/>
  <c r="T152" i="5"/>
  <c r="D153" i="5"/>
  <c r="I153" i="5"/>
  <c r="F153" i="5"/>
  <c r="G153" i="5"/>
  <c r="H153" i="5"/>
  <c r="J153" i="5"/>
  <c r="K153" i="5"/>
  <c r="L153" i="5"/>
  <c r="M153" i="5"/>
  <c r="O153" i="5"/>
  <c r="P153" i="5"/>
  <c r="Q153" i="5"/>
  <c r="R153" i="5"/>
  <c r="T153" i="5"/>
  <c r="D154" i="5"/>
  <c r="I154" i="5"/>
  <c r="F154" i="5"/>
  <c r="G154" i="5"/>
  <c r="H154" i="5"/>
  <c r="J154" i="5"/>
  <c r="K154" i="5"/>
  <c r="L154" i="5"/>
  <c r="M154" i="5"/>
  <c r="O154" i="5"/>
  <c r="P154" i="5"/>
  <c r="Q154" i="5"/>
  <c r="R154" i="5"/>
  <c r="T154" i="5"/>
  <c r="D40" i="5"/>
  <c r="I40" i="5"/>
  <c r="H40" i="5"/>
  <c r="F40" i="5"/>
  <c r="G40" i="5"/>
  <c r="J40" i="5"/>
  <c r="K40" i="5"/>
  <c r="L40" i="5"/>
  <c r="M40" i="5"/>
  <c r="O40" i="5"/>
  <c r="P40" i="5"/>
  <c r="Q40" i="5"/>
  <c r="R40" i="5"/>
  <c r="T40" i="5"/>
  <c r="AZ25" i="5"/>
  <c r="B13" i="5"/>
  <c r="C13" i="5"/>
  <c r="T163" i="5"/>
  <c r="R163" i="5"/>
  <c r="Q163" i="5"/>
  <c r="P163" i="5"/>
  <c r="O163" i="5"/>
  <c r="M163" i="5"/>
  <c r="L163" i="5"/>
  <c r="K163" i="5"/>
  <c r="J163" i="5"/>
  <c r="I163" i="5"/>
  <c r="H163" i="5"/>
  <c r="G163" i="5"/>
  <c r="F163" i="5"/>
  <c r="D163" i="5"/>
  <c r="T162" i="5"/>
  <c r="R162" i="5"/>
  <c r="Q162" i="5"/>
  <c r="P162" i="5"/>
  <c r="O162" i="5"/>
  <c r="M162" i="5"/>
  <c r="L162" i="5"/>
  <c r="K162" i="5"/>
  <c r="J162" i="5"/>
  <c r="I162" i="5"/>
  <c r="H162" i="5"/>
  <c r="G162" i="5"/>
  <c r="F162" i="5"/>
  <c r="D162" i="5"/>
  <c r="T161" i="5"/>
  <c r="R161" i="5"/>
  <c r="S161" i="5" s="1"/>
  <c r="Q161" i="5"/>
  <c r="P161" i="5"/>
  <c r="O161" i="5"/>
  <c r="M161" i="5"/>
  <c r="N161" i="5" s="1"/>
  <c r="L161" i="5"/>
  <c r="K161" i="5"/>
  <c r="J161" i="5"/>
  <c r="I161" i="5"/>
  <c r="E161" i="5" s="1"/>
  <c r="H161" i="5"/>
  <c r="G161" i="5"/>
  <c r="F161" i="5"/>
  <c r="D161" i="5"/>
  <c r="T160" i="5"/>
  <c r="R160" i="5"/>
  <c r="Q160" i="5"/>
  <c r="P160" i="5"/>
  <c r="O160" i="5"/>
  <c r="M160" i="5"/>
  <c r="L160" i="5"/>
  <c r="K160" i="5"/>
  <c r="J160" i="5"/>
  <c r="I160" i="5"/>
  <c r="H160" i="5"/>
  <c r="G160" i="5"/>
  <c r="F160" i="5"/>
  <c r="D160" i="5"/>
  <c r="T159" i="5"/>
  <c r="R159" i="5"/>
  <c r="Q159" i="5"/>
  <c r="P159" i="5"/>
  <c r="O159" i="5"/>
  <c r="M159" i="5"/>
  <c r="L159" i="5"/>
  <c r="K159" i="5"/>
  <c r="J159" i="5"/>
  <c r="I159" i="5"/>
  <c r="H159" i="5"/>
  <c r="G159" i="5"/>
  <c r="F159" i="5"/>
  <c r="D159" i="5"/>
  <c r="T158" i="5"/>
  <c r="R158" i="5"/>
  <c r="Q158" i="5"/>
  <c r="P158" i="5"/>
  <c r="O158" i="5"/>
  <c r="M158" i="5"/>
  <c r="L158" i="5"/>
  <c r="K158" i="5"/>
  <c r="J158" i="5"/>
  <c r="I158" i="5"/>
  <c r="H158" i="5"/>
  <c r="G158" i="5"/>
  <c r="F158" i="5"/>
  <c r="D158" i="5"/>
  <c r="T157" i="5"/>
  <c r="R157" i="5"/>
  <c r="Q157" i="5"/>
  <c r="P157" i="5"/>
  <c r="O157" i="5"/>
  <c r="M157" i="5"/>
  <c r="L157" i="5"/>
  <c r="K157" i="5"/>
  <c r="J157" i="5"/>
  <c r="I157" i="5"/>
  <c r="H157" i="5"/>
  <c r="G157" i="5"/>
  <c r="F157" i="5"/>
  <c r="D157" i="5"/>
  <c r="T156" i="5"/>
  <c r="R156" i="5"/>
  <c r="Q156" i="5"/>
  <c r="P156" i="5"/>
  <c r="O156" i="5"/>
  <c r="M156" i="5"/>
  <c r="L156" i="5"/>
  <c r="K156" i="5"/>
  <c r="J156" i="5"/>
  <c r="I156" i="5"/>
  <c r="H156" i="5"/>
  <c r="G156" i="5"/>
  <c r="F156" i="5"/>
  <c r="D156" i="5"/>
  <c r="T155" i="5"/>
  <c r="R155" i="5"/>
  <c r="Q155" i="5"/>
  <c r="P155" i="5"/>
  <c r="O155" i="5"/>
  <c r="M155" i="5"/>
  <c r="L155" i="5"/>
  <c r="K155" i="5"/>
  <c r="J155" i="5"/>
  <c r="I155" i="5"/>
  <c r="H155" i="5"/>
  <c r="G155" i="5"/>
  <c r="F155" i="5"/>
  <c r="D155" i="5"/>
  <c r="T39" i="5"/>
  <c r="R39" i="5"/>
  <c r="Q39" i="5"/>
  <c r="P39" i="5"/>
  <c r="O39" i="5"/>
  <c r="M39" i="5"/>
  <c r="L39" i="5"/>
  <c r="K39" i="5"/>
  <c r="J39" i="5"/>
  <c r="I39" i="5"/>
  <c r="H39" i="5"/>
  <c r="G39" i="5"/>
  <c r="F39" i="5"/>
  <c r="D39" i="5"/>
  <c r="T38" i="5"/>
  <c r="R38" i="5"/>
  <c r="Q38" i="5"/>
  <c r="P38" i="5"/>
  <c r="O38" i="5"/>
  <c r="M38" i="5"/>
  <c r="L38" i="5"/>
  <c r="K38" i="5"/>
  <c r="J38" i="5"/>
  <c r="I38" i="5"/>
  <c r="H38" i="5"/>
  <c r="G38" i="5"/>
  <c r="F38" i="5"/>
  <c r="D38" i="5"/>
  <c r="T37" i="5"/>
  <c r="R37" i="5"/>
  <c r="Q37" i="5"/>
  <c r="P37" i="5"/>
  <c r="O37" i="5"/>
  <c r="M37" i="5"/>
  <c r="L37" i="5"/>
  <c r="K37" i="5"/>
  <c r="J37" i="5"/>
  <c r="I37" i="5"/>
  <c r="H37" i="5"/>
  <c r="G37" i="5"/>
  <c r="F37" i="5"/>
  <c r="D37" i="5"/>
  <c r="T36" i="5"/>
  <c r="R36" i="5"/>
  <c r="Q36" i="5"/>
  <c r="P36" i="5"/>
  <c r="O36" i="5"/>
  <c r="M36" i="5"/>
  <c r="L36" i="5"/>
  <c r="K36" i="5"/>
  <c r="J36" i="5"/>
  <c r="I36" i="5"/>
  <c r="H36" i="5"/>
  <c r="G36" i="5"/>
  <c r="F36" i="5"/>
  <c r="D36" i="5"/>
  <c r="R35" i="5"/>
  <c r="Q35" i="5"/>
  <c r="P35" i="5"/>
  <c r="O35" i="5"/>
  <c r="M35" i="5"/>
  <c r="L35" i="5"/>
  <c r="K35" i="5"/>
  <c r="J35" i="5"/>
  <c r="I35" i="5"/>
  <c r="H35" i="5"/>
  <c r="G35" i="5"/>
  <c r="F35" i="5"/>
  <c r="D35" i="5"/>
  <c r="B33" i="5"/>
  <c r="BE26" i="5"/>
  <c r="BB10" i="5"/>
  <c r="B26" i="5"/>
  <c r="BA25" i="5"/>
  <c r="BD25" i="5"/>
  <c r="BC25" i="5"/>
  <c r="BG7" i="5"/>
  <c r="BA10" i="5"/>
  <c r="B16" i="5"/>
  <c r="C16" i="5"/>
  <c r="BG6" i="5"/>
  <c r="B21" i="5"/>
  <c r="BG5" i="5"/>
  <c r="B20" i="5"/>
  <c r="BG4" i="5"/>
  <c r="B19" i="5"/>
  <c r="B17" i="5"/>
  <c r="C17" i="5"/>
  <c r="B15" i="5"/>
  <c r="C15" i="5"/>
  <c r="B10" i="5"/>
  <c r="B7" i="5"/>
  <c r="B9" i="5"/>
  <c r="B8" i="5"/>
  <c r="BG3" i="5"/>
  <c r="P23" i="7"/>
  <c r="B3" i="3"/>
  <c r="D44" i="3"/>
  <c r="I44" i="3"/>
  <c r="H44" i="3"/>
  <c r="T35" i="3"/>
  <c r="F44" i="3"/>
  <c r="G44" i="3"/>
  <c r="J44" i="3"/>
  <c r="K44" i="3"/>
  <c r="L44" i="3"/>
  <c r="M44" i="3"/>
  <c r="O44" i="3"/>
  <c r="P44" i="3"/>
  <c r="Q44" i="3"/>
  <c r="R44" i="3"/>
  <c r="T44" i="3"/>
  <c r="D45" i="3"/>
  <c r="I45" i="3"/>
  <c r="H45" i="3"/>
  <c r="F45" i="3"/>
  <c r="G45" i="3"/>
  <c r="J45" i="3"/>
  <c r="K45" i="3"/>
  <c r="L45" i="3"/>
  <c r="M45" i="3"/>
  <c r="O45" i="3"/>
  <c r="P45" i="3"/>
  <c r="Q45" i="3"/>
  <c r="R45" i="3"/>
  <c r="T45" i="3"/>
  <c r="D46" i="3"/>
  <c r="I46" i="3"/>
  <c r="H46" i="3"/>
  <c r="F46" i="3"/>
  <c r="G46" i="3"/>
  <c r="J46" i="3"/>
  <c r="K46" i="3"/>
  <c r="L46" i="3"/>
  <c r="M46" i="3"/>
  <c r="O46" i="3"/>
  <c r="P46" i="3"/>
  <c r="Q46" i="3"/>
  <c r="R46" i="3"/>
  <c r="T46" i="3"/>
  <c r="D47" i="3"/>
  <c r="I47" i="3"/>
  <c r="H47" i="3"/>
  <c r="F47" i="3"/>
  <c r="G47" i="3"/>
  <c r="J47" i="3"/>
  <c r="K47" i="3"/>
  <c r="L47" i="3"/>
  <c r="M47" i="3"/>
  <c r="O47" i="3"/>
  <c r="P47" i="3"/>
  <c r="Q47" i="3"/>
  <c r="R47" i="3"/>
  <c r="T47" i="3"/>
  <c r="D48" i="3"/>
  <c r="I48" i="3"/>
  <c r="H48" i="3"/>
  <c r="F48" i="3"/>
  <c r="G48" i="3"/>
  <c r="J48" i="3"/>
  <c r="K48" i="3"/>
  <c r="L48" i="3"/>
  <c r="M48" i="3"/>
  <c r="O48" i="3"/>
  <c r="P48" i="3"/>
  <c r="Q48" i="3"/>
  <c r="R48" i="3"/>
  <c r="T48" i="3"/>
  <c r="D49" i="3"/>
  <c r="I49" i="3"/>
  <c r="H49" i="3"/>
  <c r="F49" i="3"/>
  <c r="G49" i="3"/>
  <c r="J49" i="3"/>
  <c r="K49" i="3"/>
  <c r="L49" i="3"/>
  <c r="M49" i="3"/>
  <c r="O49" i="3"/>
  <c r="P49" i="3"/>
  <c r="Q49" i="3"/>
  <c r="R49" i="3"/>
  <c r="T49" i="3"/>
  <c r="D50" i="3"/>
  <c r="I50" i="3"/>
  <c r="H50" i="3"/>
  <c r="F50" i="3"/>
  <c r="G50" i="3"/>
  <c r="J50" i="3"/>
  <c r="K50" i="3"/>
  <c r="L50" i="3"/>
  <c r="M50" i="3"/>
  <c r="O50" i="3"/>
  <c r="P50" i="3"/>
  <c r="Q50" i="3"/>
  <c r="R50" i="3"/>
  <c r="T50" i="3"/>
  <c r="D51" i="3"/>
  <c r="I51" i="3"/>
  <c r="H51" i="3"/>
  <c r="F51" i="3"/>
  <c r="G51" i="3"/>
  <c r="J51" i="3"/>
  <c r="K51" i="3"/>
  <c r="L51" i="3"/>
  <c r="M51" i="3"/>
  <c r="O51" i="3"/>
  <c r="P51" i="3"/>
  <c r="Q51" i="3"/>
  <c r="R51" i="3"/>
  <c r="T51" i="3"/>
  <c r="D52" i="3"/>
  <c r="I52" i="3"/>
  <c r="F52" i="3"/>
  <c r="G52" i="3"/>
  <c r="H52" i="3"/>
  <c r="J52" i="3"/>
  <c r="K52" i="3"/>
  <c r="L52" i="3"/>
  <c r="M52" i="3"/>
  <c r="O52" i="3"/>
  <c r="P52" i="3"/>
  <c r="Q52" i="3"/>
  <c r="R52" i="3"/>
  <c r="T52" i="3"/>
  <c r="D54" i="3"/>
  <c r="I54" i="3"/>
  <c r="F54" i="3"/>
  <c r="G54" i="3"/>
  <c r="H54" i="3"/>
  <c r="J54" i="3"/>
  <c r="K54" i="3"/>
  <c r="L54" i="3"/>
  <c r="M54" i="3"/>
  <c r="O54" i="3"/>
  <c r="P54" i="3"/>
  <c r="Q54" i="3"/>
  <c r="R54" i="3"/>
  <c r="T54" i="3"/>
  <c r="D55" i="3"/>
  <c r="I55" i="3"/>
  <c r="F55" i="3"/>
  <c r="G55" i="3"/>
  <c r="H55" i="3"/>
  <c r="J55" i="3"/>
  <c r="K55" i="3"/>
  <c r="L55" i="3"/>
  <c r="M55" i="3"/>
  <c r="N55" i="3" s="1"/>
  <c r="O55" i="3"/>
  <c r="P55" i="3"/>
  <c r="Q55" i="3"/>
  <c r="R55" i="3"/>
  <c r="S55" i="3" s="1"/>
  <c r="T55" i="3"/>
  <c r="D56" i="3"/>
  <c r="I56" i="3"/>
  <c r="F56" i="3"/>
  <c r="G56" i="3"/>
  <c r="H56" i="3"/>
  <c r="J56" i="3"/>
  <c r="K56" i="3"/>
  <c r="L56" i="3"/>
  <c r="M56" i="3"/>
  <c r="O56" i="3"/>
  <c r="P56" i="3"/>
  <c r="Q56" i="3"/>
  <c r="R56" i="3"/>
  <c r="T56" i="3"/>
  <c r="D57" i="3"/>
  <c r="I57" i="3"/>
  <c r="F57" i="3"/>
  <c r="G57" i="3"/>
  <c r="H57" i="3"/>
  <c r="J57" i="3"/>
  <c r="K57" i="3"/>
  <c r="L57" i="3"/>
  <c r="M57" i="3"/>
  <c r="O57" i="3"/>
  <c r="P57" i="3"/>
  <c r="Q57" i="3"/>
  <c r="R57" i="3"/>
  <c r="S57" i="3" s="1"/>
  <c r="T57" i="3"/>
  <c r="D58" i="3"/>
  <c r="I58" i="3"/>
  <c r="F58" i="3"/>
  <c r="G58" i="3"/>
  <c r="H58" i="3"/>
  <c r="J58" i="3"/>
  <c r="K58" i="3"/>
  <c r="L58" i="3"/>
  <c r="M58" i="3"/>
  <c r="O58" i="3"/>
  <c r="P58" i="3"/>
  <c r="Q58" i="3"/>
  <c r="R58" i="3"/>
  <c r="T58" i="3"/>
  <c r="D59" i="3"/>
  <c r="I59" i="3"/>
  <c r="F59" i="3"/>
  <c r="G59" i="3"/>
  <c r="H59" i="3"/>
  <c r="J59" i="3"/>
  <c r="K59" i="3"/>
  <c r="L59" i="3"/>
  <c r="M59" i="3"/>
  <c r="N59" i="3" s="1"/>
  <c r="O59" i="3"/>
  <c r="P59" i="3"/>
  <c r="Q59" i="3"/>
  <c r="R59" i="3"/>
  <c r="S59" i="3" s="1"/>
  <c r="T59" i="3"/>
  <c r="D60" i="3"/>
  <c r="I60" i="3"/>
  <c r="F60" i="3"/>
  <c r="G60" i="3"/>
  <c r="H60" i="3"/>
  <c r="J60" i="3"/>
  <c r="K60" i="3"/>
  <c r="L60" i="3"/>
  <c r="M60" i="3"/>
  <c r="O60" i="3"/>
  <c r="P60" i="3"/>
  <c r="Q60" i="3"/>
  <c r="R60" i="3"/>
  <c r="T60" i="3"/>
  <c r="D61" i="3"/>
  <c r="I61" i="3"/>
  <c r="F61" i="3"/>
  <c r="G61" i="3"/>
  <c r="H61" i="3"/>
  <c r="J61" i="3"/>
  <c r="K61" i="3"/>
  <c r="L61" i="3"/>
  <c r="M61" i="3"/>
  <c r="N61" i="3" s="1"/>
  <c r="O61" i="3"/>
  <c r="P61" i="3"/>
  <c r="Q61" i="3"/>
  <c r="R61" i="3"/>
  <c r="S61" i="3" s="1"/>
  <c r="T61" i="3"/>
  <c r="D62" i="3"/>
  <c r="I62" i="3"/>
  <c r="F62" i="3"/>
  <c r="G62" i="3"/>
  <c r="H62" i="3"/>
  <c r="J62" i="3"/>
  <c r="K62" i="3"/>
  <c r="L62" i="3"/>
  <c r="M62" i="3"/>
  <c r="O62" i="3"/>
  <c r="P62" i="3"/>
  <c r="Q62" i="3"/>
  <c r="R62" i="3"/>
  <c r="T62" i="3"/>
  <c r="D63" i="3"/>
  <c r="I63" i="3"/>
  <c r="F63" i="3"/>
  <c r="G63" i="3"/>
  <c r="H63" i="3"/>
  <c r="J63" i="3"/>
  <c r="K63" i="3"/>
  <c r="L63" i="3"/>
  <c r="M63" i="3"/>
  <c r="N63" i="3" s="1"/>
  <c r="O63" i="3"/>
  <c r="P63" i="3"/>
  <c r="Q63" i="3"/>
  <c r="R63" i="3"/>
  <c r="S63" i="3" s="1"/>
  <c r="T63" i="3"/>
  <c r="D64" i="3"/>
  <c r="I64" i="3"/>
  <c r="F64" i="3"/>
  <c r="G64" i="3"/>
  <c r="H64" i="3"/>
  <c r="J64" i="3"/>
  <c r="K64" i="3"/>
  <c r="L64" i="3"/>
  <c r="M64" i="3"/>
  <c r="O64" i="3"/>
  <c r="P64" i="3"/>
  <c r="Q64" i="3"/>
  <c r="R64" i="3"/>
  <c r="T64" i="3"/>
  <c r="D65" i="3"/>
  <c r="I65" i="3"/>
  <c r="F65" i="3"/>
  <c r="G65" i="3"/>
  <c r="H65" i="3"/>
  <c r="J65" i="3"/>
  <c r="K65" i="3"/>
  <c r="L65" i="3"/>
  <c r="M65" i="3"/>
  <c r="N65" i="3" s="1"/>
  <c r="O65" i="3"/>
  <c r="P65" i="3"/>
  <c r="Q65" i="3"/>
  <c r="R65" i="3"/>
  <c r="S65" i="3" s="1"/>
  <c r="T65" i="3"/>
  <c r="D66" i="3"/>
  <c r="I66" i="3"/>
  <c r="F66" i="3"/>
  <c r="G66" i="3"/>
  <c r="H66" i="3"/>
  <c r="J66" i="3"/>
  <c r="K66" i="3"/>
  <c r="L66" i="3"/>
  <c r="M66" i="3"/>
  <c r="O66" i="3"/>
  <c r="P66" i="3"/>
  <c r="Q66" i="3"/>
  <c r="R66" i="3"/>
  <c r="T66" i="3"/>
  <c r="D67" i="3"/>
  <c r="I67" i="3"/>
  <c r="F67" i="3"/>
  <c r="G67" i="3"/>
  <c r="H67" i="3"/>
  <c r="J67" i="3"/>
  <c r="K67" i="3"/>
  <c r="L67" i="3"/>
  <c r="M67" i="3"/>
  <c r="N67" i="3" s="1"/>
  <c r="O67" i="3"/>
  <c r="P67" i="3"/>
  <c r="Q67" i="3"/>
  <c r="R67" i="3"/>
  <c r="T67" i="3"/>
  <c r="D68" i="3"/>
  <c r="I68" i="3"/>
  <c r="F68" i="3"/>
  <c r="G68" i="3"/>
  <c r="H68" i="3"/>
  <c r="J68" i="3"/>
  <c r="K68" i="3"/>
  <c r="L68" i="3"/>
  <c r="M68" i="3"/>
  <c r="O68" i="3"/>
  <c r="P68" i="3"/>
  <c r="Q68" i="3"/>
  <c r="R68" i="3"/>
  <c r="T68" i="3"/>
  <c r="D69" i="3"/>
  <c r="I69" i="3"/>
  <c r="F69" i="3"/>
  <c r="G69" i="3"/>
  <c r="H69" i="3"/>
  <c r="J69" i="3"/>
  <c r="K69" i="3"/>
  <c r="L69" i="3"/>
  <c r="M69" i="3"/>
  <c r="N69" i="3" s="1"/>
  <c r="O69" i="3"/>
  <c r="P69" i="3"/>
  <c r="Q69" i="3"/>
  <c r="R69" i="3"/>
  <c r="S69" i="3" s="1"/>
  <c r="T69" i="3"/>
  <c r="D70" i="3"/>
  <c r="I70" i="3"/>
  <c r="F70" i="3"/>
  <c r="G70" i="3"/>
  <c r="H70" i="3"/>
  <c r="J70" i="3"/>
  <c r="K70" i="3"/>
  <c r="L70" i="3"/>
  <c r="M70" i="3"/>
  <c r="O70" i="3"/>
  <c r="P70" i="3"/>
  <c r="Q70" i="3"/>
  <c r="R70" i="3"/>
  <c r="T70" i="3"/>
  <c r="D71" i="3"/>
  <c r="I71" i="3"/>
  <c r="F71" i="3"/>
  <c r="G71" i="3"/>
  <c r="H71" i="3"/>
  <c r="J71" i="3"/>
  <c r="K71" i="3"/>
  <c r="L71" i="3"/>
  <c r="M71" i="3"/>
  <c r="N71" i="3" s="1"/>
  <c r="O71" i="3"/>
  <c r="P71" i="3"/>
  <c r="Q71" i="3"/>
  <c r="R71" i="3"/>
  <c r="S71" i="3" s="1"/>
  <c r="T71" i="3"/>
  <c r="D72" i="3"/>
  <c r="I72" i="3"/>
  <c r="F72" i="3"/>
  <c r="G72" i="3"/>
  <c r="H72" i="3"/>
  <c r="J72" i="3"/>
  <c r="K72" i="3"/>
  <c r="L72" i="3"/>
  <c r="M72" i="3"/>
  <c r="O72" i="3"/>
  <c r="P72" i="3"/>
  <c r="Q72" i="3"/>
  <c r="R72" i="3"/>
  <c r="T72" i="3"/>
  <c r="D73" i="3"/>
  <c r="I73" i="3"/>
  <c r="F73" i="3"/>
  <c r="G73" i="3"/>
  <c r="H73" i="3"/>
  <c r="J73" i="3"/>
  <c r="K73" i="3"/>
  <c r="L73" i="3"/>
  <c r="M73" i="3"/>
  <c r="O73" i="3"/>
  <c r="P73" i="3"/>
  <c r="Q73" i="3"/>
  <c r="R73" i="3"/>
  <c r="S73" i="3" s="1"/>
  <c r="T73" i="3"/>
  <c r="D74" i="3"/>
  <c r="I74" i="3"/>
  <c r="F74" i="3"/>
  <c r="G74" i="3"/>
  <c r="H74" i="3"/>
  <c r="J74" i="3"/>
  <c r="K74" i="3"/>
  <c r="L74" i="3"/>
  <c r="M74" i="3"/>
  <c r="O74" i="3"/>
  <c r="P74" i="3"/>
  <c r="Q74" i="3"/>
  <c r="R74" i="3"/>
  <c r="T74" i="3"/>
  <c r="D75" i="3"/>
  <c r="I75" i="3"/>
  <c r="F75" i="3"/>
  <c r="G75" i="3"/>
  <c r="H75" i="3"/>
  <c r="J75" i="3"/>
  <c r="K75" i="3"/>
  <c r="L75" i="3"/>
  <c r="M75" i="3"/>
  <c r="N75" i="3" s="1"/>
  <c r="O75" i="3"/>
  <c r="P75" i="3"/>
  <c r="Q75" i="3"/>
  <c r="R75" i="3"/>
  <c r="S75" i="3" s="1"/>
  <c r="T75" i="3"/>
  <c r="D76" i="3"/>
  <c r="I76" i="3"/>
  <c r="F76" i="3"/>
  <c r="G76" i="3"/>
  <c r="H76" i="3"/>
  <c r="J76" i="3"/>
  <c r="K76" i="3"/>
  <c r="L76" i="3"/>
  <c r="M76" i="3"/>
  <c r="O76" i="3"/>
  <c r="P76" i="3"/>
  <c r="Q76" i="3"/>
  <c r="R76" i="3"/>
  <c r="T76" i="3"/>
  <c r="D77" i="3"/>
  <c r="I77" i="3"/>
  <c r="F77" i="3"/>
  <c r="G77" i="3"/>
  <c r="H77" i="3"/>
  <c r="J77" i="3"/>
  <c r="K77" i="3"/>
  <c r="L77" i="3"/>
  <c r="M77" i="3"/>
  <c r="N77" i="3" s="1"/>
  <c r="O77" i="3"/>
  <c r="P77" i="3"/>
  <c r="Q77" i="3"/>
  <c r="R77" i="3"/>
  <c r="S77" i="3" s="1"/>
  <c r="T77" i="3"/>
  <c r="D78" i="3"/>
  <c r="I78" i="3"/>
  <c r="F78" i="3"/>
  <c r="G78" i="3"/>
  <c r="H78" i="3"/>
  <c r="J78" i="3"/>
  <c r="K78" i="3"/>
  <c r="L78" i="3"/>
  <c r="M78" i="3"/>
  <c r="O78" i="3"/>
  <c r="P78" i="3"/>
  <c r="Q78" i="3"/>
  <c r="R78" i="3"/>
  <c r="T78" i="3"/>
  <c r="D79" i="3"/>
  <c r="I79" i="3"/>
  <c r="F79" i="3"/>
  <c r="G79" i="3"/>
  <c r="H79" i="3"/>
  <c r="J79" i="3"/>
  <c r="K79" i="3"/>
  <c r="L79" i="3"/>
  <c r="M79" i="3"/>
  <c r="N79" i="3" s="1"/>
  <c r="O79" i="3"/>
  <c r="P79" i="3"/>
  <c r="Q79" i="3"/>
  <c r="R79" i="3"/>
  <c r="S79" i="3" s="1"/>
  <c r="T79" i="3"/>
  <c r="D80" i="3"/>
  <c r="I80" i="3"/>
  <c r="F80" i="3"/>
  <c r="G80" i="3"/>
  <c r="H80" i="3"/>
  <c r="J80" i="3"/>
  <c r="K80" i="3"/>
  <c r="L80" i="3"/>
  <c r="M80" i="3"/>
  <c r="O80" i="3"/>
  <c r="P80" i="3"/>
  <c r="Q80" i="3"/>
  <c r="R80" i="3"/>
  <c r="T80" i="3"/>
  <c r="D81" i="3"/>
  <c r="I81" i="3"/>
  <c r="F81" i="3"/>
  <c r="G81" i="3"/>
  <c r="H81" i="3"/>
  <c r="J81" i="3"/>
  <c r="K81" i="3"/>
  <c r="L81" i="3"/>
  <c r="M81" i="3"/>
  <c r="N81" i="3" s="1"/>
  <c r="O81" i="3"/>
  <c r="P81" i="3"/>
  <c r="Q81" i="3"/>
  <c r="R81" i="3"/>
  <c r="S81" i="3" s="1"/>
  <c r="T81" i="3"/>
  <c r="D82" i="3"/>
  <c r="I82" i="3"/>
  <c r="F82" i="3"/>
  <c r="G82" i="3"/>
  <c r="H82" i="3"/>
  <c r="J82" i="3"/>
  <c r="K82" i="3"/>
  <c r="L82" i="3"/>
  <c r="M82" i="3"/>
  <c r="O82" i="3"/>
  <c r="P82" i="3"/>
  <c r="Q82" i="3"/>
  <c r="R82" i="3"/>
  <c r="T82" i="3"/>
  <c r="D83" i="3"/>
  <c r="I83" i="3"/>
  <c r="F83" i="3"/>
  <c r="G83" i="3"/>
  <c r="H83" i="3"/>
  <c r="J83" i="3"/>
  <c r="K83" i="3"/>
  <c r="L83" i="3"/>
  <c r="M83" i="3"/>
  <c r="N83" i="3" s="1"/>
  <c r="O83" i="3"/>
  <c r="P83" i="3"/>
  <c r="Q83" i="3"/>
  <c r="R83" i="3"/>
  <c r="S83" i="3" s="1"/>
  <c r="T83" i="3"/>
  <c r="D84" i="3"/>
  <c r="I84" i="3"/>
  <c r="F84" i="3"/>
  <c r="G84" i="3"/>
  <c r="H84" i="3"/>
  <c r="J84" i="3"/>
  <c r="K84" i="3"/>
  <c r="L84" i="3"/>
  <c r="M84" i="3"/>
  <c r="O84" i="3"/>
  <c r="P84" i="3"/>
  <c r="Q84" i="3"/>
  <c r="R84" i="3"/>
  <c r="T84" i="3"/>
  <c r="D85" i="3"/>
  <c r="I85" i="3"/>
  <c r="F85" i="3"/>
  <c r="G85" i="3"/>
  <c r="H85" i="3"/>
  <c r="J85" i="3"/>
  <c r="K85" i="3"/>
  <c r="L85" i="3"/>
  <c r="M85" i="3"/>
  <c r="N85" i="3" s="1"/>
  <c r="O85" i="3"/>
  <c r="P85" i="3"/>
  <c r="Q85" i="3"/>
  <c r="R85" i="3"/>
  <c r="S85" i="3" s="1"/>
  <c r="T85" i="3"/>
  <c r="D86" i="3"/>
  <c r="I86" i="3"/>
  <c r="F86" i="3"/>
  <c r="G86" i="3"/>
  <c r="H86" i="3"/>
  <c r="J86" i="3"/>
  <c r="K86" i="3"/>
  <c r="L86" i="3"/>
  <c r="M86" i="3"/>
  <c r="O86" i="3"/>
  <c r="P86" i="3"/>
  <c r="Q86" i="3"/>
  <c r="R86" i="3"/>
  <c r="T86" i="3"/>
  <c r="D87" i="3"/>
  <c r="I87" i="3"/>
  <c r="F87" i="3"/>
  <c r="G87" i="3"/>
  <c r="H87" i="3"/>
  <c r="J87" i="3"/>
  <c r="K87" i="3"/>
  <c r="L87" i="3"/>
  <c r="M87" i="3"/>
  <c r="N87" i="3" s="1"/>
  <c r="O87" i="3"/>
  <c r="P87" i="3"/>
  <c r="Q87" i="3"/>
  <c r="R87" i="3"/>
  <c r="S87" i="3" s="1"/>
  <c r="T87" i="3"/>
  <c r="D88" i="3"/>
  <c r="I88" i="3"/>
  <c r="F88" i="3"/>
  <c r="G88" i="3"/>
  <c r="H88" i="3"/>
  <c r="J88" i="3"/>
  <c r="K88" i="3"/>
  <c r="L88" i="3"/>
  <c r="M88" i="3"/>
  <c r="O88" i="3"/>
  <c r="P88" i="3"/>
  <c r="Q88" i="3"/>
  <c r="R88" i="3"/>
  <c r="T88" i="3"/>
  <c r="D89" i="3"/>
  <c r="I89" i="3"/>
  <c r="F89" i="3"/>
  <c r="G89" i="3"/>
  <c r="H89" i="3"/>
  <c r="J89" i="3"/>
  <c r="K89" i="3"/>
  <c r="L89" i="3"/>
  <c r="M89" i="3"/>
  <c r="N89" i="3" s="1"/>
  <c r="O89" i="3"/>
  <c r="P89" i="3"/>
  <c r="Q89" i="3"/>
  <c r="R89" i="3"/>
  <c r="S89" i="3" s="1"/>
  <c r="T89" i="3"/>
  <c r="D90" i="3"/>
  <c r="I90" i="3"/>
  <c r="F90" i="3"/>
  <c r="G90" i="3"/>
  <c r="H90" i="3"/>
  <c r="J90" i="3"/>
  <c r="K90" i="3"/>
  <c r="L90" i="3"/>
  <c r="M90" i="3"/>
  <c r="O90" i="3"/>
  <c r="P90" i="3"/>
  <c r="Q90" i="3"/>
  <c r="R90" i="3"/>
  <c r="T90" i="3"/>
  <c r="D91" i="3"/>
  <c r="I91" i="3"/>
  <c r="F91" i="3"/>
  <c r="G91" i="3"/>
  <c r="H91" i="3"/>
  <c r="J91" i="3"/>
  <c r="K91" i="3"/>
  <c r="L91" i="3"/>
  <c r="M91" i="3"/>
  <c r="N91" i="3" s="1"/>
  <c r="O91" i="3"/>
  <c r="P91" i="3"/>
  <c r="Q91" i="3"/>
  <c r="R91" i="3"/>
  <c r="S91" i="3" s="1"/>
  <c r="T91" i="3"/>
  <c r="D92" i="3"/>
  <c r="I92" i="3"/>
  <c r="F92" i="3"/>
  <c r="G92" i="3"/>
  <c r="H92" i="3"/>
  <c r="J92" i="3"/>
  <c r="K92" i="3"/>
  <c r="L92" i="3"/>
  <c r="M92" i="3"/>
  <c r="O92" i="3"/>
  <c r="P92" i="3"/>
  <c r="Q92" i="3"/>
  <c r="R92" i="3"/>
  <c r="T92" i="3"/>
  <c r="D93" i="3"/>
  <c r="I93" i="3"/>
  <c r="F93" i="3"/>
  <c r="G93" i="3"/>
  <c r="H93" i="3"/>
  <c r="J93" i="3"/>
  <c r="K93" i="3"/>
  <c r="L93" i="3"/>
  <c r="M93" i="3"/>
  <c r="N93" i="3" s="1"/>
  <c r="O93" i="3"/>
  <c r="P93" i="3"/>
  <c r="Q93" i="3"/>
  <c r="R93" i="3"/>
  <c r="S93" i="3" s="1"/>
  <c r="T93" i="3"/>
  <c r="D94" i="3"/>
  <c r="I94" i="3"/>
  <c r="F94" i="3"/>
  <c r="G94" i="3"/>
  <c r="H94" i="3"/>
  <c r="J94" i="3"/>
  <c r="K94" i="3"/>
  <c r="L94" i="3"/>
  <c r="M94" i="3"/>
  <c r="O94" i="3"/>
  <c r="P94" i="3"/>
  <c r="Q94" i="3"/>
  <c r="R94" i="3"/>
  <c r="T94" i="3"/>
  <c r="D95" i="3"/>
  <c r="I95" i="3"/>
  <c r="F95" i="3"/>
  <c r="G95" i="3"/>
  <c r="H95" i="3"/>
  <c r="J95" i="3"/>
  <c r="K95" i="3"/>
  <c r="L95" i="3"/>
  <c r="M95" i="3"/>
  <c r="N95" i="3" s="1"/>
  <c r="O95" i="3"/>
  <c r="P95" i="3"/>
  <c r="Q95" i="3"/>
  <c r="R95" i="3"/>
  <c r="S95" i="3" s="1"/>
  <c r="T95" i="3"/>
  <c r="D96" i="3"/>
  <c r="I96" i="3"/>
  <c r="F96" i="3"/>
  <c r="G96" i="3"/>
  <c r="H96" i="3"/>
  <c r="J96" i="3"/>
  <c r="K96" i="3"/>
  <c r="L96" i="3"/>
  <c r="M96" i="3"/>
  <c r="O96" i="3"/>
  <c r="P96" i="3"/>
  <c r="Q96" i="3"/>
  <c r="R96" i="3"/>
  <c r="T96" i="3"/>
  <c r="D97" i="3"/>
  <c r="I97" i="3"/>
  <c r="F97" i="3"/>
  <c r="G97" i="3"/>
  <c r="H97" i="3"/>
  <c r="J97" i="3"/>
  <c r="K97" i="3"/>
  <c r="L97" i="3"/>
  <c r="M97" i="3"/>
  <c r="N97" i="3" s="1"/>
  <c r="O97" i="3"/>
  <c r="P97" i="3"/>
  <c r="Q97" i="3"/>
  <c r="R97" i="3"/>
  <c r="S97" i="3" s="1"/>
  <c r="T97" i="3"/>
  <c r="D98" i="3"/>
  <c r="I98" i="3"/>
  <c r="F98" i="3"/>
  <c r="G98" i="3"/>
  <c r="H98" i="3"/>
  <c r="J98" i="3"/>
  <c r="K98" i="3"/>
  <c r="L98" i="3"/>
  <c r="M98" i="3"/>
  <c r="O98" i="3"/>
  <c r="P98" i="3"/>
  <c r="Q98" i="3"/>
  <c r="R98" i="3"/>
  <c r="T98" i="3"/>
  <c r="D99" i="3"/>
  <c r="I99" i="3"/>
  <c r="F99" i="3"/>
  <c r="G99" i="3"/>
  <c r="H99" i="3"/>
  <c r="J99" i="3"/>
  <c r="K99" i="3"/>
  <c r="L99" i="3"/>
  <c r="M99" i="3"/>
  <c r="N99" i="3" s="1"/>
  <c r="O99" i="3"/>
  <c r="P99" i="3"/>
  <c r="Q99" i="3"/>
  <c r="R99" i="3"/>
  <c r="S99" i="3" s="1"/>
  <c r="T99" i="3"/>
  <c r="D100" i="3"/>
  <c r="I100" i="3"/>
  <c r="F100" i="3"/>
  <c r="G100" i="3"/>
  <c r="H100" i="3"/>
  <c r="J100" i="3"/>
  <c r="K100" i="3"/>
  <c r="L100" i="3"/>
  <c r="M100" i="3"/>
  <c r="O100" i="3"/>
  <c r="P100" i="3"/>
  <c r="Q100" i="3"/>
  <c r="R100" i="3"/>
  <c r="T100" i="3"/>
  <c r="D101" i="3"/>
  <c r="I101" i="3"/>
  <c r="F101" i="3"/>
  <c r="G101" i="3"/>
  <c r="H101" i="3"/>
  <c r="J101" i="3"/>
  <c r="K101" i="3"/>
  <c r="L101" i="3"/>
  <c r="M101" i="3"/>
  <c r="N101" i="3" s="1"/>
  <c r="O101" i="3"/>
  <c r="P101" i="3"/>
  <c r="Q101" i="3"/>
  <c r="R101" i="3"/>
  <c r="S101" i="3" s="1"/>
  <c r="T101" i="3"/>
  <c r="D102" i="3"/>
  <c r="I102" i="3"/>
  <c r="F102" i="3"/>
  <c r="G102" i="3"/>
  <c r="H102" i="3"/>
  <c r="J102" i="3"/>
  <c r="K102" i="3"/>
  <c r="L102" i="3"/>
  <c r="M102" i="3"/>
  <c r="O102" i="3"/>
  <c r="P102" i="3"/>
  <c r="Q102" i="3"/>
  <c r="R102" i="3"/>
  <c r="T102" i="3"/>
  <c r="D103" i="3"/>
  <c r="I103" i="3"/>
  <c r="F103" i="3"/>
  <c r="G103" i="3"/>
  <c r="H103" i="3"/>
  <c r="J103" i="3"/>
  <c r="K103" i="3"/>
  <c r="L103" i="3"/>
  <c r="M103" i="3"/>
  <c r="N103" i="3" s="1"/>
  <c r="O103" i="3"/>
  <c r="P103" i="3"/>
  <c r="Q103" i="3"/>
  <c r="R103" i="3"/>
  <c r="S103" i="3" s="1"/>
  <c r="T103" i="3"/>
  <c r="D104" i="3"/>
  <c r="I104" i="3"/>
  <c r="F104" i="3"/>
  <c r="G104" i="3"/>
  <c r="H104" i="3"/>
  <c r="J104" i="3"/>
  <c r="K104" i="3"/>
  <c r="L104" i="3"/>
  <c r="M104" i="3"/>
  <c r="O104" i="3"/>
  <c r="P104" i="3"/>
  <c r="Q104" i="3"/>
  <c r="R104" i="3"/>
  <c r="T104" i="3"/>
  <c r="D105" i="3"/>
  <c r="I105" i="3"/>
  <c r="F105" i="3"/>
  <c r="G105" i="3"/>
  <c r="H105" i="3"/>
  <c r="J105" i="3"/>
  <c r="K105" i="3"/>
  <c r="L105" i="3"/>
  <c r="M105" i="3"/>
  <c r="N105" i="3" s="1"/>
  <c r="O105" i="3"/>
  <c r="P105" i="3"/>
  <c r="Q105" i="3"/>
  <c r="R105" i="3"/>
  <c r="S105" i="3" s="1"/>
  <c r="T105" i="3"/>
  <c r="D106" i="3"/>
  <c r="I106" i="3"/>
  <c r="F106" i="3"/>
  <c r="G106" i="3"/>
  <c r="H106" i="3"/>
  <c r="J106" i="3"/>
  <c r="K106" i="3"/>
  <c r="L106" i="3"/>
  <c r="M106" i="3"/>
  <c r="O106" i="3"/>
  <c r="P106" i="3"/>
  <c r="Q106" i="3"/>
  <c r="R106" i="3"/>
  <c r="T106" i="3"/>
  <c r="D107" i="3"/>
  <c r="I107" i="3"/>
  <c r="F107" i="3"/>
  <c r="G107" i="3"/>
  <c r="H107" i="3"/>
  <c r="J107" i="3"/>
  <c r="K107" i="3"/>
  <c r="L107" i="3"/>
  <c r="M107" i="3"/>
  <c r="N107" i="3" s="1"/>
  <c r="O107" i="3"/>
  <c r="P107" i="3"/>
  <c r="Q107" i="3"/>
  <c r="R107" i="3"/>
  <c r="S107" i="3" s="1"/>
  <c r="T107" i="3"/>
  <c r="D108" i="3"/>
  <c r="I108" i="3"/>
  <c r="F108" i="3"/>
  <c r="G108" i="3"/>
  <c r="H108" i="3"/>
  <c r="J108" i="3"/>
  <c r="K108" i="3"/>
  <c r="L108" i="3"/>
  <c r="M108" i="3"/>
  <c r="O108" i="3"/>
  <c r="P108" i="3"/>
  <c r="Q108" i="3"/>
  <c r="R108" i="3"/>
  <c r="T108" i="3"/>
  <c r="D109" i="3"/>
  <c r="I109" i="3"/>
  <c r="F109" i="3"/>
  <c r="G109" i="3"/>
  <c r="H109" i="3"/>
  <c r="J109" i="3"/>
  <c r="K109" i="3"/>
  <c r="L109" i="3"/>
  <c r="M109" i="3"/>
  <c r="N109" i="3" s="1"/>
  <c r="O109" i="3"/>
  <c r="P109" i="3"/>
  <c r="Q109" i="3"/>
  <c r="R109" i="3"/>
  <c r="S109" i="3" s="1"/>
  <c r="T109" i="3"/>
  <c r="D110" i="3"/>
  <c r="I110" i="3"/>
  <c r="F110" i="3"/>
  <c r="G110" i="3"/>
  <c r="H110" i="3"/>
  <c r="J110" i="3"/>
  <c r="K110" i="3"/>
  <c r="L110" i="3"/>
  <c r="M110" i="3"/>
  <c r="O110" i="3"/>
  <c r="P110" i="3"/>
  <c r="Q110" i="3"/>
  <c r="R110" i="3"/>
  <c r="T110" i="3"/>
  <c r="D111" i="3"/>
  <c r="I111" i="3"/>
  <c r="F111" i="3"/>
  <c r="G111" i="3"/>
  <c r="H111" i="3"/>
  <c r="J111" i="3"/>
  <c r="K111" i="3"/>
  <c r="L111" i="3"/>
  <c r="M111" i="3"/>
  <c r="N111" i="3" s="1"/>
  <c r="O111" i="3"/>
  <c r="P111" i="3"/>
  <c r="Q111" i="3"/>
  <c r="R111" i="3"/>
  <c r="S111" i="3" s="1"/>
  <c r="T111" i="3"/>
  <c r="D112" i="3"/>
  <c r="I112" i="3"/>
  <c r="F112" i="3"/>
  <c r="G112" i="3"/>
  <c r="H112" i="3"/>
  <c r="J112" i="3"/>
  <c r="K112" i="3"/>
  <c r="L112" i="3"/>
  <c r="M112" i="3"/>
  <c r="O112" i="3"/>
  <c r="P112" i="3"/>
  <c r="Q112" i="3"/>
  <c r="R112" i="3"/>
  <c r="T112" i="3"/>
  <c r="D113" i="3"/>
  <c r="I113" i="3"/>
  <c r="F113" i="3"/>
  <c r="G113" i="3"/>
  <c r="H113" i="3"/>
  <c r="J113" i="3"/>
  <c r="K113" i="3"/>
  <c r="L113" i="3"/>
  <c r="M113" i="3"/>
  <c r="N113" i="3" s="1"/>
  <c r="O113" i="3"/>
  <c r="P113" i="3"/>
  <c r="Q113" i="3"/>
  <c r="R113" i="3"/>
  <c r="S113" i="3" s="1"/>
  <c r="T113" i="3"/>
  <c r="D114" i="3"/>
  <c r="I114" i="3"/>
  <c r="F114" i="3"/>
  <c r="G114" i="3"/>
  <c r="H114" i="3"/>
  <c r="J114" i="3"/>
  <c r="K114" i="3"/>
  <c r="L114" i="3"/>
  <c r="M114" i="3"/>
  <c r="O114" i="3"/>
  <c r="P114" i="3"/>
  <c r="Q114" i="3"/>
  <c r="R114" i="3"/>
  <c r="T114" i="3"/>
  <c r="D115" i="3"/>
  <c r="I115" i="3"/>
  <c r="F115" i="3"/>
  <c r="G115" i="3"/>
  <c r="H115" i="3"/>
  <c r="J115" i="3"/>
  <c r="K115" i="3"/>
  <c r="L115" i="3"/>
  <c r="M115" i="3"/>
  <c r="N115" i="3" s="1"/>
  <c r="O115" i="3"/>
  <c r="P115" i="3"/>
  <c r="Q115" i="3"/>
  <c r="R115" i="3"/>
  <c r="S115" i="3" s="1"/>
  <c r="T115" i="3"/>
  <c r="D116" i="3"/>
  <c r="I116" i="3"/>
  <c r="F116" i="3"/>
  <c r="G116" i="3"/>
  <c r="H116" i="3"/>
  <c r="J116" i="3"/>
  <c r="K116" i="3"/>
  <c r="L116" i="3"/>
  <c r="M116" i="3"/>
  <c r="O116" i="3"/>
  <c r="P116" i="3"/>
  <c r="Q116" i="3"/>
  <c r="R116" i="3"/>
  <c r="T116" i="3"/>
  <c r="D117" i="3"/>
  <c r="I117" i="3"/>
  <c r="F117" i="3"/>
  <c r="G117" i="3"/>
  <c r="H117" i="3"/>
  <c r="J117" i="3"/>
  <c r="K117" i="3"/>
  <c r="L117" i="3"/>
  <c r="M117" i="3"/>
  <c r="N117" i="3" s="1"/>
  <c r="O117" i="3"/>
  <c r="P117" i="3"/>
  <c r="Q117" i="3"/>
  <c r="R117" i="3"/>
  <c r="S117" i="3" s="1"/>
  <c r="T117" i="3"/>
  <c r="D118" i="3"/>
  <c r="I118" i="3"/>
  <c r="F118" i="3"/>
  <c r="G118" i="3"/>
  <c r="H118" i="3"/>
  <c r="J118" i="3"/>
  <c r="K118" i="3"/>
  <c r="L118" i="3"/>
  <c r="M118" i="3"/>
  <c r="O118" i="3"/>
  <c r="P118" i="3"/>
  <c r="Q118" i="3"/>
  <c r="R118" i="3"/>
  <c r="T118" i="3"/>
  <c r="D119" i="3"/>
  <c r="I119" i="3"/>
  <c r="F119" i="3"/>
  <c r="G119" i="3"/>
  <c r="H119" i="3"/>
  <c r="J119" i="3"/>
  <c r="K119" i="3"/>
  <c r="L119" i="3"/>
  <c r="M119" i="3"/>
  <c r="N119" i="3" s="1"/>
  <c r="O119" i="3"/>
  <c r="P119" i="3"/>
  <c r="Q119" i="3"/>
  <c r="R119" i="3"/>
  <c r="S119" i="3" s="1"/>
  <c r="T119" i="3"/>
  <c r="D120" i="3"/>
  <c r="I120" i="3"/>
  <c r="F120" i="3"/>
  <c r="G120" i="3"/>
  <c r="H120" i="3"/>
  <c r="J120" i="3"/>
  <c r="K120" i="3"/>
  <c r="L120" i="3"/>
  <c r="M120" i="3"/>
  <c r="O120" i="3"/>
  <c r="P120" i="3"/>
  <c r="Q120" i="3"/>
  <c r="R120" i="3"/>
  <c r="T120" i="3"/>
  <c r="D121" i="3"/>
  <c r="I121" i="3"/>
  <c r="F121" i="3"/>
  <c r="G121" i="3"/>
  <c r="H121" i="3"/>
  <c r="J121" i="3"/>
  <c r="K121" i="3"/>
  <c r="L121" i="3"/>
  <c r="M121" i="3"/>
  <c r="N121" i="3" s="1"/>
  <c r="O121" i="3"/>
  <c r="P121" i="3"/>
  <c r="Q121" i="3"/>
  <c r="R121" i="3"/>
  <c r="S121" i="3" s="1"/>
  <c r="T121" i="3"/>
  <c r="D122" i="3"/>
  <c r="I122" i="3"/>
  <c r="F122" i="3"/>
  <c r="G122" i="3"/>
  <c r="H122" i="3"/>
  <c r="J122" i="3"/>
  <c r="K122" i="3"/>
  <c r="L122" i="3"/>
  <c r="M122" i="3"/>
  <c r="O122" i="3"/>
  <c r="P122" i="3"/>
  <c r="Q122" i="3"/>
  <c r="R122" i="3"/>
  <c r="T122" i="3"/>
  <c r="D123" i="3"/>
  <c r="I123" i="3"/>
  <c r="F123" i="3"/>
  <c r="G123" i="3"/>
  <c r="H123" i="3"/>
  <c r="J123" i="3"/>
  <c r="K123" i="3"/>
  <c r="L123" i="3"/>
  <c r="M123" i="3"/>
  <c r="N123" i="3" s="1"/>
  <c r="O123" i="3"/>
  <c r="P123" i="3"/>
  <c r="Q123" i="3"/>
  <c r="R123" i="3"/>
  <c r="S123" i="3" s="1"/>
  <c r="T123" i="3"/>
  <c r="D124" i="3"/>
  <c r="I124" i="3"/>
  <c r="F124" i="3"/>
  <c r="G124" i="3"/>
  <c r="H124" i="3"/>
  <c r="J124" i="3"/>
  <c r="K124" i="3"/>
  <c r="L124" i="3"/>
  <c r="M124" i="3"/>
  <c r="O124" i="3"/>
  <c r="P124" i="3"/>
  <c r="Q124" i="3"/>
  <c r="R124" i="3"/>
  <c r="T124" i="3"/>
  <c r="D125" i="3"/>
  <c r="I125" i="3"/>
  <c r="F125" i="3"/>
  <c r="G125" i="3"/>
  <c r="H125" i="3"/>
  <c r="J125" i="3"/>
  <c r="K125" i="3"/>
  <c r="L125" i="3"/>
  <c r="M125" i="3"/>
  <c r="N125" i="3" s="1"/>
  <c r="O125" i="3"/>
  <c r="P125" i="3"/>
  <c r="Q125" i="3"/>
  <c r="R125" i="3"/>
  <c r="S125" i="3" s="1"/>
  <c r="T125" i="3"/>
  <c r="D126" i="3"/>
  <c r="I126" i="3"/>
  <c r="F126" i="3"/>
  <c r="G126" i="3"/>
  <c r="H126" i="3"/>
  <c r="J126" i="3"/>
  <c r="K126" i="3"/>
  <c r="L126" i="3"/>
  <c r="M126" i="3"/>
  <c r="O126" i="3"/>
  <c r="P126" i="3"/>
  <c r="Q126" i="3"/>
  <c r="R126" i="3"/>
  <c r="T126" i="3"/>
  <c r="D127" i="3"/>
  <c r="I127" i="3"/>
  <c r="F127" i="3"/>
  <c r="G127" i="3"/>
  <c r="H127" i="3"/>
  <c r="J127" i="3"/>
  <c r="K127" i="3"/>
  <c r="L127" i="3"/>
  <c r="M127" i="3"/>
  <c r="N127" i="3" s="1"/>
  <c r="O127" i="3"/>
  <c r="P127" i="3"/>
  <c r="Q127" i="3"/>
  <c r="R127" i="3"/>
  <c r="S127" i="3" s="1"/>
  <c r="T127" i="3"/>
  <c r="D128" i="3"/>
  <c r="I128" i="3"/>
  <c r="F128" i="3"/>
  <c r="G128" i="3"/>
  <c r="H128" i="3"/>
  <c r="J128" i="3"/>
  <c r="K128" i="3"/>
  <c r="L128" i="3"/>
  <c r="M128" i="3"/>
  <c r="O128" i="3"/>
  <c r="P128" i="3"/>
  <c r="Q128" i="3"/>
  <c r="R128" i="3"/>
  <c r="T128" i="3"/>
  <c r="D129" i="3"/>
  <c r="I129" i="3"/>
  <c r="F129" i="3"/>
  <c r="G129" i="3"/>
  <c r="H129" i="3"/>
  <c r="J129" i="3"/>
  <c r="K129" i="3"/>
  <c r="L129" i="3"/>
  <c r="M129" i="3"/>
  <c r="N129" i="3" s="1"/>
  <c r="O129" i="3"/>
  <c r="P129" i="3"/>
  <c r="Q129" i="3"/>
  <c r="R129" i="3"/>
  <c r="S129" i="3" s="1"/>
  <c r="T129" i="3"/>
  <c r="D130" i="3"/>
  <c r="I130" i="3"/>
  <c r="F130" i="3"/>
  <c r="G130" i="3"/>
  <c r="H130" i="3"/>
  <c r="J130" i="3"/>
  <c r="K130" i="3"/>
  <c r="L130" i="3"/>
  <c r="M130" i="3"/>
  <c r="O130" i="3"/>
  <c r="P130" i="3"/>
  <c r="Q130" i="3"/>
  <c r="R130" i="3"/>
  <c r="T130" i="3"/>
  <c r="D131" i="3"/>
  <c r="I131" i="3"/>
  <c r="F131" i="3"/>
  <c r="G131" i="3"/>
  <c r="H131" i="3"/>
  <c r="J131" i="3"/>
  <c r="K131" i="3"/>
  <c r="L131" i="3"/>
  <c r="M131" i="3"/>
  <c r="N131" i="3" s="1"/>
  <c r="O131" i="3"/>
  <c r="P131" i="3"/>
  <c r="Q131" i="3"/>
  <c r="R131" i="3"/>
  <c r="S131" i="3" s="1"/>
  <c r="T131" i="3"/>
  <c r="D132" i="3"/>
  <c r="I132" i="3"/>
  <c r="F132" i="3"/>
  <c r="G132" i="3"/>
  <c r="H132" i="3"/>
  <c r="J132" i="3"/>
  <c r="K132" i="3"/>
  <c r="L132" i="3"/>
  <c r="M132" i="3"/>
  <c r="O132" i="3"/>
  <c r="P132" i="3"/>
  <c r="Q132" i="3"/>
  <c r="R132" i="3"/>
  <c r="T132" i="3"/>
  <c r="D133" i="3"/>
  <c r="I133" i="3"/>
  <c r="F133" i="3"/>
  <c r="G133" i="3"/>
  <c r="H133" i="3"/>
  <c r="J133" i="3"/>
  <c r="K133" i="3"/>
  <c r="L133" i="3"/>
  <c r="M133" i="3"/>
  <c r="N133" i="3" s="1"/>
  <c r="O133" i="3"/>
  <c r="P133" i="3"/>
  <c r="Q133" i="3"/>
  <c r="R133" i="3"/>
  <c r="S133" i="3" s="1"/>
  <c r="T133" i="3"/>
  <c r="D134" i="3"/>
  <c r="I134" i="3"/>
  <c r="F134" i="3"/>
  <c r="G134" i="3"/>
  <c r="H134" i="3"/>
  <c r="J134" i="3"/>
  <c r="K134" i="3"/>
  <c r="L134" i="3"/>
  <c r="M134" i="3"/>
  <c r="O134" i="3"/>
  <c r="P134" i="3"/>
  <c r="Q134" i="3"/>
  <c r="R134" i="3"/>
  <c r="T134" i="3"/>
  <c r="D135" i="3"/>
  <c r="I135" i="3"/>
  <c r="F135" i="3"/>
  <c r="G135" i="3"/>
  <c r="H135" i="3"/>
  <c r="J135" i="3"/>
  <c r="K135" i="3"/>
  <c r="L135" i="3"/>
  <c r="M135" i="3"/>
  <c r="N135" i="3" s="1"/>
  <c r="O135" i="3"/>
  <c r="P135" i="3"/>
  <c r="Q135" i="3"/>
  <c r="R135" i="3"/>
  <c r="S135" i="3" s="1"/>
  <c r="T135" i="3"/>
  <c r="D136" i="3"/>
  <c r="I136" i="3"/>
  <c r="F136" i="3"/>
  <c r="G136" i="3"/>
  <c r="H136" i="3"/>
  <c r="J136" i="3"/>
  <c r="K136" i="3"/>
  <c r="L136" i="3"/>
  <c r="M136" i="3"/>
  <c r="O136" i="3"/>
  <c r="P136" i="3"/>
  <c r="Q136" i="3"/>
  <c r="R136" i="3"/>
  <c r="T136" i="3"/>
  <c r="D137" i="3"/>
  <c r="I137" i="3"/>
  <c r="F137" i="3"/>
  <c r="G137" i="3"/>
  <c r="H137" i="3"/>
  <c r="J137" i="3"/>
  <c r="K137" i="3"/>
  <c r="L137" i="3"/>
  <c r="M137" i="3"/>
  <c r="N137" i="3" s="1"/>
  <c r="O137" i="3"/>
  <c r="P137" i="3"/>
  <c r="Q137" i="3"/>
  <c r="R137" i="3"/>
  <c r="S137" i="3" s="1"/>
  <c r="T137" i="3"/>
  <c r="D138" i="3"/>
  <c r="I138" i="3"/>
  <c r="F138" i="3"/>
  <c r="G138" i="3"/>
  <c r="H138" i="3"/>
  <c r="J138" i="3"/>
  <c r="K138" i="3"/>
  <c r="L138" i="3"/>
  <c r="M138" i="3"/>
  <c r="O138" i="3"/>
  <c r="P138" i="3"/>
  <c r="Q138" i="3"/>
  <c r="R138" i="3"/>
  <c r="T138" i="3"/>
  <c r="D139" i="3"/>
  <c r="I139" i="3"/>
  <c r="F139" i="3"/>
  <c r="G139" i="3"/>
  <c r="H139" i="3"/>
  <c r="J139" i="3"/>
  <c r="K139" i="3"/>
  <c r="L139" i="3"/>
  <c r="M139" i="3"/>
  <c r="N139" i="3" s="1"/>
  <c r="O139" i="3"/>
  <c r="P139" i="3"/>
  <c r="Q139" i="3"/>
  <c r="R139" i="3"/>
  <c r="S139" i="3" s="1"/>
  <c r="T139" i="3"/>
  <c r="D140" i="3"/>
  <c r="I140" i="3"/>
  <c r="F140" i="3"/>
  <c r="G140" i="3"/>
  <c r="H140" i="3"/>
  <c r="J140" i="3"/>
  <c r="K140" i="3"/>
  <c r="L140" i="3"/>
  <c r="M140" i="3"/>
  <c r="O140" i="3"/>
  <c r="P140" i="3"/>
  <c r="Q140" i="3"/>
  <c r="R140" i="3"/>
  <c r="T140" i="3"/>
  <c r="D141" i="3"/>
  <c r="I141" i="3"/>
  <c r="F141" i="3"/>
  <c r="G141" i="3"/>
  <c r="H141" i="3"/>
  <c r="J141" i="3"/>
  <c r="K141" i="3"/>
  <c r="L141" i="3"/>
  <c r="M141" i="3"/>
  <c r="N141" i="3" s="1"/>
  <c r="O141" i="3"/>
  <c r="P141" i="3"/>
  <c r="Q141" i="3"/>
  <c r="R141" i="3"/>
  <c r="S141" i="3" s="1"/>
  <c r="T141" i="3"/>
  <c r="D142" i="3"/>
  <c r="I142" i="3"/>
  <c r="F142" i="3"/>
  <c r="G142" i="3"/>
  <c r="H142" i="3"/>
  <c r="J142" i="3"/>
  <c r="K142" i="3"/>
  <c r="L142" i="3"/>
  <c r="M142" i="3"/>
  <c r="O142" i="3"/>
  <c r="P142" i="3"/>
  <c r="Q142" i="3"/>
  <c r="R142" i="3"/>
  <c r="T142" i="3"/>
  <c r="D143" i="3"/>
  <c r="I143" i="3"/>
  <c r="F143" i="3"/>
  <c r="G143" i="3"/>
  <c r="H143" i="3"/>
  <c r="J143" i="3"/>
  <c r="K143" i="3"/>
  <c r="L143" i="3"/>
  <c r="M143" i="3"/>
  <c r="N143" i="3" s="1"/>
  <c r="O143" i="3"/>
  <c r="P143" i="3"/>
  <c r="Q143" i="3"/>
  <c r="R143" i="3"/>
  <c r="S143" i="3" s="1"/>
  <c r="T143" i="3"/>
  <c r="D144" i="3"/>
  <c r="I144" i="3"/>
  <c r="F144" i="3"/>
  <c r="G144" i="3"/>
  <c r="H144" i="3"/>
  <c r="J144" i="3"/>
  <c r="K144" i="3"/>
  <c r="L144" i="3"/>
  <c r="M144" i="3"/>
  <c r="O144" i="3"/>
  <c r="P144" i="3"/>
  <c r="Q144" i="3"/>
  <c r="R144" i="3"/>
  <c r="T144" i="3"/>
  <c r="D145" i="3"/>
  <c r="I145" i="3"/>
  <c r="F145" i="3"/>
  <c r="G145" i="3"/>
  <c r="H145" i="3"/>
  <c r="J145" i="3"/>
  <c r="K145" i="3"/>
  <c r="L145" i="3"/>
  <c r="M145" i="3"/>
  <c r="N145" i="3" s="1"/>
  <c r="O145" i="3"/>
  <c r="P145" i="3"/>
  <c r="Q145" i="3"/>
  <c r="R145" i="3"/>
  <c r="S145" i="3" s="1"/>
  <c r="T145" i="3"/>
  <c r="D146" i="3"/>
  <c r="I146" i="3"/>
  <c r="F146" i="3"/>
  <c r="G146" i="3"/>
  <c r="H146" i="3"/>
  <c r="J146" i="3"/>
  <c r="K146" i="3"/>
  <c r="L146" i="3"/>
  <c r="M146" i="3"/>
  <c r="O146" i="3"/>
  <c r="P146" i="3"/>
  <c r="Q146" i="3"/>
  <c r="R146" i="3"/>
  <c r="T146" i="3"/>
  <c r="D147" i="3"/>
  <c r="I147" i="3"/>
  <c r="F147" i="3"/>
  <c r="G147" i="3"/>
  <c r="H147" i="3"/>
  <c r="J147" i="3"/>
  <c r="K147" i="3"/>
  <c r="L147" i="3"/>
  <c r="M147" i="3"/>
  <c r="N147" i="3" s="1"/>
  <c r="O147" i="3"/>
  <c r="P147" i="3"/>
  <c r="Q147" i="3"/>
  <c r="R147" i="3"/>
  <c r="S147" i="3" s="1"/>
  <c r="T147" i="3"/>
  <c r="D148" i="3"/>
  <c r="I148" i="3"/>
  <c r="F148" i="3"/>
  <c r="G148" i="3"/>
  <c r="H148" i="3"/>
  <c r="J148" i="3"/>
  <c r="K148" i="3"/>
  <c r="L148" i="3"/>
  <c r="M148" i="3"/>
  <c r="O148" i="3"/>
  <c r="P148" i="3"/>
  <c r="Q148" i="3"/>
  <c r="R148" i="3"/>
  <c r="T148" i="3"/>
  <c r="D149" i="3"/>
  <c r="I149" i="3"/>
  <c r="F149" i="3"/>
  <c r="G149" i="3"/>
  <c r="H149" i="3"/>
  <c r="J149" i="3"/>
  <c r="K149" i="3"/>
  <c r="L149" i="3"/>
  <c r="M149" i="3"/>
  <c r="N149" i="3" s="1"/>
  <c r="O149" i="3"/>
  <c r="P149" i="3"/>
  <c r="Q149" i="3"/>
  <c r="R149" i="3"/>
  <c r="S149" i="3" s="1"/>
  <c r="T149" i="3"/>
  <c r="D150" i="3"/>
  <c r="I150" i="3"/>
  <c r="F150" i="3"/>
  <c r="G150" i="3"/>
  <c r="H150" i="3"/>
  <c r="J150" i="3"/>
  <c r="K150" i="3"/>
  <c r="L150" i="3"/>
  <c r="M150" i="3"/>
  <c r="O150" i="3"/>
  <c r="P150" i="3"/>
  <c r="Q150" i="3"/>
  <c r="R150" i="3"/>
  <c r="T150" i="3"/>
  <c r="D151" i="3"/>
  <c r="I151" i="3"/>
  <c r="F151" i="3"/>
  <c r="G151" i="3"/>
  <c r="H151" i="3"/>
  <c r="J151" i="3"/>
  <c r="K151" i="3"/>
  <c r="L151" i="3"/>
  <c r="M151" i="3"/>
  <c r="N151" i="3" s="1"/>
  <c r="O151" i="3"/>
  <c r="P151" i="3"/>
  <c r="Q151" i="3"/>
  <c r="R151" i="3"/>
  <c r="S151" i="3" s="1"/>
  <c r="T151" i="3"/>
  <c r="D152" i="3"/>
  <c r="I152" i="3"/>
  <c r="F152" i="3"/>
  <c r="G152" i="3"/>
  <c r="H152" i="3"/>
  <c r="J152" i="3"/>
  <c r="K152" i="3"/>
  <c r="L152" i="3"/>
  <c r="M152" i="3"/>
  <c r="O152" i="3"/>
  <c r="P152" i="3"/>
  <c r="Q152" i="3"/>
  <c r="R152" i="3"/>
  <c r="T152" i="3"/>
  <c r="D153" i="3"/>
  <c r="I153" i="3"/>
  <c r="F153" i="3"/>
  <c r="G153" i="3"/>
  <c r="H153" i="3"/>
  <c r="J153" i="3"/>
  <c r="K153" i="3"/>
  <c r="L153" i="3"/>
  <c r="M153" i="3"/>
  <c r="N153" i="3" s="1"/>
  <c r="O153" i="3"/>
  <c r="P153" i="3"/>
  <c r="Q153" i="3"/>
  <c r="R153" i="3"/>
  <c r="S153" i="3" s="1"/>
  <c r="T153" i="3"/>
  <c r="D154" i="3"/>
  <c r="I154" i="3"/>
  <c r="F154" i="3"/>
  <c r="G154" i="3"/>
  <c r="H154" i="3"/>
  <c r="J154" i="3"/>
  <c r="K154" i="3"/>
  <c r="L154" i="3"/>
  <c r="M154" i="3"/>
  <c r="O154" i="3"/>
  <c r="P154" i="3"/>
  <c r="Q154" i="3"/>
  <c r="R154" i="3"/>
  <c r="T154" i="3"/>
  <c r="D155" i="3"/>
  <c r="I155" i="3"/>
  <c r="F155" i="3"/>
  <c r="G155" i="3"/>
  <c r="H155" i="3"/>
  <c r="J155" i="3"/>
  <c r="K155" i="3"/>
  <c r="L155" i="3"/>
  <c r="M155" i="3"/>
  <c r="N155" i="3" s="1"/>
  <c r="O155" i="3"/>
  <c r="P155" i="3"/>
  <c r="Q155" i="3"/>
  <c r="R155" i="3"/>
  <c r="S155" i="3" s="1"/>
  <c r="T155" i="3"/>
  <c r="D156" i="3"/>
  <c r="I156" i="3"/>
  <c r="F156" i="3"/>
  <c r="G156" i="3"/>
  <c r="H156" i="3"/>
  <c r="J156" i="3"/>
  <c r="K156" i="3"/>
  <c r="L156" i="3"/>
  <c r="M156" i="3"/>
  <c r="O156" i="3"/>
  <c r="P156" i="3"/>
  <c r="Q156" i="3"/>
  <c r="R156" i="3"/>
  <c r="T156" i="3"/>
  <c r="D157" i="3"/>
  <c r="I157" i="3"/>
  <c r="F157" i="3"/>
  <c r="G157" i="3"/>
  <c r="H157" i="3"/>
  <c r="J157" i="3"/>
  <c r="K157" i="3"/>
  <c r="L157" i="3"/>
  <c r="M157" i="3"/>
  <c r="N157" i="3" s="1"/>
  <c r="O157" i="3"/>
  <c r="P157" i="3"/>
  <c r="Q157" i="3"/>
  <c r="R157" i="3"/>
  <c r="S157" i="3" s="1"/>
  <c r="T157" i="3"/>
  <c r="D158" i="3"/>
  <c r="I158" i="3"/>
  <c r="F158" i="3"/>
  <c r="G158" i="3"/>
  <c r="H158" i="3"/>
  <c r="J158" i="3"/>
  <c r="K158" i="3"/>
  <c r="L158" i="3"/>
  <c r="M158" i="3"/>
  <c r="O158" i="3"/>
  <c r="P158" i="3"/>
  <c r="Q158" i="3"/>
  <c r="R158" i="3"/>
  <c r="T158" i="3"/>
  <c r="D159" i="3"/>
  <c r="I159" i="3"/>
  <c r="F159" i="3"/>
  <c r="G159" i="3"/>
  <c r="H159" i="3"/>
  <c r="J159" i="3"/>
  <c r="K159" i="3"/>
  <c r="L159" i="3"/>
  <c r="M159" i="3"/>
  <c r="N159" i="3" s="1"/>
  <c r="O159" i="3"/>
  <c r="P159" i="3"/>
  <c r="Q159" i="3"/>
  <c r="R159" i="3"/>
  <c r="S159" i="3" s="1"/>
  <c r="T159" i="3"/>
  <c r="D160" i="3"/>
  <c r="I160" i="3"/>
  <c r="F160" i="3"/>
  <c r="G160" i="3"/>
  <c r="H160" i="3"/>
  <c r="J160" i="3"/>
  <c r="K160" i="3"/>
  <c r="L160" i="3"/>
  <c r="M160" i="3"/>
  <c r="O160" i="3"/>
  <c r="P160" i="3"/>
  <c r="Q160" i="3"/>
  <c r="R160" i="3"/>
  <c r="T160" i="3"/>
  <c r="D161" i="3"/>
  <c r="I161" i="3"/>
  <c r="F161" i="3"/>
  <c r="G161" i="3"/>
  <c r="H161" i="3"/>
  <c r="J161" i="3"/>
  <c r="K161" i="3"/>
  <c r="L161" i="3"/>
  <c r="M161" i="3"/>
  <c r="N161" i="3" s="1"/>
  <c r="O161" i="3"/>
  <c r="P161" i="3"/>
  <c r="Q161" i="3"/>
  <c r="R161" i="3"/>
  <c r="S161" i="3" s="1"/>
  <c r="T161" i="3"/>
  <c r="D162" i="3"/>
  <c r="I162" i="3"/>
  <c r="F162" i="3"/>
  <c r="G162" i="3"/>
  <c r="H162" i="3"/>
  <c r="J162" i="3"/>
  <c r="K162" i="3"/>
  <c r="L162" i="3"/>
  <c r="M162" i="3"/>
  <c r="O162" i="3"/>
  <c r="P162" i="3"/>
  <c r="Q162" i="3"/>
  <c r="R162" i="3"/>
  <c r="T162" i="3"/>
  <c r="D163" i="3"/>
  <c r="I163" i="3"/>
  <c r="F163" i="3"/>
  <c r="G163" i="3"/>
  <c r="H163" i="3"/>
  <c r="J163" i="3"/>
  <c r="K163" i="3"/>
  <c r="L163" i="3"/>
  <c r="M163" i="3"/>
  <c r="N163" i="3" s="1"/>
  <c r="O163" i="3"/>
  <c r="P163" i="3"/>
  <c r="Q163" i="3"/>
  <c r="R163" i="3"/>
  <c r="S163" i="3" s="1"/>
  <c r="T163" i="3"/>
  <c r="P62" i="7"/>
  <c r="P65" i="7"/>
  <c r="G5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BB10" i="3"/>
  <c r="B26" i="3"/>
  <c r="D35" i="4"/>
  <c r="T35" i="4"/>
  <c r="I35" i="4"/>
  <c r="H35" i="4"/>
  <c r="F35" i="4"/>
  <c r="G35" i="4"/>
  <c r="J35" i="4"/>
  <c r="K35" i="4"/>
  <c r="L35" i="4"/>
  <c r="M35" i="4"/>
  <c r="O35" i="4"/>
  <c r="P35" i="4"/>
  <c r="Q35" i="4"/>
  <c r="R35" i="4"/>
  <c r="D36" i="4"/>
  <c r="I36" i="4"/>
  <c r="H36" i="4"/>
  <c r="F36" i="4"/>
  <c r="G36" i="4"/>
  <c r="J36" i="4"/>
  <c r="K36" i="4"/>
  <c r="L36" i="4"/>
  <c r="M36" i="4"/>
  <c r="O36" i="4"/>
  <c r="P36" i="4"/>
  <c r="Q36" i="4"/>
  <c r="R36" i="4"/>
  <c r="T36" i="4"/>
  <c r="D37" i="4"/>
  <c r="I37" i="4"/>
  <c r="H37" i="4"/>
  <c r="F37" i="4"/>
  <c r="G37" i="4"/>
  <c r="J37" i="4"/>
  <c r="K37" i="4"/>
  <c r="L37" i="4"/>
  <c r="M37" i="4"/>
  <c r="O37" i="4"/>
  <c r="P37" i="4"/>
  <c r="Q37" i="4"/>
  <c r="R37" i="4"/>
  <c r="T37" i="4"/>
  <c r="D38" i="4"/>
  <c r="I38" i="4"/>
  <c r="H38" i="4"/>
  <c r="F38" i="4"/>
  <c r="G38" i="4"/>
  <c r="J38" i="4"/>
  <c r="K38" i="4"/>
  <c r="L38" i="4"/>
  <c r="M38" i="4"/>
  <c r="O38" i="4"/>
  <c r="P38" i="4"/>
  <c r="Q38" i="4"/>
  <c r="R38" i="4"/>
  <c r="T38" i="4"/>
  <c r="D39" i="4"/>
  <c r="I39" i="4"/>
  <c r="H39" i="4"/>
  <c r="F39" i="4"/>
  <c r="G39" i="4"/>
  <c r="J39" i="4"/>
  <c r="K39" i="4"/>
  <c r="L39" i="4"/>
  <c r="M39" i="4"/>
  <c r="O39" i="4"/>
  <c r="P39" i="4"/>
  <c r="Q39" i="4"/>
  <c r="R39" i="4"/>
  <c r="T39" i="4"/>
  <c r="D40" i="4"/>
  <c r="I40" i="4"/>
  <c r="H40" i="4"/>
  <c r="F40" i="4"/>
  <c r="G40" i="4"/>
  <c r="J40" i="4"/>
  <c r="K40" i="4"/>
  <c r="L40" i="4"/>
  <c r="M40" i="4"/>
  <c r="O40" i="4"/>
  <c r="P40" i="4"/>
  <c r="Q40" i="4"/>
  <c r="R40" i="4"/>
  <c r="T40" i="4"/>
  <c r="D41" i="4"/>
  <c r="I41" i="4"/>
  <c r="H41" i="4"/>
  <c r="F41" i="4"/>
  <c r="G41" i="4"/>
  <c r="J41" i="4"/>
  <c r="K41" i="4"/>
  <c r="L41" i="4"/>
  <c r="M41" i="4"/>
  <c r="O41" i="4"/>
  <c r="P41" i="4"/>
  <c r="Q41" i="4"/>
  <c r="R41" i="4"/>
  <c r="T41" i="4"/>
  <c r="D42" i="4"/>
  <c r="I42" i="4"/>
  <c r="H42" i="4"/>
  <c r="F42" i="4"/>
  <c r="G42" i="4"/>
  <c r="J42" i="4"/>
  <c r="K42" i="4"/>
  <c r="L42" i="4"/>
  <c r="M42" i="4"/>
  <c r="O42" i="4"/>
  <c r="P42" i="4"/>
  <c r="Q42" i="4"/>
  <c r="R42" i="4"/>
  <c r="T42" i="4"/>
  <c r="G1" i="4"/>
  <c r="B15" i="3"/>
  <c r="C15" i="3"/>
  <c r="G148" i="4"/>
  <c r="T147" i="4"/>
  <c r="R147" i="4"/>
  <c r="Q147" i="4"/>
  <c r="P147" i="4"/>
  <c r="O147" i="4"/>
  <c r="K147" i="4"/>
  <c r="G147" i="4"/>
  <c r="T146" i="4"/>
  <c r="R146" i="4"/>
  <c r="Q146" i="4"/>
  <c r="P146" i="4"/>
  <c r="O146" i="4"/>
  <c r="K146" i="4"/>
  <c r="G146" i="4"/>
  <c r="T145" i="4"/>
  <c r="R145" i="4"/>
  <c r="Q145" i="4"/>
  <c r="P145" i="4"/>
  <c r="O145" i="4"/>
  <c r="K145" i="4"/>
  <c r="G145" i="4"/>
  <c r="T144" i="4"/>
  <c r="R144" i="4"/>
  <c r="Q144" i="4"/>
  <c r="P144" i="4"/>
  <c r="O144" i="4"/>
  <c r="K144" i="4"/>
  <c r="J144" i="4"/>
  <c r="G144" i="4"/>
  <c r="T143" i="4"/>
  <c r="R143" i="4"/>
  <c r="Q143" i="4"/>
  <c r="P143" i="4"/>
  <c r="O143" i="4"/>
  <c r="K143" i="4"/>
  <c r="J143" i="4"/>
  <c r="G143" i="4"/>
  <c r="T142" i="4"/>
  <c r="R142" i="4"/>
  <c r="Q142" i="4"/>
  <c r="P142" i="4"/>
  <c r="O142" i="4"/>
  <c r="K142" i="4"/>
  <c r="J142" i="4"/>
  <c r="G142" i="4"/>
  <c r="T141" i="4"/>
  <c r="R141" i="4"/>
  <c r="Q141" i="4"/>
  <c r="P141" i="4"/>
  <c r="O141" i="4"/>
  <c r="M141" i="4"/>
  <c r="K141" i="4"/>
  <c r="J141" i="4"/>
  <c r="G141" i="4"/>
  <c r="T140" i="4"/>
  <c r="R140" i="4"/>
  <c r="Q140" i="4"/>
  <c r="P140" i="4"/>
  <c r="O140" i="4"/>
  <c r="M140" i="4"/>
  <c r="K140" i="4"/>
  <c r="J140" i="4"/>
  <c r="G140" i="4"/>
  <c r="T139" i="4"/>
  <c r="R139" i="4"/>
  <c r="Q139" i="4"/>
  <c r="P139" i="4"/>
  <c r="O139" i="4"/>
  <c r="M139" i="4"/>
  <c r="K139" i="4"/>
  <c r="J139" i="4"/>
  <c r="G139" i="4"/>
  <c r="T138" i="4"/>
  <c r="R138" i="4"/>
  <c r="S138" i="4" s="1"/>
  <c r="Q138" i="4"/>
  <c r="P138" i="4"/>
  <c r="O138" i="4"/>
  <c r="M138" i="4"/>
  <c r="K138" i="4"/>
  <c r="J138" i="4"/>
  <c r="G138" i="4"/>
  <c r="T137" i="4"/>
  <c r="R137" i="4"/>
  <c r="Q137" i="4"/>
  <c r="P137" i="4"/>
  <c r="O137" i="4"/>
  <c r="M137" i="4"/>
  <c r="K137" i="4"/>
  <c r="J137" i="4"/>
  <c r="G137" i="4"/>
  <c r="T136" i="4"/>
  <c r="R136" i="4"/>
  <c r="Q136" i="4"/>
  <c r="P136" i="4"/>
  <c r="O136" i="4"/>
  <c r="M136" i="4"/>
  <c r="K136" i="4"/>
  <c r="J136" i="4"/>
  <c r="G136" i="4"/>
  <c r="T135" i="4"/>
  <c r="R135" i="4"/>
  <c r="Q135" i="4"/>
  <c r="P135" i="4"/>
  <c r="O135" i="4"/>
  <c r="M135" i="4"/>
  <c r="K135" i="4"/>
  <c r="J135" i="4"/>
  <c r="H135" i="4"/>
  <c r="G135" i="4"/>
  <c r="T134" i="4"/>
  <c r="R134" i="4"/>
  <c r="Q134" i="4"/>
  <c r="P134" i="4"/>
  <c r="O134" i="4"/>
  <c r="M134" i="4"/>
  <c r="K134" i="4"/>
  <c r="J134" i="4"/>
  <c r="I134" i="4"/>
  <c r="H134" i="4"/>
  <c r="G134" i="4"/>
  <c r="T133" i="4"/>
  <c r="R133" i="4"/>
  <c r="Q133" i="4"/>
  <c r="P133" i="4"/>
  <c r="O133" i="4"/>
  <c r="M133" i="4"/>
  <c r="K133" i="4"/>
  <c r="J133" i="4"/>
  <c r="I133" i="4"/>
  <c r="H133" i="4"/>
  <c r="G133" i="4"/>
  <c r="T132" i="4"/>
  <c r="R132" i="4"/>
  <c r="Q132" i="4"/>
  <c r="P132" i="4"/>
  <c r="O132" i="4"/>
  <c r="M132" i="4"/>
  <c r="K132" i="4"/>
  <c r="J132" i="4"/>
  <c r="I132" i="4"/>
  <c r="H132" i="4"/>
  <c r="G132" i="4"/>
  <c r="T131" i="4"/>
  <c r="R131" i="4"/>
  <c r="Q131" i="4"/>
  <c r="P131" i="4"/>
  <c r="O131" i="4"/>
  <c r="M131" i="4"/>
  <c r="K131" i="4"/>
  <c r="J131" i="4"/>
  <c r="I131" i="4"/>
  <c r="H131" i="4"/>
  <c r="G131" i="4"/>
  <c r="T130" i="4"/>
  <c r="R130" i="4"/>
  <c r="Q130" i="4"/>
  <c r="P130" i="4"/>
  <c r="O130" i="4"/>
  <c r="M130" i="4"/>
  <c r="K130" i="4"/>
  <c r="J130" i="4"/>
  <c r="I130" i="4"/>
  <c r="H130" i="4"/>
  <c r="G130" i="4"/>
  <c r="T129" i="4"/>
  <c r="R129" i="4"/>
  <c r="Q129" i="4"/>
  <c r="P129" i="4"/>
  <c r="O129" i="4"/>
  <c r="M129" i="4"/>
  <c r="K129" i="4"/>
  <c r="J129" i="4"/>
  <c r="I129" i="4"/>
  <c r="H129" i="4"/>
  <c r="G129" i="4"/>
  <c r="T128" i="4"/>
  <c r="R128" i="4"/>
  <c r="Q128" i="4"/>
  <c r="P128" i="4"/>
  <c r="O128" i="4"/>
  <c r="M128" i="4"/>
  <c r="K128" i="4"/>
  <c r="J128" i="4"/>
  <c r="I128" i="4"/>
  <c r="H128" i="4"/>
  <c r="G128" i="4"/>
  <c r="T127" i="4"/>
  <c r="R127" i="4"/>
  <c r="Q127" i="4"/>
  <c r="P127" i="4"/>
  <c r="O127" i="4"/>
  <c r="M127" i="4"/>
  <c r="K127" i="4"/>
  <c r="J127" i="4"/>
  <c r="I127" i="4"/>
  <c r="H127" i="4"/>
  <c r="G127" i="4"/>
  <c r="T126" i="4"/>
  <c r="R126" i="4"/>
  <c r="Q126" i="4"/>
  <c r="P126" i="4"/>
  <c r="O126" i="4"/>
  <c r="M126" i="4"/>
  <c r="K126" i="4"/>
  <c r="J126" i="4"/>
  <c r="I126" i="4"/>
  <c r="H126" i="4"/>
  <c r="G126" i="4"/>
  <c r="T125" i="4"/>
  <c r="R125" i="4"/>
  <c r="Q125" i="4"/>
  <c r="P125" i="4"/>
  <c r="O125" i="4"/>
  <c r="M125" i="4"/>
  <c r="K125" i="4"/>
  <c r="J125" i="4"/>
  <c r="I125" i="4"/>
  <c r="H125" i="4"/>
  <c r="G125" i="4"/>
  <c r="T124" i="4"/>
  <c r="R124" i="4"/>
  <c r="Q124" i="4"/>
  <c r="P124" i="4"/>
  <c r="O124" i="4"/>
  <c r="M124" i="4"/>
  <c r="K124" i="4"/>
  <c r="J124" i="4"/>
  <c r="I124" i="4"/>
  <c r="H124" i="4"/>
  <c r="G124" i="4"/>
  <c r="T123" i="4"/>
  <c r="R123" i="4"/>
  <c r="Q123" i="4"/>
  <c r="P123" i="4"/>
  <c r="O123" i="4"/>
  <c r="M123" i="4"/>
  <c r="K123" i="4"/>
  <c r="J123" i="4"/>
  <c r="I123" i="4"/>
  <c r="H123" i="4"/>
  <c r="G123" i="4"/>
  <c r="T122" i="4"/>
  <c r="R122" i="4"/>
  <c r="Q122" i="4"/>
  <c r="P122" i="4"/>
  <c r="O122" i="4"/>
  <c r="M122" i="4"/>
  <c r="K122" i="4"/>
  <c r="J122" i="4"/>
  <c r="I122" i="4"/>
  <c r="H122" i="4"/>
  <c r="G122" i="4"/>
  <c r="T121" i="4"/>
  <c r="R121" i="4"/>
  <c r="Q121" i="4"/>
  <c r="P121" i="4"/>
  <c r="O121" i="4"/>
  <c r="M121" i="4"/>
  <c r="K121" i="4"/>
  <c r="J121" i="4"/>
  <c r="I121" i="4"/>
  <c r="H121" i="4"/>
  <c r="G121" i="4"/>
  <c r="T120" i="4"/>
  <c r="R120" i="4"/>
  <c r="Q120" i="4"/>
  <c r="P120" i="4"/>
  <c r="O120" i="4"/>
  <c r="M120" i="4"/>
  <c r="K120" i="4"/>
  <c r="J120" i="4"/>
  <c r="I120" i="4"/>
  <c r="H120" i="4"/>
  <c r="G120" i="4"/>
  <c r="T119" i="4"/>
  <c r="R119" i="4"/>
  <c r="Q119" i="4"/>
  <c r="P119" i="4"/>
  <c r="O119" i="4"/>
  <c r="M119" i="4"/>
  <c r="K119" i="4"/>
  <c r="J119" i="4"/>
  <c r="I119" i="4"/>
  <c r="H119" i="4"/>
  <c r="G119" i="4"/>
  <c r="T118" i="4"/>
  <c r="R118" i="4"/>
  <c r="Q118" i="4"/>
  <c r="P118" i="4"/>
  <c r="O118" i="4"/>
  <c r="M118" i="4"/>
  <c r="K118" i="4"/>
  <c r="J118" i="4"/>
  <c r="I118" i="4"/>
  <c r="H118" i="4"/>
  <c r="G118" i="4"/>
  <c r="T117" i="4"/>
  <c r="R117" i="4"/>
  <c r="Q117" i="4"/>
  <c r="P117" i="4"/>
  <c r="O117" i="4"/>
  <c r="M117" i="4"/>
  <c r="K117" i="4"/>
  <c r="J117" i="4"/>
  <c r="I117" i="4"/>
  <c r="H117" i="4"/>
  <c r="G117" i="4"/>
  <c r="T116" i="4"/>
  <c r="R116" i="4"/>
  <c r="Q116" i="4"/>
  <c r="P116" i="4"/>
  <c r="O116" i="4"/>
  <c r="M116" i="4"/>
  <c r="K116" i="4"/>
  <c r="J116" i="4"/>
  <c r="I116" i="4"/>
  <c r="H116" i="4"/>
  <c r="G116" i="4"/>
  <c r="T115" i="4"/>
  <c r="R115" i="4"/>
  <c r="Q115" i="4"/>
  <c r="P115" i="4"/>
  <c r="O115" i="4"/>
  <c r="M115" i="4"/>
  <c r="K115" i="4"/>
  <c r="J115" i="4"/>
  <c r="I115" i="4"/>
  <c r="H115" i="4"/>
  <c r="G115" i="4"/>
  <c r="T114" i="4"/>
  <c r="R114" i="4"/>
  <c r="Q114" i="4"/>
  <c r="P114" i="4"/>
  <c r="O114" i="4"/>
  <c r="M114" i="4"/>
  <c r="K114" i="4"/>
  <c r="J114" i="4"/>
  <c r="I114" i="4"/>
  <c r="H114" i="4"/>
  <c r="G114" i="4"/>
  <c r="T113" i="4"/>
  <c r="R113" i="4"/>
  <c r="Q113" i="4"/>
  <c r="P113" i="4"/>
  <c r="O113" i="4"/>
  <c r="M113" i="4"/>
  <c r="K113" i="4"/>
  <c r="J113" i="4"/>
  <c r="I113" i="4"/>
  <c r="H113" i="4"/>
  <c r="G113" i="4"/>
  <c r="T112" i="4"/>
  <c r="R112" i="4"/>
  <c r="Q112" i="4"/>
  <c r="P112" i="4"/>
  <c r="O112" i="4"/>
  <c r="M112" i="4"/>
  <c r="K112" i="4"/>
  <c r="J112" i="4"/>
  <c r="I112" i="4"/>
  <c r="H112" i="4"/>
  <c r="G112" i="4"/>
  <c r="T111" i="4"/>
  <c r="R111" i="4"/>
  <c r="Q111" i="4"/>
  <c r="P111" i="4"/>
  <c r="O111" i="4"/>
  <c r="M111" i="4"/>
  <c r="K111" i="4"/>
  <c r="J111" i="4"/>
  <c r="I111" i="4"/>
  <c r="H111" i="4"/>
  <c r="G111" i="4"/>
  <c r="T110" i="4"/>
  <c r="R110" i="4"/>
  <c r="Q110" i="4"/>
  <c r="P110" i="4"/>
  <c r="O110" i="4"/>
  <c r="M110" i="4"/>
  <c r="K110" i="4"/>
  <c r="J110" i="4"/>
  <c r="I110" i="4"/>
  <c r="H110" i="4"/>
  <c r="G110" i="4"/>
  <c r="T109" i="4"/>
  <c r="R109" i="4"/>
  <c r="Q109" i="4"/>
  <c r="P109" i="4"/>
  <c r="O109" i="4"/>
  <c r="M109" i="4"/>
  <c r="K109" i="4"/>
  <c r="J109" i="4"/>
  <c r="I109" i="4"/>
  <c r="H109" i="4"/>
  <c r="G109" i="4"/>
  <c r="T108" i="4"/>
  <c r="R108" i="4"/>
  <c r="Q108" i="4"/>
  <c r="P108" i="4"/>
  <c r="O108" i="4"/>
  <c r="M108" i="4"/>
  <c r="K108" i="4"/>
  <c r="J108" i="4"/>
  <c r="I108" i="4"/>
  <c r="H108" i="4"/>
  <c r="G108" i="4"/>
  <c r="T107" i="4"/>
  <c r="R107" i="4"/>
  <c r="Q107" i="4"/>
  <c r="P107" i="4"/>
  <c r="O107" i="4"/>
  <c r="M107" i="4"/>
  <c r="K107" i="4"/>
  <c r="J107" i="4"/>
  <c r="I107" i="4"/>
  <c r="H107" i="4"/>
  <c r="G107" i="4"/>
  <c r="T106" i="4"/>
  <c r="R106" i="4"/>
  <c r="Q106" i="4"/>
  <c r="P106" i="4"/>
  <c r="O106" i="4"/>
  <c r="M106" i="4"/>
  <c r="K106" i="4"/>
  <c r="J106" i="4"/>
  <c r="I106" i="4"/>
  <c r="H106" i="4"/>
  <c r="G106" i="4"/>
  <c r="T105" i="4"/>
  <c r="R105" i="4"/>
  <c r="Q105" i="4"/>
  <c r="P105" i="4"/>
  <c r="O105" i="4"/>
  <c r="M105" i="4"/>
  <c r="K105" i="4"/>
  <c r="J105" i="4"/>
  <c r="I105" i="4"/>
  <c r="H105" i="4"/>
  <c r="G105" i="4"/>
  <c r="T104" i="4"/>
  <c r="R104" i="4"/>
  <c r="Q104" i="4"/>
  <c r="P104" i="4"/>
  <c r="O104" i="4"/>
  <c r="M104" i="4"/>
  <c r="K104" i="4"/>
  <c r="J104" i="4"/>
  <c r="I104" i="4"/>
  <c r="H104" i="4"/>
  <c r="G104" i="4"/>
  <c r="T103" i="4"/>
  <c r="R103" i="4"/>
  <c r="Q103" i="4"/>
  <c r="P103" i="4"/>
  <c r="O103" i="4"/>
  <c r="M103" i="4"/>
  <c r="K103" i="4"/>
  <c r="J103" i="4"/>
  <c r="I103" i="4"/>
  <c r="H103" i="4"/>
  <c r="G103" i="4"/>
  <c r="T102" i="4"/>
  <c r="R102" i="4"/>
  <c r="Q102" i="4"/>
  <c r="P102" i="4"/>
  <c r="O102" i="4"/>
  <c r="M102" i="4"/>
  <c r="K102" i="4"/>
  <c r="J102" i="4"/>
  <c r="I102" i="4"/>
  <c r="H102" i="4"/>
  <c r="G102" i="4"/>
  <c r="T101" i="4"/>
  <c r="R101" i="4"/>
  <c r="Q101" i="4"/>
  <c r="P101" i="4"/>
  <c r="O101" i="4"/>
  <c r="M101" i="4"/>
  <c r="K101" i="4"/>
  <c r="J101" i="4"/>
  <c r="I101" i="4"/>
  <c r="H101" i="4"/>
  <c r="G101" i="4"/>
  <c r="T100" i="4"/>
  <c r="R100" i="4"/>
  <c r="Q100" i="4"/>
  <c r="P100" i="4"/>
  <c r="O100" i="4"/>
  <c r="M100" i="4"/>
  <c r="K100" i="4"/>
  <c r="J100" i="4"/>
  <c r="I100" i="4"/>
  <c r="H100" i="4"/>
  <c r="G100" i="4"/>
  <c r="T99" i="4"/>
  <c r="R99" i="4"/>
  <c r="Q99" i="4"/>
  <c r="P99" i="4"/>
  <c r="O99" i="4"/>
  <c r="M99" i="4"/>
  <c r="K99" i="4"/>
  <c r="J99" i="4"/>
  <c r="I99" i="4"/>
  <c r="H99" i="4"/>
  <c r="G99" i="4"/>
  <c r="T98" i="4"/>
  <c r="R98" i="4"/>
  <c r="Q98" i="4"/>
  <c r="P98" i="4"/>
  <c r="O98" i="4"/>
  <c r="M98" i="4"/>
  <c r="K98" i="4"/>
  <c r="J98" i="4"/>
  <c r="I98" i="4"/>
  <c r="H98" i="4"/>
  <c r="G98" i="4"/>
  <c r="T97" i="4"/>
  <c r="R97" i="4"/>
  <c r="Q97" i="4"/>
  <c r="P97" i="4"/>
  <c r="O97" i="4"/>
  <c r="M97" i="4"/>
  <c r="K97" i="4"/>
  <c r="J97" i="4"/>
  <c r="I97" i="4"/>
  <c r="H97" i="4"/>
  <c r="G97" i="4"/>
  <c r="T96" i="4"/>
  <c r="R96" i="4"/>
  <c r="Q96" i="4"/>
  <c r="P96" i="4"/>
  <c r="O96" i="4"/>
  <c r="M96" i="4"/>
  <c r="K96" i="4"/>
  <c r="J96" i="4"/>
  <c r="I96" i="4"/>
  <c r="H96" i="4"/>
  <c r="G96" i="4"/>
  <c r="T95" i="4"/>
  <c r="R95" i="4"/>
  <c r="Q95" i="4"/>
  <c r="P95" i="4"/>
  <c r="O95" i="4"/>
  <c r="M95" i="4"/>
  <c r="K95" i="4"/>
  <c r="J95" i="4"/>
  <c r="I95" i="4"/>
  <c r="H95" i="4"/>
  <c r="G95" i="4"/>
  <c r="T94" i="4"/>
  <c r="R94" i="4"/>
  <c r="Q94" i="4"/>
  <c r="P94" i="4"/>
  <c r="O94" i="4"/>
  <c r="M94" i="4"/>
  <c r="K94" i="4"/>
  <c r="J94" i="4"/>
  <c r="I94" i="4"/>
  <c r="H94" i="4"/>
  <c r="G94" i="4"/>
  <c r="T93" i="4"/>
  <c r="R93" i="4"/>
  <c r="S93" i="4" s="1"/>
  <c r="Q93" i="4"/>
  <c r="P93" i="4"/>
  <c r="O93" i="4"/>
  <c r="M93" i="4"/>
  <c r="N93" i="4" s="1"/>
  <c r="K93" i="4"/>
  <c r="J93" i="4"/>
  <c r="I93" i="4"/>
  <c r="H93" i="4"/>
  <c r="G93" i="4"/>
  <c r="T92" i="4"/>
  <c r="R92" i="4"/>
  <c r="Q92" i="4"/>
  <c r="P92" i="4"/>
  <c r="O92" i="4"/>
  <c r="M92" i="4"/>
  <c r="K92" i="4"/>
  <c r="J92" i="4"/>
  <c r="I92" i="4"/>
  <c r="H92" i="4"/>
  <c r="G92" i="4"/>
  <c r="T91" i="4"/>
  <c r="R91" i="4"/>
  <c r="Q91" i="4"/>
  <c r="P91" i="4"/>
  <c r="O91" i="4"/>
  <c r="M91" i="4"/>
  <c r="L91" i="4"/>
  <c r="K91" i="4"/>
  <c r="J91" i="4"/>
  <c r="I91" i="4"/>
  <c r="H91" i="4"/>
  <c r="G91" i="4"/>
  <c r="T90" i="4"/>
  <c r="R90" i="4"/>
  <c r="Q90" i="4"/>
  <c r="P90" i="4"/>
  <c r="O90" i="4"/>
  <c r="M90" i="4"/>
  <c r="L90" i="4"/>
  <c r="K90" i="4"/>
  <c r="J90" i="4"/>
  <c r="I90" i="4"/>
  <c r="H90" i="4"/>
  <c r="G90" i="4"/>
  <c r="T89" i="4"/>
  <c r="R89" i="4"/>
  <c r="Q89" i="4"/>
  <c r="P89" i="4"/>
  <c r="O89" i="4"/>
  <c r="M89" i="4"/>
  <c r="L89" i="4"/>
  <c r="K89" i="4"/>
  <c r="J89" i="4"/>
  <c r="I89" i="4"/>
  <c r="H89" i="4"/>
  <c r="G89" i="4"/>
  <c r="T88" i="4"/>
  <c r="R88" i="4"/>
  <c r="Q88" i="4"/>
  <c r="P88" i="4"/>
  <c r="O88" i="4"/>
  <c r="M88" i="4"/>
  <c r="L88" i="4"/>
  <c r="K88" i="4"/>
  <c r="J88" i="4"/>
  <c r="I88" i="4"/>
  <c r="H88" i="4"/>
  <c r="G88" i="4"/>
  <c r="T87" i="4"/>
  <c r="R87" i="4"/>
  <c r="Q87" i="4"/>
  <c r="P87" i="4"/>
  <c r="O87" i="4"/>
  <c r="M87" i="4"/>
  <c r="L87" i="4"/>
  <c r="K87" i="4"/>
  <c r="J87" i="4"/>
  <c r="I87" i="4"/>
  <c r="H87" i="4"/>
  <c r="G87" i="4"/>
  <c r="T86" i="4"/>
  <c r="R86" i="4"/>
  <c r="Q86" i="4"/>
  <c r="P86" i="4"/>
  <c r="O86" i="4"/>
  <c r="M86" i="4"/>
  <c r="L86" i="4"/>
  <c r="K86" i="4"/>
  <c r="J86" i="4"/>
  <c r="I86" i="4"/>
  <c r="H86" i="4"/>
  <c r="G86" i="4"/>
  <c r="T85" i="4"/>
  <c r="R85" i="4"/>
  <c r="Q85" i="4"/>
  <c r="P85" i="4"/>
  <c r="O85" i="4"/>
  <c r="M85" i="4"/>
  <c r="L85" i="4"/>
  <c r="K85" i="4"/>
  <c r="J85" i="4"/>
  <c r="I85" i="4"/>
  <c r="H85" i="4"/>
  <c r="G85" i="4"/>
  <c r="T84" i="4"/>
  <c r="R84" i="4"/>
  <c r="Q84" i="4"/>
  <c r="P84" i="4"/>
  <c r="O84" i="4"/>
  <c r="M84" i="4"/>
  <c r="L84" i="4"/>
  <c r="K84" i="4"/>
  <c r="J84" i="4"/>
  <c r="I84" i="4"/>
  <c r="H84" i="4"/>
  <c r="G84" i="4"/>
  <c r="T83" i="4"/>
  <c r="R83" i="4"/>
  <c r="Q83" i="4"/>
  <c r="P83" i="4"/>
  <c r="O83" i="4"/>
  <c r="M83" i="4"/>
  <c r="L83" i="4"/>
  <c r="K83" i="4"/>
  <c r="J83" i="4"/>
  <c r="I83" i="4"/>
  <c r="H83" i="4"/>
  <c r="G83" i="4"/>
  <c r="T82" i="4"/>
  <c r="R82" i="4"/>
  <c r="Q82" i="4"/>
  <c r="P82" i="4"/>
  <c r="O82" i="4"/>
  <c r="M82" i="4"/>
  <c r="L82" i="4"/>
  <c r="K82" i="4"/>
  <c r="J82" i="4"/>
  <c r="I82" i="4"/>
  <c r="H82" i="4"/>
  <c r="G82" i="4"/>
  <c r="T81" i="4"/>
  <c r="R81" i="4"/>
  <c r="Q81" i="4"/>
  <c r="P81" i="4"/>
  <c r="O81" i="4"/>
  <c r="M81" i="4"/>
  <c r="L81" i="4"/>
  <c r="K81" i="4"/>
  <c r="J81" i="4"/>
  <c r="I81" i="4"/>
  <c r="H81" i="4"/>
  <c r="G81" i="4"/>
  <c r="T80" i="4"/>
  <c r="R80" i="4"/>
  <c r="Q80" i="4"/>
  <c r="P80" i="4"/>
  <c r="O80" i="4"/>
  <c r="M80" i="4"/>
  <c r="L80" i="4"/>
  <c r="K80" i="4"/>
  <c r="J80" i="4"/>
  <c r="I80" i="4"/>
  <c r="H80" i="4"/>
  <c r="G80" i="4"/>
  <c r="T79" i="4"/>
  <c r="R79" i="4"/>
  <c r="Q79" i="4"/>
  <c r="P79" i="4"/>
  <c r="O79" i="4"/>
  <c r="M79" i="4"/>
  <c r="L79" i="4"/>
  <c r="K79" i="4"/>
  <c r="J79" i="4"/>
  <c r="I79" i="4"/>
  <c r="H79" i="4"/>
  <c r="G79" i="4"/>
  <c r="T78" i="4"/>
  <c r="R78" i="4"/>
  <c r="Q78" i="4"/>
  <c r="P78" i="4"/>
  <c r="O78" i="4"/>
  <c r="M78" i="4"/>
  <c r="L78" i="4"/>
  <c r="K78" i="4"/>
  <c r="J78" i="4"/>
  <c r="I78" i="4"/>
  <c r="H78" i="4"/>
  <c r="G78" i="4"/>
  <c r="T77" i="4"/>
  <c r="R77" i="4"/>
  <c r="Q77" i="4"/>
  <c r="P77" i="4"/>
  <c r="O77" i="4"/>
  <c r="M77" i="4"/>
  <c r="L77" i="4"/>
  <c r="K77" i="4"/>
  <c r="J77" i="4"/>
  <c r="I77" i="4"/>
  <c r="H77" i="4"/>
  <c r="G77" i="4"/>
  <c r="T76" i="4"/>
  <c r="R76" i="4"/>
  <c r="Q76" i="4"/>
  <c r="P76" i="4"/>
  <c r="O76" i="4"/>
  <c r="M76" i="4"/>
  <c r="L76" i="4"/>
  <c r="K76" i="4"/>
  <c r="J76" i="4"/>
  <c r="I76" i="4"/>
  <c r="H76" i="4"/>
  <c r="G76" i="4"/>
  <c r="T75" i="4"/>
  <c r="R75" i="4"/>
  <c r="Q75" i="4"/>
  <c r="P75" i="4"/>
  <c r="O75" i="4"/>
  <c r="M75" i="4"/>
  <c r="L75" i="4"/>
  <c r="K75" i="4"/>
  <c r="J75" i="4"/>
  <c r="I75" i="4"/>
  <c r="H75" i="4"/>
  <c r="G75" i="4"/>
  <c r="T74" i="4"/>
  <c r="R74" i="4"/>
  <c r="Q74" i="4"/>
  <c r="P74" i="4"/>
  <c r="O74" i="4"/>
  <c r="M74" i="4"/>
  <c r="L74" i="4"/>
  <c r="K74" i="4"/>
  <c r="J74" i="4"/>
  <c r="I74" i="4"/>
  <c r="H74" i="4"/>
  <c r="G74" i="4"/>
  <c r="T73" i="4"/>
  <c r="R73" i="4"/>
  <c r="Q73" i="4"/>
  <c r="P73" i="4"/>
  <c r="O73" i="4"/>
  <c r="M73" i="4"/>
  <c r="L73" i="4"/>
  <c r="K73" i="4"/>
  <c r="J73" i="4"/>
  <c r="I73" i="4"/>
  <c r="H73" i="4"/>
  <c r="G73" i="4"/>
  <c r="T72" i="4"/>
  <c r="R72" i="4"/>
  <c r="Q72" i="4"/>
  <c r="P72" i="4"/>
  <c r="O72" i="4"/>
  <c r="M72" i="4"/>
  <c r="L72" i="4"/>
  <c r="K72" i="4"/>
  <c r="J72" i="4"/>
  <c r="I72" i="4"/>
  <c r="H72" i="4"/>
  <c r="G72" i="4"/>
  <c r="T71" i="4"/>
  <c r="R71" i="4"/>
  <c r="Q71" i="4"/>
  <c r="P71" i="4"/>
  <c r="O71" i="4"/>
  <c r="M71" i="4"/>
  <c r="L71" i="4"/>
  <c r="K71" i="4"/>
  <c r="J71" i="4"/>
  <c r="I71" i="4"/>
  <c r="H71" i="4"/>
  <c r="G71" i="4"/>
  <c r="T70" i="4"/>
  <c r="R70" i="4"/>
  <c r="Q70" i="4"/>
  <c r="P70" i="4"/>
  <c r="O70" i="4"/>
  <c r="M70" i="4"/>
  <c r="L70" i="4"/>
  <c r="K70" i="4"/>
  <c r="J70" i="4"/>
  <c r="I70" i="4"/>
  <c r="H70" i="4"/>
  <c r="G70" i="4"/>
  <c r="T69" i="4"/>
  <c r="R69" i="4"/>
  <c r="Q69" i="4"/>
  <c r="P69" i="4"/>
  <c r="O69" i="4"/>
  <c r="M69" i="4"/>
  <c r="L69" i="4"/>
  <c r="K69" i="4"/>
  <c r="J69" i="4"/>
  <c r="I69" i="4"/>
  <c r="H69" i="4"/>
  <c r="G69" i="4"/>
  <c r="T68" i="4"/>
  <c r="R68" i="4"/>
  <c r="Q68" i="4"/>
  <c r="P68" i="4"/>
  <c r="O68" i="4"/>
  <c r="M68" i="4"/>
  <c r="L68" i="4"/>
  <c r="K68" i="4"/>
  <c r="J68" i="4"/>
  <c r="I68" i="4"/>
  <c r="H68" i="4"/>
  <c r="G68" i="4"/>
  <c r="T67" i="4"/>
  <c r="R67" i="4"/>
  <c r="Q67" i="4"/>
  <c r="P67" i="4"/>
  <c r="O67" i="4"/>
  <c r="M67" i="4"/>
  <c r="L67" i="4"/>
  <c r="K67" i="4"/>
  <c r="J67" i="4"/>
  <c r="I67" i="4"/>
  <c r="H67" i="4"/>
  <c r="G67" i="4"/>
  <c r="T66" i="4"/>
  <c r="R66" i="4"/>
  <c r="Q66" i="4"/>
  <c r="P66" i="4"/>
  <c r="O66" i="4"/>
  <c r="M66" i="4"/>
  <c r="L66" i="4"/>
  <c r="K66" i="4"/>
  <c r="J66" i="4"/>
  <c r="I66" i="4"/>
  <c r="H66" i="4"/>
  <c r="G66" i="4"/>
  <c r="T65" i="4"/>
  <c r="R65" i="4"/>
  <c r="Q65" i="4"/>
  <c r="P65" i="4"/>
  <c r="O65" i="4"/>
  <c r="M65" i="4"/>
  <c r="L65" i="4"/>
  <c r="K65" i="4"/>
  <c r="J65" i="4"/>
  <c r="I65" i="4"/>
  <c r="H65" i="4"/>
  <c r="G65" i="4"/>
  <c r="T64" i="4"/>
  <c r="R64" i="4"/>
  <c r="Q64" i="4"/>
  <c r="P64" i="4"/>
  <c r="O64" i="4"/>
  <c r="M64" i="4"/>
  <c r="L64" i="4"/>
  <c r="K64" i="4"/>
  <c r="J64" i="4"/>
  <c r="I64" i="4"/>
  <c r="H64" i="4"/>
  <c r="G64" i="4"/>
  <c r="T63" i="4"/>
  <c r="R63" i="4"/>
  <c r="Q63" i="4"/>
  <c r="P63" i="4"/>
  <c r="O63" i="4"/>
  <c r="M63" i="4"/>
  <c r="L63" i="4"/>
  <c r="K63" i="4"/>
  <c r="J63" i="4"/>
  <c r="I63" i="4"/>
  <c r="H63" i="4"/>
  <c r="G63" i="4"/>
  <c r="T62" i="4"/>
  <c r="R62" i="4"/>
  <c r="Q62" i="4"/>
  <c r="P62" i="4"/>
  <c r="O62" i="4"/>
  <c r="M62" i="4"/>
  <c r="L62" i="4"/>
  <c r="K62" i="4"/>
  <c r="J62" i="4"/>
  <c r="I62" i="4"/>
  <c r="H62" i="4"/>
  <c r="G62" i="4"/>
  <c r="T61" i="4"/>
  <c r="R61" i="4"/>
  <c r="Q61" i="4"/>
  <c r="P61" i="4"/>
  <c r="O61" i="4"/>
  <c r="M61" i="4"/>
  <c r="L61" i="4"/>
  <c r="K61" i="4"/>
  <c r="J61" i="4"/>
  <c r="I61" i="4"/>
  <c r="H61" i="4"/>
  <c r="G61" i="4"/>
  <c r="T60" i="4"/>
  <c r="R60" i="4"/>
  <c r="Q60" i="4"/>
  <c r="P60" i="4"/>
  <c r="O60" i="4"/>
  <c r="M60" i="4"/>
  <c r="L60" i="4"/>
  <c r="K60" i="4"/>
  <c r="J60" i="4"/>
  <c r="I60" i="4"/>
  <c r="H60" i="4"/>
  <c r="G60" i="4"/>
  <c r="T59" i="4"/>
  <c r="R59" i="4"/>
  <c r="Q59" i="4"/>
  <c r="P59" i="4"/>
  <c r="O59" i="4"/>
  <c r="M59" i="4"/>
  <c r="L59" i="4"/>
  <c r="K59" i="4"/>
  <c r="J59" i="4"/>
  <c r="I59" i="4"/>
  <c r="H59" i="4"/>
  <c r="G59" i="4"/>
  <c r="T58" i="4"/>
  <c r="R58" i="4"/>
  <c r="Q58" i="4"/>
  <c r="P58" i="4"/>
  <c r="O58" i="4"/>
  <c r="M58" i="4"/>
  <c r="L58" i="4"/>
  <c r="K58" i="4"/>
  <c r="J58" i="4"/>
  <c r="I58" i="4"/>
  <c r="H58" i="4"/>
  <c r="G58" i="4"/>
  <c r="T57" i="4"/>
  <c r="R57" i="4"/>
  <c r="Q57" i="4"/>
  <c r="P57" i="4"/>
  <c r="O57" i="4"/>
  <c r="M57" i="4"/>
  <c r="L57" i="4"/>
  <c r="K57" i="4"/>
  <c r="J57" i="4"/>
  <c r="I57" i="4"/>
  <c r="H57" i="4"/>
  <c r="G57" i="4"/>
  <c r="T56" i="4"/>
  <c r="R56" i="4"/>
  <c r="Q56" i="4"/>
  <c r="P56" i="4"/>
  <c r="O56" i="4"/>
  <c r="M56" i="4"/>
  <c r="L56" i="4"/>
  <c r="K56" i="4"/>
  <c r="J56" i="4"/>
  <c r="I56" i="4"/>
  <c r="H56" i="4"/>
  <c r="G56" i="4"/>
  <c r="T55" i="4"/>
  <c r="R55" i="4"/>
  <c r="Q55" i="4"/>
  <c r="P55" i="4"/>
  <c r="O55" i="4"/>
  <c r="M55" i="4"/>
  <c r="L55" i="4"/>
  <c r="K55" i="4"/>
  <c r="J55" i="4"/>
  <c r="I55" i="4"/>
  <c r="H55" i="4"/>
  <c r="G55" i="4"/>
  <c r="F55" i="4"/>
  <c r="D55" i="4"/>
  <c r="T54" i="4"/>
  <c r="R54" i="4"/>
  <c r="Q54" i="4"/>
  <c r="P54" i="4"/>
  <c r="O54" i="4"/>
  <c r="M54" i="4"/>
  <c r="L54" i="4"/>
  <c r="K54" i="4"/>
  <c r="J54" i="4"/>
  <c r="I54" i="4"/>
  <c r="H54" i="4"/>
  <c r="G54" i="4"/>
  <c r="F54" i="4"/>
  <c r="D54" i="4"/>
  <c r="T53" i="4"/>
  <c r="R53" i="4"/>
  <c r="Q53" i="4"/>
  <c r="P53" i="4"/>
  <c r="O53" i="4"/>
  <c r="M53" i="4"/>
  <c r="L53" i="4"/>
  <c r="K53" i="4"/>
  <c r="J53" i="4"/>
  <c r="I53" i="4"/>
  <c r="H53" i="4"/>
  <c r="G53" i="4"/>
  <c r="F53" i="4"/>
  <c r="D53" i="4"/>
  <c r="T52" i="4"/>
  <c r="R52" i="4"/>
  <c r="Q52" i="4"/>
  <c r="P52" i="4"/>
  <c r="O52" i="4"/>
  <c r="M52" i="4"/>
  <c r="L52" i="4"/>
  <c r="K52" i="4"/>
  <c r="J52" i="4"/>
  <c r="I52" i="4"/>
  <c r="H52" i="4"/>
  <c r="G52" i="4"/>
  <c r="F52" i="4"/>
  <c r="D52" i="4"/>
  <c r="T51" i="4"/>
  <c r="R51" i="4"/>
  <c r="Q51" i="4"/>
  <c r="P51" i="4"/>
  <c r="O51" i="4"/>
  <c r="M51" i="4"/>
  <c r="L51" i="4"/>
  <c r="K51" i="4"/>
  <c r="J51" i="4"/>
  <c r="I51" i="4"/>
  <c r="H51" i="4"/>
  <c r="G51" i="4"/>
  <c r="F51" i="4"/>
  <c r="D51" i="4"/>
  <c r="T50" i="4"/>
  <c r="R50" i="4"/>
  <c r="Q50" i="4"/>
  <c r="P50" i="4"/>
  <c r="O50" i="4"/>
  <c r="M50" i="4"/>
  <c r="L50" i="4"/>
  <c r="K50" i="4"/>
  <c r="J50" i="4"/>
  <c r="I50" i="4"/>
  <c r="H50" i="4"/>
  <c r="G50" i="4"/>
  <c r="F50" i="4"/>
  <c r="D50" i="4"/>
  <c r="T49" i="4"/>
  <c r="R49" i="4"/>
  <c r="Q49" i="4"/>
  <c r="P49" i="4"/>
  <c r="O49" i="4"/>
  <c r="M49" i="4"/>
  <c r="L49" i="4"/>
  <c r="K49" i="4"/>
  <c r="J49" i="4"/>
  <c r="I49" i="4"/>
  <c r="H49" i="4"/>
  <c r="G49" i="4"/>
  <c r="F49" i="4"/>
  <c r="D49" i="4"/>
  <c r="T48" i="4"/>
  <c r="R48" i="4"/>
  <c r="Q48" i="4"/>
  <c r="P48" i="4"/>
  <c r="O48" i="4"/>
  <c r="M48" i="4"/>
  <c r="L48" i="4"/>
  <c r="K48" i="4"/>
  <c r="J48" i="4"/>
  <c r="I48" i="4"/>
  <c r="H48" i="4"/>
  <c r="G48" i="4"/>
  <c r="F48" i="4"/>
  <c r="D48" i="4"/>
  <c r="T47" i="4"/>
  <c r="R47" i="4"/>
  <c r="Q47" i="4"/>
  <c r="P47" i="4"/>
  <c r="O47" i="4"/>
  <c r="M47" i="4"/>
  <c r="L47" i="4"/>
  <c r="K47" i="4"/>
  <c r="J47" i="4"/>
  <c r="I47" i="4"/>
  <c r="H47" i="4"/>
  <c r="G47" i="4"/>
  <c r="F47" i="4"/>
  <c r="D47" i="4"/>
  <c r="T46" i="4"/>
  <c r="R46" i="4"/>
  <c r="Q46" i="4"/>
  <c r="P46" i="4"/>
  <c r="O46" i="4"/>
  <c r="M46" i="4"/>
  <c r="L46" i="4"/>
  <c r="K46" i="4"/>
  <c r="J46" i="4"/>
  <c r="I46" i="4"/>
  <c r="H46" i="4"/>
  <c r="G46" i="4"/>
  <c r="F46" i="4"/>
  <c r="D46" i="4"/>
  <c r="T43" i="4"/>
  <c r="R43" i="4"/>
  <c r="Q43" i="4"/>
  <c r="P43" i="4"/>
  <c r="O43" i="4"/>
  <c r="M43" i="4"/>
  <c r="L43" i="4"/>
  <c r="K43" i="4"/>
  <c r="J43" i="4"/>
  <c r="I43" i="4"/>
  <c r="H43" i="4"/>
  <c r="G43" i="4"/>
  <c r="F43" i="4"/>
  <c r="D43" i="4"/>
  <c r="B33" i="4"/>
  <c r="BE26" i="4"/>
  <c r="B23" i="4"/>
  <c r="B12" i="4"/>
  <c r="C12" i="4"/>
  <c r="BB10" i="4"/>
  <c r="B26" i="4"/>
  <c r="BE25" i="4"/>
  <c r="BD25" i="4"/>
  <c r="BC25" i="4"/>
  <c r="BB25" i="4"/>
  <c r="BA25" i="4"/>
  <c r="AZ25" i="4"/>
  <c r="B25" i="4"/>
  <c r="AY21" i="4"/>
  <c r="BD21" i="4"/>
  <c r="AY24" i="4"/>
  <c r="BD24" i="4"/>
  <c r="BE24" i="4"/>
  <c r="BC21" i="4"/>
  <c r="BC24" i="4"/>
  <c r="BB21" i="4"/>
  <c r="BB24" i="4"/>
  <c r="BA24" i="4"/>
  <c r="AZ24" i="4"/>
  <c r="BG7" i="4"/>
  <c r="BA10" i="4"/>
  <c r="B24" i="4"/>
  <c r="B16" i="4"/>
  <c r="C16" i="4"/>
  <c r="BG6" i="4"/>
  <c r="B21" i="4"/>
  <c r="BG5" i="4"/>
  <c r="B20" i="4"/>
  <c r="BG4" i="4"/>
  <c r="B19" i="4"/>
  <c r="B17" i="4"/>
  <c r="C17" i="4"/>
  <c r="B15" i="4"/>
  <c r="C15" i="4"/>
  <c r="N14" i="4"/>
  <c r="I14" i="4"/>
  <c r="G14" i="4"/>
  <c r="N12" i="4"/>
  <c r="M12" i="4"/>
  <c r="I12" i="4"/>
  <c r="G12" i="4"/>
  <c r="B10" i="4"/>
  <c r="B9" i="4"/>
  <c r="B8" i="4"/>
  <c r="BG3" i="4"/>
  <c r="AZ24" i="3"/>
  <c r="BB25" i="3"/>
  <c r="BA25" i="3"/>
  <c r="BC21" i="3"/>
  <c r="BC24" i="3"/>
  <c r="BC25" i="3"/>
  <c r="BE25" i="3"/>
  <c r="BE24" i="3"/>
  <c r="BE26" i="3"/>
  <c r="BD25" i="3"/>
  <c r="BA24" i="3"/>
  <c r="BD21" i="3"/>
  <c r="BD24" i="3"/>
  <c r="B10" i="3"/>
  <c r="B9" i="3"/>
  <c r="B8" i="3"/>
  <c r="B16" i="3"/>
  <c r="C16" i="3"/>
  <c r="BG6" i="3"/>
  <c r="B21" i="3"/>
  <c r="BG5" i="3"/>
  <c r="B20" i="3"/>
  <c r="BG4" i="3"/>
  <c r="B19" i="3"/>
  <c r="B17" i="3"/>
  <c r="O36" i="3"/>
  <c r="P36" i="3"/>
  <c r="Q36" i="3"/>
  <c r="R36" i="3"/>
  <c r="T36" i="3"/>
  <c r="O37" i="3"/>
  <c r="P37" i="3"/>
  <c r="Q37" i="3"/>
  <c r="R37" i="3"/>
  <c r="T37" i="3"/>
  <c r="O38" i="3"/>
  <c r="P38" i="3"/>
  <c r="Q38" i="3"/>
  <c r="R38" i="3"/>
  <c r="T38" i="3"/>
  <c r="O39" i="3"/>
  <c r="P39" i="3"/>
  <c r="Q39" i="3"/>
  <c r="R39" i="3"/>
  <c r="T39" i="3"/>
  <c r="O40" i="3"/>
  <c r="P40" i="3"/>
  <c r="Q40" i="3"/>
  <c r="R40" i="3"/>
  <c r="T40" i="3"/>
  <c r="O41" i="3"/>
  <c r="P41" i="3"/>
  <c r="Q41" i="3"/>
  <c r="R41" i="3"/>
  <c r="T41" i="3"/>
  <c r="O42" i="3"/>
  <c r="P42" i="3"/>
  <c r="Q42" i="3"/>
  <c r="R42" i="3"/>
  <c r="T42" i="3"/>
  <c r="O43" i="3"/>
  <c r="P43" i="3"/>
  <c r="Q43" i="3"/>
  <c r="R43" i="3"/>
  <c r="T43" i="3"/>
  <c r="R35" i="3"/>
  <c r="Q35" i="3"/>
  <c r="P35" i="3"/>
  <c r="O35" i="3"/>
  <c r="M36" i="3"/>
  <c r="L36" i="3"/>
  <c r="M37" i="3"/>
  <c r="L37" i="3"/>
  <c r="M38" i="3"/>
  <c r="L38" i="3"/>
  <c r="M39" i="3"/>
  <c r="L39" i="3"/>
  <c r="M40" i="3"/>
  <c r="L40" i="3"/>
  <c r="M41" i="3"/>
  <c r="L41" i="3"/>
  <c r="M42" i="3"/>
  <c r="L42" i="3"/>
  <c r="M43" i="3"/>
  <c r="L43" i="3"/>
  <c r="M35" i="3"/>
  <c r="L35" i="3"/>
  <c r="K36" i="3"/>
  <c r="K37" i="3"/>
  <c r="K38" i="3"/>
  <c r="K39" i="3"/>
  <c r="K40" i="3"/>
  <c r="K41" i="3"/>
  <c r="K42" i="3"/>
  <c r="K43" i="3"/>
  <c r="K35" i="3"/>
  <c r="J36" i="3"/>
  <c r="J37" i="3"/>
  <c r="J38" i="3"/>
  <c r="J39" i="3"/>
  <c r="J40" i="3"/>
  <c r="J41" i="3"/>
  <c r="J42" i="3"/>
  <c r="J43" i="3"/>
  <c r="J35" i="3"/>
  <c r="I36" i="3"/>
  <c r="I37" i="3"/>
  <c r="I38" i="3"/>
  <c r="I39" i="3"/>
  <c r="I40" i="3"/>
  <c r="I41" i="3"/>
  <c r="I42" i="3"/>
  <c r="I43" i="3"/>
  <c r="I35" i="3"/>
  <c r="H36" i="3"/>
  <c r="H37" i="3"/>
  <c r="H38" i="3"/>
  <c r="H39" i="3"/>
  <c r="H40" i="3"/>
  <c r="H41" i="3"/>
  <c r="H42" i="3"/>
  <c r="H43" i="3"/>
  <c r="H35" i="3"/>
  <c r="G36" i="3"/>
  <c r="G37" i="3"/>
  <c r="G38" i="3"/>
  <c r="G39" i="3"/>
  <c r="G40" i="3"/>
  <c r="G41" i="3"/>
  <c r="G42" i="3"/>
  <c r="G43" i="3"/>
  <c r="G35" i="3"/>
  <c r="F36" i="3"/>
  <c r="F37" i="3"/>
  <c r="F38" i="3"/>
  <c r="F39" i="3"/>
  <c r="F40" i="3"/>
  <c r="F41" i="3"/>
  <c r="F42" i="3"/>
  <c r="F43" i="3"/>
  <c r="F35" i="3"/>
  <c r="C17" i="3"/>
  <c r="D37" i="3"/>
  <c r="D38" i="3"/>
  <c r="D39" i="3"/>
  <c r="D40" i="3"/>
  <c r="D41" i="3"/>
  <c r="D36" i="3"/>
  <c r="D42" i="3"/>
  <c r="D43" i="3"/>
  <c r="D16" i="6"/>
  <c r="D15" i="6"/>
  <c r="D14" i="6"/>
  <c r="D13" i="6"/>
  <c r="D12" i="6"/>
  <c r="D11" i="6"/>
  <c r="D10" i="6"/>
  <c r="C16" i="6"/>
  <c r="C15" i="6"/>
  <c r="C14" i="6"/>
  <c r="C13" i="6"/>
  <c r="C12" i="6"/>
  <c r="C11" i="6"/>
  <c r="C10" i="6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A5" i="7"/>
  <c r="A6" i="7"/>
  <c r="A7" i="7"/>
  <c r="A8" i="7"/>
  <c r="A9" i="7"/>
  <c r="A10" i="7"/>
  <c r="A11" i="7"/>
  <c r="A12" i="7"/>
  <c r="A13" i="7"/>
  <c r="A14" i="7"/>
  <c r="A16" i="7"/>
  <c r="A19" i="7" s="1"/>
  <c r="A17" i="7"/>
  <c r="A18" i="7"/>
  <c r="E5" i="7"/>
  <c r="E6" i="7"/>
  <c r="E7" i="7"/>
  <c r="E8" i="7"/>
  <c r="E9" i="7"/>
  <c r="E10" i="7"/>
  <c r="E11" i="7"/>
  <c r="E12" i="7"/>
  <c r="E13" i="7"/>
  <c r="E14" i="7"/>
  <c r="E15" i="7"/>
  <c r="E16" i="7"/>
  <c r="D35" i="3"/>
  <c r="B33" i="3"/>
  <c r="E15" i="6"/>
  <c r="E16" i="6"/>
  <c r="E14" i="6"/>
  <c r="E12" i="6"/>
  <c r="E18" i="6"/>
  <c r="E11" i="6"/>
  <c r="E21" i="6"/>
  <c r="E19" i="6"/>
  <c r="E22" i="6"/>
  <c r="E13" i="6"/>
  <c r="E10" i="6"/>
  <c r="E17" i="6"/>
  <c r="E20" i="6"/>
  <c r="E42" i="8" l="1"/>
  <c r="E20" i="7"/>
  <c r="A21" i="7"/>
  <c r="E19" i="7"/>
  <c r="A20" i="7"/>
  <c r="E18" i="7"/>
  <c r="E21" i="7"/>
  <c r="E17" i="7"/>
  <c r="G6" i="7"/>
  <c r="E140" i="5"/>
  <c r="E141" i="5"/>
  <c r="S147" i="5"/>
  <c r="N147" i="5"/>
  <c r="S145" i="5"/>
  <c r="N145" i="5"/>
  <c r="S143" i="5"/>
  <c r="N143" i="5"/>
  <c r="S141" i="5"/>
  <c r="N141" i="5"/>
  <c r="E163" i="3"/>
  <c r="E161" i="3"/>
  <c r="E159" i="3"/>
  <c r="E157" i="3"/>
  <c r="E155" i="3"/>
  <c r="E153" i="3"/>
  <c r="E151" i="3"/>
  <c r="E149" i="3"/>
  <c r="E147" i="3"/>
  <c r="E145" i="3"/>
  <c r="E143" i="3"/>
  <c r="E141" i="3"/>
  <c r="E139" i="3"/>
  <c r="E137" i="3"/>
  <c r="E135" i="3"/>
  <c r="E133" i="3"/>
  <c r="E131" i="3"/>
  <c r="E129" i="3"/>
  <c r="E127" i="3"/>
  <c r="E125" i="3"/>
  <c r="E123" i="3"/>
  <c r="E121" i="3"/>
  <c r="E119" i="3"/>
  <c r="E117" i="3"/>
  <c r="E115" i="3"/>
  <c r="E113" i="3"/>
  <c r="E111" i="3"/>
  <c r="E109" i="3"/>
  <c r="E107" i="3"/>
  <c r="E105" i="3"/>
  <c r="E103" i="3"/>
  <c r="E101" i="3"/>
  <c r="E99" i="3"/>
  <c r="E97" i="3"/>
  <c r="E95" i="3"/>
  <c r="E93" i="3"/>
  <c r="E91" i="3"/>
  <c r="E89" i="3"/>
  <c r="E87" i="3"/>
  <c r="E85" i="3"/>
  <c r="E83" i="3"/>
  <c r="E81" i="3"/>
  <c r="E79" i="3"/>
  <c r="E77" i="3"/>
  <c r="E75" i="3"/>
  <c r="E71" i="3"/>
  <c r="E69" i="3"/>
  <c r="E67" i="3"/>
  <c r="E65" i="3"/>
  <c r="E63" i="3"/>
  <c r="E61" i="3"/>
  <c r="E59" i="3"/>
  <c r="E55" i="3"/>
  <c r="S162" i="3"/>
  <c r="N162" i="3"/>
  <c r="S160" i="3"/>
  <c r="N160" i="3"/>
  <c r="S158" i="3"/>
  <c r="N158" i="3"/>
  <c r="S156" i="3"/>
  <c r="N156" i="3"/>
  <c r="S154" i="3"/>
  <c r="N154" i="3"/>
  <c r="S152" i="3"/>
  <c r="N152" i="3"/>
  <c r="S150" i="3"/>
  <c r="N150" i="3"/>
  <c r="S148" i="3"/>
  <c r="N148" i="3"/>
  <c r="S146" i="3"/>
  <c r="N146" i="3"/>
  <c r="S144" i="3"/>
  <c r="N144" i="3"/>
  <c r="S142" i="3"/>
  <c r="N142" i="3"/>
  <c r="S140" i="3"/>
  <c r="N140" i="3"/>
  <c r="S138" i="3"/>
  <c r="N138" i="3"/>
  <c r="S136" i="3"/>
  <c r="N136" i="3"/>
  <c r="S134" i="3"/>
  <c r="N134" i="3"/>
  <c r="S132" i="3"/>
  <c r="N132" i="3"/>
  <c r="S130" i="3"/>
  <c r="N130" i="3"/>
  <c r="S128" i="3"/>
  <c r="N128" i="3"/>
  <c r="S126" i="3"/>
  <c r="N126" i="3"/>
  <c r="S124" i="3"/>
  <c r="N124" i="3"/>
  <c r="S122" i="3"/>
  <c r="N122" i="3"/>
  <c r="S120" i="3"/>
  <c r="N120" i="3"/>
  <c r="S118" i="3"/>
  <c r="N118" i="3"/>
  <c r="S116" i="3"/>
  <c r="N116" i="3"/>
  <c r="S114" i="3"/>
  <c r="N114" i="3"/>
  <c r="E162" i="3"/>
  <c r="E160" i="3"/>
  <c r="E158" i="3"/>
  <c r="E156" i="3"/>
  <c r="E154" i="3"/>
  <c r="E152" i="3"/>
  <c r="E150" i="3"/>
  <c r="E148" i="3"/>
  <c r="E146" i="3"/>
  <c r="E144" i="3"/>
  <c r="E142" i="3"/>
  <c r="E140" i="3"/>
  <c r="E138" i="3"/>
  <c r="E136" i="3"/>
  <c r="E134" i="3"/>
  <c r="E132" i="3"/>
  <c r="E130" i="3"/>
  <c r="E128" i="3"/>
  <c r="E126" i="3"/>
  <c r="E124" i="3"/>
  <c r="E122" i="3"/>
  <c r="E120" i="3"/>
  <c r="E118" i="3"/>
  <c r="E116" i="3"/>
  <c r="E114" i="3"/>
  <c r="E112" i="3"/>
  <c r="E110" i="3"/>
  <c r="E108" i="3"/>
  <c r="E106" i="3"/>
  <c r="E104" i="3"/>
  <c r="E102" i="3"/>
  <c r="E100" i="3"/>
  <c r="E98" i="3"/>
  <c r="E96" i="3"/>
  <c r="E94" i="3"/>
  <c r="E92" i="3"/>
  <c r="E90" i="3"/>
  <c r="E88" i="3"/>
  <c r="E86" i="3"/>
  <c r="E84" i="3"/>
  <c r="E82" i="3"/>
  <c r="E80" i="3"/>
  <c r="E78" i="3"/>
  <c r="E76" i="3"/>
  <c r="E74" i="3"/>
  <c r="E70" i="3"/>
  <c r="E68" i="3"/>
  <c r="E66" i="3"/>
  <c r="E64" i="3"/>
  <c r="E62" i="3"/>
  <c r="E60" i="3"/>
  <c r="E58" i="3"/>
  <c r="E54" i="3"/>
  <c r="E52" i="3"/>
  <c r="S49" i="3"/>
  <c r="E48" i="3"/>
  <c r="S112" i="3"/>
  <c r="N112" i="3"/>
  <c r="S110" i="3"/>
  <c r="N110" i="3"/>
  <c r="S108" i="3"/>
  <c r="N108" i="3"/>
  <c r="S106" i="3"/>
  <c r="N106" i="3"/>
  <c r="S104" i="3"/>
  <c r="N104" i="3"/>
  <c r="S102" i="3"/>
  <c r="N102" i="3"/>
  <c r="S100" i="3"/>
  <c r="N100" i="3"/>
  <c r="S98" i="3"/>
  <c r="N98" i="3"/>
  <c r="S96" i="3"/>
  <c r="N96" i="3"/>
  <c r="S94" i="3"/>
  <c r="N94" i="3"/>
  <c r="S92" i="3"/>
  <c r="N92" i="3"/>
  <c r="S90" i="3"/>
  <c r="N90" i="3"/>
  <c r="S88" i="3"/>
  <c r="N88" i="3"/>
  <c r="S86" i="3"/>
  <c r="N86" i="3"/>
  <c r="S84" i="3"/>
  <c r="N84" i="3"/>
  <c r="S82" i="3"/>
  <c r="N82" i="3"/>
  <c r="S80" i="3"/>
  <c r="N80" i="3"/>
  <c r="S78" i="3"/>
  <c r="N78" i="3"/>
  <c r="S76" i="3"/>
  <c r="S74" i="3"/>
  <c r="N74" i="3"/>
  <c r="N72" i="3"/>
  <c r="S70" i="3"/>
  <c r="N70" i="3"/>
  <c r="S68" i="3"/>
  <c r="N68" i="3"/>
  <c r="S66" i="3"/>
  <c r="N66" i="3"/>
  <c r="S64" i="3"/>
  <c r="N64" i="3"/>
  <c r="S62" i="3"/>
  <c r="N62" i="3"/>
  <c r="S60" i="3"/>
  <c r="S58" i="3"/>
  <c r="N58" i="3"/>
  <c r="N56" i="3"/>
  <c r="S54" i="3"/>
  <c r="N54" i="3"/>
  <c r="S52" i="3"/>
  <c r="N52" i="3"/>
  <c r="E44" i="3"/>
  <c r="S40" i="3"/>
  <c r="N74" i="4"/>
  <c r="E38" i="8"/>
  <c r="E49" i="4"/>
  <c r="N49" i="4"/>
  <c r="S51" i="4"/>
  <c r="E55" i="4"/>
  <c r="S55" i="4"/>
  <c r="N56" i="4"/>
  <c r="S61" i="4"/>
  <c r="N62" i="4"/>
  <c r="S63" i="4"/>
  <c r="N64" i="4"/>
  <c r="S67" i="4"/>
  <c r="N68" i="4"/>
  <c r="N69" i="4"/>
  <c r="S73" i="4"/>
  <c r="S49" i="4"/>
  <c r="N55" i="4"/>
  <c r="S56" i="4"/>
  <c r="N57" i="4"/>
  <c r="S62" i="4"/>
  <c r="N63" i="4"/>
  <c r="S64" i="4"/>
  <c r="N65" i="4"/>
  <c r="S68" i="4"/>
  <c r="E46" i="4"/>
  <c r="N46" i="4"/>
  <c r="S46" i="4"/>
  <c r="S77" i="4"/>
  <c r="N78" i="4"/>
  <c r="S78" i="4"/>
  <c r="N79" i="4"/>
  <c r="E50" i="4"/>
  <c r="N50" i="4"/>
  <c r="S50" i="4"/>
  <c r="E54" i="4"/>
  <c r="N54" i="4"/>
  <c r="S54" i="4"/>
  <c r="S141" i="4"/>
  <c r="S38" i="4"/>
  <c r="S38" i="8"/>
  <c r="S42" i="5"/>
  <c r="N42" i="5"/>
  <c r="S86" i="5"/>
  <c r="E43" i="8"/>
  <c r="S43" i="4"/>
  <c r="E43" i="3"/>
  <c r="N43" i="4"/>
  <c r="S83" i="4"/>
  <c r="N84" i="4"/>
  <c r="S84" i="4"/>
  <c r="S89" i="4"/>
  <c r="N90" i="4"/>
  <c r="S95" i="4"/>
  <c r="S99" i="4"/>
  <c r="S103" i="4"/>
  <c r="S107" i="4"/>
  <c r="S111" i="4"/>
  <c r="S115" i="4"/>
  <c r="S119" i="4"/>
  <c r="S123" i="4"/>
  <c r="S127" i="4"/>
  <c r="S131" i="4"/>
  <c r="S145" i="4"/>
  <c r="S41" i="4"/>
  <c r="E156" i="5"/>
  <c r="N156" i="5"/>
  <c r="S156" i="5"/>
  <c r="S136" i="5"/>
  <c r="N136" i="5"/>
  <c r="S36" i="8"/>
  <c r="E43" i="4"/>
  <c r="E40" i="3"/>
  <c r="E36" i="3"/>
  <c r="N42" i="3"/>
  <c r="N38" i="3"/>
  <c r="S158" i="5"/>
  <c r="E131" i="5"/>
  <c r="E129" i="5"/>
  <c r="E127" i="5"/>
  <c r="N38" i="5"/>
  <c r="S38" i="5"/>
  <c r="E162" i="5"/>
  <c r="N162" i="5"/>
  <c r="E163" i="5"/>
  <c r="N163" i="5"/>
  <c r="S163" i="5"/>
  <c r="S154" i="5"/>
  <c r="N154" i="5"/>
  <c r="E154" i="5"/>
  <c r="S153" i="5"/>
  <c r="E153" i="5"/>
  <c r="E151" i="5"/>
  <c r="S101" i="5"/>
  <c r="N101" i="5"/>
  <c r="S99" i="5"/>
  <c r="N99" i="5"/>
  <c r="S97" i="5"/>
  <c r="N97" i="5"/>
  <c r="S95" i="5"/>
  <c r="N95" i="5"/>
  <c r="S93" i="5"/>
  <c r="N93" i="5"/>
  <c r="S91" i="5"/>
  <c r="N91" i="5"/>
  <c r="S89" i="5"/>
  <c r="N89" i="5"/>
  <c r="S87" i="5"/>
  <c r="N87" i="5"/>
  <c r="E87" i="5"/>
  <c r="E86" i="5"/>
  <c r="E84" i="5"/>
  <c r="E82" i="5"/>
  <c r="E80" i="5"/>
  <c r="S44" i="5"/>
  <c r="S46" i="5"/>
  <c r="E47" i="5"/>
  <c r="N47" i="5"/>
  <c r="S78" i="5"/>
  <c r="E79" i="5"/>
  <c r="N79" i="5"/>
  <c r="S118" i="5"/>
  <c r="E119" i="5"/>
  <c r="N119" i="5"/>
  <c r="S70" i="5"/>
  <c r="E71" i="5"/>
  <c r="N71" i="5"/>
  <c r="S121" i="5"/>
  <c r="E122" i="5"/>
  <c r="N122" i="5"/>
  <c r="S62" i="5"/>
  <c r="E63" i="5"/>
  <c r="N63" i="5"/>
  <c r="S102" i="5"/>
  <c r="E103" i="5"/>
  <c r="N103" i="5"/>
  <c r="S132" i="5"/>
  <c r="E133" i="5"/>
  <c r="E49" i="3"/>
  <c r="E155" i="5"/>
  <c r="N155" i="5"/>
  <c r="S155" i="5"/>
  <c r="S162" i="5"/>
  <c r="N153" i="5"/>
  <c r="S151" i="5"/>
  <c r="N151" i="5"/>
  <c r="S149" i="5"/>
  <c r="N149" i="5"/>
  <c r="E149" i="5"/>
  <c r="S148" i="5"/>
  <c r="E148" i="5"/>
  <c r="E146" i="5"/>
  <c r="E144" i="5"/>
  <c r="E142" i="5"/>
  <c r="N140" i="5"/>
  <c r="S138" i="5"/>
  <c r="N138" i="5"/>
  <c r="E138" i="5"/>
  <c r="S137" i="5"/>
  <c r="E137" i="5"/>
  <c r="S133" i="5"/>
  <c r="N133" i="5"/>
  <c r="S131" i="5"/>
  <c r="N131" i="5"/>
  <c r="S129" i="5"/>
  <c r="N129" i="5"/>
  <c r="S127" i="5"/>
  <c r="N127" i="5"/>
  <c r="S125" i="5"/>
  <c r="N125" i="5"/>
  <c r="S123" i="5"/>
  <c r="N123" i="5"/>
  <c r="N78" i="5"/>
  <c r="S76" i="5"/>
  <c r="N76" i="5"/>
  <c r="S74" i="5"/>
  <c r="N74" i="5"/>
  <c r="S72" i="5"/>
  <c r="N72" i="5"/>
  <c r="S38" i="3"/>
  <c r="E42" i="4"/>
  <c r="S45" i="3"/>
  <c r="N45" i="3"/>
  <c r="E47" i="3"/>
  <c r="E37" i="5"/>
  <c r="N39" i="5"/>
  <c r="S39" i="5"/>
  <c r="E160" i="5"/>
  <c r="N160" i="5"/>
  <c r="S160" i="5"/>
  <c r="E152" i="5"/>
  <c r="E150" i="5"/>
  <c r="N148" i="5"/>
  <c r="S146" i="5"/>
  <c r="N146" i="5"/>
  <c r="S144" i="5"/>
  <c r="N144" i="5"/>
  <c r="S142" i="5"/>
  <c r="N142" i="5"/>
  <c r="E139" i="5"/>
  <c r="N137" i="5"/>
  <c r="S135" i="5"/>
  <c r="N135" i="5"/>
  <c r="E135" i="5"/>
  <c r="S134" i="5"/>
  <c r="E134" i="5"/>
  <c r="E120" i="5"/>
  <c r="E69" i="5"/>
  <c r="E67" i="5"/>
  <c r="E65" i="5"/>
  <c r="E42" i="3"/>
  <c r="E38" i="3"/>
  <c r="E157" i="5"/>
  <c r="N157" i="5"/>
  <c r="S157" i="5"/>
  <c r="E158" i="5"/>
  <c r="N158" i="5"/>
  <c r="E159" i="5"/>
  <c r="N159" i="5"/>
  <c r="S159" i="5"/>
  <c r="S152" i="5"/>
  <c r="N152" i="5"/>
  <c r="S150" i="5"/>
  <c r="N150" i="5"/>
  <c r="E147" i="5"/>
  <c r="E145" i="5"/>
  <c r="E143" i="5"/>
  <c r="S139" i="5"/>
  <c r="N139" i="5"/>
  <c r="E136" i="5"/>
  <c r="N134" i="5"/>
  <c r="N118" i="5"/>
  <c r="S116" i="5"/>
  <c r="N116" i="5"/>
  <c r="S114" i="5"/>
  <c r="N114" i="5"/>
  <c r="S112" i="5"/>
  <c r="N112" i="5"/>
  <c r="S110" i="5"/>
  <c r="N110" i="5"/>
  <c r="S108" i="5"/>
  <c r="N108" i="5"/>
  <c r="S106" i="5"/>
  <c r="N106" i="5"/>
  <c r="E106" i="5"/>
  <c r="S105" i="5"/>
  <c r="E105" i="5"/>
  <c r="S61" i="5"/>
  <c r="N61" i="5"/>
  <c r="S59" i="5"/>
  <c r="N59" i="5"/>
  <c r="S57" i="5"/>
  <c r="N57" i="5"/>
  <c r="S55" i="5"/>
  <c r="N55" i="5"/>
  <c r="E55" i="5"/>
  <c r="S54" i="5"/>
  <c r="E54" i="5"/>
  <c r="E52" i="5"/>
  <c r="E50" i="5"/>
  <c r="E48" i="5"/>
  <c r="E132" i="5"/>
  <c r="E130" i="5"/>
  <c r="E128" i="5"/>
  <c r="E126" i="5"/>
  <c r="E124" i="5"/>
  <c r="S120" i="5"/>
  <c r="N120" i="5"/>
  <c r="E117" i="5"/>
  <c r="E115" i="5"/>
  <c r="E113" i="5"/>
  <c r="E111" i="5"/>
  <c r="E109" i="5"/>
  <c r="E107" i="5"/>
  <c r="N105" i="5"/>
  <c r="S103" i="5"/>
  <c r="E102" i="5"/>
  <c r="E100" i="5"/>
  <c r="E98" i="5"/>
  <c r="E96" i="5"/>
  <c r="E94" i="5"/>
  <c r="E92" i="5"/>
  <c r="E90" i="5"/>
  <c r="E88" i="5"/>
  <c r="N86" i="5"/>
  <c r="S84" i="5"/>
  <c r="N84" i="5"/>
  <c r="S82" i="5"/>
  <c r="N82" i="5"/>
  <c r="S80" i="5"/>
  <c r="N80" i="5"/>
  <c r="E77" i="5"/>
  <c r="E75" i="5"/>
  <c r="E73" i="5"/>
  <c r="S69" i="5"/>
  <c r="N69" i="5"/>
  <c r="S67" i="5"/>
  <c r="N67" i="5"/>
  <c r="S65" i="5"/>
  <c r="N65" i="5"/>
  <c r="S63" i="5"/>
  <c r="E62" i="5"/>
  <c r="E60" i="5"/>
  <c r="E58" i="5"/>
  <c r="E56" i="5"/>
  <c r="N54" i="5"/>
  <c r="S52" i="5"/>
  <c r="N52" i="5"/>
  <c r="S50" i="5"/>
  <c r="N50" i="5"/>
  <c r="S48" i="5"/>
  <c r="N48" i="5"/>
  <c r="N132" i="5"/>
  <c r="S130" i="5"/>
  <c r="N130" i="5"/>
  <c r="S128" i="5"/>
  <c r="N128" i="5"/>
  <c r="S126" i="5"/>
  <c r="N126" i="5"/>
  <c r="S124" i="5"/>
  <c r="N124" i="5"/>
  <c r="S122" i="5"/>
  <c r="E121" i="5"/>
  <c r="S117" i="5"/>
  <c r="N117" i="5"/>
  <c r="S115" i="5"/>
  <c r="N115" i="5"/>
  <c r="S113" i="5"/>
  <c r="N113" i="5"/>
  <c r="S111" i="5"/>
  <c r="N111" i="5"/>
  <c r="S109" i="5"/>
  <c r="N109" i="5"/>
  <c r="S107" i="5"/>
  <c r="N107" i="5"/>
  <c r="E104" i="5"/>
  <c r="N102" i="5"/>
  <c r="S100" i="5"/>
  <c r="N100" i="5"/>
  <c r="S98" i="5"/>
  <c r="N98" i="5"/>
  <c r="S96" i="5"/>
  <c r="N96" i="5"/>
  <c r="S94" i="5"/>
  <c r="N94" i="5"/>
  <c r="S92" i="5"/>
  <c r="N92" i="5"/>
  <c r="S90" i="5"/>
  <c r="N90" i="5"/>
  <c r="S88" i="5"/>
  <c r="N88" i="5"/>
  <c r="E85" i="5"/>
  <c r="E83" i="5"/>
  <c r="E81" i="5"/>
  <c r="S77" i="5"/>
  <c r="N77" i="5"/>
  <c r="S75" i="5"/>
  <c r="N75" i="5"/>
  <c r="S73" i="5"/>
  <c r="N73" i="5"/>
  <c r="S71" i="5"/>
  <c r="E70" i="5"/>
  <c r="E68" i="5"/>
  <c r="E66" i="5"/>
  <c r="E64" i="5"/>
  <c r="N62" i="5"/>
  <c r="S60" i="5"/>
  <c r="N60" i="5"/>
  <c r="S58" i="5"/>
  <c r="N58" i="5"/>
  <c r="S56" i="5"/>
  <c r="N56" i="5"/>
  <c r="E53" i="5"/>
  <c r="E51" i="5"/>
  <c r="E49" i="5"/>
  <c r="S43" i="5"/>
  <c r="N43" i="5"/>
  <c r="E41" i="5"/>
  <c r="E125" i="5"/>
  <c r="E123" i="5"/>
  <c r="N121" i="5"/>
  <c r="S119" i="5"/>
  <c r="E118" i="5"/>
  <c r="E116" i="5"/>
  <c r="E114" i="5"/>
  <c r="E112" i="5"/>
  <c r="E110" i="5"/>
  <c r="E108" i="5"/>
  <c r="S104" i="5"/>
  <c r="N104" i="5"/>
  <c r="E101" i="5"/>
  <c r="E99" i="5"/>
  <c r="E97" i="5"/>
  <c r="E95" i="5"/>
  <c r="E93" i="5"/>
  <c r="E91" i="5"/>
  <c r="E89" i="5"/>
  <c r="S85" i="5"/>
  <c r="N85" i="5"/>
  <c r="S83" i="5"/>
  <c r="N83" i="5"/>
  <c r="S81" i="5"/>
  <c r="N81" i="5"/>
  <c r="S79" i="5"/>
  <c r="E78" i="5"/>
  <c r="E76" i="5"/>
  <c r="E74" i="5"/>
  <c r="E72" i="5"/>
  <c r="N70" i="5"/>
  <c r="S68" i="5"/>
  <c r="N68" i="5"/>
  <c r="S66" i="5"/>
  <c r="N66" i="5"/>
  <c r="S64" i="5"/>
  <c r="N64" i="5"/>
  <c r="E61" i="5"/>
  <c r="E59" i="5"/>
  <c r="E57" i="5"/>
  <c r="S53" i="5"/>
  <c r="N53" i="5"/>
  <c r="S51" i="5"/>
  <c r="N51" i="5"/>
  <c r="S49" i="5"/>
  <c r="N49" i="5"/>
  <c r="S47" i="5"/>
  <c r="E46" i="5"/>
  <c r="N37" i="8"/>
  <c r="S37" i="8"/>
  <c r="N43" i="3"/>
  <c r="N41" i="3"/>
  <c r="S43" i="3"/>
  <c r="S42" i="3"/>
  <c r="S41" i="3"/>
  <c r="S37" i="3"/>
  <c r="N51" i="3"/>
  <c r="N49" i="3"/>
  <c r="E45" i="3"/>
  <c r="N44" i="3"/>
  <c r="E35" i="5"/>
  <c r="E39" i="5"/>
  <c r="S45" i="5"/>
  <c r="N45" i="5"/>
  <c r="E45" i="5"/>
  <c r="E44" i="5"/>
  <c r="N41" i="5"/>
  <c r="N40" i="8"/>
  <c r="E42" i="5"/>
  <c r="E38" i="5"/>
  <c r="E43" i="5"/>
  <c r="S35" i="8"/>
  <c r="E36" i="8"/>
  <c r="E39" i="8"/>
  <c r="N39" i="3"/>
  <c r="N37" i="3"/>
  <c r="E35" i="3"/>
  <c r="N35" i="3"/>
  <c r="S37" i="4"/>
  <c r="E38" i="4"/>
  <c r="E41" i="4"/>
  <c r="S135" i="4"/>
  <c r="N95" i="4"/>
  <c r="S94" i="4"/>
  <c r="N89" i="4"/>
  <c r="N83" i="4"/>
  <c r="N77" i="4"/>
  <c r="N73" i="4"/>
  <c r="N67" i="4"/>
  <c r="N61" i="4"/>
  <c r="E52" i="4"/>
  <c r="N51" i="4"/>
  <c r="E37" i="4"/>
  <c r="S137" i="4"/>
  <c r="N87" i="4"/>
  <c r="N82" i="4"/>
  <c r="S76" i="4"/>
  <c r="N71" i="4"/>
  <c r="N66" i="4"/>
  <c r="N59" i="4"/>
  <c r="E53" i="4"/>
  <c r="E48" i="4"/>
  <c r="N47" i="4"/>
  <c r="N42" i="4"/>
  <c r="S139" i="4"/>
  <c r="N91" i="4"/>
  <c r="N85" i="4"/>
  <c r="N81" i="4"/>
  <c r="N75" i="4"/>
  <c r="E39" i="3"/>
  <c r="N40" i="3"/>
  <c r="S36" i="3"/>
  <c r="N50" i="3"/>
  <c r="S48" i="3"/>
  <c r="S37" i="5"/>
  <c r="S74" i="4"/>
  <c r="S79" i="4"/>
  <c r="N80" i="4"/>
  <c r="S80" i="4"/>
  <c r="S90" i="4"/>
  <c r="N92" i="4"/>
  <c r="S92" i="4"/>
  <c r="S98" i="4"/>
  <c r="S102" i="4"/>
  <c r="S106" i="4"/>
  <c r="S110" i="4"/>
  <c r="S114" i="4"/>
  <c r="S118" i="4"/>
  <c r="S122" i="4"/>
  <c r="S126" i="4"/>
  <c r="S130" i="4"/>
  <c r="S134" i="4"/>
  <c r="S136" i="4"/>
  <c r="S142" i="4"/>
  <c r="S143" i="4"/>
  <c r="S144" i="4"/>
  <c r="S42" i="4"/>
  <c r="N41" i="4"/>
  <c r="E41" i="3"/>
  <c r="E37" i="3"/>
  <c r="N36" i="3"/>
  <c r="S35" i="3"/>
  <c r="S39" i="3"/>
  <c r="E47" i="4"/>
  <c r="N48" i="4"/>
  <c r="S48" i="4"/>
  <c r="N53" i="4"/>
  <c r="S53" i="4"/>
  <c r="S57" i="4"/>
  <c r="N58" i="4"/>
  <c r="S58" i="4"/>
  <c r="S65" i="4"/>
  <c r="S69" i="4"/>
  <c r="N70" i="4"/>
  <c r="S70" i="4"/>
  <c r="S75" i="4"/>
  <c r="N76" i="4"/>
  <c r="S81" i="4"/>
  <c r="S85" i="4"/>
  <c r="N86" i="4"/>
  <c r="S86" i="4"/>
  <c r="S91" i="4"/>
  <c r="S97" i="4"/>
  <c r="S101" i="4"/>
  <c r="S105" i="4"/>
  <c r="S109" i="4"/>
  <c r="S113" i="4"/>
  <c r="S117" i="4"/>
  <c r="S121" i="4"/>
  <c r="S125" i="4"/>
  <c r="S129" i="4"/>
  <c r="S133" i="4"/>
  <c r="S147" i="4"/>
  <c r="N39" i="4"/>
  <c r="E36" i="4"/>
  <c r="S50" i="3"/>
  <c r="N36" i="5"/>
  <c r="S47" i="4"/>
  <c r="E51" i="4"/>
  <c r="N52" i="4"/>
  <c r="S52" i="4"/>
  <c r="S59" i="4"/>
  <c r="N60" i="4"/>
  <c r="S60" i="4"/>
  <c r="S66" i="4"/>
  <c r="S71" i="4"/>
  <c r="N72" i="4"/>
  <c r="S72" i="4"/>
  <c r="S82" i="4"/>
  <c r="S87" i="4"/>
  <c r="N88" i="4"/>
  <c r="S88" i="4"/>
  <c r="N94" i="4"/>
  <c r="S96" i="4"/>
  <c r="S100" i="4"/>
  <c r="S104" i="4"/>
  <c r="S108" i="4"/>
  <c r="S112" i="4"/>
  <c r="S116" i="4"/>
  <c r="S120" i="4"/>
  <c r="S124" i="4"/>
  <c r="S128" i="4"/>
  <c r="S132" i="4"/>
  <c r="S140" i="4"/>
  <c r="S146" i="4"/>
  <c r="E40" i="4"/>
  <c r="S44" i="3"/>
  <c r="E40" i="5"/>
  <c r="N46" i="3"/>
  <c r="N35" i="5"/>
  <c r="S35" i="5"/>
  <c r="E36" i="5"/>
  <c r="N40" i="5"/>
  <c r="E35" i="8"/>
  <c r="N35" i="8"/>
  <c r="N39" i="8"/>
  <c r="S39" i="8"/>
  <c r="E40" i="8"/>
  <c r="S41" i="5"/>
  <c r="E37" i="8"/>
  <c r="N38" i="8"/>
  <c r="N41" i="8"/>
  <c r="S39" i="4"/>
  <c r="E39" i="4"/>
  <c r="N38" i="4"/>
  <c r="S36" i="4"/>
  <c r="N36" i="4"/>
  <c r="E35" i="4"/>
  <c r="S47" i="3"/>
  <c r="N37" i="4"/>
  <c r="S35" i="4"/>
  <c r="N35" i="4"/>
  <c r="S40" i="4"/>
  <c r="N40" i="4"/>
  <c r="E50" i="3"/>
  <c r="N37" i="5"/>
  <c r="N76" i="3"/>
  <c r="N73" i="3"/>
  <c r="E73" i="3"/>
  <c r="S72" i="3"/>
  <c r="E72" i="3"/>
  <c r="S67" i="3"/>
  <c r="N60" i="3"/>
  <c r="N57" i="3"/>
  <c r="E57" i="3"/>
  <c r="S56" i="3"/>
  <c r="E56" i="3"/>
  <c r="S51" i="3"/>
  <c r="E51" i="3"/>
  <c r="N48" i="3"/>
  <c r="S46" i="3"/>
  <c r="E46" i="3"/>
  <c r="S36" i="5"/>
  <c r="N47" i="3"/>
  <c r="S40" i="5"/>
  <c r="S40" i="8"/>
  <c r="N36" i="8"/>
  <c r="A23" i="7" l="1"/>
  <c r="A22" i="7"/>
  <c r="G7" i="7"/>
  <c r="A24" i="7" l="1"/>
  <c r="E23" i="7"/>
  <c r="E22" i="7"/>
  <c r="E24" i="7"/>
  <c r="G8" i="7"/>
  <c r="E26" i="7" l="1"/>
  <c r="A25" i="7"/>
  <c r="A26" i="7"/>
  <c r="G9" i="7"/>
  <c r="G10" i="7" s="1"/>
  <c r="A27" i="7" l="1"/>
  <c r="A28" i="7" s="1"/>
  <c r="A29" i="7" s="1"/>
  <c r="E28" i="7"/>
  <c r="G11" i="7"/>
  <c r="G12" i="7" s="1"/>
  <c r="A30" i="7" l="1"/>
  <c r="E31" i="7" s="1"/>
  <c r="G13" i="7"/>
  <c r="E25" i="7" l="1"/>
  <c r="E30" i="7"/>
  <c r="E27" i="7"/>
  <c r="E29" i="7"/>
  <c r="G14" i="7"/>
  <c r="G15" i="7" s="1"/>
  <c r="G16" i="7" s="1"/>
  <c r="C4" i="7" l="1"/>
  <c r="C5" i="7"/>
  <c r="G17" i="7"/>
  <c r="G18" i="7" l="1"/>
  <c r="G19" i="7" l="1"/>
  <c r="G20" i="7" l="1"/>
  <c r="G21" i="7" l="1"/>
  <c r="G22" i="7" l="1"/>
  <c r="G23" i="7" l="1"/>
  <c r="G24" i="7" l="1"/>
  <c r="G25" i="7" l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K5" i="7"/>
  <c r="G73" i="7" l="1"/>
  <c r="G74" i="7" s="1"/>
  <c r="K6" i="7"/>
  <c r="K8" i="7"/>
  <c r="K7" i="7"/>
  <c r="K9" i="7"/>
  <c r="G75" i="7" l="1"/>
  <c r="G76" i="7" l="1"/>
  <c r="G77" i="7" l="1"/>
  <c r="G78" i="7" l="1"/>
  <c r="G79" i="7" l="1"/>
  <c r="G80" i="7" l="1"/>
  <c r="G81" i="7" l="1"/>
  <c r="K79" i="7" l="1"/>
  <c r="G82" i="7"/>
  <c r="K128" i="7" s="1"/>
  <c r="K77" i="7"/>
  <c r="K63" i="7"/>
  <c r="K61" i="7"/>
  <c r="K74" i="7"/>
  <c r="K84" i="7"/>
  <c r="K105" i="7"/>
  <c r="K130" i="7"/>
  <c r="K29" i="7"/>
  <c r="K126" i="7"/>
  <c r="K153" i="7"/>
  <c r="K166" i="7"/>
  <c r="K28" i="7"/>
  <c r="K168" i="7"/>
  <c r="K91" i="7"/>
  <c r="K131" i="7"/>
  <c r="K136" i="7"/>
  <c r="K10" i="7"/>
  <c r="K117" i="7"/>
  <c r="K111" i="7"/>
  <c r="K54" i="7"/>
  <c r="K127" i="7"/>
  <c r="K122" i="7"/>
  <c r="K156" i="7"/>
  <c r="K142" i="7"/>
  <c r="K47" i="7"/>
  <c r="K32" i="7"/>
  <c r="K19" i="7"/>
  <c r="K68" i="7"/>
  <c r="K93" i="7"/>
  <c r="K86" i="7"/>
  <c r="K159" i="7"/>
  <c r="K147" i="7"/>
  <c r="K102" i="7"/>
  <c r="K104" i="7"/>
  <c r="K62" i="7"/>
  <c r="K60" i="7"/>
  <c r="K119" i="7"/>
  <c r="K58" i="7"/>
  <c r="K118" i="7"/>
  <c r="K23" i="7"/>
  <c r="K18" i="7"/>
  <c r="K94" i="7"/>
  <c r="K16" i="7"/>
  <c r="K73" i="7"/>
  <c r="K64" i="7"/>
  <c r="K110" i="7"/>
  <c r="K71" i="7"/>
  <c r="K89" i="7"/>
  <c r="K27" i="7"/>
  <c r="K37" i="7"/>
  <c r="K150" i="7"/>
  <c r="K38" i="7"/>
  <c r="K106" i="7"/>
  <c r="K25" i="7"/>
  <c r="K33" i="7"/>
  <c r="K22" i="7"/>
  <c r="K55" i="7"/>
  <c r="K100" i="7"/>
  <c r="K137" i="7"/>
  <c r="K34" i="7"/>
  <c r="K132" i="7"/>
  <c r="K36" i="7"/>
  <c r="K83" i="7"/>
  <c r="K172" i="7"/>
  <c r="K101" i="7"/>
  <c r="K24" i="7"/>
  <c r="K167" i="7"/>
  <c r="K171" i="7"/>
  <c r="K48" i="7"/>
  <c r="K148" i="7"/>
  <c r="K65" i="7"/>
  <c r="K70" i="7"/>
  <c r="K152" i="7"/>
  <c r="K144" i="7"/>
  <c r="K151" i="7"/>
  <c r="K57" i="7"/>
  <c r="K154" i="7"/>
  <c r="K31" i="7"/>
  <c r="K103" i="7"/>
  <c r="K116" i="7"/>
  <c r="K140" i="7"/>
  <c r="K169" i="7"/>
  <c r="K17" i="7"/>
  <c r="K40" i="7"/>
  <c r="K133" i="7"/>
  <c r="K146" i="7"/>
  <c r="K113" i="7"/>
  <c r="K123" i="7"/>
  <c r="K155" i="7"/>
  <c r="K158" i="7"/>
  <c r="K145" i="7"/>
  <c r="K20" i="7"/>
  <c r="K112" i="7"/>
  <c r="K98" i="7"/>
  <c r="K45" i="7"/>
  <c r="K164" i="7"/>
  <c r="K11" i="7"/>
  <c r="K135" i="7"/>
  <c r="K141" i="7"/>
  <c r="K44" i="7"/>
  <c r="K51" i="7"/>
  <c r="K46" i="7"/>
  <c r="K162" i="7"/>
  <c r="K170" i="7"/>
  <c r="K80" i="7"/>
  <c r="K129" i="7"/>
  <c r="K43" i="7"/>
  <c r="K115" i="7"/>
  <c r="K69" i="7"/>
  <c r="K88" i="7"/>
  <c r="K121" i="7"/>
  <c r="K90" i="7"/>
  <c r="K67" i="7"/>
  <c r="K163" i="7"/>
  <c r="K138" i="7"/>
  <c r="K26" i="7"/>
  <c r="K134" i="7"/>
  <c r="K13" i="7"/>
  <c r="K157" i="7"/>
  <c r="K161" i="7"/>
  <c r="K59" i="7"/>
  <c r="K139" i="7"/>
  <c r="K97" i="7"/>
  <c r="K21" i="7"/>
  <c r="K35" i="7"/>
  <c r="K165" i="7"/>
  <c r="K30" i="7"/>
  <c r="K96" i="7"/>
  <c r="K160" i="7"/>
  <c r="K49" i="7"/>
  <c r="K52" i="7"/>
  <c r="K81" i="7"/>
  <c r="K109" i="7"/>
  <c r="K82" i="7"/>
  <c r="K56" i="7"/>
  <c r="K149" i="7"/>
  <c r="K42" i="7"/>
  <c r="K15" i="7"/>
  <c r="K99" i="7"/>
  <c r="K78" i="7"/>
  <c r="K92" i="7"/>
  <c r="K50" i="7"/>
  <c r="K107" i="7"/>
  <c r="K125" i="7"/>
  <c r="K41" i="7"/>
  <c r="K108" i="7"/>
  <c r="K124" i="7"/>
  <c r="K95" i="7"/>
  <c r="K143" i="7"/>
  <c r="K87" i="7"/>
  <c r="K120" i="7"/>
  <c r="K72" i="7"/>
  <c r="K114" i="7"/>
  <c r="K53" i="7"/>
  <c r="K66" i="7"/>
  <c r="K85" i="7"/>
  <c r="K12" i="7" l="1"/>
  <c r="I10" i="7" s="1"/>
  <c r="K14" i="7"/>
  <c r="K39" i="7"/>
  <c r="K76" i="7"/>
  <c r="K75" i="7"/>
  <c r="I4" i="7" l="1"/>
</calcChain>
</file>

<file path=xl/sharedStrings.xml><?xml version="1.0" encoding="utf-8"?>
<sst xmlns="http://schemas.openxmlformats.org/spreadsheetml/2006/main" count="1066" uniqueCount="308">
  <si>
    <t>MODIFIERS</t>
  </si>
  <si>
    <t xml:space="preserve">Ability Modifier </t>
  </si>
  <si>
    <t xml:space="preserve">Alchemical Bonus </t>
  </si>
  <si>
    <t xml:space="preserve">Armor Bonus </t>
  </si>
  <si>
    <t xml:space="preserve">Circumstance Modifier </t>
  </si>
  <si>
    <t xml:space="preserve">Competence Modifier </t>
  </si>
  <si>
    <t xml:space="preserve">Deflection Bonus </t>
  </si>
  <si>
    <t xml:space="preserve">Dodge Bonus </t>
  </si>
  <si>
    <t>Enhancement Shield Bonus</t>
  </si>
  <si>
    <t xml:space="preserve">Enhancement Armor Bonus </t>
  </si>
  <si>
    <t xml:space="preserve">Insight Bonus </t>
  </si>
  <si>
    <t xml:space="preserve">Luck Modifier </t>
  </si>
  <si>
    <t xml:space="preserve">Morale Modifier </t>
  </si>
  <si>
    <t xml:space="preserve">Natural Armor Bonus </t>
  </si>
  <si>
    <t>Enhancement to Natural Armor Bonus</t>
  </si>
  <si>
    <t xml:space="preserve">Profane Modifier </t>
  </si>
  <si>
    <t xml:space="preserve">Racial Bonus </t>
  </si>
  <si>
    <t xml:space="preserve">Resistance Bonus </t>
  </si>
  <si>
    <t>Sacred Modifier</t>
  </si>
  <si>
    <t xml:space="preserve">Shield Bonus </t>
  </si>
  <si>
    <t xml:space="preserve">Size Modifier </t>
  </si>
  <si>
    <t>Epic Bonus</t>
  </si>
  <si>
    <t>Divine Bonus</t>
  </si>
  <si>
    <t>(Ability Drain)</t>
  </si>
  <si>
    <t>(Temporary HP and Damage Absorption Shield-e.g Protection from Elements)</t>
  </si>
  <si>
    <t>Untyped</t>
  </si>
  <si>
    <t>HP</t>
  </si>
  <si>
    <t>INITIATIVE</t>
  </si>
  <si>
    <t>AC</t>
  </si>
  <si>
    <t>FORT</t>
  </si>
  <si>
    <t>REF</t>
  </si>
  <si>
    <t>WILL</t>
  </si>
  <si>
    <t>Number5</t>
  </si>
  <si>
    <t>Number6</t>
  </si>
  <si>
    <t>Number7</t>
  </si>
  <si>
    <t>Number8</t>
  </si>
  <si>
    <t>Number9</t>
  </si>
  <si>
    <t>Number10</t>
  </si>
  <si>
    <t>Number11</t>
  </si>
  <si>
    <t>Number12</t>
  </si>
  <si>
    <t>Number13</t>
  </si>
  <si>
    <t>Number14</t>
  </si>
  <si>
    <t>Number15</t>
  </si>
  <si>
    <t>Number16</t>
  </si>
  <si>
    <t>Number17</t>
  </si>
  <si>
    <t>NN</t>
  </si>
  <si>
    <t>NAME</t>
  </si>
  <si>
    <t>initiative</t>
  </si>
  <si>
    <t>Characters</t>
  </si>
  <si>
    <t>NAMES</t>
  </si>
  <si>
    <t>BUFFS</t>
  </si>
  <si>
    <t>TYPE</t>
  </si>
  <si>
    <t>Types</t>
  </si>
  <si>
    <t>attack</t>
  </si>
  <si>
    <t>TYPE2</t>
  </si>
  <si>
    <t>TYPE3</t>
  </si>
  <si>
    <t>TYPE1</t>
  </si>
  <si>
    <t>MODIFIER</t>
  </si>
  <si>
    <t>MOD</t>
  </si>
  <si>
    <t>LISTS</t>
  </si>
  <si>
    <t>SEARCH MODIFIER</t>
  </si>
  <si>
    <t>SEARCH BUFF</t>
  </si>
  <si>
    <t>Caster level</t>
  </si>
  <si>
    <t>CASTER</t>
  </si>
  <si>
    <t>Enhancement Damage</t>
  </si>
  <si>
    <t>Caster MOD</t>
  </si>
  <si>
    <t>SUM MOD</t>
  </si>
  <si>
    <t>Magic Vestment Shield</t>
  </si>
  <si>
    <t>Magic Vestment Armor</t>
  </si>
  <si>
    <t>LEVEL SPELL</t>
  </si>
  <si>
    <t>SPELL LEVEL</t>
  </si>
  <si>
    <t>Buffs counter</t>
  </si>
  <si>
    <t>MAX CASTER</t>
  </si>
  <si>
    <t>MAX CASTER LEVEL</t>
  </si>
  <si>
    <t>Attack 1</t>
  </si>
  <si>
    <t>Attack 2</t>
  </si>
  <si>
    <t>DURATION</t>
  </si>
  <si>
    <t>damage</t>
  </si>
  <si>
    <t>Bab</t>
  </si>
  <si>
    <t>Strength</t>
  </si>
  <si>
    <t>Wisdom</t>
  </si>
  <si>
    <t>Charisma</t>
  </si>
  <si>
    <t>Constitution</t>
  </si>
  <si>
    <t>Dexterity</t>
  </si>
  <si>
    <t>Grapple</t>
  </si>
  <si>
    <t>Touch AC</t>
  </si>
  <si>
    <t>Flatfooded AC</t>
  </si>
  <si>
    <t>1d8</t>
  </si>
  <si>
    <t>Power Attack</t>
  </si>
  <si>
    <t>Attack Roll</t>
  </si>
  <si>
    <t>Damage</t>
  </si>
  <si>
    <t>Dice</t>
  </si>
  <si>
    <t>Extra</t>
  </si>
  <si>
    <t>NEGATIVE LEVELS</t>
  </si>
  <si>
    <t>EXTRA HD full BAB</t>
  </si>
  <si>
    <t>SIZE</t>
  </si>
  <si>
    <t>Enhancement</t>
  </si>
  <si>
    <t>ARMOR BONUS</t>
  </si>
  <si>
    <t>ARMOR SHIELD BONUS</t>
  </si>
  <si>
    <t>CLOAK OF RESISTANT</t>
  </si>
  <si>
    <t>Critical</t>
  </si>
  <si>
    <t>Ability</t>
  </si>
  <si>
    <t>hands</t>
  </si>
  <si>
    <t>x3</t>
  </si>
  <si>
    <t>light</t>
  </si>
  <si>
    <t>Invsibilty</t>
  </si>
  <si>
    <t>flank</t>
  </si>
  <si>
    <t>Dual wield</t>
  </si>
  <si>
    <t>aid another</t>
  </si>
  <si>
    <t>Fire</t>
  </si>
  <si>
    <t>Hight ground</t>
  </si>
  <si>
    <t>Circumstance</t>
  </si>
  <si>
    <t>two handed</t>
  </si>
  <si>
    <t>one handed</t>
  </si>
  <si>
    <t>Augmented Power Attack</t>
  </si>
  <si>
    <t>normal</t>
  </si>
  <si>
    <t>x2</t>
  </si>
  <si>
    <t>charge</t>
  </si>
  <si>
    <t>Negative Levels</t>
  </si>
  <si>
    <t>ice</t>
  </si>
  <si>
    <t>acid</t>
  </si>
  <si>
    <t>ATTACK MODIFIERS</t>
  </si>
  <si>
    <t>Intelligence</t>
  </si>
  <si>
    <t>Base</t>
  </si>
  <si>
    <t>Hp from con</t>
  </si>
  <si>
    <t>Temporary HP</t>
  </si>
  <si>
    <t>Max Def Modifier</t>
  </si>
  <si>
    <t>EXP</t>
  </si>
  <si>
    <t>Modifier</t>
  </si>
  <si>
    <t>Sum</t>
  </si>
  <si>
    <t>Fort</t>
  </si>
  <si>
    <t>Attack</t>
  </si>
  <si>
    <t>Diminutive</t>
  </si>
  <si>
    <t>Tiny</t>
  </si>
  <si>
    <t>Small</t>
  </si>
  <si>
    <t>Medium</t>
  </si>
  <si>
    <t>Large</t>
  </si>
  <si>
    <t>−1</t>
  </si>
  <si>
    <t>Huge</t>
  </si>
  <si>
    <t>−2</t>
  </si>
  <si>
    <t>Gargantuan</t>
  </si>
  <si>
    <t>−4</t>
  </si>
  <si>
    <t>−8</t>
  </si>
  <si>
    <t>Fine</t>
  </si>
  <si>
    <t>size</t>
  </si>
  <si>
    <t>attack/ac</t>
  </si>
  <si>
    <t>Special attack</t>
  </si>
  <si>
    <t>Colossal</t>
  </si>
  <si>
    <t>Spell Resistance</t>
  </si>
  <si>
    <t>power attack dmg</t>
  </si>
  <si>
    <t>Augment P.A dmg</t>
  </si>
  <si>
    <t>1d10</t>
  </si>
  <si>
    <t>Defence MODIFIERS</t>
  </si>
  <si>
    <t>Total Defence</t>
  </si>
  <si>
    <t>Fight defensively</t>
  </si>
  <si>
    <t>Char Level</t>
  </si>
  <si>
    <t>RIZLA</t>
  </si>
  <si>
    <t>THIS IS NIOURS FUCKING SHEET</t>
  </si>
  <si>
    <t>one handed offhand</t>
  </si>
  <si>
    <t>light offhand</t>
  </si>
  <si>
    <t>P.Att Dmg</t>
  </si>
  <si>
    <t>Strenght</t>
  </si>
  <si>
    <t>ATTACK 1</t>
  </si>
  <si>
    <t>ΜΗΝ ΠΕΙΡΑΧΤΕΙ</t>
  </si>
  <si>
    <t>ΑΥΤΉ Η ΣΤΗΛΗ</t>
  </si>
  <si>
    <t>ARMOR ENCHA BONUS</t>
  </si>
  <si>
    <t>SHIELD ENCHA BONUS</t>
  </si>
  <si>
    <t>kizeon</t>
  </si>
  <si>
    <t>Quicken rod</t>
  </si>
  <si>
    <t>Silent rod</t>
  </si>
  <si>
    <t>Cloak of resi 4</t>
  </si>
  <si>
    <t>ring counter spellx2</t>
  </si>
  <si>
    <t>Headband 4</t>
  </si>
  <si>
    <t>Amulet of health 2</t>
  </si>
  <si>
    <t>Belt of battle</t>
  </si>
  <si>
    <t>Spell turning</t>
  </si>
  <si>
    <t>Con tattoo 2</t>
  </si>
  <si>
    <t>Mithril buckler Death ward +1</t>
  </si>
  <si>
    <t>Caster tatoo +1</t>
  </si>
  <si>
    <t>Ion stone intelligence +2</t>
  </si>
  <si>
    <t>Headband Intelligence</t>
  </si>
  <si>
    <t>Glyph intelligence</t>
  </si>
  <si>
    <t>Tattoo of Contstitution</t>
  </si>
  <si>
    <t>Amulet of Health</t>
  </si>
  <si>
    <t>Shiled Buckler Mithril deathward +1</t>
  </si>
  <si>
    <t>Full Plate</t>
  </si>
  <si>
    <t>cloak of ressista +4</t>
  </si>
  <si>
    <t>Ring of protection +2</t>
  </si>
  <si>
    <t>Mace Master</t>
  </si>
  <si>
    <t>Ank of ascencion</t>
  </si>
  <si>
    <t>Circlet of Wisd +6</t>
  </si>
  <si>
    <t>Tatto +2 con</t>
  </si>
  <si>
    <t>Spell turning tattoo</t>
  </si>
  <si>
    <t>Armlet of health +4</t>
  </si>
  <si>
    <t>x2 Dimensional door</t>
  </si>
  <si>
    <t>Wisdom +2 Stone</t>
  </si>
  <si>
    <t>Ring of protection</t>
  </si>
  <si>
    <t>Glyph of Wisdom</t>
  </si>
  <si>
    <t>Circle of Wisdom</t>
  </si>
  <si>
    <t>Mage Armor</t>
  </si>
  <si>
    <t>Enlarge Person</t>
  </si>
  <si>
    <t>Alter Self Trogle</t>
  </si>
  <si>
    <t>Shieled</t>
  </si>
  <si>
    <t>True Strike</t>
  </si>
  <si>
    <t>Blur*</t>
  </si>
  <si>
    <t>Alter Self*</t>
  </si>
  <si>
    <t>StoneSkin*</t>
  </si>
  <si>
    <t>False Life*</t>
  </si>
  <si>
    <t>Bulls Strenght</t>
  </si>
  <si>
    <t>Cats Grace</t>
  </si>
  <si>
    <t>Invisibility*</t>
  </si>
  <si>
    <t>Mirror Image*</t>
  </si>
  <si>
    <t>Protection From Energy*</t>
  </si>
  <si>
    <t>See Invisibility*</t>
  </si>
  <si>
    <t>Protection From Arrows*</t>
  </si>
  <si>
    <t>Displacement*</t>
  </si>
  <si>
    <t>Fly*</t>
  </si>
  <si>
    <t>Gaseous Form*</t>
  </si>
  <si>
    <t>Haste*</t>
  </si>
  <si>
    <t>Resiste From Energy*</t>
  </si>
  <si>
    <t>Invisibility Greater*</t>
  </si>
  <si>
    <t>Polymorph*</t>
  </si>
  <si>
    <t>Pentaris</t>
  </si>
  <si>
    <t>JEY</t>
  </si>
  <si>
    <t>Telepathetic Bond</t>
  </si>
  <si>
    <t>Gloves Of Dexterity</t>
  </si>
  <si>
    <t>Gloves Of Strenght</t>
  </si>
  <si>
    <t>Cloak of Charisma</t>
  </si>
  <si>
    <t>Tattoo of Strenght</t>
  </si>
  <si>
    <t>Tattoo of Dexterity</t>
  </si>
  <si>
    <t>Arcane sight*</t>
  </si>
  <si>
    <t>Elemental body*</t>
  </si>
  <si>
    <t>Mind Blank*</t>
  </si>
  <si>
    <t>Tyche's Touch 4</t>
  </si>
  <si>
    <t>Tyche's Touch 3</t>
  </si>
  <si>
    <t>Tyche's Touch 2</t>
  </si>
  <si>
    <t>Tyche's Touch 1</t>
  </si>
  <si>
    <t>Blind Sight*</t>
  </si>
  <si>
    <t>Invisibility Purge*</t>
  </si>
  <si>
    <t>Protection from Evil*</t>
  </si>
  <si>
    <t>Magic Circle vs Evil*</t>
  </si>
  <si>
    <t>Shiled of faith Mass</t>
  </si>
  <si>
    <t>Shield of faith</t>
  </si>
  <si>
    <t>Distrupting Weapon*</t>
  </si>
  <si>
    <t>Surge of Fortune 1/2*</t>
  </si>
  <si>
    <t>Surge of Fortune 2/2*</t>
  </si>
  <si>
    <t>Luck of Heroes 2/2</t>
  </si>
  <si>
    <t>Luck of Heroes 1/2</t>
  </si>
  <si>
    <t>True Seeing</t>
  </si>
  <si>
    <t>True Seeing*</t>
  </si>
  <si>
    <t>Superior Resistant</t>
  </si>
  <si>
    <t>Fortunate Fate*</t>
  </si>
  <si>
    <t>Briliance blade*</t>
  </si>
  <si>
    <t>Shield of the anchors*</t>
  </si>
  <si>
    <t>Vision of the Omniscient Eye*</t>
  </si>
  <si>
    <t>Wand of C. Medium Wounds</t>
  </si>
  <si>
    <t>Heal</t>
  </si>
  <si>
    <t>Revivify</t>
  </si>
  <si>
    <t>Invisibility Purge</t>
  </si>
  <si>
    <t>Curse of ill Fortune Mass</t>
  </si>
  <si>
    <t>Ring of counter Spells</t>
  </si>
  <si>
    <t>Holy Star</t>
  </si>
  <si>
    <t>Conviction</t>
  </si>
  <si>
    <t>Ring of counter spells</t>
  </si>
  <si>
    <t>Celestial Armor</t>
  </si>
  <si>
    <t>Kukri +1, silver Human bane</t>
  </si>
  <si>
    <t>Short Sword +1 silver</t>
  </si>
  <si>
    <t>Cloak of Elvenkind</t>
  </si>
  <si>
    <t>Amulet of Health +2</t>
  </si>
  <si>
    <t>Saves vest +3</t>
  </si>
  <si>
    <t>Ring of spider climb</t>
  </si>
  <si>
    <t>Luck Blade</t>
  </si>
  <si>
    <t>Tattoo Dex +2</t>
  </si>
  <si>
    <t>Boots of swift passage</t>
  </si>
  <si>
    <t>Wraithstrike wand -4</t>
  </si>
  <si>
    <t>Golem Strike Wand -3</t>
  </si>
  <si>
    <t>Grave Strike -2</t>
  </si>
  <si>
    <t>Eternal Wand of Alter Self</t>
  </si>
  <si>
    <t>Wand of Nerveskitter</t>
  </si>
  <si>
    <t>Belt of healing</t>
  </si>
  <si>
    <t>Masterwork tool for UMD (+2)</t>
  </si>
  <si>
    <t>Masterwork Thieve's tools  (+2 open lock/disable device)</t>
  </si>
  <si>
    <t>Hovering shield of force</t>
  </si>
  <si>
    <t>Enhantmet Attack</t>
  </si>
  <si>
    <t>Craven</t>
  </si>
  <si>
    <t>1d4</t>
  </si>
  <si>
    <t>1d6</t>
  </si>
  <si>
    <t>Ring of counter spell</t>
  </si>
  <si>
    <t>Full plate +1, displacement</t>
  </si>
  <si>
    <t>Hovering shield +1</t>
  </si>
  <si>
    <t>Vest +4</t>
  </si>
  <si>
    <t>Gloves of fortunate strike</t>
  </si>
  <si>
    <t>Protection Devotion</t>
  </si>
  <si>
    <t>Combat Focus</t>
  </si>
  <si>
    <t>Combat Stability</t>
  </si>
  <si>
    <t>Attack 3</t>
  </si>
  <si>
    <t>ranged touch attack</t>
  </si>
  <si>
    <t>Conviction Mass</t>
  </si>
  <si>
    <t>Visions of the Future* 2/2</t>
  </si>
  <si>
    <t>Visions of the Future* 1/2</t>
  </si>
  <si>
    <t>Mystic Aegis*</t>
  </si>
  <si>
    <t>Death Ward*</t>
  </si>
  <si>
    <t>Benediction</t>
  </si>
  <si>
    <t>Cleric</t>
  </si>
  <si>
    <t>Wizard</t>
  </si>
  <si>
    <t>Rogue</t>
  </si>
  <si>
    <t>Ac -2</t>
  </si>
  <si>
    <t>Ac 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</si>
</sst>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b/>
      <sz val="15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Arial"/>
      <family val="2"/>
      <charset val="161"/>
    </font>
    <font>
      <b/>
      <sz val="24"/>
      <color theme="1"/>
      <name val="Arial"/>
      <family val="2"/>
      <charset val="16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Arial"/>
      <family val="2"/>
      <charset val="161"/>
    </font>
    <font>
      <sz val="14"/>
      <color theme="1"/>
      <name val="Calibri"/>
      <family val="2"/>
      <charset val="161"/>
      <scheme val="minor"/>
    </font>
    <font>
      <b/>
      <sz val="14"/>
      <color theme="1"/>
      <name val="Arial"/>
      <family val="2"/>
      <charset val="161"/>
    </font>
    <font>
      <b/>
      <sz val="14"/>
      <color theme="3"/>
      <name val="Arial"/>
      <family val="2"/>
      <charset val="161"/>
    </font>
    <font>
      <b/>
      <sz val="14"/>
      <color rgb="FF7030A0"/>
      <name val="Arial"/>
      <family val="2"/>
      <charset val="161"/>
    </font>
    <font>
      <b/>
      <sz val="14"/>
      <color theme="9" tint="-0.249977111117893"/>
      <name val="Arial"/>
      <family val="2"/>
      <charset val="161"/>
    </font>
    <font>
      <b/>
      <sz val="14"/>
      <color rgb="FFFFC000"/>
      <name val="Arial"/>
      <family val="2"/>
      <charset val="161"/>
    </font>
    <font>
      <sz val="12"/>
      <color rgb="FFFFC000"/>
      <name val="Arial"/>
      <family val="2"/>
      <charset val="161"/>
    </font>
    <font>
      <sz val="12"/>
      <color rgb="FFFF0000"/>
      <name val="Arial"/>
      <family val="2"/>
      <charset val="161"/>
    </font>
    <font>
      <sz val="12"/>
      <color theme="3"/>
      <name val="Arial"/>
      <family val="2"/>
      <charset val="161"/>
    </font>
    <font>
      <sz val="12"/>
      <color rgb="FF7030A0"/>
      <name val="Arial"/>
      <family val="2"/>
      <charset val="161"/>
    </font>
    <font>
      <sz val="12"/>
      <color theme="9" tint="-0.249977111117893"/>
      <name val="Arial"/>
      <family val="2"/>
      <charset val="161"/>
    </font>
    <font>
      <sz val="14"/>
      <color theme="1"/>
      <name val="Arial"/>
      <family val="2"/>
      <charset val="161"/>
    </font>
    <font>
      <sz val="14"/>
      <color rgb="FFFF0000"/>
      <name val="Arial"/>
      <family val="2"/>
      <charset val="161"/>
    </font>
    <font>
      <sz val="16"/>
      <color rgb="FFFFC000"/>
      <name val="Arial"/>
      <family val="2"/>
      <charset val="161"/>
    </font>
    <font>
      <sz val="16"/>
      <color rgb="FFFF0000"/>
      <name val="Arial"/>
      <family val="2"/>
      <charset val="161"/>
    </font>
    <font>
      <sz val="16"/>
      <color theme="3"/>
      <name val="Arial"/>
      <family val="2"/>
      <charset val="161"/>
    </font>
    <font>
      <sz val="16"/>
      <color rgb="FF7030A0"/>
      <name val="Arial"/>
      <family val="2"/>
      <charset val="161"/>
    </font>
    <font>
      <sz val="16"/>
      <color theme="9" tint="-0.249977111117893"/>
      <name val="Arial"/>
      <family val="2"/>
      <charset val="161"/>
    </font>
    <font>
      <sz val="26"/>
      <color theme="1"/>
      <name val="Calibri"/>
      <family val="2"/>
      <scheme val="minor"/>
    </font>
    <font>
      <b/>
      <sz val="14"/>
      <color rgb="FF00B050"/>
      <name val="Arial"/>
      <family val="2"/>
      <charset val="161"/>
    </font>
    <font>
      <sz val="12"/>
      <color rgb="FF00B050"/>
      <name val="Arial"/>
      <family val="2"/>
      <charset val="161"/>
    </font>
    <font>
      <sz val="16"/>
      <color rgb="FF00B050"/>
      <name val="Arial"/>
      <family val="2"/>
      <charset val="161"/>
    </font>
    <font>
      <b/>
      <sz val="14"/>
      <color rgb="FF305728"/>
      <name val="Arial"/>
      <family val="2"/>
      <charset val="161"/>
    </font>
    <font>
      <sz val="11"/>
      <color rgb="FF305728"/>
      <name val="Calibri"/>
      <family val="2"/>
      <scheme val="minor"/>
    </font>
    <font>
      <sz val="14"/>
      <color rgb="FF0070C0"/>
      <name val="Arial"/>
      <family val="2"/>
      <charset val="161"/>
    </font>
    <font>
      <b/>
      <sz val="20"/>
      <color theme="1"/>
      <name val="Calibri"/>
      <family val="2"/>
      <charset val="161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44B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CBABA"/>
        <bgColor indexed="64"/>
      </patternFill>
    </fill>
    <fill>
      <patternFill patternType="solid">
        <fgColor rgb="FFBCCFE6"/>
        <bgColor indexed="64"/>
      </patternFill>
    </fill>
    <fill>
      <patternFill patternType="solid">
        <fgColor rgb="FF8FFFC2"/>
        <bgColor indexed="64"/>
      </patternFill>
    </fill>
    <fill>
      <patternFill patternType="solid">
        <fgColor rgb="FFFFDD71"/>
        <bgColor indexed="64"/>
      </patternFill>
    </fill>
    <fill>
      <patternFill patternType="solid">
        <fgColor rgb="FFC7BBD7"/>
        <bgColor indexed="64"/>
      </patternFill>
    </fill>
    <fill>
      <patternFill patternType="solid">
        <fgColor rgb="FFDDDDDD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</cellStyleXfs>
  <cellXfs count="196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/>
    <xf numFmtId="0" fontId="3" fillId="0" borderId="1" xfId="0" applyFont="1" applyBorder="1"/>
    <xf numFmtId="0" fontId="6" fillId="2" borderId="1" xfId="1" applyFont="1" applyBorder="1"/>
    <xf numFmtId="0" fontId="7" fillId="2" borderId="1" xfId="1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5" fillId="0" borderId="3" xfId="0" applyFont="1" applyBorder="1" applyAlignment="1">
      <alignment horizontal="center"/>
    </xf>
    <xf numFmtId="0" fontId="8" fillId="0" borderId="2" xfId="0" applyFont="1" applyBorder="1"/>
    <xf numFmtId="0" fontId="8" fillId="0" borderId="0" xfId="0" applyFont="1" applyBorder="1"/>
    <xf numFmtId="0" fontId="9" fillId="0" borderId="0" xfId="0" applyFont="1"/>
    <xf numFmtId="0" fontId="0" fillId="0" borderId="8" xfId="0" applyBorder="1"/>
    <xf numFmtId="0" fontId="2" fillId="0" borderId="7" xfId="0" applyFont="1" applyBorder="1"/>
    <xf numFmtId="0" fontId="5" fillId="0" borderId="7" xfId="0" applyFont="1" applyFill="1" applyBorder="1"/>
    <xf numFmtId="0" fontId="2" fillId="0" borderId="4" xfId="0" applyFont="1" applyBorder="1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8" xfId="0" applyBorder="1" applyProtection="1">
      <protection hidden="1"/>
    </xf>
    <xf numFmtId="0" fontId="10" fillId="3" borderId="9" xfId="0" applyNumberFormat="1" applyFont="1" applyFill="1" applyBorder="1"/>
    <xf numFmtId="0" fontId="10" fillId="3" borderId="10" xfId="0" applyNumberFormat="1" applyFont="1" applyFill="1" applyBorder="1"/>
    <xf numFmtId="0" fontId="10" fillId="3" borderId="11" xfId="0" applyNumberFormat="1" applyFont="1" applyFill="1" applyBorder="1"/>
    <xf numFmtId="0" fontId="2" fillId="0" borderId="5" xfId="0" applyFont="1" applyBorder="1"/>
    <xf numFmtId="0" fontId="5" fillId="0" borderId="6" xfId="0" applyFont="1" applyBorder="1" applyProtection="1">
      <protection hidden="1"/>
    </xf>
    <xf numFmtId="0" fontId="5" fillId="0" borderId="5" xfId="0" applyFont="1" applyBorder="1" applyProtection="1">
      <protection hidden="1"/>
    </xf>
    <xf numFmtId="0" fontId="10" fillId="3" borderId="0" xfId="0" applyFont="1" applyFill="1" applyBorder="1"/>
    <xf numFmtId="0" fontId="0" fillId="0" borderId="0" xfId="0" applyFill="1"/>
    <xf numFmtId="0" fontId="13" fillId="0" borderId="0" xfId="0" applyFont="1" applyFill="1"/>
    <xf numFmtId="0" fontId="14" fillId="0" borderId="0" xfId="0" applyFont="1" applyFill="1"/>
    <xf numFmtId="0" fontId="13" fillId="0" borderId="1" xfId="1" applyFont="1" applyFill="1" applyBorder="1" applyProtection="1"/>
    <xf numFmtId="0" fontId="15" fillId="0" borderId="0" xfId="0" applyFont="1" applyFill="1"/>
    <xf numFmtId="0" fontId="8" fillId="0" borderId="3" xfId="0" applyFont="1" applyBorder="1"/>
    <xf numFmtId="0" fontId="8" fillId="0" borderId="4" xfId="0" applyFont="1" applyBorder="1"/>
    <xf numFmtId="0" fontId="8" fillId="0" borderId="6" xfId="0" applyFont="1" applyBorder="1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2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19" fillId="6" borderId="3" xfId="0" applyFont="1" applyFill="1" applyBorder="1" applyAlignment="1" applyProtection="1">
      <alignment horizontal="center"/>
      <protection hidden="1"/>
    </xf>
    <xf numFmtId="0" fontId="19" fillId="6" borderId="4" xfId="0" applyFont="1" applyFill="1" applyBorder="1" applyAlignment="1" applyProtection="1">
      <alignment horizontal="right"/>
      <protection hidden="1"/>
    </xf>
    <xf numFmtId="0" fontId="19" fillId="6" borderId="4" xfId="0" applyFont="1" applyFill="1" applyBorder="1" applyAlignment="1" applyProtection="1">
      <alignment horizontal="center"/>
      <protection hidden="1"/>
    </xf>
    <xf numFmtId="0" fontId="19" fillId="6" borderId="4" xfId="0" applyFont="1" applyFill="1" applyBorder="1" applyProtection="1">
      <protection hidden="1"/>
    </xf>
    <xf numFmtId="0" fontId="19" fillId="6" borderId="3" xfId="0" applyFont="1" applyFill="1" applyBorder="1" applyProtection="1">
      <protection hidden="1"/>
    </xf>
    <xf numFmtId="0" fontId="19" fillId="6" borderId="5" xfId="0" applyFont="1" applyFill="1" applyBorder="1" applyProtection="1">
      <protection hidden="1"/>
    </xf>
    <xf numFmtId="0" fontId="19" fillId="6" borderId="7" xfId="0" applyFont="1" applyFill="1" applyBorder="1" applyProtection="1">
      <protection hidden="1"/>
    </xf>
    <xf numFmtId="0" fontId="13" fillId="6" borderId="2" xfId="0" applyFont="1" applyFill="1" applyBorder="1" applyAlignment="1" applyProtection="1">
      <alignment horizontal="center"/>
      <protection hidden="1"/>
    </xf>
    <xf numFmtId="0" fontId="13" fillId="6" borderId="0" xfId="0" applyFont="1" applyFill="1" applyBorder="1" applyProtection="1">
      <protection hidden="1"/>
    </xf>
    <xf numFmtId="0" fontId="13" fillId="6" borderId="0" xfId="0" applyFont="1" applyFill="1" applyBorder="1" applyAlignment="1" applyProtection="1">
      <alignment horizontal="center"/>
      <protection hidden="1"/>
    </xf>
    <xf numFmtId="0" fontId="13" fillId="6" borderId="6" xfId="0" applyFont="1" applyFill="1" applyBorder="1" applyAlignment="1" applyProtection="1">
      <alignment horizontal="center"/>
      <protection hidden="1"/>
    </xf>
    <xf numFmtId="0" fontId="13" fillId="6" borderId="6" xfId="0" applyFont="1" applyFill="1" applyBorder="1" applyProtection="1">
      <protection hidden="1"/>
    </xf>
    <xf numFmtId="0" fontId="13" fillId="6" borderId="8" xfId="0" applyFont="1" applyFill="1" applyBorder="1" applyProtection="1"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13" fillId="0" borderId="6" xfId="0" applyFont="1" applyBorder="1" applyProtection="1">
      <protection hidden="1"/>
    </xf>
    <xf numFmtId="0" fontId="13" fillId="0" borderId="8" xfId="0" applyFont="1" applyBorder="1" applyProtection="1">
      <protection hidden="1"/>
    </xf>
    <xf numFmtId="0" fontId="0" fillId="0" borderId="0" xfId="0"/>
    <xf numFmtId="0" fontId="13" fillId="7" borderId="1" xfId="2" applyFont="1" applyFill="1" applyBorder="1" applyAlignment="1">
      <alignment horizontal="center"/>
    </xf>
    <xf numFmtId="0" fontId="13" fillId="7" borderId="1" xfId="3" applyFont="1" applyFill="1" applyBorder="1" applyAlignment="1">
      <alignment horizontal="center"/>
    </xf>
    <xf numFmtId="0" fontId="0" fillId="0" borderId="9" xfId="0" applyBorder="1"/>
    <xf numFmtId="0" fontId="0" fillId="7" borderId="8" xfId="0" applyFill="1" applyBorder="1"/>
    <xf numFmtId="0" fontId="0" fillId="7" borderId="6" xfId="0" applyFill="1" applyBorder="1"/>
    <xf numFmtId="0" fontId="0" fillId="8" borderId="11" xfId="0" applyFill="1" applyBorder="1"/>
    <xf numFmtId="0" fontId="0" fillId="9" borderId="11" xfId="0" applyFill="1" applyBorder="1"/>
    <xf numFmtId="0" fontId="0" fillId="9" borderId="5" xfId="0" applyFill="1" applyBorder="1"/>
    <xf numFmtId="0" fontId="0" fillId="9" borderId="1" xfId="0" applyFill="1" applyBorder="1" applyAlignment="1"/>
    <xf numFmtId="0" fontId="0" fillId="8" borderId="0" xfId="0" applyFill="1"/>
    <xf numFmtId="0" fontId="0" fillId="8" borderId="5" xfId="0" applyFill="1" applyBorder="1"/>
    <xf numFmtId="0" fontId="0" fillId="8" borderId="6" xfId="0" applyFill="1" applyBorder="1"/>
    <xf numFmtId="0" fontId="0" fillId="8" borderId="14" xfId="0" applyFill="1" applyBorder="1"/>
    <xf numFmtId="0" fontId="17" fillId="0" borderId="13" xfId="0" applyFont="1" applyBorder="1"/>
    <xf numFmtId="0" fontId="21" fillId="0" borderId="9" xfId="0" applyFont="1" applyBorder="1"/>
    <xf numFmtId="0" fontId="8" fillId="0" borderId="5" xfId="0" applyFont="1" applyBorder="1"/>
    <xf numFmtId="0" fontId="0" fillId="0" borderId="0" xfId="0"/>
    <xf numFmtId="0" fontId="0" fillId="0" borderId="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24" fillId="6" borderId="8" xfId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24" fillId="6" borderId="1" xfId="1" applyFont="1" applyFill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25" fillId="0" borderId="3" xfId="0" applyFont="1" applyBorder="1" applyAlignment="1">
      <alignment horizontal="left"/>
    </xf>
    <xf numFmtId="0" fontId="31" fillId="0" borderId="2" xfId="0" applyFont="1" applyBorder="1" applyAlignment="1">
      <alignment horizontal="left"/>
    </xf>
    <xf numFmtId="0" fontId="29" fillId="0" borderId="13" xfId="0" applyFont="1" applyBorder="1" applyAlignment="1">
      <alignment horizontal="left"/>
    </xf>
    <xf numFmtId="0" fontId="32" fillId="0" borderId="6" xfId="0" applyFont="1" applyFill="1" applyBorder="1" applyAlignment="1">
      <alignment horizontal="center"/>
    </xf>
    <xf numFmtId="0" fontId="28" fillId="0" borderId="2" xfId="0" applyFont="1" applyBorder="1" applyAlignment="1">
      <alignment horizontal="left"/>
    </xf>
    <xf numFmtId="0" fontId="34" fillId="0" borderId="6" xfId="0" applyFont="1" applyFill="1" applyBorder="1" applyAlignment="1">
      <alignment horizontal="center"/>
    </xf>
    <xf numFmtId="0" fontId="29" fillId="0" borderId="2" xfId="0" applyFont="1" applyBorder="1" applyAlignment="1">
      <alignment horizontal="left"/>
    </xf>
    <xf numFmtId="0" fontId="35" fillId="0" borderId="6" xfId="0" applyFont="1" applyFill="1" applyBorder="1" applyAlignment="1">
      <alignment horizontal="center"/>
    </xf>
    <xf numFmtId="0" fontId="30" fillId="0" borderId="13" xfId="0" applyFont="1" applyBorder="1" applyAlignment="1">
      <alignment horizontal="left"/>
    </xf>
    <xf numFmtId="0" fontId="43" fillId="0" borderId="12" xfId="0" applyFont="1" applyBorder="1" applyAlignment="1">
      <alignment horizontal="center"/>
    </xf>
    <xf numFmtId="0" fontId="36" fillId="0" borderId="14" xfId="0" applyFont="1" applyFill="1" applyBorder="1" applyAlignment="1">
      <alignment horizontal="center"/>
    </xf>
    <xf numFmtId="0" fontId="22" fillId="0" borderId="3" xfId="0" applyFont="1" applyBorder="1"/>
    <xf numFmtId="0" fontId="44" fillId="0" borderId="5" xfId="0" applyFont="1" applyBorder="1" applyAlignment="1">
      <alignment horizontal="center"/>
    </xf>
    <xf numFmtId="0" fontId="22" fillId="0" borderId="13" xfId="0" applyFont="1" applyBorder="1"/>
    <xf numFmtId="0" fontId="18" fillId="0" borderId="14" xfId="0" applyFont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49" fillId="8" borderId="0" xfId="0" applyFont="1" applyFill="1" applyAlignment="1">
      <alignment horizontal="center"/>
    </xf>
    <xf numFmtId="0" fontId="45" fillId="0" borderId="2" xfId="0" applyFont="1" applyBorder="1" applyAlignment="1">
      <alignment horizontal="left"/>
    </xf>
    <xf numFmtId="0" fontId="46" fillId="0" borderId="6" xfId="0" applyFont="1" applyFill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0" fontId="33" fillId="0" borderId="5" xfId="0" applyFont="1" applyFill="1" applyBorder="1" applyAlignment="1">
      <alignment horizontal="center"/>
    </xf>
    <xf numFmtId="0" fontId="45" fillId="0" borderId="3" xfId="0" applyFont="1" applyBorder="1" applyAlignment="1">
      <alignment horizontal="left"/>
    </xf>
    <xf numFmtId="0" fontId="24" fillId="6" borderId="1" xfId="1" applyFont="1" applyFill="1" applyBorder="1" applyAlignment="1">
      <alignment horizontal="center" vertical="center"/>
    </xf>
    <xf numFmtId="0" fontId="23" fillId="13" borderId="1" xfId="1" applyFont="1" applyFill="1" applyBorder="1" applyAlignment="1">
      <alignment horizontal="center" vertical="center"/>
    </xf>
    <xf numFmtId="0" fontId="23" fillId="12" borderId="1" xfId="1" applyFont="1" applyFill="1" applyBorder="1" applyAlignment="1">
      <alignment horizontal="center" vertical="center"/>
    </xf>
    <xf numFmtId="0" fontId="13" fillId="15" borderId="1" xfId="1" applyFont="1" applyFill="1" applyBorder="1" applyAlignment="1">
      <alignment horizontal="center" vertical="center"/>
    </xf>
    <xf numFmtId="0" fontId="23" fillId="14" borderId="1" xfId="1" applyFont="1" applyFill="1" applyBorder="1" applyAlignment="1">
      <alignment horizontal="center" vertical="center"/>
    </xf>
    <xf numFmtId="0" fontId="23" fillId="10" borderId="1" xfId="1" applyFont="1" applyFill="1" applyBorder="1" applyAlignment="1">
      <alignment horizontal="center" vertical="center"/>
    </xf>
    <xf numFmtId="0" fontId="23" fillId="16" borderId="1" xfId="1" applyFont="1" applyFill="1" applyBorder="1" applyAlignment="1">
      <alignment horizontal="center" vertical="center"/>
    </xf>
    <xf numFmtId="0" fontId="23" fillId="11" borderId="1" xfId="1" applyFont="1" applyFill="1" applyBorder="1" applyAlignment="1">
      <alignment horizontal="center" vertical="center"/>
    </xf>
    <xf numFmtId="0" fontId="23" fillId="17" borderId="1" xfId="1" applyFont="1" applyFill="1" applyBorder="1" applyAlignment="1">
      <alignment horizontal="center" vertical="center"/>
    </xf>
    <xf numFmtId="0" fontId="51" fillId="6" borderId="1" xfId="1" applyFont="1" applyFill="1" applyBorder="1" applyAlignment="1">
      <alignment horizontal="center" vertical="center"/>
    </xf>
    <xf numFmtId="0" fontId="23" fillId="6" borderId="1" xfId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18" borderId="1" xfId="1" applyFont="1" applyFill="1" applyBorder="1" applyAlignment="1">
      <alignment horizontal="center" vertical="center"/>
    </xf>
    <xf numFmtId="0" fontId="27" fillId="0" borderId="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26" fillId="0" borderId="0" xfId="0" applyFont="1" applyAlignment="1">
      <alignment horizontal="center"/>
    </xf>
    <xf numFmtId="0" fontId="45" fillId="0" borderId="4" xfId="0" applyFont="1" applyBorder="1" applyAlignment="1">
      <alignment horizontal="center"/>
    </xf>
    <xf numFmtId="0" fontId="29" fillId="0" borderId="12" xfId="0" applyFont="1" applyBorder="1" applyAlignment="1">
      <alignment horizontal="center"/>
    </xf>
    <xf numFmtId="0" fontId="23" fillId="18" borderId="3" xfId="1" applyFont="1" applyFill="1" applyBorder="1" applyAlignment="1">
      <alignment horizontal="left" vertical="center"/>
    </xf>
    <xf numFmtId="0" fontId="23" fillId="18" borderId="2" xfId="1" applyFont="1" applyFill="1" applyBorder="1" applyAlignment="1">
      <alignment horizontal="left" vertical="center"/>
    </xf>
    <xf numFmtId="0" fontId="13" fillId="0" borderId="0" xfId="0" applyFont="1" applyBorder="1"/>
    <xf numFmtId="0" fontId="8" fillId="9" borderId="1" xfId="0" applyFont="1" applyFill="1" applyBorder="1"/>
    <xf numFmtId="0" fontId="0" fillId="0" borderId="8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52" fillId="0" borderId="0" xfId="0" applyFont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/>
    <xf numFmtId="0" fontId="37" fillId="0" borderId="0" xfId="0" applyFont="1" applyBorder="1"/>
    <xf numFmtId="0" fontId="8" fillId="0" borderId="1" xfId="0" applyFont="1" applyBorder="1" applyAlignment="1">
      <alignment horizontal="center"/>
    </xf>
    <xf numFmtId="0" fontId="0" fillId="0" borderId="8" xfId="0" applyFill="1" applyBorder="1"/>
    <xf numFmtId="0" fontId="53" fillId="3" borderId="11" xfId="0" applyNumberFormat="1" applyFont="1" applyFill="1" applyBorder="1"/>
    <xf numFmtId="0" fontId="8" fillId="0" borderId="0" xfId="0" applyFont="1" applyFill="1" applyBorder="1"/>
    <xf numFmtId="0" fontId="0" fillId="0" borderId="0" xfId="0"/>
    <xf numFmtId="0" fontId="0" fillId="0" borderId="0" xfId="0"/>
    <xf numFmtId="0" fontId="0" fillId="0" borderId="6" xfId="0" applyFill="1" applyBorder="1"/>
    <xf numFmtId="0" fontId="17" fillId="0" borderId="1" xfId="0" applyFont="1" applyBorder="1" applyAlignment="1">
      <alignment horizontal="center"/>
    </xf>
    <xf numFmtId="0" fontId="0" fillId="0" borderId="4" xfId="0" applyFill="1" applyBorder="1"/>
    <xf numFmtId="0" fontId="8" fillId="0" borderId="4" xfId="0" applyFont="1" applyFill="1" applyBorder="1"/>
    <xf numFmtId="0" fontId="0" fillId="0" borderId="0" xfId="0"/>
    <xf numFmtId="0" fontId="3" fillId="0" borderId="0" xfId="0" applyFont="1" applyAlignment="1">
      <alignment horizontal="left"/>
    </xf>
    <xf numFmtId="0" fontId="7" fillId="2" borderId="2" xfId="1" applyFont="1" applyBorder="1" applyAlignment="1">
      <alignment horizontal="center"/>
    </xf>
    <xf numFmtId="0" fontId="7" fillId="2" borderId="0" xfId="1" applyFont="1" applyBorder="1" applyAlignment="1">
      <alignment horizontal="center"/>
    </xf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4" fillId="0" borderId="1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Medium9"/>
  <colors>
    <mruColors>
      <color rgb="FFDDDDDD"/>
      <color rgb="FFC7BBD7"/>
      <color rgb="FFFFDD71"/>
      <color rgb="FF8FFFC2"/>
      <color rgb="FF4FFF9F"/>
      <color rgb="FFBCCFE6"/>
      <color rgb="FFFCBABA"/>
      <color rgb="FFFFE38B"/>
      <color rgb="FF00E266"/>
      <color rgb="FF3057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S22"/>
  <sheetViews>
    <sheetView workbookViewId="0">
      <selection activeCell="C27" sqref="C27"/>
    </sheetView>
  </sheetViews>
  <sheetFormatPr defaultRowHeight="15" x14ac:dyDescent="0.25"/>
  <cols>
    <col min="1" max="1" width="18.28515625" customWidth="1"/>
    <col min="2" max="2" width="6.28515625" customWidth="1"/>
    <col min="3" max="3" width="10.28515625" bestFit="1" customWidth="1"/>
  </cols>
  <sheetData>
    <row r="3" spans="1:19" ht="19.5" x14ac:dyDescent="0.3">
      <c r="A3" s="177" t="s">
        <v>48</v>
      </c>
      <c r="B3" s="177"/>
      <c r="C3" s="177"/>
    </row>
    <row r="5" spans="1:19" x14ac:dyDescent="0.25">
      <c r="A5" s="1" t="s">
        <v>49</v>
      </c>
      <c r="B5" s="2" t="s">
        <v>45</v>
      </c>
      <c r="C5" s="1" t="s">
        <v>27</v>
      </c>
      <c r="D5" s="1" t="s">
        <v>26</v>
      </c>
      <c r="E5" s="1" t="s">
        <v>28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t="s">
        <v>303</v>
      </c>
      <c r="B6" s="2">
        <v>1</v>
      </c>
      <c r="D6">
        <f>'NUM1'!$B$6</f>
        <v>180</v>
      </c>
      <c r="E6">
        <f>'NUM1'!$B$7</f>
        <v>35</v>
      </c>
      <c r="F6" t="s">
        <v>306</v>
      </c>
    </row>
    <row r="7" spans="1:19" x14ac:dyDescent="0.25">
      <c r="A7" t="s">
        <v>304</v>
      </c>
      <c r="B7" s="2">
        <v>2</v>
      </c>
      <c r="D7">
        <f>'NUM2'!$B$6</f>
        <v>135</v>
      </c>
      <c r="E7">
        <f>'NUM2'!$B$7</f>
        <v>15</v>
      </c>
      <c r="F7" s="176" t="s">
        <v>306</v>
      </c>
    </row>
    <row r="8" spans="1:19" x14ac:dyDescent="0.25">
      <c r="A8" t="s">
        <v>305</v>
      </c>
      <c r="B8" s="2">
        <v>3</v>
      </c>
      <c r="D8">
        <f>'NUM3'!$B$6</f>
        <v>129</v>
      </c>
      <c r="E8">
        <f>'NUM3'!$B$7</f>
        <v>35</v>
      </c>
      <c r="F8" s="176" t="s">
        <v>307</v>
      </c>
    </row>
    <row r="9" spans="1:19" x14ac:dyDescent="0.25">
      <c r="A9" t="s">
        <v>223</v>
      </c>
      <c r="B9" s="2">
        <v>4</v>
      </c>
      <c r="D9">
        <f>'NUM4'!$B$6</f>
        <v>137</v>
      </c>
      <c r="E9">
        <f>'NUM4'!$B$7</f>
        <v>24</v>
      </c>
      <c r="F9" s="176" t="s">
        <v>306</v>
      </c>
    </row>
    <row r="10" spans="1:19" x14ac:dyDescent="0.25">
      <c r="A10" t="s">
        <v>32</v>
      </c>
      <c r="B10" s="2">
        <v>5</v>
      </c>
      <c r="C10">
        <f>'NUM5'!$B$6</f>
        <v>0</v>
      </c>
      <c r="D10">
        <f>'NUM5'!$B$7</f>
        <v>0</v>
      </c>
      <c r="E10">
        <f>'NUM1'!$B$23</f>
        <v>11</v>
      </c>
    </row>
    <row r="11" spans="1:19" x14ac:dyDescent="0.25">
      <c r="A11" t="s">
        <v>33</v>
      </c>
      <c r="B11" s="2">
        <v>6</v>
      </c>
      <c r="C11">
        <f>'NUM6'!$B$6</f>
        <v>0</v>
      </c>
      <c r="D11">
        <f>'NUM6'!$B$7</f>
        <v>0</v>
      </c>
      <c r="E11">
        <f>'NUM1'!$B$23</f>
        <v>11</v>
      </c>
    </row>
    <row r="12" spans="1:19" x14ac:dyDescent="0.25">
      <c r="A12" t="s">
        <v>34</v>
      </c>
      <c r="B12" s="2">
        <v>7</v>
      </c>
      <c r="C12">
        <f>'NUM7'!$B$6</f>
        <v>0</v>
      </c>
      <c r="D12">
        <f>'NUM7'!$B$7</f>
        <v>0</v>
      </c>
      <c r="E12">
        <f>'NUM1'!$B$23</f>
        <v>11</v>
      </c>
    </row>
    <row r="13" spans="1:19" x14ac:dyDescent="0.25">
      <c r="A13" t="s">
        <v>35</v>
      </c>
      <c r="B13" s="2">
        <v>8</v>
      </c>
      <c r="C13">
        <f>'NUM8'!$B$6</f>
        <v>0</v>
      </c>
      <c r="D13">
        <f>'NUM8'!$B$7</f>
        <v>0</v>
      </c>
      <c r="E13">
        <f>'NUM1'!$B$23</f>
        <v>11</v>
      </c>
    </row>
    <row r="14" spans="1:19" x14ac:dyDescent="0.25">
      <c r="A14" t="s">
        <v>36</v>
      </c>
      <c r="B14" s="2">
        <v>9</v>
      </c>
      <c r="C14">
        <f>'NUM9'!$B$6</f>
        <v>0</v>
      </c>
      <c r="D14">
        <f>'NUM9'!$B$7</f>
        <v>0</v>
      </c>
      <c r="E14">
        <f>'NUM1'!$B$23</f>
        <v>11</v>
      </c>
    </row>
    <row r="15" spans="1:19" x14ac:dyDescent="0.25">
      <c r="A15" t="s">
        <v>37</v>
      </c>
      <c r="B15" s="2">
        <v>10</v>
      </c>
      <c r="C15">
        <f>'NUM10'!$B$6</f>
        <v>0</v>
      </c>
      <c r="D15">
        <f>'NUM10'!$B$7</f>
        <v>0</v>
      </c>
      <c r="E15">
        <f>'NUM1'!$B$23</f>
        <v>11</v>
      </c>
    </row>
    <row r="16" spans="1:19" x14ac:dyDescent="0.25">
      <c r="A16" t="s">
        <v>38</v>
      </c>
      <c r="B16" s="2">
        <v>11</v>
      </c>
      <c r="C16">
        <f>'NUM11'!$B$6</f>
        <v>0</v>
      </c>
      <c r="D16">
        <f>'NUM11'!$B$7</f>
        <v>0</v>
      </c>
      <c r="E16">
        <f>'NUM1'!$B$23</f>
        <v>11</v>
      </c>
    </row>
    <row r="17" spans="1:5" x14ac:dyDescent="0.25">
      <c r="A17" t="s">
        <v>39</v>
      </c>
      <c r="B17" s="2">
        <v>12</v>
      </c>
      <c r="E17">
        <f>'NUM1'!$B$23</f>
        <v>11</v>
      </c>
    </row>
    <row r="18" spans="1:5" x14ac:dyDescent="0.25">
      <c r="A18" t="s">
        <v>40</v>
      </c>
      <c r="B18" s="2">
        <v>13</v>
      </c>
      <c r="E18">
        <f>'NUM1'!$B$23</f>
        <v>11</v>
      </c>
    </row>
    <row r="19" spans="1:5" x14ac:dyDescent="0.25">
      <c r="A19" t="s">
        <v>41</v>
      </c>
      <c r="B19" s="2">
        <v>14</v>
      </c>
      <c r="E19">
        <f>'NUM1'!$B$23</f>
        <v>11</v>
      </c>
    </row>
    <row r="20" spans="1:5" x14ac:dyDescent="0.25">
      <c r="A20" t="s">
        <v>42</v>
      </c>
      <c r="B20" s="2">
        <v>15</v>
      </c>
      <c r="E20">
        <f>'NUM1'!$B$23</f>
        <v>11</v>
      </c>
    </row>
    <row r="21" spans="1:5" x14ac:dyDescent="0.25">
      <c r="A21" t="s">
        <v>43</v>
      </c>
      <c r="B21" s="2">
        <v>16</v>
      </c>
      <c r="E21">
        <f>'NUM1'!$B$23</f>
        <v>11</v>
      </c>
    </row>
    <row r="22" spans="1:5" x14ac:dyDescent="0.25">
      <c r="A22" t="s">
        <v>44</v>
      </c>
      <c r="B22" s="2">
        <v>17</v>
      </c>
      <c r="E22">
        <f>'NUM1'!$B$23</f>
        <v>11</v>
      </c>
    </row>
  </sheetData>
  <mergeCells count="1">
    <mergeCell ref="A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202"/>
  <sheetViews>
    <sheetView topLeftCell="G67" workbookViewId="0">
      <selection activeCell="G2" sqref="G2"/>
    </sheetView>
  </sheetViews>
  <sheetFormatPr defaultRowHeight="15" x14ac:dyDescent="0.25"/>
  <cols>
    <col min="1" max="1" width="5.42578125" bestFit="1" customWidth="1"/>
    <col min="2" max="2" width="71.140625" hidden="1" customWidth="1"/>
    <col min="3" max="3" width="8.5703125" hidden="1" customWidth="1"/>
    <col min="4" max="4" width="9.140625" hidden="1" customWidth="1"/>
    <col min="5" max="5" width="17.85546875" hidden="1" customWidth="1"/>
    <col min="6" max="6" width="11.5703125" hidden="1" customWidth="1"/>
    <col min="7" max="7" width="25.85546875" customWidth="1"/>
    <col min="8" max="8" width="27.5703125" style="4" customWidth="1"/>
    <col min="9" max="9" width="9.140625" style="27" customWidth="1"/>
    <col min="10" max="10" width="9.140625" style="28" customWidth="1"/>
    <col min="11" max="11" width="15.5703125" style="29" customWidth="1"/>
    <col min="12" max="12" width="15.5703125" bestFit="1" customWidth="1"/>
    <col min="13" max="13" width="33.42578125" bestFit="1" customWidth="1"/>
    <col min="15" max="15" width="14.7109375" bestFit="1" customWidth="1"/>
    <col min="16" max="16" width="9.85546875" bestFit="1" customWidth="1"/>
    <col min="17" max="17" width="12.5703125" customWidth="1"/>
    <col min="18" max="18" width="20" bestFit="1" customWidth="1"/>
    <col min="19" max="19" width="7.28515625" bestFit="1" customWidth="1"/>
    <col min="20" max="20" width="7.5703125" customWidth="1"/>
    <col min="22" max="22" width="13.7109375" bestFit="1" customWidth="1"/>
    <col min="23" max="23" width="44.140625" bestFit="1" customWidth="1"/>
    <col min="24" max="24" width="9.140625" customWidth="1"/>
    <col min="25" max="25" width="14.7109375" customWidth="1"/>
    <col min="26" max="26" width="9.85546875" bestFit="1" customWidth="1"/>
    <col min="27" max="27" width="16.140625" bestFit="1" customWidth="1"/>
    <col min="28" max="28" width="15.7109375" bestFit="1" customWidth="1"/>
    <col min="30" max="30" width="12.5703125" bestFit="1" customWidth="1"/>
    <col min="31" max="31" width="13.5703125" bestFit="1" customWidth="1"/>
    <col min="32" max="32" width="71.140625" bestFit="1" customWidth="1"/>
    <col min="33" max="33" width="8.5703125" bestFit="1" customWidth="1"/>
  </cols>
  <sheetData>
    <row r="1" spans="1:28" ht="18.75" x14ac:dyDescent="0.3">
      <c r="A1" s="35" t="s">
        <v>59</v>
      </c>
      <c r="B1" s="35"/>
      <c r="C1" s="35"/>
      <c r="D1" s="35"/>
      <c r="E1" s="35"/>
      <c r="F1" s="35"/>
      <c r="G1" s="7" t="s">
        <v>61</v>
      </c>
      <c r="K1" s="178" t="s">
        <v>60</v>
      </c>
      <c r="L1" s="179"/>
    </row>
    <row r="2" spans="1:28" ht="19.5" x14ac:dyDescent="0.3">
      <c r="A2" s="35"/>
      <c r="B2" s="36" t="s">
        <v>0</v>
      </c>
      <c r="C2" s="35"/>
      <c r="D2" s="35"/>
      <c r="E2" s="35"/>
      <c r="F2" s="35"/>
      <c r="G2" s="6"/>
      <c r="H2" s="5" t="s">
        <v>50</v>
      </c>
      <c r="K2" s="178"/>
      <c r="L2" s="179"/>
    </row>
    <row r="3" spans="1:28" x14ac:dyDescent="0.25">
      <c r="A3" s="35"/>
      <c r="B3" s="35"/>
      <c r="C3" s="35"/>
      <c r="D3" s="35"/>
      <c r="E3" s="35"/>
      <c r="F3" s="35"/>
      <c r="K3" s="168" t="s">
        <v>163</v>
      </c>
    </row>
    <row r="4" spans="1:28" ht="18.75" x14ac:dyDescent="0.3">
      <c r="A4" s="35"/>
      <c r="B4" s="35"/>
      <c r="C4" s="35">
        <f>COUNTIF(E5:E30,"?*")</f>
        <v>26</v>
      </c>
      <c r="D4" s="35"/>
      <c r="E4" s="35"/>
      <c r="F4" s="35"/>
      <c r="I4" s="27">
        <f>COUNTIF(K5:K29,"?*")</f>
        <v>25</v>
      </c>
      <c r="K4" s="168" t="s">
        <v>164</v>
      </c>
      <c r="L4" s="9" t="s">
        <v>56</v>
      </c>
      <c r="M4" s="9" t="s">
        <v>57</v>
      </c>
      <c r="N4" s="9" t="s">
        <v>58</v>
      </c>
      <c r="O4" s="9" t="s">
        <v>69</v>
      </c>
      <c r="P4" s="9" t="s">
        <v>63</v>
      </c>
      <c r="Q4" s="14" t="s">
        <v>54</v>
      </c>
      <c r="R4" s="9" t="s">
        <v>57</v>
      </c>
      <c r="S4" s="9" t="s">
        <v>58</v>
      </c>
      <c r="T4" s="9" t="s">
        <v>69</v>
      </c>
      <c r="U4" s="10" t="s">
        <v>63</v>
      </c>
      <c r="V4" s="14" t="s">
        <v>55</v>
      </c>
      <c r="W4" s="9" t="s">
        <v>57</v>
      </c>
      <c r="X4" s="9" t="s">
        <v>58</v>
      </c>
      <c r="Y4" s="9" t="s">
        <v>70</v>
      </c>
      <c r="Z4" s="10" t="s">
        <v>63</v>
      </c>
      <c r="AA4" s="8" t="s">
        <v>72</v>
      </c>
      <c r="AB4" s="20" t="s">
        <v>76</v>
      </c>
    </row>
    <row r="5" spans="1:28" ht="18.75" x14ac:dyDescent="0.3">
      <c r="A5" s="35">
        <f>IF(ISNUMBER(SEARCH($K$2,B5)),MAX(A$4:$A4)+1,0)</f>
        <v>1</v>
      </c>
      <c r="B5" s="35" t="s">
        <v>1</v>
      </c>
      <c r="C5" s="35" t="str">
        <f ca="1">OFFSET($E$5,,,COUNTIF($E$5:$E$30,"?*"))</f>
        <v xml:space="preserve">Ability Modifier </v>
      </c>
      <c r="D5" s="35"/>
      <c r="E5" s="35" t="str">
        <f>IFERROR(VLOOKUP(ROWS(E$4:$E4),$A$5:$B$30,2,0),"")</f>
        <v xml:space="preserve">Ability Modifier </v>
      </c>
      <c r="F5" s="35"/>
      <c r="G5">
        <f>IF(ISNUMBER(SEARCH($G$2,H5)),MAX($G$4:G4)+1,0)</f>
        <v>1</v>
      </c>
      <c r="H5" s="4" t="s">
        <v>97</v>
      </c>
      <c r="K5" s="29" t="str">
        <f>IFERROR(VLOOKUP(ROWS($K$4:K4),$G$5:$I$149,2,0),"")</f>
        <v>ARMOR BONUS</v>
      </c>
      <c r="L5" s="39" t="s">
        <v>28</v>
      </c>
      <c r="M5" s="40" t="s">
        <v>3</v>
      </c>
      <c r="N5" s="40">
        <v>0</v>
      </c>
      <c r="O5" s="40">
        <v>0</v>
      </c>
      <c r="P5" s="92">
        <v>1</v>
      </c>
      <c r="Q5" s="39"/>
      <c r="R5" s="40"/>
      <c r="S5" s="40"/>
      <c r="T5" s="40"/>
      <c r="U5" s="92"/>
      <c r="V5" s="39"/>
      <c r="W5" s="40"/>
      <c r="X5" s="40"/>
      <c r="Y5" s="40"/>
      <c r="Z5" s="92"/>
      <c r="AA5" s="12">
        <v>100</v>
      </c>
      <c r="AB5" s="18"/>
    </row>
    <row r="6" spans="1:28" ht="18.75" x14ac:dyDescent="0.3">
      <c r="A6" s="35">
        <f>IF(ISNUMBER(SEARCH($K$2,B6)),MAX(A$4:$A5)+1,0)</f>
        <v>2</v>
      </c>
      <c r="B6" s="35" t="s">
        <v>2</v>
      </c>
      <c r="C6" s="35"/>
      <c r="D6" s="35"/>
      <c r="E6" s="35" t="str">
        <f>IFERROR(VLOOKUP(ROWS(E$4:$E5),$A$5:$B$30,2,0),"")</f>
        <v xml:space="preserve">Alchemical Bonus </v>
      </c>
      <c r="F6" s="35"/>
      <c r="G6">
        <f>IF(ISNUMBER(SEARCH($G$2,H6)),MAX($G$4:G5)+1,0)</f>
        <v>2</v>
      </c>
      <c r="H6" s="4" t="s">
        <v>201</v>
      </c>
      <c r="K6" s="29" t="str">
        <f>IFERROR(VLOOKUP(ROWS($K$4:K5),$G$5:$I$149,2,0),"")</f>
        <v>Alter Self Trogle</v>
      </c>
      <c r="L6" s="15" t="s">
        <v>28</v>
      </c>
      <c r="M6" s="16" t="s">
        <v>13</v>
      </c>
      <c r="N6" s="16">
        <v>6</v>
      </c>
      <c r="O6" s="16">
        <v>2</v>
      </c>
      <c r="P6" s="41">
        <v>0</v>
      </c>
      <c r="Q6" s="15"/>
      <c r="R6" s="16"/>
      <c r="S6" s="16"/>
      <c r="T6" s="16"/>
      <c r="U6" s="41"/>
      <c r="V6" s="15"/>
      <c r="W6" s="16"/>
      <c r="X6" s="16"/>
      <c r="Y6" s="16"/>
      <c r="Z6" s="41"/>
      <c r="AA6" s="12">
        <v>100</v>
      </c>
      <c r="AB6" s="18"/>
    </row>
    <row r="7" spans="1:28" ht="18.75" x14ac:dyDescent="0.3">
      <c r="A7" s="35">
        <f>IF(ISNUMBER(SEARCH($K$2,B7)),MAX(A$4:$A6)+1,0)</f>
        <v>3</v>
      </c>
      <c r="B7" s="35" t="s">
        <v>3</v>
      </c>
      <c r="C7" s="35"/>
      <c r="D7" s="35"/>
      <c r="E7" s="35" t="str">
        <f>IFERROR(VLOOKUP(ROWS(E$4:$E6),$A$5:$B$30,2,0),"")</f>
        <v xml:space="preserve">Armor Bonus </v>
      </c>
      <c r="F7" s="37" t="s">
        <v>52</v>
      </c>
      <c r="G7">
        <f>IF(ISNUMBER(SEARCH($G$2,H7)),MAX($G$4:G6)+1,0)</f>
        <v>3</v>
      </c>
      <c r="H7" s="4" t="s">
        <v>205</v>
      </c>
      <c r="K7" s="29" t="str">
        <f>IFERROR(VLOOKUP(ROWS($K$4:K6),$G$5:$I$149,2,0),"")</f>
        <v>Alter Self*</v>
      </c>
      <c r="L7" s="39"/>
      <c r="M7" s="40"/>
      <c r="N7" s="40">
        <v>0</v>
      </c>
      <c r="O7" s="40">
        <v>2</v>
      </c>
      <c r="P7" s="92">
        <v>0</v>
      </c>
      <c r="Q7" s="39"/>
      <c r="R7" s="40"/>
      <c r="S7" s="40"/>
      <c r="T7" s="40"/>
      <c r="U7" s="92"/>
      <c r="V7" s="39"/>
      <c r="W7" s="40"/>
      <c r="X7" s="40"/>
      <c r="Y7" s="40"/>
      <c r="Z7" s="92"/>
      <c r="AA7" s="12">
        <v>100</v>
      </c>
      <c r="AB7" s="18"/>
    </row>
    <row r="8" spans="1:28" ht="18.75" x14ac:dyDescent="0.3">
      <c r="A8" s="35">
        <f>IF(ISNUMBER(SEARCH($K$2,B8)),MAX(A$4:$A7)+1,0)</f>
        <v>4</v>
      </c>
      <c r="B8" s="35" t="s">
        <v>4</v>
      </c>
      <c r="C8" s="35"/>
      <c r="D8" s="35"/>
      <c r="E8" s="35" t="str">
        <f>IFERROR(VLOOKUP(ROWS(E$4:$E7),$A$5:$B$30,2,0),"")</f>
        <v xml:space="preserve">Circumstance Modifier </v>
      </c>
      <c r="F8" s="38" t="s">
        <v>47</v>
      </c>
      <c r="G8">
        <f>IF(ISNUMBER(SEARCH($G$2,H8)),MAX($G$4:G7)+1,0)</f>
        <v>4</v>
      </c>
      <c r="H8" s="4" t="s">
        <v>183</v>
      </c>
      <c r="K8" s="29" t="str">
        <f>IFERROR(VLOOKUP(ROWS($K$4:K7),$G$5:$I$149,2,0),"")</f>
        <v>Amulet of Health</v>
      </c>
      <c r="L8" s="15" t="s">
        <v>82</v>
      </c>
      <c r="M8" s="16" t="s">
        <v>96</v>
      </c>
      <c r="N8" s="16">
        <v>0</v>
      </c>
      <c r="O8" s="16">
        <v>0</v>
      </c>
      <c r="P8" s="41">
        <v>1</v>
      </c>
      <c r="Q8" s="15"/>
      <c r="R8" s="16"/>
      <c r="S8" s="16"/>
      <c r="T8" s="16"/>
      <c r="U8" s="41"/>
      <c r="V8" s="15"/>
      <c r="W8" s="16"/>
      <c r="X8" s="16"/>
      <c r="Y8" s="16"/>
      <c r="Z8" s="41"/>
      <c r="AA8" s="12">
        <v>100</v>
      </c>
      <c r="AB8" s="18"/>
    </row>
    <row r="9" spans="1:28" ht="18.75" x14ac:dyDescent="0.3">
      <c r="A9" s="35">
        <f>IF(ISNUMBER(SEARCH($K$2,B9)),MAX(A$4:$A8)+1,0)</f>
        <v>5</v>
      </c>
      <c r="B9" s="35" t="s">
        <v>5</v>
      </c>
      <c r="C9" s="35"/>
      <c r="D9" s="35"/>
      <c r="E9" s="35" t="str">
        <f>IFERROR(VLOOKUP(ROWS(E$4:$E8),$A$5:$B$30,2,0),"")</f>
        <v xml:space="preserve">Competence Modifier </v>
      </c>
      <c r="F9" s="38" t="s">
        <v>26</v>
      </c>
      <c r="G9">
        <f>IF(ISNUMBER(SEARCH($G$2,H9)),MAX($G$4:G8)+1,0)</f>
        <v>5</v>
      </c>
      <c r="H9" s="4" t="s">
        <v>230</v>
      </c>
      <c r="K9" s="29" t="str">
        <f>IFERROR(VLOOKUP(ROWS($K$4:K8),$G$5:$I$149,2,0),"")</f>
        <v>Arcane sight*</v>
      </c>
      <c r="L9" s="39"/>
      <c r="M9" s="40"/>
      <c r="N9" s="40">
        <v>0</v>
      </c>
      <c r="O9" s="40">
        <v>7</v>
      </c>
      <c r="P9" s="92">
        <v>0</v>
      </c>
      <c r="Q9" s="39"/>
      <c r="R9" s="40"/>
      <c r="S9" s="40"/>
      <c r="T9" s="40"/>
      <c r="U9" s="92"/>
      <c r="V9" s="39"/>
      <c r="W9" s="40"/>
      <c r="X9" s="40"/>
      <c r="Y9" s="40"/>
      <c r="Z9" s="92"/>
      <c r="AA9" s="12">
        <v>100</v>
      </c>
      <c r="AB9" s="18"/>
    </row>
    <row r="10" spans="1:28" ht="18.75" x14ac:dyDescent="0.3">
      <c r="A10" s="35">
        <f>IF(ISNUMBER(SEARCH($K$2,B10)),MAX(A$4:$A9)+1,0)</f>
        <v>6</v>
      </c>
      <c r="B10" s="35" t="s">
        <v>6</v>
      </c>
      <c r="C10" s="35"/>
      <c r="D10" s="35"/>
      <c r="E10" s="35" t="str">
        <f>IFERROR(VLOOKUP(ROWS(E$4:$E9),$A$5:$B$30,2,0),"")</f>
        <v xml:space="preserve">Deflection Bonus </v>
      </c>
      <c r="F10" s="38" t="s">
        <v>78</v>
      </c>
      <c r="G10">
        <f>IF(ISNUMBER(SEARCH($G$2,H10)),MAX($G$4:G9)+1,0)</f>
        <v>6</v>
      </c>
      <c r="H10" s="4" t="s">
        <v>165</v>
      </c>
      <c r="I10" s="27" t="str">
        <f ca="1">OFFSET($K$5,,,COUNTIF($K$5:$K$200,"?*"))</f>
        <v>ARMOR ENCHA BONUS</v>
      </c>
      <c r="K10" s="29" t="str">
        <f>IFERROR(VLOOKUP(ROWS($K$4:K9),$G$5:$I$149,2,0),"")</f>
        <v>ARMOR ENCHA BONUS</v>
      </c>
      <c r="L10" s="15" t="s">
        <v>28</v>
      </c>
      <c r="M10" s="16" t="s">
        <v>9</v>
      </c>
      <c r="N10" s="16">
        <v>0</v>
      </c>
      <c r="O10" s="16">
        <v>0</v>
      </c>
      <c r="P10" s="41">
        <v>1</v>
      </c>
      <c r="Q10" s="15"/>
      <c r="R10" s="16"/>
      <c r="S10" s="16"/>
      <c r="T10" s="16"/>
      <c r="U10" s="41"/>
      <c r="V10" s="15"/>
      <c r="W10" s="16"/>
      <c r="X10" s="16"/>
      <c r="Y10" s="16"/>
      <c r="Z10" s="41"/>
      <c r="AA10" s="12">
        <v>100</v>
      </c>
      <c r="AB10" s="18"/>
    </row>
    <row r="11" spans="1:28" ht="18.75" x14ac:dyDescent="0.3">
      <c r="A11" s="35">
        <f>IF(ISNUMBER(SEARCH($K$2,B11)),MAX(A$4:$A10)+1,0)</f>
        <v>7</v>
      </c>
      <c r="B11" s="35" t="s">
        <v>7</v>
      </c>
      <c r="C11" s="35"/>
      <c r="D11" s="35"/>
      <c r="E11" s="35" t="str">
        <f>IFERROR(VLOOKUP(ROWS(E$4:$E10),$A$5:$B$30,2,0),"")</f>
        <v xml:space="preserve">Dodge Bonus </v>
      </c>
      <c r="F11" s="38" t="s">
        <v>79</v>
      </c>
      <c r="G11">
        <f>IF(ISNUMBER(SEARCH($G$2,H11)),MAX($G$4:G10)+1,0)</f>
        <v>7</v>
      </c>
      <c r="H11" s="4" t="s">
        <v>98</v>
      </c>
      <c r="K11" s="29" t="str">
        <f>IFERROR(VLOOKUP(ROWS($K$4:K10),$G$5:$I$149,2,0),"")</f>
        <v>ARMOR SHIELD BONUS</v>
      </c>
      <c r="L11" s="39" t="s">
        <v>28</v>
      </c>
      <c r="M11" s="40" t="s">
        <v>19</v>
      </c>
      <c r="N11" s="40">
        <v>0</v>
      </c>
      <c r="O11" s="40">
        <v>0</v>
      </c>
      <c r="P11" s="92">
        <v>1</v>
      </c>
      <c r="Q11" s="39"/>
      <c r="R11" s="40"/>
      <c r="S11" s="40"/>
      <c r="T11" s="40"/>
      <c r="U11" s="92"/>
      <c r="V11" s="39"/>
      <c r="W11" s="40"/>
      <c r="X11" s="40"/>
      <c r="Y11" s="40"/>
      <c r="Z11" s="92"/>
      <c r="AA11" s="12">
        <v>100</v>
      </c>
      <c r="AB11" s="18"/>
    </row>
    <row r="12" spans="1:28" ht="18.75" x14ac:dyDescent="0.3">
      <c r="A12" s="35">
        <f>IF(ISNUMBER(SEARCH($K$2,B12)),MAX(A$4:$A11)+1,0)</f>
        <v>8</v>
      </c>
      <c r="B12" s="35" t="s">
        <v>8</v>
      </c>
      <c r="C12" s="35"/>
      <c r="D12" s="35"/>
      <c r="E12" s="35" t="str">
        <f>IFERROR(VLOOKUP(ROWS(E$4:$E11),$A$5:$B$30,2,0),"")</f>
        <v>Enhancement Shield Bonus</v>
      </c>
      <c r="F12" s="38" t="s">
        <v>83</v>
      </c>
      <c r="G12">
        <f>IF(ISNUMBER(SEARCH($G$2,H12)),MAX($G$4:G11)+1,0)</f>
        <v>8</v>
      </c>
      <c r="H12" s="4" t="s">
        <v>302</v>
      </c>
      <c r="K12" s="29" t="str">
        <f>IFERROR(VLOOKUP(ROWS($K$4:K11),$G$5:$I$149,2,0),"")</f>
        <v>Benediction</v>
      </c>
      <c r="L12" s="11" t="s">
        <v>29</v>
      </c>
      <c r="M12" s="16" t="s">
        <v>11</v>
      </c>
      <c r="N12" s="43">
        <v>2</v>
      </c>
      <c r="O12" s="169">
        <v>2</v>
      </c>
      <c r="P12" s="13">
        <v>0</v>
      </c>
      <c r="Q12" s="11" t="s">
        <v>30</v>
      </c>
      <c r="R12" s="16" t="s">
        <v>11</v>
      </c>
      <c r="S12" s="43">
        <v>2</v>
      </c>
      <c r="T12" s="169">
        <v>2</v>
      </c>
      <c r="U12" s="13">
        <v>0</v>
      </c>
      <c r="V12" s="11" t="s">
        <v>31</v>
      </c>
      <c r="W12" s="16" t="s">
        <v>11</v>
      </c>
      <c r="X12" s="43">
        <v>2</v>
      </c>
      <c r="Y12" s="169">
        <v>2</v>
      </c>
      <c r="Z12" s="13">
        <v>0</v>
      </c>
      <c r="AA12" s="12">
        <v>100</v>
      </c>
      <c r="AB12" s="18"/>
    </row>
    <row r="13" spans="1:28" ht="18.75" x14ac:dyDescent="0.3">
      <c r="A13" s="35">
        <f>IF(ISNUMBER(SEARCH($K$2,B13)),MAX(A$4:$A12)+1,0)</f>
        <v>9</v>
      </c>
      <c r="B13" s="35" t="s">
        <v>9</v>
      </c>
      <c r="C13" s="35"/>
      <c r="D13" s="35"/>
      <c r="E13" s="35" t="str">
        <f>IFERROR(VLOOKUP(ROWS(E$4:$E12),$A$5:$B$30,2,0),"")</f>
        <v xml:space="preserve">Enhancement Armor Bonus </v>
      </c>
      <c r="F13" s="38" t="s">
        <v>82</v>
      </c>
      <c r="G13">
        <f>IF(ISNUMBER(SEARCH($G$2,H13)),MAX($G$4:G12)+1,0)</f>
        <v>9</v>
      </c>
      <c r="H13" s="4" t="s">
        <v>237</v>
      </c>
      <c r="K13" s="29" t="str">
        <f>IFERROR(VLOOKUP(ROWS($K$4:K12),$G$5:$I$149,2,0),"")</f>
        <v>Blind Sight*</v>
      </c>
      <c r="L13" s="39"/>
      <c r="M13" s="40"/>
      <c r="N13" s="40">
        <v>0</v>
      </c>
      <c r="O13" s="40">
        <v>2</v>
      </c>
      <c r="P13" s="92">
        <v>0</v>
      </c>
      <c r="Q13" s="39"/>
      <c r="R13" s="40"/>
      <c r="S13" s="40"/>
      <c r="T13" s="40"/>
      <c r="U13" s="92"/>
      <c r="V13" s="39"/>
      <c r="W13" s="40"/>
      <c r="X13" s="40"/>
      <c r="Y13" s="40"/>
      <c r="Z13" s="92"/>
      <c r="AA13" s="12">
        <v>100</v>
      </c>
      <c r="AB13" s="18"/>
    </row>
    <row r="14" spans="1:28" ht="18.75" x14ac:dyDescent="0.3">
      <c r="A14" s="35">
        <f>IF(ISNUMBER(SEARCH($K$2,B14)),MAX(A$4:$A13)+1,0)</f>
        <v>10</v>
      </c>
      <c r="B14" s="35" t="s">
        <v>10</v>
      </c>
      <c r="C14" s="35"/>
      <c r="D14" s="35"/>
      <c r="E14" s="35" t="str">
        <f>IFERROR(VLOOKUP(ROWS(E$4:$E13),$A$5:$B$30,2,0),"")</f>
        <v xml:space="preserve">Insight Bonus </v>
      </c>
      <c r="F14" s="38" t="s">
        <v>80</v>
      </c>
      <c r="G14">
        <f>IF(ISNUMBER(SEARCH($G$2,H14)),MAX($G$4:G13)+1,0)</f>
        <v>10</v>
      </c>
      <c r="H14" s="4" t="s">
        <v>204</v>
      </c>
      <c r="K14" s="29" t="str">
        <f>IFERROR(VLOOKUP(ROWS($K$4:K13),$G$5:$I$149,2,0),"")</f>
        <v>Blur*</v>
      </c>
      <c r="L14" s="15"/>
      <c r="M14" s="16"/>
      <c r="N14" s="16">
        <v>0</v>
      </c>
      <c r="O14" s="16">
        <v>2</v>
      </c>
      <c r="P14" s="41">
        <v>0</v>
      </c>
      <c r="Q14" s="15"/>
      <c r="R14" s="16"/>
      <c r="S14" s="16"/>
      <c r="T14" s="16"/>
      <c r="U14" s="41"/>
      <c r="V14" s="15"/>
      <c r="W14" s="16"/>
      <c r="X14" s="16"/>
      <c r="Y14" s="16"/>
      <c r="Z14" s="41"/>
      <c r="AA14" s="12">
        <v>100</v>
      </c>
      <c r="AB14" s="18"/>
    </row>
    <row r="15" spans="1:28" ht="18.75" x14ac:dyDescent="0.3">
      <c r="A15" s="35">
        <f>IF(ISNUMBER(SEARCH($K$2,B15)),MAX(A$4:$A14)+1,0)</f>
        <v>11</v>
      </c>
      <c r="B15" s="35" t="s">
        <v>11</v>
      </c>
      <c r="C15" s="35"/>
      <c r="D15" s="35"/>
      <c r="E15" s="35" t="str">
        <f>IFERROR(VLOOKUP(ROWS(E$4:$E14),$A$5:$B$30,2,0),"")</f>
        <v xml:space="preserve">Luck Modifier </v>
      </c>
      <c r="F15" s="38" t="s">
        <v>122</v>
      </c>
      <c r="G15">
        <f>IF(ISNUMBER(SEARCH($G$2,H15)),MAX($G$4:G14)+1,0)</f>
        <v>11</v>
      </c>
      <c r="H15" s="4" t="s">
        <v>252</v>
      </c>
      <c r="K15" s="29" t="str">
        <f>IFERROR(VLOOKUP(ROWS($K$4:K14),$G$5:$I$149,2,0),"")</f>
        <v>Briliance blade*</v>
      </c>
      <c r="L15" s="50"/>
      <c r="M15" s="40"/>
      <c r="N15" s="51"/>
      <c r="O15" s="175">
        <v>7</v>
      </c>
      <c r="P15" s="52"/>
      <c r="Q15" s="50"/>
      <c r="R15" s="51"/>
      <c r="S15" s="51"/>
      <c r="T15" s="51"/>
      <c r="U15" s="52"/>
      <c r="V15" s="50"/>
      <c r="W15" s="51"/>
      <c r="X15" s="51"/>
      <c r="Y15" s="51"/>
      <c r="Z15" s="52"/>
      <c r="AA15" s="12">
        <v>100</v>
      </c>
      <c r="AB15" s="18"/>
    </row>
    <row r="16" spans="1:28" ht="18.75" x14ac:dyDescent="0.3">
      <c r="A16" s="35">
        <f>IF(ISNUMBER(SEARCH($K$2,B16)),MAX(A$4:$A15)+1,0)</f>
        <v>12</v>
      </c>
      <c r="B16" s="35" t="s">
        <v>12</v>
      </c>
      <c r="C16" s="35"/>
      <c r="D16" s="35"/>
      <c r="E16" s="35" t="str">
        <f>IFERROR(VLOOKUP(ROWS(E$4:$E15),$A$5:$B$30,2,0),"")</f>
        <v xml:space="preserve">Morale Modifier </v>
      </c>
      <c r="F16" s="38" t="s">
        <v>81</v>
      </c>
      <c r="G16">
        <f>IF(ISNUMBER(SEARCH($G$2,H16)),MAX($G$4:G15)+1,0)</f>
        <v>12</v>
      </c>
      <c r="H16" s="4" t="s">
        <v>208</v>
      </c>
      <c r="K16" s="29" t="str">
        <f>IFERROR(VLOOKUP(ROWS($K$4:K15),$G$5:$I$149,2,0),"")</f>
        <v>Bulls Strenght</v>
      </c>
      <c r="L16" s="15" t="s">
        <v>79</v>
      </c>
      <c r="M16" s="16" t="s">
        <v>96</v>
      </c>
      <c r="N16" s="16">
        <v>4</v>
      </c>
      <c r="O16" s="16">
        <v>2</v>
      </c>
      <c r="P16" s="41">
        <v>0</v>
      </c>
      <c r="Q16" s="15"/>
      <c r="R16" s="16"/>
      <c r="S16" s="16"/>
      <c r="T16" s="16"/>
      <c r="U16" s="41"/>
      <c r="V16" s="15"/>
      <c r="W16" s="16"/>
      <c r="X16" s="16"/>
      <c r="Y16" s="16"/>
      <c r="Z16" s="41"/>
      <c r="AA16" s="12">
        <v>100</v>
      </c>
      <c r="AB16" s="18"/>
    </row>
    <row r="17" spans="1:28" ht="18.75" x14ac:dyDescent="0.3">
      <c r="A17" s="35">
        <f>IF(ISNUMBER(SEARCH($K$2,B17)),MAX(A$4:$A16)+1,0)</f>
        <v>13</v>
      </c>
      <c r="B17" s="35" t="s">
        <v>13</v>
      </c>
      <c r="C17" s="35"/>
      <c r="D17" s="35"/>
      <c r="E17" s="35" t="str">
        <f>IFERROR(VLOOKUP(ROWS(E$4:$E16),$A$5:$B$30,2,0),"")</f>
        <v xml:space="preserve">Natural Armor Bonus </v>
      </c>
      <c r="F17" s="38" t="s">
        <v>29</v>
      </c>
      <c r="G17">
        <f>IF(ISNUMBER(SEARCH($G$2,H17)),MAX($G$4:G16)+1,0)</f>
        <v>13</v>
      </c>
      <c r="H17" s="4" t="s">
        <v>209</v>
      </c>
      <c r="K17" s="29" t="str">
        <f>IFERROR(VLOOKUP(ROWS($K$4:K16),$G$5:$I$149,2,0),"")</f>
        <v>Cats Grace</v>
      </c>
      <c r="L17" s="39" t="s">
        <v>83</v>
      </c>
      <c r="M17" s="40" t="s">
        <v>96</v>
      </c>
      <c r="N17" s="40">
        <v>4</v>
      </c>
      <c r="O17" s="40">
        <v>2</v>
      </c>
      <c r="P17" s="92">
        <v>0</v>
      </c>
      <c r="Q17" s="39"/>
      <c r="R17" s="40"/>
      <c r="S17" s="40"/>
      <c r="T17" s="40"/>
      <c r="U17" s="92"/>
      <c r="V17" s="39"/>
      <c r="W17" s="40"/>
      <c r="X17" s="40"/>
      <c r="Y17" s="40"/>
      <c r="Z17" s="92"/>
      <c r="AA17" s="12">
        <v>100</v>
      </c>
      <c r="AB17" s="18"/>
    </row>
    <row r="18" spans="1:28" ht="18.75" x14ac:dyDescent="0.3">
      <c r="A18" s="35">
        <f>IF(ISNUMBER(SEARCH($K$2,B18)),MAX(A$4:$A17)+1,0)</f>
        <v>14</v>
      </c>
      <c r="B18" s="35" t="s">
        <v>14</v>
      </c>
      <c r="C18" s="35"/>
      <c r="D18" s="35"/>
      <c r="E18" s="35" t="str">
        <f>IFERROR(VLOOKUP(ROWS(E$4:$E17),$A$5:$B$30,2,0),"")</f>
        <v>Enhancement to Natural Armor Bonus</v>
      </c>
      <c r="F18" s="38" t="s">
        <v>30</v>
      </c>
      <c r="G18">
        <f>IF(ISNUMBER(SEARCH($G$2,H18)),MAX($G$4:G17)+1,0)</f>
        <v>14</v>
      </c>
      <c r="H18" s="4" t="s">
        <v>198</v>
      </c>
      <c r="K18" s="29" t="str">
        <f>IFERROR(VLOOKUP(ROWS($K$4:K17),$G$5:$I$149,2,0),"")</f>
        <v>Circle of Wisdom</v>
      </c>
      <c r="L18" s="15" t="s">
        <v>80</v>
      </c>
      <c r="M18" s="16" t="s">
        <v>96</v>
      </c>
      <c r="N18" s="16">
        <v>0</v>
      </c>
      <c r="O18" s="16">
        <v>0</v>
      </c>
      <c r="P18" s="41">
        <v>1</v>
      </c>
      <c r="Q18" s="15"/>
      <c r="R18" s="16"/>
      <c r="S18" s="16"/>
      <c r="T18" s="16"/>
      <c r="U18" s="41"/>
      <c r="V18" s="15"/>
      <c r="W18" s="16"/>
      <c r="X18" s="16"/>
      <c r="Y18" s="16"/>
      <c r="Z18" s="41"/>
      <c r="AA18" s="12">
        <v>100</v>
      </c>
      <c r="AB18" s="18"/>
    </row>
    <row r="19" spans="1:28" ht="18.75" x14ac:dyDescent="0.3">
      <c r="A19" s="35">
        <f>IF(ISNUMBER(SEARCH($K$2,B19)),MAX(A$4:$A18)+1,0)</f>
        <v>15</v>
      </c>
      <c r="B19" s="35" t="s">
        <v>15</v>
      </c>
      <c r="C19" s="35"/>
      <c r="D19" s="35"/>
      <c r="E19" s="35" t="str">
        <f>IFERROR(VLOOKUP(ROWS(E$4:$E18),$A$5:$B$30,2,0),"")</f>
        <v xml:space="preserve">Profane Modifier </v>
      </c>
      <c r="F19" s="38" t="s">
        <v>31</v>
      </c>
      <c r="G19">
        <f>IF(ISNUMBER(SEARCH($G$2,H19)),MAX($G$4:G18)+1,0)</f>
        <v>15</v>
      </c>
      <c r="H19" s="4" t="s">
        <v>227</v>
      </c>
      <c r="K19" s="29" t="str">
        <f>IFERROR(VLOOKUP(ROWS($K$4:K18),$G$5:$I$149,2,0),"")</f>
        <v>Cloak of Charisma</v>
      </c>
      <c r="L19" s="39" t="s">
        <v>81</v>
      </c>
      <c r="M19" s="40" t="s">
        <v>96</v>
      </c>
      <c r="N19" s="40">
        <v>0</v>
      </c>
      <c r="O19" s="40">
        <v>0</v>
      </c>
      <c r="P19" s="92">
        <v>1</v>
      </c>
      <c r="Q19" s="39"/>
      <c r="R19" s="40"/>
      <c r="S19" s="40"/>
      <c r="T19" s="40"/>
      <c r="U19" s="92"/>
      <c r="V19" s="39"/>
      <c r="W19" s="40"/>
      <c r="X19" s="40"/>
      <c r="Y19" s="40"/>
      <c r="Z19" s="92"/>
      <c r="AA19" s="12">
        <v>100</v>
      </c>
      <c r="AB19" s="18"/>
    </row>
    <row r="20" spans="1:28" ht="18.75" x14ac:dyDescent="0.3">
      <c r="A20" s="35">
        <f>IF(ISNUMBER(SEARCH($K$2,B20)),MAX(A$4:$A19)+1,0)</f>
        <v>16</v>
      </c>
      <c r="B20" s="35" t="s">
        <v>16</v>
      </c>
      <c r="C20" s="35"/>
      <c r="D20" s="35"/>
      <c r="E20" s="35" t="str">
        <f>IFERROR(VLOOKUP(ROWS(E$4:$E19),$A$5:$B$30,2,0),"")</f>
        <v xml:space="preserve">Racial Bonus </v>
      </c>
      <c r="F20" s="38" t="s">
        <v>53</v>
      </c>
      <c r="G20">
        <f>IF(ISNUMBER(SEARCH($G$2,H20)),MAX($G$4:G19)+1,0)</f>
        <v>16</v>
      </c>
      <c r="H20" s="4" t="s">
        <v>99</v>
      </c>
      <c r="K20" s="29" t="str">
        <f>IFERROR(VLOOKUP(ROWS($K$4:K19),$G$5:$I$149,2,0),"")</f>
        <v>CLOAK OF RESISTANT</v>
      </c>
      <c r="L20" s="15" t="s">
        <v>29</v>
      </c>
      <c r="M20" s="16" t="s">
        <v>96</v>
      </c>
      <c r="N20" s="16">
        <v>0</v>
      </c>
      <c r="O20" s="16">
        <v>0</v>
      </c>
      <c r="P20" s="41">
        <v>1</v>
      </c>
      <c r="Q20" s="15" t="s">
        <v>30</v>
      </c>
      <c r="R20" s="16" t="s">
        <v>96</v>
      </c>
      <c r="S20" s="16">
        <v>0</v>
      </c>
      <c r="T20" s="16">
        <v>0</v>
      </c>
      <c r="U20" s="41">
        <v>1</v>
      </c>
      <c r="V20" s="15" t="s">
        <v>31</v>
      </c>
      <c r="W20" s="16" t="s">
        <v>96</v>
      </c>
      <c r="X20" s="16">
        <v>0</v>
      </c>
      <c r="Y20" s="16">
        <v>0</v>
      </c>
      <c r="Z20" s="41">
        <v>1</v>
      </c>
      <c r="AA20" s="12">
        <v>100</v>
      </c>
      <c r="AB20" s="18"/>
    </row>
    <row r="21" spans="1:28" ht="18.75" x14ac:dyDescent="0.3">
      <c r="A21" s="35">
        <f>IF(ISNUMBER(SEARCH($K$2,B21)),MAX(A$4:$A20)+1,0)</f>
        <v>17</v>
      </c>
      <c r="B21" s="35" t="s">
        <v>17</v>
      </c>
      <c r="C21" s="35"/>
      <c r="D21" s="35"/>
      <c r="E21" s="35" t="str">
        <f>IFERROR(VLOOKUP(ROWS(E$4:$E20),$A$5:$B$30,2,0),"")</f>
        <v xml:space="preserve">Resistance Bonus </v>
      </c>
      <c r="F21" s="38" t="s">
        <v>77</v>
      </c>
      <c r="G21">
        <f>IF(ISNUMBER(SEARCH($G$2,H21)),MAX($G$4:G20)+1,0)</f>
        <v>17</v>
      </c>
      <c r="H21" s="4" t="s">
        <v>293</v>
      </c>
      <c r="K21" s="29" t="str">
        <f>IFERROR(VLOOKUP(ROWS($K$4:K20),$G$5:$I$149,2,0),"")</f>
        <v>Combat Focus</v>
      </c>
      <c r="L21" s="50" t="s">
        <v>31</v>
      </c>
      <c r="M21" s="40" t="s">
        <v>25</v>
      </c>
      <c r="N21" s="174">
        <v>2</v>
      </c>
      <c r="O21" s="175">
        <v>0</v>
      </c>
      <c r="P21" s="52">
        <v>0</v>
      </c>
      <c r="Q21" s="50"/>
      <c r="R21" s="51"/>
      <c r="S21" s="51"/>
      <c r="T21" s="51"/>
      <c r="U21" s="52"/>
      <c r="V21" s="50"/>
      <c r="W21" s="51"/>
      <c r="X21" s="51"/>
      <c r="Y21" s="51"/>
      <c r="Z21" s="52"/>
      <c r="AA21" s="12">
        <v>100</v>
      </c>
      <c r="AB21" s="18"/>
    </row>
    <row r="22" spans="1:28" ht="18.75" x14ac:dyDescent="0.3">
      <c r="A22" s="35">
        <f>IF(ISNUMBER(SEARCH($K$2,B22)),MAX(A$4:$A21)+1,0)</f>
        <v>18</v>
      </c>
      <c r="B22" s="35" t="s">
        <v>18</v>
      </c>
      <c r="C22" s="35"/>
      <c r="D22" s="35"/>
      <c r="E22" s="35" t="str">
        <f>IFERROR(VLOOKUP(ROWS(E$4:$E21),$A$5:$B$30,2,0),"")</f>
        <v>Sacred Modifier</v>
      </c>
      <c r="F22" s="38" t="s">
        <v>84</v>
      </c>
      <c r="G22">
        <f>IF(ISNUMBER(SEARCH($G$2,H22)),MAX($G$4:G21)+1,0)</f>
        <v>18</v>
      </c>
      <c r="H22" s="4" t="s">
        <v>294</v>
      </c>
      <c r="K22" s="29" t="str">
        <f>IFERROR(VLOOKUP(ROWS($K$4:K21),$G$5:$I$149,2,0),"")</f>
        <v>Combat Stability</v>
      </c>
      <c r="L22" s="11" t="s">
        <v>84</v>
      </c>
      <c r="M22" s="16" t="s">
        <v>25</v>
      </c>
      <c r="N22" s="43">
        <v>4</v>
      </c>
      <c r="O22" s="169">
        <v>0</v>
      </c>
      <c r="P22" s="13">
        <v>0</v>
      </c>
      <c r="Q22" s="11"/>
      <c r="R22" s="12"/>
      <c r="S22" s="12"/>
      <c r="T22" s="12"/>
      <c r="U22" s="13"/>
      <c r="V22" s="11"/>
      <c r="W22" s="12"/>
      <c r="X22" s="12"/>
      <c r="Y22" s="12"/>
      <c r="Z22" s="13"/>
      <c r="AA22" s="12">
        <v>100</v>
      </c>
      <c r="AB22" s="18"/>
    </row>
    <row r="23" spans="1:28" ht="18.75" x14ac:dyDescent="0.3">
      <c r="A23" s="35">
        <f>IF(ISNUMBER(SEARCH($K$2,B23)),MAX(A$4:$A22)+1,0)</f>
        <v>19</v>
      </c>
      <c r="B23" s="35" t="s">
        <v>19</v>
      </c>
      <c r="C23" s="35"/>
      <c r="D23" s="35"/>
      <c r="E23" s="35" t="str">
        <f>IFERROR(VLOOKUP(ROWS(E$4:$E22),$A$5:$B$30,2,0),"")</f>
        <v xml:space="preserve">Shield Bonus </v>
      </c>
      <c r="F23" s="38" t="s">
        <v>28</v>
      </c>
      <c r="G23">
        <f>IF(ISNUMBER(SEARCH($G$2,H23)),MAX($G$4:G22)+1,0)</f>
        <v>19</v>
      </c>
      <c r="H23" s="4" t="s">
        <v>262</v>
      </c>
      <c r="K23" s="29" t="str">
        <f>IFERROR(VLOOKUP(ROWS($K$4:K22),$G$5:$I$149,2,0),"")</f>
        <v>Conviction</v>
      </c>
      <c r="L23" s="50" t="s">
        <v>28</v>
      </c>
      <c r="M23" s="40" t="s">
        <v>12</v>
      </c>
      <c r="N23" s="51">
        <v>2</v>
      </c>
      <c r="O23" s="175">
        <v>1</v>
      </c>
      <c r="P23" s="52">
        <f>1/6</f>
        <v>0.16666666666666666</v>
      </c>
      <c r="Q23" s="50"/>
      <c r="R23" s="51"/>
      <c r="S23" s="51"/>
      <c r="T23" s="51"/>
      <c r="U23" s="52"/>
      <c r="V23" s="50"/>
      <c r="W23" s="51"/>
      <c r="X23" s="51"/>
      <c r="Y23" s="51"/>
      <c r="Z23" s="52"/>
      <c r="AA23" s="12">
        <v>100</v>
      </c>
      <c r="AB23" s="18"/>
    </row>
    <row r="24" spans="1:28" ht="18.75" x14ac:dyDescent="0.3">
      <c r="A24" s="35">
        <f>IF(ISNUMBER(SEARCH($K$2,B24)),MAX(A$4:$A23)+1,0)</f>
        <v>20</v>
      </c>
      <c r="B24" s="35" t="s">
        <v>20</v>
      </c>
      <c r="C24" s="35"/>
      <c r="D24" s="35"/>
      <c r="E24" s="35" t="str">
        <f>IFERROR(VLOOKUP(ROWS(E$4:$E23),$A$5:$B$30,2,0),"")</f>
        <v xml:space="preserve">Size Modifier </v>
      </c>
      <c r="F24" s="38" t="s">
        <v>85</v>
      </c>
      <c r="G24">
        <f>IF(ISNUMBER(SEARCH($G$2,H24)),MAX($G$4:G23)+1,0)</f>
        <v>20</v>
      </c>
      <c r="H24" s="4" t="s">
        <v>297</v>
      </c>
      <c r="K24" s="29" t="str">
        <f>IFERROR(VLOOKUP(ROWS($K$4:K23),$G$5:$I$149,2,0),"")</f>
        <v>Conviction Mass</v>
      </c>
      <c r="L24" s="11" t="s">
        <v>29</v>
      </c>
      <c r="M24" s="16" t="s">
        <v>12</v>
      </c>
      <c r="N24" s="43">
        <v>2</v>
      </c>
      <c r="O24" s="169">
        <v>3</v>
      </c>
      <c r="P24" s="13">
        <f>1/6</f>
        <v>0.16666666666666666</v>
      </c>
      <c r="Q24" s="11" t="s">
        <v>30</v>
      </c>
      <c r="R24" s="16" t="s">
        <v>12</v>
      </c>
      <c r="S24" s="43">
        <v>2</v>
      </c>
      <c r="T24" s="169">
        <v>3</v>
      </c>
      <c r="U24" s="13">
        <f>1/6</f>
        <v>0.16666666666666666</v>
      </c>
      <c r="V24" s="11" t="s">
        <v>31</v>
      </c>
      <c r="W24" s="16" t="s">
        <v>12</v>
      </c>
      <c r="X24" s="43">
        <v>2</v>
      </c>
      <c r="Y24" s="169">
        <v>3</v>
      </c>
      <c r="Z24" s="13">
        <f>1/6</f>
        <v>0.16666666666666666</v>
      </c>
      <c r="AA24" s="12">
        <v>100</v>
      </c>
      <c r="AB24" s="18"/>
    </row>
    <row r="25" spans="1:28" ht="18.75" x14ac:dyDescent="0.3">
      <c r="A25" s="35">
        <f>IF(ISNUMBER(SEARCH($K$2,B25)),MAX(A$4:$A24)+1,0)</f>
        <v>21</v>
      </c>
      <c r="B25" s="35" t="s">
        <v>21</v>
      </c>
      <c r="C25" s="35"/>
      <c r="D25" s="35"/>
      <c r="E25" s="35" t="str">
        <f>IFERROR(VLOOKUP(ROWS(E$4:$E24),$A$5:$B$30,2,0),"")</f>
        <v>Epic Bonus</v>
      </c>
      <c r="F25" s="38" t="s">
        <v>86</v>
      </c>
      <c r="G25">
        <f>IF(ISNUMBER(SEARCH($G$2,H25)),MAX($G$4:G24)+1,0)</f>
        <v>21</v>
      </c>
      <c r="H25" s="4" t="s">
        <v>301</v>
      </c>
      <c r="K25" s="29" t="str">
        <f>IFERROR(VLOOKUP(ROWS($K$4:K24),$G$5:$I$149,2,0),"")</f>
        <v>Death Ward*</v>
      </c>
      <c r="L25" s="50"/>
      <c r="M25" s="40"/>
      <c r="N25" s="51"/>
      <c r="O25" s="175">
        <v>4</v>
      </c>
      <c r="P25" s="52"/>
      <c r="Q25" s="50"/>
      <c r="R25" s="51"/>
      <c r="S25" s="51"/>
      <c r="T25" s="51"/>
      <c r="U25" s="52"/>
      <c r="V25" s="50"/>
      <c r="W25" s="51"/>
      <c r="X25" s="51"/>
      <c r="Y25" s="51"/>
      <c r="Z25" s="52"/>
      <c r="AA25" s="12">
        <v>100</v>
      </c>
      <c r="AB25" s="18"/>
    </row>
    <row r="26" spans="1:28" ht="18.75" x14ac:dyDescent="0.3">
      <c r="A26" s="35">
        <f>IF(ISNUMBER(SEARCH($K$2,B26)),MAX(A$4:$A25)+1,0)</f>
        <v>22</v>
      </c>
      <c r="B26" s="35" t="s">
        <v>22</v>
      </c>
      <c r="C26" s="35"/>
      <c r="D26" s="35"/>
      <c r="E26" s="35" t="str">
        <f>IFERROR(VLOOKUP(ROWS(E$4:$E25),$A$5:$B$30,2,0),"")</f>
        <v>Divine Bonus</v>
      </c>
      <c r="F26" s="35"/>
      <c r="G26">
        <f>IF(ISNUMBER(SEARCH($G$2,H26)),MAX($G$4:G25)+1,0)</f>
        <v>22</v>
      </c>
      <c r="H26" s="4" t="s">
        <v>215</v>
      </c>
      <c r="K26" s="29" t="str">
        <f>IFERROR(VLOOKUP(ROWS($K$4:K25),$G$5:$I$149,2,0),"")</f>
        <v>Displacement*</v>
      </c>
      <c r="L26" s="15"/>
      <c r="M26" s="16"/>
      <c r="N26" s="16">
        <v>0</v>
      </c>
      <c r="O26" s="16">
        <v>3</v>
      </c>
      <c r="P26" s="41">
        <v>0</v>
      </c>
      <c r="Q26" s="15"/>
      <c r="R26" s="16"/>
      <c r="S26" s="16"/>
      <c r="T26" s="16"/>
      <c r="U26" s="41"/>
      <c r="V26" s="15"/>
      <c r="W26" s="16"/>
      <c r="X26" s="16"/>
      <c r="Y26" s="16"/>
      <c r="Z26" s="41"/>
      <c r="AA26" s="12">
        <v>100</v>
      </c>
      <c r="AB26" s="18"/>
    </row>
    <row r="27" spans="1:28" ht="18.75" x14ac:dyDescent="0.3">
      <c r="A27" s="35">
        <f>IF(ISNUMBER(SEARCH($K$2,B27)),MAX(A$4:$A26)+1,0)</f>
        <v>23</v>
      </c>
      <c r="B27" s="35" t="s">
        <v>23</v>
      </c>
      <c r="C27" s="35"/>
      <c r="D27" s="35"/>
      <c r="E27" s="35" t="str">
        <f>IFERROR(VLOOKUP(ROWS(E$4:$E26),$A$5:$B$30,2,0),"")</f>
        <v>(Ability Drain)</v>
      </c>
      <c r="F27" s="35"/>
      <c r="G27">
        <f>IF(ISNUMBER(SEARCH($G$2,H27)),MAX($G$4:G26)+1,0)</f>
        <v>23</v>
      </c>
      <c r="H27" s="4" t="s">
        <v>243</v>
      </c>
      <c r="K27" s="29" t="str">
        <f>IFERROR(VLOOKUP(ROWS($K$4:K26),$G$5:$I$149,2,0),"")</f>
        <v>Distrupting Weapon*</v>
      </c>
      <c r="L27" s="50"/>
      <c r="M27" s="40"/>
      <c r="N27" s="51"/>
      <c r="O27" s="175">
        <v>4</v>
      </c>
      <c r="P27" s="52"/>
      <c r="Q27" s="50"/>
      <c r="R27" s="51"/>
      <c r="S27" s="51"/>
      <c r="T27" s="51"/>
      <c r="U27" s="52"/>
      <c r="V27" s="50"/>
      <c r="W27" s="51"/>
      <c r="X27" s="51"/>
      <c r="Y27" s="51"/>
      <c r="Z27" s="52"/>
      <c r="AA27" s="12">
        <v>100</v>
      </c>
      <c r="AB27" s="18"/>
    </row>
    <row r="28" spans="1:28" ht="18.75" x14ac:dyDescent="0.3">
      <c r="A28" s="35">
        <f>IF(ISNUMBER(SEARCH($K$2,B28)),MAX(A$4:$A27)+1,0)</f>
        <v>24</v>
      </c>
      <c r="B28" s="35" t="s">
        <v>24</v>
      </c>
      <c r="C28" s="35"/>
      <c r="D28" s="35"/>
      <c r="E28" s="35" t="str">
        <f>IFERROR(VLOOKUP(ROWS(E$4:$E27),$A$5:$B$30,2,0),"")</f>
        <v>(Temporary HP and Damage Absorption Shield-e.g Protection from Elements)</v>
      </c>
      <c r="F28" s="35"/>
      <c r="G28">
        <f>IF(ISNUMBER(SEARCH($G$2,H28)),MAX($G$4:G27)+1,0)</f>
        <v>24</v>
      </c>
      <c r="H28" s="4" t="s">
        <v>231</v>
      </c>
      <c r="K28" s="29" t="str">
        <f>IFERROR(VLOOKUP(ROWS($K$4:K27),$G$5:$I$149,2,0),"")</f>
        <v>Elemental body*</v>
      </c>
      <c r="L28" s="15"/>
      <c r="M28" s="16"/>
      <c r="N28" s="16">
        <v>0</v>
      </c>
      <c r="O28" s="16">
        <v>7</v>
      </c>
      <c r="P28" s="41">
        <v>0</v>
      </c>
      <c r="Q28" s="15"/>
      <c r="R28" s="16"/>
      <c r="S28" s="16"/>
      <c r="T28" s="16"/>
      <c r="U28" s="41"/>
      <c r="V28" s="15"/>
      <c r="W28" s="16"/>
      <c r="X28" s="16"/>
      <c r="Y28" s="16"/>
      <c r="Z28" s="41"/>
      <c r="AA28" s="12">
        <v>100</v>
      </c>
      <c r="AB28" s="18"/>
    </row>
    <row r="29" spans="1:28" ht="18.75" x14ac:dyDescent="0.3">
      <c r="A29" s="35">
        <f>IF(ISNUMBER(SEARCH($K$2,B29)),MAX(A$4:$A28)+1,0)</f>
        <v>25</v>
      </c>
      <c r="B29" s="35" t="s">
        <v>25</v>
      </c>
      <c r="C29" s="35"/>
      <c r="D29" s="35"/>
      <c r="E29" s="35" t="str">
        <f>IFERROR(VLOOKUP(ROWS(E$4:$E28),$A$5:$B$30,2,0),"")</f>
        <v>Untyped</v>
      </c>
      <c r="F29" s="35"/>
      <c r="G29">
        <f>IF(ISNUMBER(SEARCH($G$2,H29)),MAX($G$4:G28)+1,0)</f>
        <v>25</v>
      </c>
      <c r="H29" s="4" t="s">
        <v>200</v>
      </c>
      <c r="K29" s="29" t="str">
        <f>IFERROR(VLOOKUP(ROWS($K$4:K28),$G$5:$I$149,2,0),"")</f>
        <v>Enlarge Person</v>
      </c>
      <c r="L29" s="39" t="s">
        <v>79</v>
      </c>
      <c r="M29" s="40" t="s">
        <v>20</v>
      </c>
      <c r="N29" s="40">
        <v>2</v>
      </c>
      <c r="O29" s="40">
        <v>1</v>
      </c>
      <c r="P29" s="92">
        <v>0</v>
      </c>
      <c r="Q29" s="39" t="s">
        <v>83</v>
      </c>
      <c r="R29" s="40" t="s">
        <v>20</v>
      </c>
      <c r="S29" s="40">
        <v>-2</v>
      </c>
      <c r="T29" s="40">
        <v>0</v>
      </c>
      <c r="U29" s="92">
        <v>0</v>
      </c>
      <c r="V29" s="39"/>
      <c r="W29" s="40"/>
      <c r="X29" s="40"/>
      <c r="Y29" s="40"/>
      <c r="Z29" s="92"/>
      <c r="AA29" s="12">
        <v>100</v>
      </c>
      <c r="AB29" s="18"/>
    </row>
    <row r="30" spans="1:28" ht="18.75" x14ac:dyDescent="0.3">
      <c r="A30" s="35">
        <f>IF(ISNUMBER(SEARCH($K$2,B30)),MAX(A$4:$A29)+1,0)</f>
        <v>26</v>
      </c>
      <c r="B30" s="35" t="s">
        <v>96</v>
      </c>
      <c r="C30" s="35"/>
      <c r="D30" s="35"/>
      <c r="E30" s="35" t="str">
        <f>IFERROR(VLOOKUP(ROWS(E$4:$E29),$A$5:$B$30,2,0),"")</f>
        <v>Enhancement</v>
      </c>
      <c r="F30" s="35"/>
      <c r="G30">
        <f>IF(ISNUMBER(SEARCH($G$2,H30)),MAX($G$4:G29)+1,0)</f>
        <v>26</v>
      </c>
      <c r="H30" s="4" t="s">
        <v>207</v>
      </c>
      <c r="K30" s="29" t="str">
        <f>IFERROR(VLOOKUP(ROWS($K$4:K29),$G$5:$I$149,2,0),"")</f>
        <v>False Life*</v>
      </c>
      <c r="L30" s="15"/>
      <c r="M30" s="16"/>
      <c r="N30" s="16">
        <v>0</v>
      </c>
      <c r="O30" s="16">
        <v>2</v>
      </c>
      <c r="P30" s="41">
        <v>0</v>
      </c>
      <c r="Q30" s="15"/>
      <c r="R30" s="16"/>
      <c r="S30" s="16"/>
      <c r="T30" s="16"/>
      <c r="U30" s="41"/>
      <c r="V30" s="15"/>
      <c r="W30" s="16"/>
      <c r="X30" s="16"/>
      <c r="Y30" s="16"/>
      <c r="Z30" s="41"/>
      <c r="AA30" s="12">
        <v>100</v>
      </c>
    </row>
    <row r="31" spans="1:28" ht="18.75" x14ac:dyDescent="0.3">
      <c r="A31" s="35">
        <f>IF(ISNUMBER(SEARCH($K$2,B31)),MAX(A$4:$A30)+1,0)</f>
        <v>0</v>
      </c>
      <c r="B31" s="35"/>
      <c r="C31" s="35"/>
      <c r="D31" s="35"/>
      <c r="E31" s="35" t="str">
        <f>IFERROR(VLOOKUP(ROWS(E$4:$E30),$A$5:$B$30,2,0),"")</f>
        <v/>
      </c>
      <c r="F31" s="35"/>
      <c r="G31">
        <f>IF(ISNUMBER(SEARCH($G$2,H31)),MAX($G$4:G30)+1,0)</f>
        <v>27</v>
      </c>
      <c r="H31" s="4" t="s">
        <v>216</v>
      </c>
      <c r="K31" s="29" t="str">
        <f>IFERROR(VLOOKUP(ROWS($K$4:K30),$G$5:$I$149,2,0),"")</f>
        <v>Fly*</v>
      </c>
      <c r="L31" s="39"/>
      <c r="M31" s="40"/>
      <c r="N31" s="40">
        <v>0</v>
      </c>
      <c r="O31" s="40">
        <v>3</v>
      </c>
      <c r="P31" s="92">
        <v>0</v>
      </c>
      <c r="Q31" s="39"/>
      <c r="R31" s="40"/>
      <c r="S31" s="40"/>
      <c r="T31" s="40"/>
      <c r="U31" s="92"/>
      <c r="V31" s="39"/>
      <c r="W31" s="40"/>
      <c r="X31" s="40"/>
      <c r="Y31" s="40"/>
      <c r="Z31" s="92"/>
      <c r="AA31" s="12">
        <v>100</v>
      </c>
    </row>
    <row r="32" spans="1:28" ht="18.75" x14ac:dyDescent="0.3">
      <c r="A32" s="35">
        <f>IF(ISNUMBER(SEARCH($K$2,B32)),MAX(A$4:$A31)+1,0)</f>
        <v>0</v>
      </c>
      <c r="B32" s="35"/>
      <c r="C32" s="35"/>
      <c r="D32" s="35"/>
      <c r="E32" s="35"/>
      <c r="F32" s="35"/>
      <c r="G32">
        <f>IF(ISNUMBER(SEARCH($G$2,H32)),MAX($G$4:G31)+1,0)</f>
        <v>28</v>
      </c>
      <c r="H32" s="4" t="s">
        <v>251</v>
      </c>
      <c r="K32" s="29" t="str">
        <f>IFERROR(VLOOKUP(ROWS($K$4:K31),$G$5:$I$149,2,0),"")</f>
        <v>Fortunate Fate*</v>
      </c>
      <c r="L32" s="11"/>
      <c r="M32" s="16"/>
      <c r="N32" s="169">
        <v>0</v>
      </c>
      <c r="O32" s="169">
        <v>7</v>
      </c>
      <c r="P32" s="13">
        <v>0</v>
      </c>
      <c r="Q32" s="11"/>
      <c r="R32" s="12"/>
      <c r="S32" s="12"/>
      <c r="T32" s="12"/>
      <c r="U32" s="13"/>
      <c r="V32" s="11"/>
      <c r="W32" s="12"/>
      <c r="X32" s="12"/>
      <c r="Y32" s="12"/>
      <c r="Z32" s="13"/>
      <c r="AA32" s="12">
        <v>100</v>
      </c>
    </row>
    <row r="33" spans="1:27" ht="18.75" x14ac:dyDescent="0.3">
      <c r="A33" s="35">
        <f>IF(ISNUMBER(SEARCH($K$2,B33)),MAX(A$4:$A32)+1,0)</f>
        <v>0</v>
      </c>
      <c r="B33" s="35"/>
      <c r="C33" s="35"/>
      <c r="D33" s="35"/>
      <c r="E33" s="35"/>
      <c r="F33" s="35"/>
      <c r="G33">
        <f>IF(ISNUMBER(SEARCH($G$2,H33)),MAX($G$4:G32)+1,0)</f>
        <v>29</v>
      </c>
      <c r="H33" s="4" t="s">
        <v>217</v>
      </c>
      <c r="K33" s="29" t="str">
        <f>IFERROR(VLOOKUP(ROWS($K$4:K32),$G$5:$I$149,2,0),"")</f>
        <v>Gaseous Form*</v>
      </c>
      <c r="L33" s="39"/>
      <c r="M33" s="40"/>
      <c r="N33" s="40">
        <v>0</v>
      </c>
      <c r="O33" s="40">
        <v>3</v>
      </c>
      <c r="P33" s="92">
        <v>0</v>
      </c>
      <c r="Q33" s="39"/>
      <c r="R33" s="40"/>
      <c r="S33" s="40"/>
      <c r="T33" s="40"/>
      <c r="U33" s="92"/>
      <c r="V33" s="39"/>
      <c r="W33" s="40"/>
      <c r="X33" s="40"/>
      <c r="Y33" s="40"/>
      <c r="Z33" s="92"/>
      <c r="AA33" s="12">
        <v>100</v>
      </c>
    </row>
    <row r="34" spans="1:27" ht="18.75" x14ac:dyDescent="0.3">
      <c r="A34" s="35">
        <f>IF(ISNUMBER(SEARCH($K$2,B34)),MAX(A$4:$A33)+1,0)</f>
        <v>0</v>
      </c>
      <c r="B34" s="35"/>
      <c r="C34" s="35"/>
      <c r="D34" s="35"/>
      <c r="E34" s="35"/>
      <c r="F34" s="35"/>
      <c r="G34">
        <f>IF(ISNUMBER(SEARCH($G$2,H34)),MAX($G$4:G33)+1,0)</f>
        <v>30</v>
      </c>
      <c r="H34" s="4" t="s">
        <v>225</v>
      </c>
      <c r="K34" s="29" t="str">
        <f>IFERROR(VLOOKUP(ROWS($K$4:K33),$G$5:$I$149,2,0),"")</f>
        <v>Gloves Of Dexterity</v>
      </c>
      <c r="L34" s="15" t="s">
        <v>83</v>
      </c>
      <c r="M34" s="16" t="s">
        <v>96</v>
      </c>
      <c r="N34" s="16">
        <v>0</v>
      </c>
      <c r="O34" s="16">
        <v>0</v>
      </c>
      <c r="P34" s="41">
        <v>1</v>
      </c>
      <c r="Q34" s="15"/>
      <c r="R34" s="16"/>
      <c r="S34" s="16"/>
      <c r="T34" s="16"/>
      <c r="U34" s="41"/>
      <c r="V34" s="15"/>
      <c r="W34" s="16"/>
      <c r="X34" s="16"/>
      <c r="Y34" s="16"/>
      <c r="Z34" s="41"/>
      <c r="AA34" s="12">
        <v>100</v>
      </c>
    </row>
    <row r="35" spans="1:27" ht="18.75" x14ac:dyDescent="0.3">
      <c r="A35" s="35">
        <f>IF(ISNUMBER(SEARCH($K$2,B35)),MAX(A$4:$A34)+1,0)</f>
        <v>0</v>
      </c>
      <c r="B35" s="35"/>
      <c r="C35" s="35"/>
      <c r="D35" s="35"/>
      <c r="E35" s="35"/>
      <c r="F35" s="35"/>
      <c r="G35">
        <f>IF(ISNUMBER(SEARCH($G$2,H35)),MAX($G$4:G34)+1,0)</f>
        <v>31</v>
      </c>
      <c r="H35" s="4" t="s">
        <v>226</v>
      </c>
      <c r="K35" s="29" t="str">
        <f>IFERROR(VLOOKUP(ROWS($K$4:K34),$G$5:$I$149,2,0),"")</f>
        <v>Gloves Of Strenght</v>
      </c>
      <c r="L35" s="39" t="s">
        <v>79</v>
      </c>
      <c r="M35" s="40" t="s">
        <v>96</v>
      </c>
      <c r="N35" s="40">
        <v>0</v>
      </c>
      <c r="O35" s="40">
        <v>0</v>
      </c>
      <c r="P35" s="92">
        <v>1</v>
      </c>
      <c r="Q35" s="39"/>
      <c r="R35" s="40"/>
      <c r="S35" s="40"/>
      <c r="T35" s="40"/>
      <c r="U35" s="92"/>
      <c r="V35" s="39"/>
      <c r="W35" s="40"/>
      <c r="X35" s="40"/>
      <c r="Y35" s="40"/>
      <c r="Z35" s="92"/>
      <c r="AA35" s="12">
        <v>100</v>
      </c>
    </row>
    <row r="36" spans="1:27" ht="18.75" x14ac:dyDescent="0.3">
      <c r="A36" s="35">
        <f>IF(ISNUMBER(SEARCH($K$2,B36)),MAX(A$4:$A35)+1,0)</f>
        <v>0</v>
      </c>
      <c r="B36" s="35"/>
      <c r="C36" s="35"/>
      <c r="D36" s="35"/>
      <c r="E36" s="35"/>
      <c r="F36" s="35"/>
      <c r="G36">
        <f>IF(ISNUMBER(SEARCH($G$2,H36)),MAX($G$4:G35)+1,0)</f>
        <v>32</v>
      </c>
      <c r="H36" s="4" t="s">
        <v>181</v>
      </c>
      <c r="K36" s="29" t="str">
        <f>IFERROR(VLOOKUP(ROWS($K$4:K35),$G$5:$I$149,2,0),"")</f>
        <v>Glyph intelligence</v>
      </c>
      <c r="L36" s="15" t="s">
        <v>122</v>
      </c>
      <c r="M36" s="16" t="s">
        <v>10</v>
      </c>
      <c r="N36" s="16">
        <v>0</v>
      </c>
      <c r="O36" s="16">
        <v>0</v>
      </c>
      <c r="P36" s="41">
        <v>1</v>
      </c>
      <c r="Q36" s="15"/>
      <c r="R36" s="16"/>
      <c r="S36" s="16"/>
      <c r="T36" s="16"/>
      <c r="U36" s="41"/>
      <c r="V36" s="15"/>
      <c r="W36" s="16"/>
      <c r="X36" s="16"/>
      <c r="Y36" s="16"/>
      <c r="Z36" s="41"/>
      <c r="AA36" s="12">
        <v>100</v>
      </c>
    </row>
    <row r="37" spans="1:27" ht="18.75" x14ac:dyDescent="0.3">
      <c r="A37" s="35">
        <f>IF(ISNUMBER(SEARCH($K$2,B37)),MAX(A$4:$A36)+1,0)</f>
        <v>0</v>
      </c>
      <c r="B37" s="35"/>
      <c r="C37" s="35"/>
      <c r="D37" s="35"/>
      <c r="E37" s="35"/>
      <c r="F37" s="35"/>
      <c r="G37">
        <f>IF(ISNUMBER(SEARCH($G$2,H37)),MAX($G$4:G36)+1,0)</f>
        <v>33</v>
      </c>
      <c r="H37" s="4" t="s">
        <v>197</v>
      </c>
      <c r="K37" s="29" t="str">
        <f>IFERROR(VLOOKUP(ROWS($K$4:K36),$G$5:$I$149,2,0),"")</f>
        <v>Glyph of Wisdom</v>
      </c>
      <c r="L37" s="39" t="s">
        <v>80</v>
      </c>
      <c r="M37" s="40" t="s">
        <v>10</v>
      </c>
      <c r="N37" s="40">
        <v>0</v>
      </c>
      <c r="O37" s="40">
        <v>0</v>
      </c>
      <c r="P37" s="92">
        <v>1</v>
      </c>
      <c r="Q37" s="39"/>
      <c r="R37" s="40"/>
      <c r="S37" s="40"/>
      <c r="T37" s="40"/>
      <c r="U37" s="92"/>
      <c r="V37" s="39"/>
      <c r="W37" s="40"/>
      <c r="X37" s="40"/>
      <c r="Y37" s="40"/>
      <c r="Z37" s="92"/>
      <c r="AA37" s="12">
        <v>100</v>
      </c>
    </row>
    <row r="38" spans="1:27" ht="18.75" x14ac:dyDescent="0.3">
      <c r="A38" s="35">
        <f>IF(ISNUMBER(SEARCH($K$2,B38)),MAX(A$4:$A37)+1,0)</f>
        <v>0</v>
      </c>
      <c r="B38" s="35"/>
      <c r="C38" s="35"/>
      <c r="D38" s="35"/>
      <c r="E38" s="35"/>
      <c r="F38" s="35"/>
      <c r="G38">
        <f>IF(ISNUMBER(SEARCH($G$2,H38)),MAX($G$4:G37)+1,0)</f>
        <v>34</v>
      </c>
      <c r="H38" s="4" t="s">
        <v>218</v>
      </c>
      <c r="K38" s="29" t="str">
        <f>IFERROR(VLOOKUP(ROWS($K$4:K37),$G$5:$I$149,2,0),"")</f>
        <v>Haste*</v>
      </c>
      <c r="L38" s="15" t="s">
        <v>53</v>
      </c>
      <c r="M38" s="16" t="s">
        <v>25</v>
      </c>
      <c r="N38" s="16">
        <v>1</v>
      </c>
      <c r="O38" s="16">
        <v>3</v>
      </c>
      <c r="P38" s="41">
        <v>0</v>
      </c>
      <c r="Q38" s="15" t="s">
        <v>28</v>
      </c>
      <c r="R38" s="16" t="s">
        <v>7</v>
      </c>
      <c r="S38" s="16">
        <v>1</v>
      </c>
      <c r="T38" s="16"/>
      <c r="U38" s="41">
        <v>0</v>
      </c>
      <c r="V38" s="15" t="s">
        <v>30</v>
      </c>
      <c r="W38" s="16" t="s">
        <v>7</v>
      </c>
      <c r="X38" s="16">
        <v>1</v>
      </c>
      <c r="Y38" s="16"/>
      <c r="Z38" s="41">
        <v>0</v>
      </c>
      <c r="AA38" s="12">
        <v>100</v>
      </c>
    </row>
    <row r="39" spans="1:27" ht="18.75" x14ac:dyDescent="0.3">
      <c r="A39" s="35">
        <f>IF(ISNUMBER(SEARCH($K$2,B39)),MAX(A$4:$A38)+1,0)</f>
        <v>0</v>
      </c>
      <c r="B39" s="35"/>
      <c r="C39" s="35"/>
      <c r="D39" s="35"/>
      <c r="E39" s="35"/>
      <c r="F39" s="35"/>
      <c r="G39">
        <f>IF(ISNUMBER(SEARCH($G$2,H39)),MAX($G$4:G38)+1,0)</f>
        <v>35</v>
      </c>
      <c r="H39" s="4" t="s">
        <v>180</v>
      </c>
      <c r="K39" s="29" t="str">
        <f>IFERROR(VLOOKUP(ROWS($K$4:K38),$G$5:$I$149,2,0),"")</f>
        <v>Headband Intelligence</v>
      </c>
      <c r="L39" s="39" t="s">
        <v>122</v>
      </c>
      <c r="M39" s="40" t="s">
        <v>96</v>
      </c>
      <c r="N39" s="40">
        <v>0</v>
      </c>
      <c r="O39" s="40">
        <v>0</v>
      </c>
      <c r="P39" s="92">
        <v>1</v>
      </c>
      <c r="Q39" s="39"/>
      <c r="R39" s="40"/>
      <c r="S39" s="40"/>
      <c r="T39" s="40"/>
      <c r="U39" s="92"/>
      <c r="V39" s="39"/>
      <c r="W39" s="40"/>
      <c r="X39" s="40"/>
      <c r="Y39" s="40"/>
      <c r="Z39" s="92"/>
      <c r="AA39" s="12">
        <v>100</v>
      </c>
    </row>
    <row r="40" spans="1:27" ht="18.75" x14ac:dyDescent="0.3">
      <c r="A40" s="35">
        <f>IF(ISNUMBER(SEARCH($K$2,B40)),MAX(A$4:$A39)+1,0)</f>
        <v>0</v>
      </c>
      <c r="B40" s="35"/>
      <c r="C40" s="35"/>
      <c r="D40" s="35"/>
      <c r="E40" s="35"/>
      <c r="F40" s="35"/>
      <c r="G40">
        <f>IF(ISNUMBER(SEARCH($G$2,H40)),MAX($G$4:G39)+1,0)</f>
        <v>36</v>
      </c>
      <c r="H40" s="4" t="s">
        <v>261</v>
      </c>
      <c r="K40" s="29" t="str">
        <f>IFERROR(VLOOKUP(ROWS($K$4:K39),$G$5:$I$149,2,0),"")</f>
        <v>Holy Star</v>
      </c>
      <c r="L40" s="11" t="s">
        <v>28</v>
      </c>
      <c r="M40" s="16" t="s">
        <v>4</v>
      </c>
      <c r="N40" s="12">
        <v>6</v>
      </c>
      <c r="O40" s="169">
        <v>7</v>
      </c>
      <c r="P40" s="13">
        <v>0</v>
      </c>
      <c r="Q40" s="11"/>
      <c r="R40" s="12"/>
      <c r="S40" s="12"/>
      <c r="T40" s="12"/>
      <c r="U40" s="13"/>
      <c r="V40" s="11"/>
      <c r="W40" s="12"/>
      <c r="X40" s="12"/>
      <c r="Y40" s="12"/>
      <c r="Z40" s="13"/>
      <c r="AA40" s="12">
        <v>100</v>
      </c>
    </row>
    <row r="41" spans="1:27" ht="18.75" x14ac:dyDescent="0.3">
      <c r="A41" s="35">
        <f>IF(ISNUMBER(SEARCH($K$2,B41)),MAX(A$4:$A40)+1,0)</f>
        <v>0</v>
      </c>
      <c r="B41" s="35"/>
      <c r="C41" s="35"/>
      <c r="D41" s="35"/>
      <c r="E41" s="35"/>
      <c r="F41" s="35"/>
      <c r="G41">
        <f>IF(ISNUMBER(SEARCH($G$2,H41)),MAX($G$4:G40)+1,0)</f>
        <v>37</v>
      </c>
      <c r="H41" s="4" t="s">
        <v>220</v>
      </c>
      <c r="K41" s="29" t="str">
        <f>IFERROR(VLOOKUP(ROWS($K$4:K40),$G$5:$I$149,2,0),"")</f>
        <v>Invisibility Greater*</v>
      </c>
      <c r="L41" s="39"/>
      <c r="M41" s="40"/>
      <c r="N41" s="40">
        <v>0</v>
      </c>
      <c r="O41" s="40">
        <v>4</v>
      </c>
      <c r="P41" s="92">
        <v>0</v>
      </c>
      <c r="Q41" s="39"/>
      <c r="R41" s="40"/>
      <c r="S41" s="40"/>
      <c r="T41" s="40"/>
      <c r="U41" s="92"/>
      <c r="V41" s="39"/>
      <c r="W41" s="40"/>
      <c r="X41" s="40"/>
      <c r="Y41" s="40"/>
      <c r="Z41" s="92"/>
      <c r="AA41" s="12">
        <v>100</v>
      </c>
    </row>
    <row r="42" spans="1:27" ht="18.75" x14ac:dyDescent="0.3">
      <c r="A42" s="35">
        <f>IF(ISNUMBER(SEARCH($K$2,B42)),MAX(A$4:$A41)+1,0)</f>
        <v>0</v>
      </c>
      <c r="B42" s="35"/>
      <c r="C42" s="35"/>
      <c r="D42" s="35"/>
      <c r="E42" s="35"/>
      <c r="F42" s="35"/>
      <c r="G42">
        <f>IF(ISNUMBER(SEARCH($G$2,H42)),MAX($G$4:G41)+1,0)</f>
        <v>38</v>
      </c>
      <c r="H42" s="4" t="s">
        <v>238</v>
      </c>
      <c r="K42" s="29" t="str">
        <f>IFERROR(VLOOKUP(ROWS($K$4:K41),$G$5:$I$149,2,0),"")</f>
        <v>Invisibility Purge*</v>
      </c>
      <c r="L42" s="15"/>
      <c r="M42" s="16"/>
      <c r="N42" s="16">
        <v>0</v>
      </c>
      <c r="O42" s="16">
        <v>2</v>
      </c>
      <c r="P42" s="41">
        <v>0</v>
      </c>
      <c r="Q42" s="15"/>
      <c r="R42" s="16"/>
      <c r="S42" s="16"/>
      <c r="T42" s="16"/>
      <c r="U42" s="41"/>
      <c r="V42" s="15"/>
      <c r="W42" s="16"/>
      <c r="X42" s="16"/>
      <c r="Y42" s="16"/>
      <c r="Z42" s="41"/>
      <c r="AA42" s="12">
        <v>100</v>
      </c>
    </row>
    <row r="43" spans="1:27" ht="18.75" x14ac:dyDescent="0.3">
      <c r="A43" s="35">
        <f>IF(ISNUMBER(SEARCH($K$2,B43)),MAX(A$4:$A42)+1,0)</f>
        <v>0</v>
      </c>
      <c r="B43" s="35"/>
      <c r="C43" s="35"/>
      <c r="D43" s="35"/>
      <c r="E43" s="35"/>
      <c r="F43" s="35"/>
      <c r="G43">
        <f>IF(ISNUMBER(SEARCH($G$2,H43)),MAX($G$4:G42)+1,0)</f>
        <v>39</v>
      </c>
      <c r="H43" s="4" t="s">
        <v>210</v>
      </c>
      <c r="K43" s="29" t="str">
        <f>IFERROR(VLOOKUP(ROWS($K$4:K42),$G$5:$I$149,2,0),"")</f>
        <v>Invisibility*</v>
      </c>
      <c r="L43" s="39"/>
      <c r="M43" s="40"/>
      <c r="N43" s="40">
        <v>0</v>
      </c>
      <c r="O43" s="40">
        <v>2</v>
      </c>
      <c r="P43" s="92">
        <v>0</v>
      </c>
      <c r="Q43" s="39"/>
      <c r="R43" s="40"/>
      <c r="S43" s="40"/>
      <c r="T43" s="40"/>
      <c r="U43" s="92"/>
      <c r="V43" s="39"/>
      <c r="W43" s="40"/>
      <c r="X43" s="40"/>
      <c r="Y43" s="40"/>
      <c r="Z43" s="92"/>
      <c r="AA43" s="12">
        <v>100</v>
      </c>
    </row>
    <row r="44" spans="1:27" ht="18.75" x14ac:dyDescent="0.3">
      <c r="A44" s="35">
        <f>IF(ISNUMBER(SEARCH($K$2,B44)),MAX(A$4:$A43)+1,0)</f>
        <v>0</v>
      </c>
      <c r="B44" s="35"/>
      <c r="C44" s="35"/>
      <c r="D44" s="35"/>
      <c r="E44" s="35"/>
      <c r="F44" s="35"/>
      <c r="G44">
        <f>IF(ISNUMBER(SEARCH($G$2,H44)),MAX($G$4:G43)+1,0)</f>
        <v>40</v>
      </c>
      <c r="H44" s="4" t="s">
        <v>247</v>
      </c>
      <c r="K44" s="29" t="str">
        <f>IFERROR(VLOOKUP(ROWS($K$4:K43),$G$5:$I$149,2,0),"")</f>
        <v>Luck of Heroes 1/2</v>
      </c>
      <c r="L44" s="11" t="s">
        <v>28</v>
      </c>
      <c r="M44" s="16" t="s">
        <v>11</v>
      </c>
      <c r="N44" s="169">
        <v>1</v>
      </c>
      <c r="O44" s="169">
        <v>0</v>
      </c>
      <c r="P44" s="13">
        <v>0</v>
      </c>
      <c r="Q44" s="11" t="s">
        <v>30</v>
      </c>
      <c r="R44" s="12" t="s">
        <v>11</v>
      </c>
      <c r="S44" s="43">
        <v>1</v>
      </c>
      <c r="T44" s="43">
        <v>0</v>
      </c>
      <c r="U44" s="13">
        <v>0</v>
      </c>
      <c r="V44" s="11"/>
      <c r="W44" s="12"/>
      <c r="X44" s="12"/>
      <c r="Y44" s="12"/>
      <c r="Z44" s="13"/>
      <c r="AA44" s="12">
        <v>100</v>
      </c>
    </row>
    <row r="45" spans="1:27" ht="18.75" x14ac:dyDescent="0.3">
      <c r="A45" s="35">
        <f>IF(ISNUMBER(SEARCH($K$2,B45)),MAX(A$4:$A44)+1,0)</f>
        <v>0</v>
      </c>
      <c r="B45" s="35"/>
      <c r="C45" s="35"/>
      <c r="D45" s="35"/>
      <c r="E45" s="35"/>
      <c r="F45" s="35"/>
      <c r="G45">
        <f>IF(ISNUMBER(SEARCH($G$2,H45)),MAX($G$4:G44)+1,0)</f>
        <v>41</v>
      </c>
      <c r="H45" s="4" t="s">
        <v>246</v>
      </c>
      <c r="K45" s="29" t="str">
        <f>IFERROR(VLOOKUP(ROWS($K$4:K44),$G$5:$I$149,2,0),"")</f>
        <v>Luck of Heroes 2/2</v>
      </c>
      <c r="L45" s="50" t="s">
        <v>29</v>
      </c>
      <c r="M45" s="40" t="s">
        <v>11</v>
      </c>
      <c r="N45" s="175">
        <v>1</v>
      </c>
      <c r="O45" s="175">
        <v>0</v>
      </c>
      <c r="P45" s="52">
        <v>0</v>
      </c>
      <c r="Q45" s="50" t="s">
        <v>31</v>
      </c>
      <c r="R45" s="51" t="s">
        <v>11</v>
      </c>
      <c r="S45" s="174">
        <v>1</v>
      </c>
      <c r="T45" s="174">
        <v>0</v>
      </c>
      <c r="U45" s="52">
        <v>0</v>
      </c>
      <c r="V45" s="50"/>
      <c r="W45" s="51"/>
      <c r="X45" s="51"/>
      <c r="Y45" s="51"/>
      <c r="Z45" s="52"/>
      <c r="AA45" s="12">
        <v>100</v>
      </c>
    </row>
    <row r="46" spans="1:27" ht="18.75" x14ac:dyDescent="0.3">
      <c r="A46" s="35">
        <f>IF(ISNUMBER(SEARCH($K$2,B46)),MAX(A$4:$A45)+1,0)</f>
        <v>0</v>
      </c>
      <c r="B46" s="35"/>
      <c r="C46" s="35"/>
      <c r="D46" s="35"/>
      <c r="E46" s="35"/>
      <c r="F46" s="35"/>
      <c r="G46">
        <f>IF(ISNUMBER(SEARCH($G$2,H46)),MAX($G$4:G45)+1,0)</f>
        <v>42</v>
      </c>
      <c r="H46" s="12" t="s">
        <v>199</v>
      </c>
      <c r="K46" s="29" t="str">
        <f>IFERROR(VLOOKUP(ROWS($K$4:K45),$G$5:$I$149,2,0),"")</f>
        <v>Mage Armor</v>
      </c>
      <c r="L46" s="15" t="s">
        <v>28</v>
      </c>
      <c r="M46" s="16" t="s">
        <v>3</v>
      </c>
      <c r="N46" s="16">
        <v>4</v>
      </c>
      <c r="O46" s="16">
        <v>1</v>
      </c>
      <c r="P46" s="41">
        <v>0</v>
      </c>
      <c r="Q46" s="15"/>
      <c r="R46" s="16"/>
      <c r="S46" s="16"/>
      <c r="T46" s="16"/>
      <c r="U46" s="41"/>
      <c r="V46" s="15"/>
      <c r="W46" s="16"/>
      <c r="X46" s="16"/>
      <c r="Y46" s="16"/>
      <c r="Z46" s="41"/>
      <c r="AA46" s="12">
        <v>100</v>
      </c>
    </row>
    <row r="47" spans="1:27" ht="18.75" x14ac:dyDescent="0.3">
      <c r="A47" s="35">
        <f>IF(ISNUMBER(SEARCH($K$2,B47)),MAX(A$4:$A46)+1,0)</f>
        <v>0</v>
      </c>
      <c r="B47" s="35"/>
      <c r="C47" s="35"/>
      <c r="D47" s="35"/>
      <c r="E47" s="35"/>
      <c r="F47" s="35"/>
      <c r="G47">
        <f>IF(ISNUMBER(SEARCH($G$2,H47)),MAX($G$4:G46)+1,0)</f>
        <v>43</v>
      </c>
      <c r="H47" s="4" t="s">
        <v>240</v>
      </c>
      <c r="K47" s="29" t="str">
        <f>IFERROR(VLOOKUP(ROWS($K$4:K46),$G$5:$I$149,2,0),"")</f>
        <v>Magic Circle vs Evil*</v>
      </c>
      <c r="L47" s="39"/>
      <c r="M47" s="40"/>
      <c r="N47" s="40">
        <v>0</v>
      </c>
      <c r="O47" s="40">
        <v>3</v>
      </c>
      <c r="P47" s="92">
        <v>0</v>
      </c>
      <c r="Q47" s="39"/>
      <c r="R47" s="40"/>
      <c r="S47" s="40"/>
      <c r="T47" s="40"/>
      <c r="U47" s="92"/>
      <c r="V47" s="39"/>
      <c r="W47" s="40"/>
      <c r="X47" s="40"/>
      <c r="Y47" s="40"/>
      <c r="Z47" s="92"/>
      <c r="AA47" s="12">
        <v>100</v>
      </c>
    </row>
    <row r="48" spans="1:27" ht="18.75" x14ac:dyDescent="0.3">
      <c r="A48" s="35">
        <f>IF(ISNUMBER(SEARCH($K$2,B48)),MAX(A$4:$A47)+1,0)</f>
        <v>0</v>
      </c>
      <c r="B48" s="35"/>
      <c r="C48" s="35"/>
      <c r="D48" s="35"/>
      <c r="E48" s="35"/>
      <c r="F48" s="35"/>
      <c r="G48">
        <f>IF(ISNUMBER(SEARCH($G$2,H48)),MAX($G$4:G47)+1,0)</f>
        <v>44</v>
      </c>
      <c r="H48" s="4" t="s">
        <v>68</v>
      </c>
      <c r="K48" s="29" t="str">
        <f>IFERROR(VLOOKUP(ROWS($K$4:K47),$G$5:$I$149,2,0),"")</f>
        <v>Magic Vestment Armor</v>
      </c>
      <c r="L48" s="15" t="s">
        <v>28</v>
      </c>
      <c r="M48" s="16" t="s">
        <v>9</v>
      </c>
      <c r="N48" s="16">
        <v>0</v>
      </c>
      <c r="O48" s="16">
        <v>3</v>
      </c>
      <c r="P48" s="41">
        <v>0.2</v>
      </c>
      <c r="Q48" s="15"/>
      <c r="R48" s="16"/>
      <c r="S48" s="16"/>
      <c r="T48" s="16"/>
      <c r="U48" s="41"/>
      <c r="V48" s="15"/>
      <c r="W48" s="16"/>
      <c r="X48" s="16"/>
      <c r="Y48" s="16"/>
      <c r="Z48" s="41"/>
      <c r="AA48" s="12">
        <v>100</v>
      </c>
    </row>
    <row r="49" spans="1:27" ht="18.75" x14ac:dyDescent="0.3">
      <c r="A49" s="35">
        <f>IF(ISNUMBER(SEARCH($K$2,B49)),MAX(A$4:$A48)+1,0)</f>
        <v>0</v>
      </c>
      <c r="B49" s="35"/>
      <c r="C49" s="35"/>
      <c r="D49" s="35"/>
      <c r="E49" s="35"/>
      <c r="F49" s="35"/>
      <c r="G49">
        <f>IF(ISNUMBER(SEARCH($G$2,H49)),MAX($G$4:G48)+1,0)</f>
        <v>45</v>
      </c>
      <c r="H49" s="4" t="s">
        <v>67</v>
      </c>
      <c r="K49" s="29" t="str">
        <f>IFERROR(VLOOKUP(ROWS($K$4:K48),$G$5:$I$149,2,0),"")</f>
        <v>Magic Vestment Shield</v>
      </c>
      <c r="L49" s="39" t="s">
        <v>28</v>
      </c>
      <c r="M49" s="40" t="s">
        <v>8</v>
      </c>
      <c r="N49" s="40">
        <v>0</v>
      </c>
      <c r="O49" s="40">
        <v>3</v>
      </c>
      <c r="P49" s="92">
        <v>0.2</v>
      </c>
      <c r="Q49" s="39"/>
      <c r="R49" s="40"/>
      <c r="S49" s="40"/>
      <c r="T49" s="40"/>
      <c r="U49" s="92"/>
      <c r="V49" s="39"/>
      <c r="W49" s="40"/>
      <c r="X49" s="40"/>
      <c r="Y49" s="40"/>
      <c r="Z49" s="92"/>
      <c r="AA49" s="12">
        <v>100</v>
      </c>
    </row>
    <row r="50" spans="1:27" ht="18.75" x14ac:dyDescent="0.3">
      <c r="A50" s="35">
        <f>IF(ISNUMBER(SEARCH($K$2,B50)),MAX(A$4:$A49)+1,0)</f>
        <v>0</v>
      </c>
      <c r="B50" s="35"/>
      <c r="C50" s="35"/>
      <c r="D50" s="35"/>
      <c r="E50" s="35"/>
      <c r="F50" s="35"/>
      <c r="G50">
        <f>IF(ISNUMBER(SEARCH($G$2,H50)),MAX($G$4:G49)+1,0)</f>
        <v>46</v>
      </c>
      <c r="H50" s="4" t="s">
        <v>232</v>
      </c>
      <c r="K50" s="29" t="str">
        <f>IFERROR(VLOOKUP(ROWS($K$4:K49),$G$5:$I$149,2,0),"")</f>
        <v>Mind Blank*</v>
      </c>
      <c r="L50" s="39"/>
      <c r="M50" s="40"/>
      <c r="N50" s="40">
        <v>0</v>
      </c>
      <c r="O50" s="40">
        <v>8</v>
      </c>
      <c r="P50" s="92">
        <v>0</v>
      </c>
      <c r="Q50" s="39"/>
      <c r="R50" s="40"/>
      <c r="S50" s="40"/>
      <c r="T50" s="40"/>
      <c r="U50" s="92"/>
      <c r="V50" s="39"/>
      <c r="W50" s="40"/>
      <c r="X50" s="40"/>
      <c r="Y50" s="40"/>
      <c r="Z50" s="92"/>
      <c r="AA50" s="12">
        <v>100</v>
      </c>
    </row>
    <row r="51" spans="1:27" ht="18.75" x14ac:dyDescent="0.3">
      <c r="A51" s="35">
        <f>IF(ISNUMBER(SEARCH($K$2,B51)),MAX(A$4:$A50)+1,0)</f>
        <v>0</v>
      </c>
      <c r="B51" s="35"/>
      <c r="C51" s="35"/>
      <c r="D51" s="35"/>
      <c r="E51" s="35"/>
      <c r="F51" s="35"/>
      <c r="G51">
        <f>IF(ISNUMBER(SEARCH($G$2,H51)),MAX($G$4:G50)+1,0)</f>
        <v>47</v>
      </c>
      <c r="H51" s="4" t="s">
        <v>211</v>
      </c>
      <c r="K51" s="29" t="str">
        <f>IFERROR(VLOOKUP(ROWS($K$4:K50),$G$5:$I$149,2,0),"")</f>
        <v>Mirror Image*</v>
      </c>
      <c r="L51" s="39"/>
      <c r="M51" s="40"/>
      <c r="N51" s="40">
        <v>0</v>
      </c>
      <c r="O51" s="40">
        <v>2</v>
      </c>
      <c r="P51" s="92">
        <v>1</v>
      </c>
      <c r="Q51" s="39"/>
      <c r="R51" s="40"/>
      <c r="S51" s="40"/>
      <c r="T51" s="40"/>
      <c r="U51" s="92"/>
      <c r="V51" s="39"/>
      <c r="W51" s="40"/>
      <c r="X51" s="40"/>
      <c r="Y51" s="40"/>
      <c r="Z51" s="92"/>
      <c r="AA51" s="12">
        <v>100</v>
      </c>
    </row>
    <row r="52" spans="1:27" ht="18.75" x14ac:dyDescent="0.3">
      <c r="A52" s="35">
        <f>IF(ISNUMBER(SEARCH($K$2,B52)),MAX(A$4:$A51)+1,0)</f>
        <v>0</v>
      </c>
      <c r="B52" s="35"/>
      <c r="C52" s="35"/>
      <c r="D52" s="35"/>
      <c r="E52" s="35"/>
      <c r="F52" s="35"/>
      <c r="G52">
        <f>IF(ISNUMBER(SEARCH($G$2,H52)),MAX($G$4:G51)+1,0)</f>
        <v>48</v>
      </c>
      <c r="H52" s="4" t="s">
        <v>300</v>
      </c>
      <c r="K52" s="29" t="str">
        <f>IFERROR(VLOOKUP(ROWS($K$4:K51),$G$5:$I$149,2,0),"")</f>
        <v>Mystic Aegis*</v>
      </c>
      <c r="L52" s="50"/>
      <c r="M52" s="40"/>
      <c r="N52" s="51"/>
      <c r="O52" s="175">
        <v>4</v>
      </c>
      <c r="P52" s="52"/>
      <c r="Q52" s="50"/>
      <c r="R52" s="51"/>
      <c r="S52" s="51"/>
      <c r="T52" s="51"/>
      <c r="U52" s="52"/>
      <c r="V52" s="50"/>
      <c r="W52" s="51"/>
      <c r="X52" s="51"/>
      <c r="Y52" s="51"/>
      <c r="Z52" s="52"/>
      <c r="AA52" s="12">
        <v>100</v>
      </c>
    </row>
    <row r="53" spans="1:27" ht="18.75" x14ac:dyDescent="0.3">
      <c r="A53" s="35">
        <f>IF(ISNUMBER(SEARCH($K$2,B53)),MAX(A$4:$A52)+1,0)</f>
        <v>0</v>
      </c>
      <c r="B53" s="35"/>
      <c r="C53" s="35"/>
      <c r="D53" s="35"/>
      <c r="E53" s="35"/>
      <c r="F53" s="35"/>
      <c r="G53">
        <f>IF(ISNUMBER(SEARCH($G$2,H53)),MAX($G$4:G52)+1,0)</f>
        <v>49</v>
      </c>
      <c r="H53" s="4" t="s">
        <v>221</v>
      </c>
      <c r="K53" s="29" t="str">
        <f>IFERROR(VLOOKUP(ROWS($K$4:K52),$G$5:$I$149,2,0),"")</f>
        <v>Polymorph*</v>
      </c>
      <c r="L53" s="39"/>
      <c r="M53" s="40"/>
      <c r="N53" s="40">
        <v>0</v>
      </c>
      <c r="O53" s="40">
        <v>4</v>
      </c>
      <c r="P53" s="92">
        <v>0</v>
      </c>
      <c r="Q53" s="39"/>
      <c r="R53" s="40"/>
      <c r="S53" s="40"/>
      <c r="T53" s="40"/>
      <c r="U53" s="92"/>
      <c r="V53" s="39"/>
      <c r="W53" s="40"/>
      <c r="X53" s="40"/>
      <c r="Y53" s="40"/>
      <c r="Z53" s="92"/>
      <c r="AA53" s="12">
        <v>100</v>
      </c>
    </row>
    <row r="54" spans="1:27" ht="18.75" x14ac:dyDescent="0.3">
      <c r="A54" s="35">
        <f>IF(ISNUMBER(SEARCH($K$2,B54)),MAX(A$4:$A53)+1,0)</f>
        <v>0</v>
      </c>
      <c r="B54" s="35"/>
      <c r="C54" s="35"/>
      <c r="D54" s="35"/>
      <c r="E54" s="35"/>
      <c r="F54" s="35"/>
      <c r="G54">
        <f>IF(ISNUMBER(SEARCH($G$2,H54)),MAX($G$4:G53)+1,0)</f>
        <v>50</v>
      </c>
      <c r="H54" s="4" t="s">
        <v>292</v>
      </c>
      <c r="K54" s="29" t="str">
        <f>IFERROR(VLOOKUP(ROWS($K$4:K53),$G$5:$I$149,2,0),"")</f>
        <v>Protection Devotion</v>
      </c>
      <c r="L54" s="11" t="s">
        <v>28</v>
      </c>
      <c r="M54" s="16" t="s">
        <v>18</v>
      </c>
      <c r="N54" s="12">
        <v>5</v>
      </c>
      <c r="O54" s="169">
        <v>15</v>
      </c>
      <c r="P54" s="13">
        <v>0</v>
      </c>
      <c r="Q54" s="11"/>
      <c r="R54" s="12"/>
      <c r="S54" s="12"/>
      <c r="T54" s="12"/>
      <c r="U54" s="13"/>
      <c r="V54" s="11"/>
      <c r="W54" s="12"/>
      <c r="X54" s="12"/>
      <c r="Y54" s="12"/>
      <c r="Z54" s="13"/>
      <c r="AA54" s="12">
        <v>100</v>
      </c>
    </row>
    <row r="55" spans="1:27" ht="18.75" x14ac:dyDescent="0.3">
      <c r="A55" s="35">
        <f>IF(ISNUMBER(SEARCH($K$2,B55)),MAX(A$4:$A54)+1,0)</f>
        <v>0</v>
      </c>
      <c r="B55" s="35"/>
      <c r="C55" s="35"/>
      <c r="D55" s="35"/>
      <c r="E55" s="35"/>
      <c r="F55" s="35"/>
      <c r="G55">
        <f>IF(ISNUMBER(SEARCH($G$2,H55)),MAX($G$4:G54)+1,0)</f>
        <v>51</v>
      </c>
      <c r="H55" s="4" t="s">
        <v>214</v>
      </c>
      <c r="K55" s="29" t="str">
        <f>IFERROR(VLOOKUP(ROWS($K$4:K54),$G$5:$I$149,2,0),"")</f>
        <v>Protection From Arrows*</v>
      </c>
      <c r="L55" s="39"/>
      <c r="M55" s="40"/>
      <c r="N55" s="40">
        <v>0</v>
      </c>
      <c r="O55" s="40">
        <v>2</v>
      </c>
      <c r="P55" s="92">
        <v>0</v>
      </c>
      <c r="Q55" s="39"/>
      <c r="R55" s="40"/>
      <c r="S55" s="40"/>
      <c r="T55" s="40"/>
      <c r="U55" s="92"/>
      <c r="V55" s="39"/>
      <c r="W55" s="40"/>
      <c r="X55" s="40"/>
      <c r="Y55" s="40"/>
      <c r="Z55" s="92"/>
      <c r="AA55" s="12">
        <v>100</v>
      </c>
    </row>
    <row r="56" spans="1:27" ht="18.75" x14ac:dyDescent="0.3">
      <c r="A56" s="35">
        <f>IF(ISNUMBER(SEARCH($K$2,B56)),MAX(A$4:$A55)+1,0)</f>
        <v>0</v>
      </c>
      <c r="B56" s="35"/>
      <c r="C56" s="35"/>
      <c r="D56" s="35"/>
      <c r="E56" s="35"/>
      <c r="F56" s="35"/>
      <c r="G56">
        <f>IF(ISNUMBER(SEARCH($G$2,H56)),MAX($G$4:G55)+1,0)</f>
        <v>52</v>
      </c>
      <c r="H56" s="4" t="s">
        <v>212</v>
      </c>
      <c r="K56" s="29" t="str">
        <f>IFERROR(VLOOKUP(ROWS($K$4:K55),$G$5:$I$149,2,0),"")</f>
        <v>Protection From Energy*</v>
      </c>
      <c r="L56" s="15"/>
      <c r="M56" s="16"/>
      <c r="N56" s="16">
        <v>0</v>
      </c>
      <c r="O56" s="16">
        <v>3</v>
      </c>
      <c r="P56" s="41">
        <v>0</v>
      </c>
      <c r="Q56" s="15"/>
      <c r="R56" s="16"/>
      <c r="S56" s="16"/>
      <c r="T56" s="16"/>
      <c r="U56" s="41"/>
      <c r="V56" s="15"/>
      <c r="W56" s="16"/>
      <c r="X56" s="16"/>
      <c r="Y56" s="16"/>
      <c r="Z56" s="41"/>
      <c r="AA56" s="12">
        <v>100</v>
      </c>
    </row>
    <row r="57" spans="1:27" ht="18.75" x14ac:dyDescent="0.3">
      <c r="A57" s="35">
        <f>IF(ISNUMBER(SEARCH($K$2,B57)),MAX(A$4:$A56)+1,0)</f>
        <v>0</v>
      </c>
      <c r="B57" s="35"/>
      <c r="C57" s="35"/>
      <c r="D57" s="35"/>
      <c r="E57" s="35"/>
      <c r="F57" s="35"/>
      <c r="G57">
        <f>IF(ISNUMBER(SEARCH($G$2,H57)),MAX($G$4:G56)+1,0)</f>
        <v>53</v>
      </c>
      <c r="H57" s="4" t="s">
        <v>239</v>
      </c>
      <c r="K57" s="29" t="str">
        <f>IFERROR(VLOOKUP(ROWS($K$4:K56),$G$5:$I$149,2,0),"")</f>
        <v>Protection from Evil*</v>
      </c>
      <c r="L57" s="39"/>
      <c r="M57" s="40"/>
      <c r="N57" s="40">
        <v>0</v>
      </c>
      <c r="O57" s="40">
        <v>2</v>
      </c>
      <c r="P57" s="92">
        <v>0</v>
      </c>
      <c r="Q57" s="39"/>
      <c r="R57" s="40"/>
      <c r="S57" s="40"/>
      <c r="T57" s="40"/>
      <c r="U57" s="92"/>
      <c r="V57" s="39"/>
      <c r="W57" s="40"/>
      <c r="X57" s="40"/>
      <c r="Y57" s="40"/>
      <c r="Z57" s="92"/>
      <c r="AA57" s="12">
        <v>100</v>
      </c>
    </row>
    <row r="58" spans="1:27" ht="18.75" x14ac:dyDescent="0.3">
      <c r="A58" s="35">
        <f>IF(ISNUMBER(SEARCH($K$2,B58)),MAX(A$4:$A57)+1,0)</f>
        <v>0</v>
      </c>
      <c r="B58" s="35"/>
      <c r="C58" s="35"/>
      <c r="D58" s="35"/>
      <c r="E58" s="35"/>
      <c r="F58" s="35"/>
      <c r="G58">
        <f>IF(ISNUMBER(SEARCH($G$2,H58)),MAX($G$4:G57)+1,0)</f>
        <v>54</v>
      </c>
      <c r="H58" s="4" t="s">
        <v>219</v>
      </c>
      <c r="K58" s="29" t="str">
        <f>IFERROR(VLOOKUP(ROWS($K$4:K57),$G$5:$I$149,2,0),"")</f>
        <v>Resiste From Energy*</v>
      </c>
      <c r="L58" s="15"/>
      <c r="M58" s="16"/>
      <c r="N58" s="16">
        <v>0</v>
      </c>
      <c r="O58" s="16">
        <v>2</v>
      </c>
      <c r="P58" s="41">
        <v>0</v>
      </c>
      <c r="Q58" s="15"/>
      <c r="R58" s="16"/>
      <c r="S58" s="16"/>
      <c r="T58" s="16"/>
      <c r="U58" s="41"/>
      <c r="V58" s="15"/>
      <c r="W58" s="16"/>
      <c r="X58" s="16"/>
      <c r="Y58" s="16"/>
      <c r="Z58" s="41"/>
      <c r="AA58" s="12">
        <v>100</v>
      </c>
    </row>
    <row r="59" spans="1:27" ht="18.75" x14ac:dyDescent="0.3">
      <c r="A59" s="35">
        <f>IF(ISNUMBER(SEARCH($K$2,B59)),MAX(A$4:$A58)+1,0)</f>
        <v>0</v>
      </c>
      <c r="B59" s="35"/>
      <c r="C59" s="35"/>
      <c r="D59" s="35"/>
      <c r="E59" s="35"/>
      <c r="F59" s="35"/>
      <c r="G59">
        <f>IF(ISNUMBER(SEARCH($G$2,H59)),MAX($G$4:G58)+1,0)</f>
        <v>55</v>
      </c>
      <c r="H59" s="4" t="s">
        <v>196</v>
      </c>
      <c r="K59" s="29" t="str">
        <f>IFERROR(VLOOKUP(ROWS($K$4:K58),$G$5:$I$149,2,0),"")</f>
        <v>Ring of protection</v>
      </c>
      <c r="L59" s="15" t="s">
        <v>28</v>
      </c>
      <c r="M59" s="16" t="s">
        <v>6</v>
      </c>
      <c r="N59" s="16">
        <v>0</v>
      </c>
      <c r="O59" s="16">
        <v>0</v>
      </c>
      <c r="P59" s="41">
        <v>1</v>
      </c>
      <c r="Q59" s="15"/>
      <c r="R59" s="16"/>
      <c r="S59" s="16"/>
      <c r="T59" s="16"/>
      <c r="U59" s="41"/>
      <c r="V59" s="15"/>
      <c r="W59" s="16"/>
      <c r="X59" s="16"/>
      <c r="Y59" s="16"/>
      <c r="Z59" s="41"/>
      <c r="AA59" s="12">
        <v>100</v>
      </c>
    </row>
    <row r="60" spans="1:27" ht="18.75" x14ac:dyDescent="0.3">
      <c r="A60" s="35">
        <f>IF(ISNUMBER(SEARCH($K$2,B60)),MAX(A$4:$A59)+1,0)</f>
        <v>0</v>
      </c>
      <c r="B60" s="35"/>
      <c r="C60" s="35"/>
      <c r="D60" s="35"/>
      <c r="E60" s="35"/>
      <c r="F60" s="35"/>
      <c r="G60">
        <f>IF(ISNUMBER(SEARCH($G$2,H60)),MAX($G$4:G59)+1,0)</f>
        <v>56</v>
      </c>
      <c r="H60" s="4" t="s">
        <v>213</v>
      </c>
      <c r="K60" s="29" t="str">
        <f>IFERROR(VLOOKUP(ROWS($K$4:K59),$G$5:$I$149,2,0),"")</f>
        <v>See Invisibility*</v>
      </c>
      <c r="L60" s="15"/>
      <c r="M60" s="16"/>
      <c r="N60" s="16">
        <v>0</v>
      </c>
      <c r="O60" s="16">
        <v>2</v>
      </c>
      <c r="P60" s="41">
        <v>0</v>
      </c>
      <c r="Q60" s="15"/>
      <c r="R60" s="16"/>
      <c r="S60" s="16"/>
      <c r="T60" s="16"/>
      <c r="U60" s="41"/>
      <c r="V60" s="15"/>
      <c r="W60" s="16"/>
      <c r="X60" s="16"/>
      <c r="Y60" s="16"/>
      <c r="Z60" s="41"/>
      <c r="AA60" s="12">
        <v>100</v>
      </c>
    </row>
    <row r="61" spans="1:27" ht="18.75" x14ac:dyDescent="0.3">
      <c r="A61" s="35">
        <f>IF(ISNUMBER(SEARCH($K$2,B61)),MAX(A$4:$A60)+1,0)</f>
        <v>0</v>
      </c>
      <c r="B61" s="35"/>
      <c r="C61" s="35"/>
      <c r="D61" s="35"/>
      <c r="E61" s="35"/>
      <c r="F61" s="35"/>
      <c r="G61">
        <f>IF(ISNUMBER(SEARCH($G$2,H61)),MAX($G$4:G60)+1,0)</f>
        <v>57</v>
      </c>
      <c r="H61" s="4" t="s">
        <v>166</v>
      </c>
      <c r="K61" s="29" t="str">
        <f>IFERROR(VLOOKUP(ROWS($K$4:K60),$G$5:$I$149,2,0),"")</f>
        <v>SHIELD ENCHA BONUS</v>
      </c>
      <c r="L61" s="15" t="s">
        <v>28</v>
      </c>
      <c r="M61" s="16" t="s">
        <v>8</v>
      </c>
      <c r="N61" s="16">
        <v>0</v>
      </c>
      <c r="O61" s="16">
        <v>0</v>
      </c>
      <c r="P61" s="41">
        <v>1</v>
      </c>
      <c r="Q61" s="15"/>
      <c r="R61" s="16"/>
      <c r="S61" s="16"/>
      <c r="T61" s="16"/>
      <c r="U61" s="41"/>
      <c r="V61" s="15"/>
      <c r="W61" s="16"/>
      <c r="X61" s="16"/>
      <c r="Y61" s="16"/>
      <c r="Z61" s="41"/>
      <c r="AA61" s="12">
        <v>100</v>
      </c>
    </row>
    <row r="62" spans="1:27" ht="18.75" x14ac:dyDescent="0.3">
      <c r="A62" s="35">
        <f>IF(ISNUMBER(SEARCH($K$2,B62)),MAX(A$4:$A61)+1,0)</f>
        <v>0</v>
      </c>
      <c r="B62" s="35"/>
      <c r="C62" s="35"/>
      <c r="D62" s="35"/>
      <c r="E62" s="35"/>
      <c r="F62" s="35"/>
      <c r="G62">
        <f>IF(ISNUMBER(SEARCH($G$2,H62)),MAX($G$4:G61)+1,0)</f>
        <v>58</v>
      </c>
      <c r="H62" s="4" t="s">
        <v>242</v>
      </c>
      <c r="K62" s="29" t="str">
        <f>IFERROR(VLOOKUP(ROWS($K$4:K61),$G$5:$I$149,2,0),"")</f>
        <v>Shield of faith</v>
      </c>
      <c r="L62" s="11" t="s">
        <v>28</v>
      </c>
      <c r="M62" s="16" t="s">
        <v>6</v>
      </c>
      <c r="N62" s="169">
        <v>2</v>
      </c>
      <c r="O62" s="169">
        <v>1</v>
      </c>
      <c r="P62" s="13">
        <f>1/6</f>
        <v>0.16666666666666666</v>
      </c>
      <c r="Q62" s="11"/>
      <c r="R62" s="12"/>
      <c r="S62" s="12"/>
      <c r="T62" s="12"/>
      <c r="U62" s="13"/>
      <c r="V62" s="11"/>
      <c r="W62" s="12"/>
      <c r="X62" s="12"/>
      <c r="Y62" s="12"/>
      <c r="Z62" s="13"/>
      <c r="AA62" s="12">
        <v>20</v>
      </c>
    </row>
    <row r="63" spans="1:27" ht="18.75" x14ac:dyDescent="0.3">
      <c r="A63" s="35">
        <f>IF(ISNUMBER(SEARCH($K$2,B63)),MAX(A$4:$A62)+1,0)</f>
        <v>0</v>
      </c>
      <c r="B63" s="35"/>
      <c r="C63" s="35"/>
      <c r="D63" s="35"/>
      <c r="E63" s="35"/>
      <c r="F63" s="35"/>
      <c r="G63">
        <f>IF(ISNUMBER(SEARCH($G$2,H63)),MAX($G$4:G62)+1,0)</f>
        <v>59</v>
      </c>
      <c r="H63" s="4" t="s">
        <v>253</v>
      </c>
      <c r="K63" s="29" t="str">
        <f>IFERROR(VLOOKUP(ROWS($K$4:K62),$G$5:$I$149,2,0),"")</f>
        <v>Shield of the anchors*</v>
      </c>
      <c r="L63" s="11"/>
      <c r="M63" s="16"/>
      <c r="N63" s="12"/>
      <c r="O63" s="169">
        <v>7</v>
      </c>
      <c r="P63" s="13"/>
      <c r="Q63" s="11"/>
      <c r="R63" s="12"/>
      <c r="S63" s="12"/>
      <c r="T63" s="12"/>
      <c r="U63" s="13"/>
      <c r="V63" s="11"/>
      <c r="W63" s="12"/>
      <c r="X63" s="12"/>
      <c r="Y63" s="12"/>
      <c r="Z63" s="13"/>
      <c r="AA63" s="12">
        <v>100</v>
      </c>
    </row>
    <row r="64" spans="1:27" ht="18.75" x14ac:dyDescent="0.3">
      <c r="A64" s="35">
        <f>IF(ISNUMBER(SEARCH($K$2,B64)),MAX(A$4:$A63)+1,0)</f>
        <v>0</v>
      </c>
      <c r="B64" s="35"/>
      <c r="C64" s="35"/>
      <c r="D64" s="35"/>
      <c r="E64" s="35"/>
      <c r="F64" s="35"/>
      <c r="G64">
        <f>IF(ISNUMBER(SEARCH($G$2,H64)),MAX($G$4:G63)+1,0)</f>
        <v>60</v>
      </c>
      <c r="H64" s="4" t="s">
        <v>202</v>
      </c>
      <c r="K64" s="29" t="str">
        <f>IFERROR(VLOOKUP(ROWS($K$4:K63),$G$5:$I$149,2,0),"")</f>
        <v>Shieled</v>
      </c>
      <c r="L64" s="15" t="s">
        <v>28</v>
      </c>
      <c r="M64" s="16" t="s">
        <v>19</v>
      </c>
      <c r="N64" s="16">
        <v>4</v>
      </c>
      <c r="O64" s="16">
        <v>1</v>
      </c>
      <c r="P64" s="41">
        <v>0</v>
      </c>
      <c r="Q64" s="15"/>
      <c r="R64" s="16"/>
      <c r="S64" s="16"/>
      <c r="T64" s="16"/>
      <c r="U64" s="41"/>
      <c r="V64" s="15"/>
      <c r="W64" s="16"/>
      <c r="X64" s="16"/>
      <c r="Y64" s="16"/>
      <c r="Z64" s="41"/>
      <c r="AA64" s="12">
        <v>100</v>
      </c>
    </row>
    <row r="65" spans="1:27" ht="18.75" x14ac:dyDescent="0.3">
      <c r="A65" s="35">
        <f>IF(ISNUMBER(SEARCH($K$2,B65)),MAX(A$4:$A64)+1,0)</f>
        <v>0</v>
      </c>
      <c r="B65" s="35"/>
      <c r="C65" s="35"/>
      <c r="D65" s="35"/>
      <c r="E65" s="35"/>
      <c r="F65" s="35"/>
      <c r="G65">
        <f>IF(ISNUMBER(SEARCH($G$2,H65)),MAX($G$4:G64)+1,0)</f>
        <v>61</v>
      </c>
      <c r="H65" s="4" t="s">
        <v>241</v>
      </c>
      <c r="K65" s="29" t="str">
        <f>IFERROR(VLOOKUP(ROWS($K$4:K64),$G$5:$I$149,2,0),"")</f>
        <v>Shiled of faith Mass</v>
      </c>
      <c r="L65" s="11" t="s">
        <v>28</v>
      </c>
      <c r="M65" s="16" t="s">
        <v>6</v>
      </c>
      <c r="N65" s="169">
        <v>2</v>
      </c>
      <c r="O65" s="169">
        <v>4</v>
      </c>
      <c r="P65" s="13">
        <f>1/6</f>
        <v>0.16666666666666666</v>
      </c>
      <c r="Q65" s="11"/>
      <c r="R65" s="12"/>
      <c r="S65" s="12"/>
      <c r="T65" s="12"/>
      <c r="U65" s="13"/>
      <c r="V65" s="11"/>
      <c r="W65" s="12"/>
      <c r="X65" s="12"/>
      <c r="Y65" s="12"/>
      <c r="Z65" s="13"/>
      <c r="AA65" s="12">
        <v>20</v>
      </c>
    </row>
    <row r="66" spans="1:27" ht="18.75" x14ac:dyDescent="0.3">
      <c r="A66" s="35">
        <f>IF(ISNUMBER(SEARCH($K$2,B66)),MAX(A$4:$A65)+1,0)</f>
        <v>0</v>
      </c>
      <c r="B66" s="35"/>
      <c r="C66" s="35"/>
      <c r="D66" s="35"/>
      <c r="E66" s="35"/>
      <c r="F66" s="35"/>
      <c r="G66">
        <f>IF(ISNUMBER(SEARCH($G$2,H66)),MAX($G$4:G65)+1,0)</f>
        <v>62</v>
      </c>
      <c r="H66" s="4" t="s">
        <v>206</v>
      </c>
      <c r="K66" s="29" t="str">
        <f>IFERROR(VLOOKUP(ROWS($K$4:K65),$G$5:$I$149,2,0),"")</f>
        <v>StoneSkin*</v>
      </c>
      <c r="L66" s="15"/>
      <c r="M66" s="16"/>
      <c r="N66" s="16">
        <v>0</v>
      </c>
      <c r="O66" s="16">
        <v>3</v>
      </c>
      <c r="P66" s="41">
        <v>0</v>
      </c>
      <c r="Q66" s="15"/>
      <c r="R66" s="16"/>
      <c r="S66" s="16"/>
      <c r="T66" s="16"/>
      <c r="U66" s="41"/>
      <c r="V66" s="15"/>
      <c r="W66" s="16"/>
      <c r="X66" s="16"/>
      <c r="Y66" s="16"/>
      <c r="Z66" s="41"/>
      <c r="AA66" s="12">
        <v>100</v>
      </c>
    </row>
    <row r="67" spans="1:27" ht="18.75" x14ac:dyDescent="0.3">
      <c r="A67" s="35">
        <f>IF(ISNUMBER(SEARCH($K$2,B67)),MAX(A$4:$A66)+1,0)</f>
        <v>0</v>
      </c>
      <c r="B67" s="35"/>
      <c r="C67" s="35"/>
      <c r="D67" s="35"/>
      <c r="E67" s="35"/>
      <c r="F67" s="35"/>
      <c r="G67">
        <f>IF(ISNUMBER(SEARCH($G$2,H67)),MAX($G$4:G66)+1,0)</f>
        <v>63</v>
      </c>
      <c r="H67" s="4" t="s">
        <v>250</v>
      </c>
      <c r="K67" s="29" t="str">
        <f>IFERROR(VLOOKUP(ROWS($K$4:K66),$G$5:$I$149,2,0),"")</f>
        <v>Superior Resistant</v>
      </c>
      <c r="L67" s="11" t="s">
        <v>29</v>
      </c>
      <c r="M67" s="16" t="s">
        <v>96</v>
      </c>
      <c r="N67" s="169">
        <v>6</v>
      </c>
      <c r="O67" s="169">
        <v>6</v>
      </c>
      <c r="P67" s="13">
        <v>0</v>
      </c>
      <c r="Q67" s="11" t="s">
        <v>30</v>
      </c>
      <c r="R67" s="12" t="s">
        <v>96</v>
      </c>
      <c r="S67" s="43">
        <v>6</v>
      </c>
      <c r="T67" s="43">
        <v>6</v>
      </c>
      <c r="U67" s="13">
        <v>0</v>
      </c>
      <c r="V67" s="11" t="s">
        <v>31</v>
      </c>
      <c r="W67" s="12" t="s">
        <v>96</v>
      </c>
      <c r="X67" s="43">
        <v>6</v>
      </c>
      <c r="Y67" s="43">
        <v>6</v>
      </c>
      <c r="Z67" s="13">
        <v>0</v>
      </c>
      <c r="AA67" s="12">
        <v>100</v>
      </c>
    </row>
    <row r="68" spans="1:27" ht="18.75" x14ac:dyDescent="0.3">
      <c r="A68" s="35">
        <f>IF(ISNUMBER(SEARCH($K$2,B68)),MAX(A$4:$A67)+1,0)</f>
        <v>0</v>
      </c>
      <c r="B68" s="35"/>
      <c r="C68" s="35"/>
      <c r="D68" s="35"/>
      <c r="E68" s="35"/>
      <c r="F68" s="35"/>
      <c r="G68">
        <f>IF(ISNUMBER(SEARCH($G$2,H68)),MAX($G$4:G67)+1,0)</f>
        <v>64</v>
      </c>
      <c r="H68" s="4" t="s">
        <v>244</v>
      </c>
      <c r="K68" s="29" t="str">
        <f>IFERROR(VLOOKUP(ROWS($K$4:K67),$G$5:$I$149,2,0),"")</f>
        <v>Surge of Fortune 1/2*</v>
      </c>
      <c r="L68" s="11" t="s">
        <v>29</v>
      </c>
      <c r="M68" s="16" t="s">
        <v>11</v>
      </c>
      <c r="N68" s="169">
        <v>2</v>
      </c>
      <c r="O68" s="169">
        <v>5</v>
      </c>
      <c r="P68" s="13">
        <v>0</v>
      </c>
      <c r="Q68" s="11" t="s">
        <v>30</v>
      </c>
      <c r="R68" s="12" t="s">
        <v>11</v>
      </c>
      <c r="S68" s="43">
        <v>2</v>
      </c>
      <c r="T68" s="43">
        <v>5</v>
      </c>
      <c r="U68" s="13">
        <v>0</v>
      </c>
      <c r="V68" s="11"/>
      <c r="W68" s="12"/>
      <c r="X68" s="12"/>
      <c r="Y68" s="12"/>
      <c r="Z68" s="13"/>
      <c r="AA68" s="12">
        <v>100</v>
      </c>
    </row>
    <row r="69" spans="1:27" ht="18.75" x14ac:dyDescent="0.3">
      <c r="A69" s="35">
        <f>IF(ISNUMBER(SEARCH($K$2,B69)),MAX(A$4:$A68)+1,0)</f>
        <v>0</v>
      </c>
      <c r="B69" s="35"/>
      <c r="C69" s="35"/>
      <c r="D69" s="35"/>
      <c r="E69" s="35"/>
      <c r="F69" s="35"/>
      <c r="G69">
        <f>IF(ISNUMBER(SEARCH($G$2,H69)),MAX($G$4:G68)+1,0)</f>
        <v>65</v>
      </c>
      <c r="H69" s="4" t="s">
        <v>245</v>
      </c>
      <c r="K69" s="29" t="str">
        <f>IFERROR(VLOOKUP(ROWS($K$4:K68),$G$5:$I$149,2,0),"")</f>
        <v>Surge of Fortune 2/2*</v>
      </c>
      <c r="L69" s="11" t="s">
        <v>28</v>
      </c>
      <c r="M69" s="16" t="s">
        <v>11</v>
      </c>
      <c r="N69" s="169">
        <v>2</v>
      </c>
      <c r="O69" s="169">
        <v>5</v>
      </c>
      <c r="P69" s="13">
        <v>0</v>
      </c>
      <c r="Q69" s="11" t="s">
        <v>31</v>
      </c>
      <c r="R69" s="12" t="s">
        <v>11</v>
      </c>
      <c r="S69" s="43">
        <v>2</v>
      </c>
      <c r="T69" s="43">
        <v>5</v>
      </c>
      <c r="U69" s="13">
        <v>0</v>
      </c>
      <c r="V69" s="11"/>
      <c r="W69" s="12"/>
      <c r="X69" s="12"/>
      <c r="Y69" s="12"/>
      <c r="Z69" s="13"/>
      <c r="AA69" s="12">
        <v>100</v>
      </c>
    </row>
    <row r="70" spans="1:27" ht="18.75" x14ac:dyDescent="0.3">
      <c r="A70" s="35">
        <f>IF(ISNUMBER(SEARCH($K$2,B70)),MAX(A$4:$A69)+1,0)</f>
        <v>0</v>
      </c>
      <c r="B70" s="35"/>
      <c r="C70" s="35"/>
      <c r="D70" s="35"/>
      <c r="E70" s="35"/>
      <c r="F70" s="35"/>
      <c r="G70">
        <f>IF(ISNUMBER(SEARCH($G$2,H70)),MAX($G$4:G69)+1,0)</f>
        <v>66</v>
      </c>
      <c r="H70" s="4" t="s">
        <v>182</v>
      </c>
      <c r="K70" s="29" t="str">
        <f>IFERROR(VLOOKUP(ROWS($K$4:K69),$G$5:$I$149,2,0),"")</f>
        <v>Tattoo of Contstitution</v>
      </c>
      <c r="L70" s="15" t="s">
        <v>82</v>
      </c>
      <c r="M70" s="16" t="s">
        <v>10</v>
      </c>
      <c r="N70" s="16">
        <v>0</v>
      </c>
      <c r="O70" s="16">
        <v>0</v>
      </c>
      <c r="P70" s="41">
        <v>1</v>
      </c>
      <c r="Q70" s="15"/>
      <c r="R70" s="16"/>
      <c r="S70" s="16"/>
      <c r="T70" s="16"/>
      <c r="U70" s="41"/>
      <c r="V70" s="15"/>
      <c r="W70" s="16"/>
      <c r="X70" s="16"/>
      <c r="Y70" s="16"/>
      <c r="Z70" s="41"/>
      <c r="AA70" s="12">
        <v>100</v>
      </c>
    </row>
    <row r="71" spans="1:27" ht="18.75" x14ac:dyDescent="0.3">
      <c r="A71" s="35">
        <f>IF(ISNUMBER(SEARCH($K$2,B71)),MAX(A$4:$A70)+1,0)</f>
        <v>0</v>
      </c>
      <c r="B71" s="35"/>
      <c r="C71" s="35"/>
      <c r="D71" s="35"/>
      <c r="E71" s="35"/>
      <c r="F71" s="35"/>
      <c r="G71">
        <f>IF(ISNUMBER(SEARCH($G$2,H71)),MAX($G$4:G70)+1,0)</f>
        <v>67</v>
      </c>
      <c r="H71" s="4" t="s">
        <v>229</v>
      </c>
      <c r="K71" s="29" t="str">
        <f>IFERROR(VLOOKUP(ROWS($K$4:K70),$G$5:$I$149,2,0),"")</f>
        <v>Tattoo of Dexterity</v>
      </c>
      <c r="L71" s="15" t="s">
        <v>83</v>
      </c>
      <c r="M71" s="16" t="s">
        <v>10</v>
      </c>
      <c r="N71" s="16">
        <v>0</v>
      </c>
      <c r="O71" s="16">
        <v>0</v>
      </c>
      <c r="P71" s="41">
        <v>1</v>
      </c>
      <c r="Q71" s="15"/>
      <c r="R71" s="16"/>
      <c r="S71" s="16"/>
      <c r="T71" s="16"/>
      <c r="U71" s="41"/>
      <c r="V71" s="15"/>
      <c r="W71" s="16"/>
      <c r="X71" s="16"/>
      <c r="Y71" s="16"/>
      <c r="Z71" s="41"/>
      <c r="AA71" s="12">
        <v>100</v>
      </c>
    </row>
    <row r="72" spans="1:27" ht="18.75" x14ac:dyDescent="0.3">
      <c r="A72" s="35">
        <f>IF(ISNUMBER(SEARCH($K$2,B72)),MAX(A$4:$A71)+1,0)</f>
        <v>0</v>
      </c>
      <c r="B72" s="35"/>
      <c r="C72" s="35"/>
      <c r="D72" s="35"/>
      <c r="E72" s="35"/>
      <c r="F72" s="35"/>
      <c r="G72">
        <f>IF(ISNUMBER(SEARCH($G$2,H72)),MAX($G$4:G71)+1,0)</f>
        <v>68</v>
      </c>
      <c r="H72" s="4" t="s">
        <v>228</v>
      </c>
      <c r="K72" s="29" t="str">
        <f>IFERROR(VLOOKUP(ROWS($K$4:K71),$G$5:$I$149,2,0),"")</f>
        <v>Tattoo of Strenght</v>
      </c>
      <c r="L72" s="15" t="s">
        <v>79</v>
      </c>
      <c r="M72" s="16" t="s">
        <v>10</v>
      </c>
      <c r="N72" s="16">
        <v>0</v>
      </c>
      <c r="O72" s="16">
        <v>0</v>
      </c>
      <c r="P72" s="41">
        <v>1</v>
      </c>
      <c r="Q72" s="15"/>
      <c r="R72" s="16"/>
      <c r="S72" s="16"/>
      <c r="T72" s="16"/>
      <c r="U72" s="41"/>
      <c r="V72" s="15"/>
      <c r="W72" s="16"/>
      <c r="X72" s="16"/>
      <c r="Y72" s="16"/>
      <c r="Z72" s="41"/>
      <c r="AA72" s="12">
        <v>100</v>
      </c>
    </row>
    <row r="73" spans="1:27" ht="18.75" x14ac:dyDescent="0.3">
      <c r="A73" s="35">
        <f>IF(ISNUMBER(SEARCH($K$2,B73)),MAX(A$4:$A72)+1,0)</f>
        <v>0</v>
      </c>
      <c r="B73" s="35"/>
      <c r="C73" s="35"/>
      <c r="D73" s="35"/>
      <c r="E73" s="35"/>
      <c r="F73" s="35"/>
      <c r="G73">
        <f>IF(ISNUMBER(SEARCH($G$2,H73)),MAX($G$4:G72)+1,0)</f>
        <v>69</v>
      </c>
      <c r="H73" s="4" t="s">
        <v>224</v>
      </c>
      <c r="K73" s="29" t="str">
        <f>IFERROR(VLOOKUP(ROWS($K$4:K72),$G$5:$I$149,2,0),"")</f>
        <v>Telepathetic Bond</v>
      </c>
      <c r="L73" s="15"/>
      <c r="M73" s="16"/>
      <c r="N73" s="16">
        <v>0</v>
      </c>
      <c r="O73" s="16">
        <v>5</v>
      </c>
      <c r="P73" s="41">
        <v>0</v>
      </c>
      <c r="Q73" s="15"/>
      <c r="R73" s="16"/>
      <c r="S73" s="16"/>
      <c r="T73" s="16"/>
      <c r="U73" s="41"/>
      <c r="V73" s="15"/>
      <c r="W73" s="16"/>
      <c r="X73" s="16"/>
      <c r="Y73" s="16"/>
      <c r="Z73" s="41"/>
      <c r="AA73" s="12">
        <v>100</v>
      </c>
    </row>
    <row r="74" spans="1:27" ht="18.75" x14ac:dyDescent="0.3">
      <c r="A74" s="35">
        <f>IF(ISNUMBER(SEARCH($K$2,B74)),MAX(A$4:$A73)+1,0)</f>
        <v>0</v>
      </c>
      <c r="B74" s="35"/>
      <c r="C74" s="35"/>
      <c r="D74" s="35"/>
      <c r="E74" s="35"/>
      <c r="F74" s="35"/>
      <c r="G74">
        <f>IF(ISNUMBER(SEARCH($G$2,H74)),MAX($G$4:G73)+1,0)</f>
        <v>70</v>
      </c>
      <c r="H74" s="4" t="s">
        <v>249</v>
      </c>
      <c r="K74" s="29" t="str">
        <f>IFERROR(VLOOKUP(ROWS($K$4:K73),$G$5:$I$149,2,0),"")</f>
        <v>True Seeing*</v>
      </c>
      <c r="L74" s="11"/>
      <c r="M74" s="16"/>
      <c r="N74" s="12"/>
      <c r="O74" s="169">
        <v>5</v>
      </c>
      <c r="P74" s="13"/>
      <c r="Q74" s="11"/>
      <c r="R74" s="12"/>
      <c r="S74" s="12"/>
      <c r="T74" s="12"/>
      <c r="U74" s="13"/>
      <c r="V74" s="11"/>
      <c r="W74" s="12"/>
      <c r="X74" s="12"/>
      <c r="Y74" s="12"/>
      <c r="Z74" s="13"/>
      <c r="AA74" s="12">
        <v>100</v>
      </c>
    </row>
    <row r="75" spans="1:27" ht="18.75" x14ac:dyDescent="0.3">
      <c r="A75" s="35">
        <f>IF(ISNUMBER(SEARCH($K$2,B75)),MAX(A$4:$A74)+1,0)</f>
        <v>0</v>
      </c>
      <c r="B75" s="35"/>
      <c r="C75" s="35"/>
      <c r="D75" s="35"/>
      <c r="E75" s="35"/>
      <c r="F75" s="35"/>
      <c r="G75">
        <f>IF(ISNUMBER(SEARCH($G$2,H75)),MAX($G$4:G74)+1,0)</f>
        <v>71</v>
      </c>
      <c r="H75" s="4" t="s">
        <v>203</v>
      </c>
      <c r="K75" s="29" t="str">
        <f>IFERROR(VLOOKUP(ROWS($K$4:K74),$G$5:$I$149,2,0),"")</f>
        <v>True Strike</v>
      </c>
      <c r="L75" s="15" t="s">
        <v>53</v>
      </c>
      <c r="M75" s="16" t="s">
        <v>10</v>
      </c>
      <c r="N75" s="16">
        <v>20</v>
      </c>
      <c r="O75" s="16">
        <v>1</v>
      </c>
      <c r="P75" s="41">
        <v>0</v>
      </c>
      <c r="Q75" s="15"/>
      <c r="R75" s="16"/>
      <c r="S75" s="16"/>
      <c r="T75" s="16"/>
      <c r="U75" s="41"/>
      <c r="V75" s="15"/>
      <c r="W75" s="16"/>
      <c r="X75" s="16"/>
      <c r="Y75" s="16"/>
      <c r="Z75" s="41"/>
      <c r="AA75" s="12">
        <v>100</v>
      </c>
    </row>
    <row r="76" spans="1:27" ht="18.75" x14ac:dyDescent="0.3">
      <c r="A76" s="35">
        <f>IF(ISNUMBER(SEARCH($K$2,B76)),MAX(A$4:$A75)+1,0)</f>
        <v>0</v>
      </c>
      <c r="B76" s="35"/>
      <c r="C76" s="35"/>
      <c r="D76" s="35"/>
      <c r="E76" s="35"/>
      <c r="F76" s="35"/>
      <c r="G76">
        <f>IF(ISNUMBER(SEARCH($G$2,H76)),MAX($G$4:G75)+1,0)</f>
        <v>72</v>
      </c>
      <c r="H76" s="4" t="s">
        <v>236</v>
      </c>
      <c r="K76" s="29" t="str">
        <f>IFERROR(VLOOKUP(ROWS($K$4:K75),$G$5:$I$149,2,0),"")</f>
        <v>Tyche's Touch 1</v>
      </c>
      <c r="L76" s="15" t="s">
        <v>29</v>
      </c>
      <c r="M76" s="16" t="s">
        <v>18</v>
      </c>
      <c r="N76" s="16">
        <v>1</v>
      </c>
      <c r="O76" s="16">
        <v>2</v>
      </c>
      <c r="P76" s="41">
        <v>0</v>
      </c>
      <c r="Q76" s="15" t="s">
        <v>30</v>
      </c>
      <c r="R76" s="16" t="s">
        <v>18</v>
      </c>
      <c r="S76" s="16">
        <v>1</v>
      </c>
      <c r="T76" s="16">
        <v>2</v>
      </c>
      <c r="U76" s="41">
        <v>0</v>
      </c>
      <c r="V76" s="15" t="s">
        <v>31</v>
      </c>
      <c r="W76" s="16" t="s">
        <v>18</v>
      </c>
      <c r="X76" s="16">
        <v>1</v>
      </c>
      <c r="Y76" s="16">
        <v>2</v>
      </c>
      <c r="Z76" s="41">
        <v>0</v>
      </c>
      <c r="AA76" s="12">
        <v>100</v>
      </c>
    </row>
    <row r="77" spans="1:27" ht="18.75" x14ac:dyDescent="0.3">
      <c r="A77" s="35">
        <f>IF(ISNUMBER(SEARCH($K$2,B77)),MAX(A$4:$A76)+1,0)</f>
        <v>0</v>
      </c>
      <c r="B77" s="35"/>
      <c r="C77" s="35"/>
      <c r="D77" s="35"/>
      <c r="E77" s="35"/>
      <c r="F77" s="35"/>
      <c r="G77">
        <f>IF(ISNUMBER(SEARCH($G$2,H77)),MAX($G$4:G76)+1,0)</f>
        <v>73</v>
      </c>
      <c r="H77" s="4" t="s">
        <v>235</v>
      </c>
      <c r="K77" s="29" t="str">
        <f>IFERROR(VLOOKUP(ROWS($K$4:K76),$G$5:$I$149,2,0),"")</f>
        <v>Tyche's Touch 2</v>
      </c>
      <c r="L77" s="15" t="s">
        <v>29</v>
      </c>
      <c r="M77" s="16" t="s">
        <v>18</v>
      </c>
      <c r="N77" s="16">
        <v>2</v>
      </c>
      <c r="O77" s="16">
        <v>2</v>
      </c>
      <c r="P77" s="41">
        <v>0</v>
      </c>
      <c r="Q77" s="15" t="s">
        <v>30</v>
      </c>
      <c r="R77" s="16" t="s">
        <v>18</v>
      </c>
      <c r="S77" s="16">
        <v>2</v>
      </c>
      <c r="T77" s="16">
        <v>2</v>
      </c>
      <c r="U77" s="41">
        <v>0</v>
      </c>
      <c r="V77" s="15" t="s">
        <v>31</v>
      </c>
      <c r="W77" s="16" t="s">
        <v>18</v>
      </c>
      <c r="X77" s="16">
        <v>2</v>
      </c>
      <c r="Y77" s="16">
        <v>2</v>
      </c>
      <c r="Z77" s="41">
        <v>0</v>
      </c>
      <c r="AA77" s="12">
        <v>100</v>
      </c>
    </row>
    <row r="78" spans="1:27" ht="18.75" x14ac:dyDescent="0.3">
      <c r="A78" s="35">
        <f>IF(ISNUMBER(SEARCH($K$2,B78)),MAX(A$4:$A77)+1,0)</f>
        <v>0</v>
      </c>
      <c r="B78" s="35"/>
      <c r="C78" s="35"/>
      <c r="D78" s="35"/>
      <c r="E78" s="35"/>
      <c r="F78" s="35"/>
      <c r="G78">
        <f>IF(ISNUMBER(SEARCH($G$2,H78)),MAX($G$4:G77)+1,0)</f>
        <v>74</v>
      </c>
      <c r="H78" s="4" t="s">
        <v>234</v>
      </c>
      <c r="K78" s="29" t="str">
        <f>IFERROR(VLOOKUP(ROWS($K$4:K77),$G$5:$I$149,2,0),"")</f>
        <v>Tyche's Touch 3</v>
      </c>
      <c r="L78" s="15" t="s">
        <v>29</v>
      </c>
      <c r="M78" s="16" t="s">
        <v>18</v>
      </c>
      <c r="N78" s="16">
        <v>3</v>
      </c>
      <c r="O78" s="16">
        <v>2</v>
      </c>
      <c r="P78" s="41">
        <v>0</v>
      </c>
      <c r="Q78" s="15" t="s">
        <v>30</v>
      </c>
      <c r="R78" s="16" t="s">
        <v>18</v>
      </c>
      <c r="S78" s="16">
        <v>3</v>
      </c>
      <c r="T78" s="16">
        <v>2</v>
      </c>
      <c r="U78" s="41">
        <v>0</v>
      </c>
      <c r="V78" s="15" t="s">
        <v>31</v>
      </c>
      <c r="W78" s="16" t="s">
        <v>18</v>
      </c>
      <c r="X78" s="16">
        <v>3</v>
      </c>
      <c r="Y78" s="16">
        <v>2</v>
      </c>
      <c r="Z78" s="41">
        <v>0</v>
      </c>
      <c r="AA78" s="12">
        <v>100</v>
      </c>
    </row>
    <row r="79" spans="1:27" ht="18.75" x14ac:dyDescent="0.3">
      <c r="A79" s="35">
        <f>IF(ISNUMBER(SEARCH($K$2,B79)),MAX(A$4:$A78)+1,0)</f>
        <v>0</v>
      </c>
      <c r="B79" s="35"/>
      <c r="C79" s="35"/>
      <c r="D79" s="35"/>
      <c r="E79" s="35"/>
      <c r="F79" s="35"/>
      <c r="G79">
        <f>IF(ISNUMBER(SEARCH($G$2,H79)),MAX($G$4:G78)+1,0)</f>
        <v>75</v>
      </c>
      <c r="H79" s="4" t="s">
        <v>233</v>
      </c>
      <c r="K79" s="29" t="str">
        <f>IFERROR(VLOOKUP(ROWS($K$4:K78),$G$5:$I$149,2,0),"")</f>
        <v>Tyche's Touch 4</v>
      </c>
      <c r="L79" s="15" t="s">
        <v>29</v>
      </c>
      <c r="M79" s="16" t="s">
        <v>18</v>
      </c>
      <c r="N79" s="16">
        <v>4</v>
      </c>
      <c r="O79" s="16">
        <v>2</v>
      </c>
      <c r="P79" s="41">
        <v>0</v>
      </c>
      <c r="Q79" s="15" t="s">
        <v>30</v>
      </c>
      <c r="R79" s="16" t="s">
        <v>18</v>
      </c>
      <c r="S79" s="16">
        <v>4</v>
      </c>
      <c r="T79" s="16">
        <v>2</v>
      </c>
      <c r="U79" s="41">
        <v>0</v>
      </c>
      <c r="V79" s="15" t="s">
        <v>31</v>
      </c>
      <c r="W79" s="16" t="s">
        <v>18</v>
      </c>
      <c r="X79" s="16">
        <v>4</v>
      </c>
      <c r="Y79" s="16">
        <v>2</v>
      </c>
      <c r="Z79" s="41">
        <v>0</v>
      </c>
      <c r="AA79" s="12">
        <v>100</v>
      </c>
    </row>
    <row r="80" spans="1:27" ht="18.75" x14ac:dyDescent="0.3">
      <c r="A80" s="35">
        <f>IF(ISNUMBER(SEARCH($K$2,B80)),MAX(A$4:$A79)+1,0)</f>
        <v>0</v>
      </c>
      <c r="B80" s="35"/>
      <c r="C80" s="35"/>
      <c r="D80" s="35"/>
      <c r="E80" s="35"/>
      <c r="F80" s="35"/>
      <c r="G80">
        <f>IF(ISNUMBER(SEARCH($G$2,H80)),MAX($G$4:G79)+1,0)</f>
        <v>76</v>
      </c>
      <c r="H80" s="4" t="s">
        <v>254</v>
      </c>
      <c r="K80" s="29" t="str">
        <f>IFERROR(VLOOKUP(ROWS($K$4:K79),$G$5:$I$149,2,0),"")</f>
        <v>Vision of the Omniscient Eye*</v>
      </c>
      <c r="L80" s="11"/>
      <c r="M80" s="16"/>
      <c r="N80" s="12"/>
      <c r="O80" s="169">
        <v>3</v>
      </c>
      <c r="P80" s="13"/>
      <c r="Q80" s="11"/>
      <c r="R80" s="12"/>
      <c r="S80" s="12"/>
      <c r="T80" s="12"/>
      <c r="U80" s="13"/>
      <c r="V80" s="11"/>
      <c r="W80" s="12"/>
      <c r="X80" s="12"/>
      <c r="Y80" s="12"/>
      <c r="Z80" s="13"/>
      <c r="AA80" s="12">
        <v>100</v>
      </c>
    </row>
    <row r="81" spans="1:27" ht="18.75" x14ac:dyDescent="0.3">
      <c r="A81" s="35">
        <f>IF(ISNUMBER(SEARCH($K$2,B81)),MAX(A$4:$A80)+1,0)</f>
        <v>0</v>
      </c>
      <c r="B81" s="35"/>
      <c r="C81" s="35"/>
      <c r="D81" s="35"/>
      <c r="E81" s="35"/>
      <c r="F81" s="35"/>
      <c r="G81">
        <f>IF(ISNUMBER(SEARCH($G$2,H81)),MAX($G$4:G80)+1,0)</f>
        <v>77</v>
      </c>
      <c r="H81" s="4" t="s">
        <v>299</v>
      </c>
      <c r="K81" s="29" t="str">
        <f>IFERROR(VLOOKUP(ROWS($K$4:K80),$G$5:$I$149,2,0),"")</f>
        <v>Visions of the Future* 1/2</v>
      </c>
      <c r="L81" s="11" t="s">
        <v>28</v>
      </c>
      <c r="M81" s="16" t="s">
        <v>7</v>
      </c>
      <c r="N81" s="43">
        <v>2</v>
      </c>
      <c r="O81" s="169">
        <v>8</v>
      </c>
      <c r="P81" s="13">
        <v>0</v>
      </c>
      <c r="Q81" s="11" t="s">
        <v>30</v>
      </c>
      <c r="R81" s="16" t="s">
        <v>18</v>
      </c>
      <c r="S81" s="43">
        <v>2</v>
      </c>
      <c r="T81" s="169">
        <v>8</v>
      </c>
      <c r="U81" s="13">
        <v>0</v>
      </c>
      <c r="V81" s="11"/>
      <c r="W81" s="12"/>
      <c r="X81" s="12"/>
      <c r="Y81" s="12"/>
      <c r="Z81" s="13"/>
      <c r="AA81" s="12">
        <v>100</v>
      </c>
    </row>
    <row r="82" spans="1:27" ht="18.75" x14ac:dyDescent="0.3">
      <c r="A82" s="35">
        <f>IF(ISNUMBER(SEARCH($K$2,B82)),MAX(A$4:$A81)+1,0)</f>
        <v>0</v>
      </c>
      <c r="B82" s="35"/>
      <c r="C82" s="35"/>
      <c r="D82" s="35"/>
      <c r="E82" s="35"/>
      <c r="F82" s="35"/>
      <c r="G82">
        <f>IF(ISNUMBER(SEARCH($G$2,H82)),MAX($G$4:G81)+1,0)</f>
        <v>78</v>
      </c>
      <c r="H82" s="12" t="s">
        <v>298</v>
      </c>
      <c r="K82" s="29" t="str">
        <f>IFERROR(VLOOKUP(ROWS($K$4:K81),$G$5:$I$149,2,0),"")</f>
        <v>Visions of the Future* 2/2</v>
      </c>
      <c r="L82" s="11" t="s">
        <v>29</v>
      </c>
      <c r="M82" s="16" t="s">
        <v>18</v>
      </c>
      <c r="N82" s="43">
        <v>2</v>
      </c>
      <c r="O82" s="169">
        <v>8</v>
      </c>
      <c r="P82" s="13">
        <v>0</v>
      </c>
      <c r="Q82" s="11" t="s">
        <v>31</v>
      </c>
      <c r="R82" s="16" t="s">
        <v>18</v>
      </c>
      <c r="S82" s="43">
        <v>2</v>
      </c>
      <c r="T82" s="169">
        <v>8</v>
      </c>
      <c r="U82" s="13">
        <v>0</v>
      </c>
      <c r="V82" s="11"/>
      <c r="W82" s="12"/>
      <c r="X82" s="12"/>
      <c r="Y82" s="12"/>
      <c r="Z82" s="13"/>
      <c r="AA82" s="12">
        <v>100</v>
      </c>
    </row>
    <row r="83" spans="1:27" ht="18.75" x14ac:dyDescent="0.3">
      <c r="A83" s="35">
        <f>IF(ISNUMBER(SEARCH($K$2,B83)),MAX(A$4:$A82)+1,0)</f>
        <v>0</v>
      </c>
      <c r="B83" s="35"/>
      <c r="C83" s="35"/>
      <c r="D83" s="35"/>
      <c r="E83" s="35"/>
      <c r="F83" s="35"/>
      <c r="G83">
        <f>IF(ISNUMBER(SEARCH($G$2,H83)),MAX($G$4:G82)+1,0)</f>
        <v>0</v>
      </c>
      <c r="K83" s="29" t="str">
        <f>IFERROR(VLOOKUP(ROWS($K$4:K82),$G$5:$I$149,2,0),"")</f>
        <v/>
      </c>
      <c r="L83" s="11"/>
      <c r="M83" s="16"/>
      <c r="N83" s="12"/>
      <c r="O83" s="12"/>
      <c r="P83" s="13"/>
      <c r="Q83" s="11"/>
      <c r="R83" s="12"/>
      <c r="S83" s="12"/>
      <c r="T83" s="12"/>
      <c r="U83" s="13"/>
      <c r="V83" s="11"/>
      <c r="W83" s="12"/>
      <c r="X83" s="12"/>
      <c r="Y83" s="12"/>
      <c r="Z83" s="13"/>
      <c r="AA83" s="12">
        <v>100</v>
      </c>
    </row>
    <row r="84" spans="1:27" ht="18.75" x14ac:dyDescent="0.3">
      <c r="A84" s="35">
        <f>IF(ISNUMBER(SEARCH($K$2,B84)),MAX(A$4:$A83)+1,0)</f>
        <v>0</v>
      </c>
      <c r="B84" s="35"/>
      <c r="C84" s="35"/>
      <c r="D84" s="35"/>
      <c r="E84" s="35"/>
      <c r="F84" s="35"/>
      <c r="G84">
        <f>IF(ISNUMBER(SEARCH($G$2,H84)),MAX($G$4:G83)+1,0)</f>
        <v>0</v>
      </c>
      <c r="K84" s="29" t="str">
        <f>IFERROR(VLOOKUP(ROWS($K$4:K83),$G$5:$I$149,2,0),"")</f>
        <v/>
      </c>
      <c r="L84" s="11"/>
      <c r="M84" s="16"/>
      <c r="N84" s="12"/>
      <c r="O84" s="12"/>
      <c r="P84" s="13"/>
      <c r="Q84" s="11"/>
      <c r="R84" s="12"/>
      <c r="S84" s="12"/>
      <c r="T84" s="12"/>
      <c r="U84" s="13"/>
      <c r="V84" s="11"/>
      <c r="W84" s="12"/>
      <c r="X84" s="12"/>
      <c r="Y84" s="12"/>
      <c r="Z84" s="13"/>
      <c r="AA84" s="12">
        <v>100</v>
      </c>
    </row>
    <row r="85" spans="1:27" ht="18.75" x14ac:dyDescent="0.3">
      <c r="A85" s="35">
        <f>IF(ISNUMBER(SEARCH($K$2,B85)),MAX(A$4:$A84)+1,0)</f>
        <v>0</v>
      </c>
      <c r="B85" s="35"/>
      <c r="C85" s="35"/>
      <c r="D85" s="35"/>
      <c r="E85" s="35"/>
      <c r="F85" s="35"/>
      <c r="G85">
        <f>IF(ISNUMBER(SEARCH($G$2,H85)),MAX($G$4:G84)+1,0)</f>
        <v>0</v>
      </c>
      <c r="K85" s="29" t="str">
        <f>IFERROR(VLOOKUP(ROWS($K$4:K84),$G$5:$I$149,2,0),"")</f>
        <v/>
      </c>
      <c r="L85" s="11"/>
      <c r="M85" s="16"/>
      <c r="N85" s="12"/>
      <c r="O85" s="12"/>
      <c r="P85" s="13"/>
      <c r="Q85" s="11"/>
      <c r="R85" s="12"/>
      <c r="S85" s="12"/>
      <c r="T85" s="12"/>
      <c r="U85" s="13"/>
      <c r="V85" s="11"/>
      <c r="W85" s="12"/>
      <c r="X85" s="12"/>
      <c r="Y85" s="12"/>
      <c r="Z85" s="13"/>
      <c r="AA85" s="12">
        <v>100</v>
      </c>
    </row>
    <row r="86" spans="1:27" ht="18.75" x14ac:dyDescent="0.3">
      <c r="A86" s="35">
        <f>IF(ISNUMBER(SEARCH($K$2,B86)),MAX(A$4:$A85)+1,0)</f>
        <v>0</v>
      </c>
      <c r="B86" s="35"/>
      <c r="C86" s="35"/>
      <c r="D86" s="35"/>
      <c r="E86" s="35"/>
      <c r="F86" s="35"/>
      <c r="G86">
        <f>IF(ISNUMBER(SEARCH($G$2,H86)),MAX($G$4:G85)+1,0)</f>
        <v>0</v>
      </c>
      <c r="K86" s="29" t="str">
        <f>IFERROR(VLOOKUP(ROWS($K$4:K85),$G$5:$I$149,2,0),"")</f>
        <v/>
      </c>
      <c r="L86" s="11"/>
      <c r="M86" s="16"/>
      <c r="N86" s="12"/>
      <c r="O86" s="12"/>
      <c r="P86" s="13"/>
      <c r="Q86" s="11"/>
      <c r="R86" s="12"/>
      <c r="S86" s="12"/>
      <c r="T86" s="12"/>
      <c r="U86" s="13"/>
      <c r="V86" s="11"/>
      <c r="W86" s="12"/>
      <c r="X86" s="12"/>
      <c r="Y86" s="12"/>
      <c r="Z86" s="13"/>
      <c r="AA86" s="12">
        <v>100</v>
      </c>
    </row>
    <row r="87" spans="1:27" ht="18.75" x14ac:dyDescent="0.3">
      <c r="A87" s="35">
        <f>IF(ISNUMBER(SEARCH($K$2,B87)),MAX(A$4:$A86)+1,0)</f>
        <v>0</v>
      </c>
      <c r="B87" s="35"/>
      <c r="C87" s="35"/>
      <c r="D87" s="35"/>
      <c r="E87" s="35"/>
      <c r="F87" s="35"/>
      <c r="G87">
        <f>IF(ISNUMBER(SEARCH($G$2,H87)),MAX($G$4:G86)+1,0)</f>
        <v>0</v>
      </c>
      <c r="K87" s="29" t="str">
        <f>IFERROR(VLOOKUP(ROWS($K$4:K86),$G$5:$I$149,2,0),"")</f>
        <v/>
      </c>
      <c r="L87" s="11"/>
      <c r="M87" s="16"/>
      <c r="N87" s="12"/>
      <c r="O87" s="12"/>
      <c r="P87" s="13"/>
      <c r="Q87" s="11"/>
      <c r="R87" s="12"/>
      <c r="S87" s="12"/>
      <c r="T87" s="12"/>
      <c r="U87" s="13"/>
      <c r="V87" s="11"/>
      <c r="W87" s="12"/>
      <c r="X87" s="12"/>
      <c r="Y87" s="12"/>
      <c r="Z87" s="13"/>
      <c r="AA87" s="12">
        <v>100</v>
      </c>
    </row>
    <row r="88" spans="1:27" ht="18.75" x14ac:dyDescent="0.3">
      <c r="A88" s="35">
        <f>IF(ISNUMBER(SEARCH($K$2,B88)),MAX(A$4:$A87)+1,0)</f>
        <v>0</v>
      </c>
      <c r="B88" s="35"/>
      <c r="C88" s="35"/>
      <c r="D88" s="35"/>
      <c r="E88" s="35"/>
      <c r="F88" s="35"/>
      <c r="G88">
        <f>IF(ISNUMBER(SEARCH($G$2,H88)),MAX($G$4:G87)+1,0)</f>
        <v>0</v>
      </c>
      <c r="K88" s="29" t="str">
        <f>IFERROR(VLOOKUP(ROWS($K$4:K87),$G$5:$I$149,2,0),"")</f>
        <v/>
      </c>
      <c r="L88" s="11"/>
      <c r="M88" s="16"/>
      <c r="N88" s="12"/>
      <c r="O88" s="12"/>
      <c r="P88" s="13"/>
      <c r="Q88" s="11"/>
      <c r="R88" s="12"/>
      <c r="S88" s="12"/>
      <c r="T88" s="12"/>
      <c r="U88" s="13"/>
      <c r="V88" s="11"/>
      <c r="W88" s="12"/>
      <c r="X88" s="12"/>
      <c r="Y88" s="12"/>
      <c r="Z88" s="13"/>
      <c r="AA88" s="12">
        <v>100</v>
      </c>
    </row>
    <row r="89" spans="1:27" ht="18.75" x14ac:dyDescent="0.3">
      <c r="A89" s="35">
        <f>IF(ISNUMBER(SEARCH($K$2,B89)),MAX(A$4:$A88)+1,0)</f>
        <v>0</v>
      </c>
      <c r="B89" s="35"/>
      <c r="C89" s="35"/>
      <c r="D89" s="35"/>
      <c r="E89" s="35"/>
      <c r="F89" s="35"/>
      <c r="G89">
        <f>IF(ISNUMBER(SEARCH($G$2,H89)),MAX($G$4:G88)+1,0)</f>
        <v>0</v>
      </c>
      <c r="K89" s="29" t="str">
        <f>IFERROR(VLOOKUP(ROWS($K$4:K88),$G$5:$I$149,2,0),"")</f>
        <v/>
      </c>
      <c r="L89" s="11"/>
      <c r="M89" s="16"/>
      <c r="N89" s="12"/>
      <c r="O89" s="12"/>
      <c r="P89" s="13"/>
      <c r="Q89" s="11"/>
      <c r="R89" s="12"/>
      <c r="S89" s="12"/>
      <c r="T89" s="12"/>
      <c r="U89" s="13"/>
      <c r="V89" s="11"/>
      <c r="W89" s="12"/>
      <c r="X89" s="12"/>
      <c r="Y89" s="12"/>
      <c r="Z89" s="13"/>
      <c r="AA89" s="12">
        <v>100</v>
      </c>
    </row>
    <row r="90" spans="1:27" ht="18.75" x14ac:dyDescent="0.3">
      <c r="A90" s="35"/>
      <c r="B90" s="35"/>
      <c r="C90" s="35"/>
      <c r="D90" s="35"/>
      <c r="E90" s="35"/>
      <c r="F90" s="35"/>
      <c r="G90">
        <f>IF(ISNUMBER(SEARCH($G$2,H90)),MAX($G$4:G89)+1,0)</f>
        <v>0</v>
      </c>
      <c r="K90" s="29" t="str">
        <f>IFERROR(VLOOKUP(ROWS($K$4:K89),$G$5:$I$149,2,0),"")</f>
        <v/>
      </c>
      <c r="L90" s="11"/>
      <c r="M90" s="16"/>
      <c r="N90" s="12"/>
      <c r="O90" s="12"/>
      <c r="P90" s="13"/>
      <c r="Q90" s="11"/>
      <c r="R90" s="12"/>
      <c r="S90" s="12"/>
      <c r="T90" s="12"/>
      <c r="U90" s="13"/>
      <c r="V90" s="11"/>
      <c r="W90" s="12"/>
      <c r="X90" s="12"/>
      <c r="Y90" s="12"/>
      <c r="Z90" s="13"/>
      <c r="AA90" s="12">
        <v>100</v>
      </c>
    </row>
    <row r="91" spans="1:27" ht="18.75" x14ac:dyDescent="0.3">
      <c r="A91" s="35"/>
      <c r="B91" s="35"/>
      <c r="C91" s="35"/>
      <c r="D91" s="35"/>
      <c r="E91" s="35"/>
      <c r="F91" s="35"/>
      <c r="G91">
        <f>IF(ISNUMBER(SEARCH($G$2,H91)),MAX($G$4:G90)+1,0)</f>
        <v>0</v>
      </c>
      <c r="K91" s="29" t="str">
        <f>IFERROR(VLOOKUP(ROWS($K$4:K90),$G$5:$I$149,2,0),"")</f>
        <v/>
      </c>
      <c r="L91" s="11"/>
      <c r="M91" s="16"/>
      <c r="N91" s="12"/>
      <c r="O91" s="12"/>
      <c r="P91" s="13"/>
      <c r="Q91" s="11"/>
      <c r="R91" s="12"/>
      <c r="S91" s="12"/>
      <c r="T91" s="12"/>
      <c r="U91" s="13"/>
      <c r="V91" s="11"/>
      <c r="W91" s="12"/>
      <c r="X91" s="12"/>
      <c r="Y91" s="12"/>
      <c r="Z91" s="13"/>
      <c r="AA91" s="12">
        <v>100</v>
      </c>
    </row>
    <row r="92" spans="1:27" ht="18.75" x14ac:dyDescent="0.3">
      <c r="A92" s="35"/>
      <c r="B92" s="35"/>
      <c r="C92" s="35"/>
      <c r="D92" s="35"/>
      <c r="E92" s="35"/>
      <c r="F92" s="35"/>
      <c r="G92">
        <f>IF(ISNUMBER(SEARCH($G$2,H92)),MAX($G$4:G91)+1,0)</f>
        <v>0</v>
      </c>
      <c r="K92" s="29" t="str">
        <f>IFERROR(VLOOKUP(ROWS($K$4:K91),$G$5:$I$149,2,0),"")</f>
        <v/>
      </c>
      <c r="L92" s="11"/>
      <c r="M92" s="16"/>
      <c r="N92" s="12"/>
      <c r="O92" s="12"/>
      <c r="P92" s="13"/>
      <c r="Q92" s="11"/>
      <c r="R92" s="12"/>
      <c r="S92" s="12"/>
      <c r="T92" s="12"/>
      <c r="U92" s="13"/>
      <c r="V92" s="11"/>
      <c r="W92" s="12"/>
      <c r="X92" s="12"/>
      <c r="Y92" s="12"/>
      <c r="Z92" s="13"/>
      <c r="AA92" s="12">
        <v>100</v>
      </c>
    </row>
    <row r="93" spans="1:27" ht="18.75" x14ac:dyDescent="0.3">
      <c r="A93" s="35"/>
      <c r="B93" s="35"/>
      <c r="C93" s="35"/>
      <c r="D93" s="35"/>
      <c r="E93" s="35"/>
      <c r="F93" s="35"/>
      <c r="G93">
        <f>IF(ISNUMBER(SEARCH($G$2,H93)),MAX($G$4:G92)+1,0)</f>
        <v>0</v>
      </c>
      <c r="K93" s="29" t="str">
        <f>IFERROR(VLOOKUP(ROWS($K$4:K92),$G$5:$I$149,2,0),"")</f>
        <v/>
      </c>
      <c r="L93" s="11"/>
      <c r="M93" s="16"/>
      <c r="N93" s="12"/>
      <c r="O93" s="12"/>
      <c r="P93" s="13"/>
      <c r="Q93" s="11"/>
      <c r="R93" s="12"/>
      <c r="S93" s="12"/>
      <c r="T93" s="12"/>
      <c r="U93" s="13"/>
      <c r="V93" s="11"/>
      <c r="W93" s="12"/>
      <c r="X93" s="12"/>
      <c r="Y93" s="12"/>
      <c r="Z93" s="13"/>
      <c r="AA93" s="12">
        <v>100</v>
      </c>
    </row>
    <row r="94" spans="1:27" ht="18.75" x14ac:dyDescent="0.3">
      <c r="A94" s="35"/>
      <c r="B94" s="35"/>
      <c r="C94" s="35"/>
      <c r="D94" s="35"/>
      <c r="E94" s="35"/>
      <c r="F94" s="35"/>
      <c r="G94">
        <f>IF(ISNUMBER(SEARCH($G$2,H94)),MAX($G$4:G93)+1,0)</f>
        <v>0</v>
      </c>
      <c r="K94" s="29" t="str">
        <f>IFERROR(VLOOKUP(ROWS($K$4:K93),$G$5:$I$149,2,0),"")</f>
        <v/>
      </c>
      <c r="L94" s="11"/>
      <c r="M94" s="16"/>
      <c r="N94" s="12"/>
      <c r="O94" s="12"/>
      <c r="P94" s="13"/>
      <c r="Q94" s="11"/>
      <c r="R94" s="12"/>
      <c r="S94" s="12"/>
      <c r="T94" s="12"/>
      <c r="U94" s="13"/>
      <c r="V94" s="11"/>
      <c r="W94" s="12"/>
      <c r="X94" s="12"/>
      <c r="Y94" s="12"/>
      <c r="Z94" s="13"/>
      <c r="AA94" s="12">
        <v>100</v>
      </c>
    </row>
    <row r="95" spans="1:27" ht="18.75" x14ac:dyDescent="0.3">
      <c r="A95" s="35"/>
      <c r="B95" s="35"/>
      <c r="C95" s="35"/>
      <c r="D95" s="35"/>
      <c r="E95" s="35"/>
      <c r="F95" s="35"/>
      <c r="G95">
        <f>IF(ISNUMBER(SEARCH($G$2,H95)),MAX($G$4:G94)+1,0)</f>
        <v>0</v>
      </c>
      <c r="K95" s="29" t="str">
        <f>IFERROR(VLOOKUP(ROWS($K$4:K94),$G$5:$I$149,2,0),"")</f>
        <v/>
      </c>
      <c r="L95" s="11"/>
      <c r="M95" s="16"/>
      <c r="N95" s="12"/>
      <c r="O95" s="12"/>
      <c r="P95" s="13"/>
      <c r="Q95" s="11"/>
      <c r="R95" s="12"/>
      <c r="S95" s="12"/>
      <c r="T95" s="12"/>
      <c r="U95" s="13"/>
      <c r="V95" s="11"/>
      <c r="W95" s="12"/>
      <c r="X95" s="12"/>
      <c r="Y95" s="12"/>
      <c r="Z95" s="13"/>
      <c r="AA95" s="12">
        <v>100</v>
      </c>
    </row>
    <row r="96" spans="1:27" ht="18.75" x14ac:dyDescent="0.3">
      <c r="A96" s="35"/>
      <c r="B96" s="35"/>
      <c r="C96" s="35"/>
      <c r="D96" s="35"/>
      <c r="E96" s="35"/>
      <c r="F96" s="35"/>
      <c r="G96">
        <f>IF(ISNUMBER(SEARCH($G$2,H96)),MAX($G$4:G95)+1,0)</f>
        <v>0</v>
      </c>
      <c r="K96" s="29" t="str">
        <f>IFERROR(VLOOKUP(ROWS($K$4:K95),$G$5:$I$149,2,0),"")</f>
        <v/>
      </c>
      <c r="L96" s="11"/>
      <c r="M96" s="16"/>
      <c r="N96" s="12"/>
      <c r="O96" s="12"/>
      <c r="P96" s="13"/>
      <c r="Q96" s="11"/>
      <c r="R96" s="12"/>
      <c r="S96" s="12"/>
      <c r="T96" s="12"/>
      <c r="U96" s="13"/>
      <c r="V96" s="11"/>
      <c r="W96" s="12"/>
      <c r="X96" s="12"/>
      <c r="Y96" s="12"/>
      <c r="Z96" s="13"/>
      <c r="AA96" s="12">
        <v>100</v>
      </c>
    </row>
    <row r="97" spans="1:27" ht="18.75" x14ac:dyDescent="0.3">
      <c r="A97" s="35"/>
      <c r="B97" s="35"/>
      <c r="C97" s="35"/>
      <c r="D97" s="35"/>
      <c r="E97" s="35"/>
      <c r="F97" s="35"/>
      <c r="G97">
        <f>IF(ISNUMBER(SEARCH($G$2,H97)),MAX($G$4:G96)+1,0)</f>
        <v>0</v>
      </c>
      <c r="K97" s="29" t="str">
        <f>IFERROR(VLOOKUP(ROWS($K$4:K96),$G$5:$I$149,2,0),"")</f>
        <v/>
      </c>
      <c r="L97" s="11"/>
      <c r="M97" s="16"/>
      <c r="N97" s="12"/>
      <c r="O97" s="12"/>
      <c r="P97" s="13"/>
      <c r="Q97" s="11"/>
      <c r="R97" s="12"/>
      <c r="S97" s="12"/>
      <c r="T97" s="12"/>
      <c r="U97" s="13"/>
      <c r="V97" s="11"/>
      <c r="W97" s="12"/>
      <c r="X97" s="12"/>
      <c r="Y97" s="12"/>
      <c r="Z97" s="13"/>
      <c r="AA97" s="12">
        <v>100</v>
      </c>
    </row>
    <row r="98" spans="1:27" ht="18.75" x14ac:dyDescent="0.3">
      <c r="A98" s="35"/>
      <c r="B98" s="35"/>
      <c r="C98" s="35"/>
      <c r="D98" s="35"/>
      <c r="E98" s="35"/>
      <c r="F98" s="35"/>
      <c r="G98">
        <f>IF(ISNUMBER(SEARCH($G$2,H98)),MAX($G$4:G97)+1,0)</f>
        <v>0</v>
      </c>
      <c r="K98" s="29" t="str">
        <f>IFERROR(VLOOKUP(ROWS($K$4:K97),$G$5:$I$149,2,0),"")</f>
        <v/>
      </c>
      <c r="L98" s="11"/>
      <c r="M98" s="16"/>
      <c r="N98" s="12"/>
      <c r="O98" s="12"/>
      <c r="P98" s="13"/>
      <c r="Q98" s="11"/>
      <c r="R98" s="12"/>
      <c r="S98" s="12"/>
      <c r="T98" s="12"/>
      <c r="U98" s="13"/>
      <c r="V98" s="11"/>
      <c r="W98" s="12"/>
      <c r="X98" s="12"/>
      <c r="Y98" s="12"/>
      <c r="Z98" s="13"/>
      <c r="AA98" s="12">
        <v>100</v>
      </c>
    </row>
    <row r="99" spans="1:27" ht="18.75" x14ac:dyDescent="0.3">
      <c r="A99" s="35"/>
      <c r="B99" s="35"/>
      <c r="C99" s="35"/>
      <c r="D99" s="35"/>
      <c r="E99" s="35"/>
      <c r="F99" s="35"/>
      <c r="G99">
        <f>IF(ISNUMBER(SEARCH($G$2,H99)),MAX($G$4:G98)+1,0)</f>
        <v>0</v>
      </c>
      <c r="K99" s="29" t="str">
        <f>IFERROR(VLOOKUP(ROWS($K$4:K98),$G$5:$I$149,2,0),"")</f>
        <v/>
      </c>
      <c r="L99" s="11"/>
      <c r="M99" s="16"/>
      <c r="N99" s="12"/>
      <c r="O99" s="12"/>
      <c r="P99" s="13"/>
      <c r="Q99" s="11"/>
      <c r="R99" s="12"/>
      <c r="S99" s="12"/>
      <c r="T99" s="12"/>
      <c r="U99" s="13"/>
      <c r="V99" s="11"/>
      <c r="W99" s="12"/>
      <c r="X99" s="12"/>
      <c r="Y99" s="12"/>
      <c r="Z99" s="13"/>
      <c r="AA99" s="12">
        <v>100</v>
      </c>
    </row>
    <row r="100" spans="1:27" ht="18.75" x14ac:dyDescent="0.3">
      <c r="A100" s="35"/>
      <c r="B100" s="35"/>
      <c r="C100" s="35"/>
      <c r="D100" s="35"/>
      <c r="E100" s="35"/>
      <c r="F100" s="35"/>
      <c r="G100">
        <f>IF(ISNUMBER(SEARCH($G$2,H100)),MAX($G$4:G99)+1,0)</f>
        <v>0</v>
      </c>
      <c r="K100" s="29" t="str">
        <f>IFERROR(VLOOKUP(ROWS($K$4:K99),$G$5:$I$149,2,0),"")</f>
        <v/>
      </c>
      <c r="L100" s="11"/>
      <c r="M100" s="16"/>
      <c r="N100" s="12"/>
      <c r="O100" s="12"/>
      <c r="P100" s="13"/>
      <c r="Q100" s="11"/>
      <c r="R100" s="12"/>
      <c r="S100" s="12"/>
      <c r="T100" s="12"/>
      <c r="U100" s="13"/>
      <c r="V100" s="11"/>
      <c r="W100" s="12"/>
      <c r="X100" s="12"/>
      <c r="Y100" s="12"/>
      <c r="Z100" s="13"/>
      <c r="AA100" s="12">
        <v>100</v>
      </c>
    </row>
    <row r="101" spans="1:27" ht="18.75" x14ac:dyDescent="0.3">
      <c r="A101" s="35"/>
      <c r="B101" s="35"/>
      <c r="C101" s="35"/>
      <c r="D101" s="35"/>
      <c r="E101" s="35"/>
      <c r="F101" s="35"/>
      <c r="G101">
        <f>IF(ISNUMBER(SEARCH($G$2,H101)),MAX($G$4:G100)+1,0)</f>
        <v>0</v>
      </c>
      <c r="K101" s="29" t="str">
        <f>IFERROR(VLOOKUP(ROWS($K$4:K100),$G$5:$I$149,2,0),"")</f>
        <v/>
      </c>
      <c r="L101" s="11"/>
      <c r="M101" s="16"/>
      <c r="N101" s="12"/>
      <c r="O101" s="12"/>
      <c r="P101" s="13"/>
      <c r="Q101" s="11"/>
      <c r="R101" s="12"/>
      <c r="S101" s="12"/>
      <c r="T101" s="12"/>
      <c r="U101" s="13"/>
      <c r="V101" s="11"/>
      <c r="W101" s="12"/>
      <c r="X101" s="12"/>
      <c r="Y101" s="12"/>
      <c r="Z101" s="13"/>
      <c r="AA101" s="12">
        <v>100</v>
      </c>
    </row>
    <row r="102" spans="1:27" ht="18.75" x14ac:dyDescent="0.3">
      <c r="A102" s="35"/>
      <c r="B102" s="35"/>
      <c r="C102" s="35"/>
      <c r="D102" s="35"/>
      <c r="E102" s="35"/>
      <c r="F102" s="35"/>
      <c r="G102">
        <f>IF(ISNUMBER(SEARCH($G$2,H102)),MAX($G$4:G101)+1,0)</f>
        <v>0</v>
      </c>
      <c r="K102" s="29" t="str">
        <f>IFERROR(VLOOKUP(ROWS($K$4:K101),$G$5:$I$149,2,0),"")</f>
        <v/>
      </c>
      <c r="L102" s="11"/>
      <c r="M102" s="16"/>
      <c r="N102" s="12"/>
      <c r="O102" s="12"/>
      <c r="P102" s="13"/>
      <c r="Q102" s="11"/>
      <c r="R102" s="12"/>
      <c r="S102" s="12"/>
      <c r="T102" s="12"/>
      <c r="U102" s="13"/>
      <c r="V102" s="11"/>
      <c r="W102" s="12"/>
      <c r="X102" s="12"/>
      <c r="Y102" s="12"/>
      <c r="Z102" s="13"/>
      <c r="AA102" s="12">
        <v>100</v>
      </c>
    </row>
    <row r="103" spans="1:27" ht="18.75" x14ac:dyDescent="0.3">
      <c r="A103" s="35"/>
      <c r="B103" s="35"/>
      <c r="C103" s="35"/>
      <c r="D103" s="35"/>
      <c r="E103" s="35"/>
      <c r="F103" s="35"/>
      <c r="G103">
        <f>IF(ISNUMBER(SEARCH($G$2,H103)),MAX($G$4:G102)+1,0)</f>
        <v>0</v>
      </c>
      <c r="K103" s="29" t="str">
        <f>IFERROR(VLOOKUP(ROWS($K$4:K102),$G$5:$I$149,2,0),"")</f>
        <v/>
      </c>
      <c r="L103" s="11"/>
      <c r="M103" s="16"/>
      <c r="N103" s="12"/>
      <c r="O103" s="12"/>
      <c r="P103" s="13"/>
      <c r="Q103" s="11"/>
      <c r="R103" s="12"/>
      <c r="S103" s="12"/>
      <c r="T103" s="12"/>
      <c r="U103" s="13"/>
      <c r="V103" s="11"/>
      <c r="W103" s="12"/>
      <c r="X103" s="12"/>
      <c r="Y103" s="12"/>
      <c r="Z103" s="13"/>
      <c r="AA103" s="12">
        <v>100</v>
      </c>
    </row>
    <row r="104" spans="1:27" ht="18.75" x14ac:dyDescent="0.3">
      <c r="A104" s="35"/>
      <c r="B104" s="35"/>
      <c r="C104" s="35"/>
      <c r="D104" s="35"/>
      <c r="E104" s="35"/>
      <c r="F104" s="35"/>
      <c r="G104">
        <f>IF(ISNUMBER(SEARCH($G$2,H104)),MAX($G$4:G103)+1,0)</f>
        <v>0</v>
      </c>
      <c r="K104" s="29" t="str">
        <f>IFERROR(VLOOKUP(ROWS($K$4:K103),$G$5:$I$149,2,0),"")</f>
        <v/>
      </c>
      <c r="L104" s="11"/>
      <c r="M104" s="16"/>
      <c r="N104" s="12"/>
      <c r="O104" s="12"/>
      <c r="P104" s="13"/>
      <c r="Q104" s="11"/>
      <c r="R104" s="12"/>
      <c r="S104" s="12"/>
      <c r="T104" s="12"/>
      <c r="U104" s="13"/>
      <c r="V104" s="11"/>
      <c r="W104" s="12"/>
      <c r="X104" s="12"/>
      <c r="Y104" s="12"/>
      <c r="Z104" s="13"/>
      <c r="AA104" s="12">
        <v>100</v>
      </c>
    </row>
    <row r="105" spans="1:27" ht="18.75" x14ac:dyDescent="0.3">
      <c r="A105" s="35"/>
      <c r="B105" s="35"/>
      <c r="C105" s="35"/>
      <c r="D105" s="35"/>
      <c r="E105" s="35"/>
      <c r="F105" s="35"/>
      <c r="G105">
        <f>IF(ISNUMBER(SEARCH($G$2,H105)),MAX($G$4:G104)+1,0)</f>
        <v>0</v>
      </c>
      <c r="K105" s="29" t="str">
        <f>IFERROR(VLOOKUP(ROWS($K$4:K104),$G$5:$I$149,2,0),"")</f>
        <v/>
      </c>
      <c r="L105" s="11"/>
      <c r="M105" s="16"/>
      <c r="N105" s="12"/>
      <c r="O105" s="12"/>
      <c r="P105" s="13"/>
      <c r="Q105" s="11"/>
      <c r="R105" s="12"/>
      <c r="S105" s="12"/>
      <c r="T105" s="12"/>
      <c r="U105" s="13"/>
      <c r="V105" s="11"/>
      <c r="W105" s="12"/>
      <c r="X105" s="12"/>
      <c r="Y105" s="12"/>
      <c r="Z105" s="13"/>
      <c r="AA105" s="12">
        <v>100</v>
      </c>
    </row>
    <row r="106" spans="1:27" ht="18.75" x14ac:dyDescent="0.3">
      <c r="A106" s="35"/>
      <c r="B106" s="35"/>
      <c r="C106" s="35"/>
      <c r="D106" s="35"/>
      <c r="E106" s="35"/>
      <c r="F106" s="35"/>
      <c r="G106">
        <f>IF(ISNUMBER(SEARCH($G$2,H106)),MAX($G$4:G105)+1,0)</f>
        <v>0</v>
      </c>
      <c r="K106" s="29" t="str">
        <f>IFERROR(VLOOKUP(ROWS($K$4:K105),$G$5:$I$149,2,0),"")</f>
        <v/>
      </c>
      <c r="L106" s="11"/>
      <c r="M106" s="16"/>
      <c r="N106" s="12"/>
      <c r="O106" s="12"/>
      <c r="P106" s="13"/>
      <c r="Q106" s="11"/>
      <c r="R106" s="12"/>
      <c r="S106" s="12"/>
      <c r="T106" s="12"/>
      <c r="U106" s="13"/>
      <c r="V106" s="11"/>
      <c r="W106" s="12"/>
      <c r="X106" s="12"/>
      <c r="Y106" s="12"/>
      <c r="Z106" s="13"/>
      <c r="AA106" s="12">
        <v>100</v>
      </c>
    </row>
    <row r="107" spans="1:27" ht="18.75" x14ac:dyDescent="0.3">
      <c r="A107" s="35"/>
      <c r="B107" s="35"/>
      <c r="C107" s="35"/>
      <c r="D107" s="35"/>
      <c r="E107" s="35"/>
      <c r="F107" s="35"/>
      <c r="G107">
        <f>IF(ISNUMBER(SEARCH($G$2,H107)),MAX($G$4:G106)+1,0)</f>
        <v>0</v>
      </c>
      <c r="K107" s="29" t="str">
        <f>IFERROR(VLOOKUP(ROWS($K$4:K106),$G$5:$I$149,2,0),"")</f>
        <v/>
      </c>
      <c r="L107" s="11"/>
      <c r="M107" s="16"/>
      <c r="N107" s="12"/>
      <c r="O107" s="12"/>
      <c r="P107" s="13"/>
      <c r="Q107" s="11"/>
      <c r="R107" s="12"/>
      <c r="S107" s="12"/>
      <c r="T107" s="12"/>
      <c r="U107" s="13"/>
      <c r="V107" s="11"/>
      <c r="W107" s="12"/>
      <c r="X107" s="12"/>
      <c r="Y107" s="12"/>
      <c r="Z107" s="13"/>
      <c r="AA107" s="12">
        <v>100</v>
      </c>
    </row>
    <row r="108" spans="1:27" ht="18.75" x14ac:dyDescent="0.3">
      <c r="A108" s="35"/>
      <c r="B108" s="35"/>
      <c r="C108" s="35"/>
      <c r="D108" s="35"/>
      <c r="E108" s="35"/>
      <c r="F108" s="35"/>
      <c r="G108">
        <f>IF(ISNUMBER(SEARCH($G$2,H108)),MAX($G$4:G107)+1,0)</f>
        <v>0</v>
      </c>
      <c r="K108" s="29" t="str">
        <f>IFERROR(VLOOKUP(ROWS($K$4:K107),$G$5:$I$149,2,0),"")</f>
        <v/>
      </c>
      <c r="L108" s="11"/>
      <c r="M108" s="16"/>
      <c r="N108" s="12"/>
      <c r="O108" s="12"/>
      <c r="P108" s="13"/>
      <c r="Q108" s="11"/>
      <c r="R108" s="12"/>
      <c r="S108" s="12"/>
      <c r="T108" s="12"/>
      <c r="U108" s="13"/>
      <c r="V108" s="11"/>
      <c r="W108" s="12"/>
      <c r="X108" s="12"/>
      <c r="Y108" s="12"/>
      <c r="Z108" s="13"/>
      <c r="AA108" s="12">
        <v>100</v>
      </c>
    </row>
    <row r="109" spans="1:27" ht="18.75" x14ac:dyDescent="0.3">
      <c r="A109" s="35"/>
      <c r="B109" s="35"/>
      <c r="C109" s="35"/>
      <c r="D109" s="35"/>
      <c r="E109" s="35"/>
      <c r="F109" s="35"/>
      <c r="G109">
        <f>IF(ISNUMBER(SEARCH($G$2,H109)),MAX($G$4:G108)+1,0)</f>
        <v>0</v>
      </c>
      <c r="K109" s="29" t="str">
        <f>IFERROR(VLOOKUP(ROWS($K$4:K108),$G$5:$I$149,2,0),"")</f>
        <v/>
      </c>
      <c r="L109" s="11"/>
      <c r="M109" s="16"/>
      <c r="N109" s="12"/>
      <c r="O109" s="12"/>
      <c r="P109" s="13"/>
      <c r="Q109" s="11"/>
      <c r="R109" s="12"/>
      <c r="S109" s="12"/>
      <c r="T109" s="12"/>
      <c r="U109" s="13"/>
      <c r="V109" s="11"/>
      <c r="W109" s="12"/>
      <c r="X109" s="12"/>
      <c r="Y109" s="12"/>
      <c r="Z109" s="13"/>
      <c r="AA109" s="12">
        <v>100</v>
      </c>
    </row>
    <row r="110" spans="1:27" ht="18.75" x14ac:dyDescent="0.3">
      <c r="A110" s="35"/>
      <c r="B110" s="35"/>
      <c r="C110" s="35"/>
      <c r="D110" s="35"/>
      <c r="E110" s="35"/>
      <c r="F110" s="35"/>
      <c r="G110">
        <f>IF(ISNUMBER(SEARCH($G$2,H110)),MAX($G$4:G109)+1,0)</f>
        <v>0</v>
      </c>
      <c r="K110" s="29" t="str">
        <f>IFERROR(VLOOKUP(ROWS($K$4:K109),$G$5:$I$149,2,0),"")</f>
        <v/>
      </c>
      <c r="L110" s="11"/>
      <c r="M110" s="16"/>
      <c r="N110" s="12"/>
      <c r="O110" s="12"/>
      <c r="P110" s="13"/>
      <c r="Q110" s="11"/>
      <c r="R110" s="12"/>
      <c r="S110" s="12"/>
      <c r="T110" s="12"/>
      <c r="U110" s="13"/>
      <c r="V110" s="11"/>
      <c r="W110" s="12"/>
      <c r="X110" s="12"/>
      <c r="Y110" s="12"/>
      <c r="Z110" s="13"/>
      <c r="AA110" s="12">
        <v>100</v>
      </c>
    </row>
    <row r="111" spans="1:27" ht="18.75" x14ac:dyDescent="0.3">
      <c r="A111" s="35"/>
      <c r="B111" s="35"/>
      <c r="C111" s="35"/>
      <c r="D111" s="35"/>
      <c r="E111" s="35"/>
      <c r="F111" s="35"/>
      <c r="G111">
        <f>IF(ISNUMBER(SEARCH($G$2,H111)),MAX($G$4:G110)+1,0)</f>
        <v>0</v>
      </c>
      <c r="K111" s="29" t="str">
        <f>IFERROR(VLOOKUP(ROWS($K$4:K110),$G$5:$I$149,2,0),"")</f>
        <v/>
      </c>
      <c r="L111" s="11"/>
      <c r="M111" s="16"/>
      <c r="N111" s="12"/>
      <c r="O111" s="12"/>
      <c r="P111" s="13"/>
      <c r="Q111" s="11"/>
      <c r="R111" s="12"/>
      <c r="S111" s="12"/>
      <c r="T111" s="12"/>
      <c r="U111" s="13"/>
      <c r="V111" s="11"/>
      <c r="W111" s="12"/>
      <c r="X111" s="12"/>
      <c r="Y111" s="12"/>
      <c r="Z111" s="13"/>
      <c r="AA111" s="12">
        <v>100</v>
      </c>
    </row>
    <row r="112" spans="1:27" ht="18.75" x14ac:dyDescent="0.3">
      <c r="A112" s="35"/>
      <c r="B112" s="35"/>
      <c r="C112" s="35"/>
      <c r="D112" s="35"/>
      <c r="E112" s="35"/>
      <c r="F112" s="35"/>
      <c r="G112">
        <f>IF(ISNUMBER(SEARCH($G$2,H112)),MAX($G$4:G111)+1,0)</f>
        <v>0</v>
      </c>
      <c r="K112" s="29" t="str">
        <f>IFERROR(VLOOKUP(ROWS($K$4:K111),$G$5:$I$149,2,0),"")</f>
        <v/>
      </c>
      <c r="L112" s="11"/>
      <c r="M112" s="16"/>
      <c r="N112" s="12"/>
      <c r="O112" s="12"/>
      <c r="P112" s="13"/>
      <c r="Q112" s="11"/>
      <c r="R112" s="12"/>
      <c r="S112" s="12"/>
      <c r="T112" s="12"/>
      <c r="U112" s="13"/>
      <c r="V112" s="11"/>
      <c r="W112" s="12"/>
      <c r="X112" s="12"/>
      <c r="Y112" s="12"/>
      <c r="Z112" s="13"/>
      <c r="AA112" s="12">
        <v>100</v>
      </c>
    </row>
    <row r="113" spans="1:27" ht="18.75" x14ac:dyDescent="0.3">
      <c r="A113" s="35"/>
      <c r="B113" s="35"/>
      <c r="C113" s="35"/>
      <c r="D113" s="35"/>
      <c r="E113" s="35"/>
      <c r="F113" s="35"/>
      <c r="G113">
        <f>IF(ISNUMBER(SEARCH($G$2,H113)),MAX($G$4:G112)+1,0)</f>
        <v>0</v>
      </c>
      <c r="K113" s="29" t="str">
        <f>IFERROR(VLOOKUP(ROWS($K$4:K112),$G$5:$I$149,2,0),"")</f>
        <v/>
      </c>
      <c r="L113" s="11"/>
      <c r="M113" s="16"/>
      <c r="N113" s="12"/>
      <c r="O113" s="12"/>
      <c r="P113" s="13"/>
      <c r="Q113" s="11"/>
      <c r="R113" s="12"/>
      <c r="S113" s="12"/>
      <c r="T113" s="12"/>
      <c r="U113" s="13"/>
      <c r="V113" s="11"/>
      <c r="W113" s="12"/>
      <c r="X113" s="12"/>
      <c r="Y113" s="12"/>
      <c r="Z113" s="13"/>
      <c r="AA113" s="12">
        <v>100</v>
      </c>
    </row>
    <row r="114" spans="1:27" ht="18.75" x14ac:dyDescent="0.3">
      <c r="A114" s="35"/>
      <c r="B114" s="35"/>
      <c r="C114" s="35"/>
      <c r="D114" s="35"/>
      <c r="E114" s="35"/>
      <c r="F114" s="35"/>
      <c r="G114">
        <f>IF(ISNUMBER(SEARCH($G$2,H114)),MAX($G$4:G113)+1,0)</f>
        <v>0</v>
      </c>
      <c r="K114" s="29" t="str">
        <f>IFERROR(VLOOKUP(ROWS($K$4:K113),$G$5:$I$149,2,0),"")</f>
        <v/>
      </c>
      <c r="L114" s="11"/>
      <c r="M114" s="16"/>
      <c r="N114" s="12"/>
      <c r="O114" s="12"/>
      <c r="P114" s="13"/>
      <c r="Q114" s="11"/>
      <c r="R114" s="12"/>
      <c r="S114" s="12"/>
      <c r="T114" s="12"/>
      <c r="U114" s="13"/>
      <c r="V114" s="11"/>
      <c r="W114" s="12"/>
      <c r="X114" s="12"/>
      <c r="Y114" s="12"/>
      <c r="Z114" s="13"/>
      <c r="AA114" s="12">
        <v>100</v>
      </c>
    </row>
    <row r="115" spans="1:27" ht="18.75" x14ac:dyDescent="0.3">
      <c r="A115" s="35"/>
      <c r="B115" s="35"/>
      <c r="C115" s="35"/>
      <c r="D115" s="35"/>
      <c r="E115" s="35"/>
      <c r="F115" s="35"/>
      <c r="G115">
        <f>IF(ISNUMBER(SEARCH($G$2,H115)),MAX($G$4:G114)+1,0)</f>
        <v>0</v>
      </c>
      <c r="K115" s="29" t="str">
        <f>IFERROR(VLOOKUP(ROWS($K$4:K114),$G$5:$I$149,2,0),"")</f>
        <v/>
      </c>
      <c r="L115" s="11"/>
      <c r="M115" s="16"/>
      <c r="N115" s="12"/>
      <c r="O115" s="12"/>
      <c r="P115" s="13"/>
      <c r="Q115" s="11"/>
      <c r="R115" s="12"/>
      <c r="S115" s="12"/>
      <c r="T115" s="12"/>
      <c r="U115" s="13"/>
      <c r="V115" s="11"/>
      <c r="W115" s="12"/>
      <c r="X115" s="12"/>
      <c r="Y115" s="12"/>
      <c r="Z115" s="13"/>
      <c r="AA115" s="12">
        <v>100</v>
      </c>
    </row>
    <row r="116" spans="1:27" ht="18.75" x14ac:dyDescent="0.3">
      <c r="A116" s="35"/>
      <c r="B116" s="35"/>
      <c r="C116" s="35"/>
      <c r="D116" s="35"/>
      <c r="E116" s="35"/>
      <c r="F116" s="35"/>
      <c r="G116">
        <f>IF(ISNUMBER(SEARCH($G$2,H116)),MAX($G$4:G115)+1,0)</f>
        <v>0</v>
      </c>
      <c r="K116" s="29" t="str">
        <f>IFERROR(VLOOKUP(ROWS($K$4:K115),$G$5:$I$149,2,0),"")</f>
        <v/>
      </c>
      <c r="L116" s="11"/>
      <c r="M116" s="16"/>
      <c r="N116" s="12"/>
      <c r="O116" s="12"/>
      <c r="P116" s="13"/>
      <c r="Q116" s="11"/>
      <c r="R116" s="12"/>
      <c r="S116" s="12"/>
      <c r="T116" s="12"/>
      <c r="U116" s="13"/>
      <c r="V116" s="11"/>
      <c r="W116" s="12"/>
      <c r="X116" s="12"/>
      <c r="Y116" s="12"/>
      <c r="Z116" s="13"/>
      <c r="AA116" s="12">
        <v>100</v>
      </c>
    </row>
    <row r="117" spans="1:27" ht="18.75" x14ac:dyDescent="0.3">
      <c r="A117" s="35"/>
      <c r="B117" s="35"/>
      <c r="C117" s="35"/>
      <c r="D117" s="35"/>
      <c r="E117" s="35"/>
      <c r="F117" s="35"/>
      <c r="G117">
        <f>IF(ISNUMBER(SEARCH($G$2,H117)),MAX($G$4:G116)+1,0)</f>
        <v>0</v>
      </c>
      <c r="K117" s="29" t="str">
        <f>IFERROR(VLOOKUP(ROWS($K$4:K116),$G$5:$I$149,2,0),"")</f>
        <v/>
      </c>
      <c r="L117" s="11"/>
      <c r="M117" s="16"/>
      <c r="N117" s="12"/>
      <c r="O117" s="12"/>
      <c r="P117" s="13"/>
      <c r="Q117" s="11"/>
      <c r="R117" s="12"/>
      <c r="S117" s="12"/>
      <c r="T117" s="12"/>
      <c r="U117" s="13"/>
      <c r="V117" s="11"/>
      <c r="W117" s="12"/>
      <c r="X117" s="12"/>
      <c r="Y117" s="12"/>
      <c r="Z117" s="13"/>
      <c r="AA117" s="12">
        <v>100</v>
      </c>
    </row>
    <row r="118" spans="1:27" ht="18.75" x14ac:dyDescent="0.3">
      <c r="A118" s="35"/>
      <c r="B118" s="35"/>
      <c r="C118" s="35"/>
      <c r="D118" s="35"/>
      <c r="E118" s="35"/>
      <c r="F118" s="35"/>
      <c r="G118">
        <f>IF(ISNUMBER(SEARCH($G$2,H118)),MAX($G$4:G117)+1,0)</f>
        <v>0</v>
      </c>
      <c r="K118" s="29" t="str">
        <f>IFERROR(VLOOKUP(ROWS($K$4:K117),$G$5:$I$149,2,0),"")</f>
        <v/>
      </c>
      <c r="L118" s="11"/>
      <c r="M118" s="16"/>
      <c r="N118" s="12"/>
      <c r="O118" s="12"/>
      <c r="P118" s="13"/>
      <c r="Q118" s="11"/>
      <c r="R118" s="12"/>
      <c r="S118" s="12"/>
      <c r="T118" s="12"/>
      <c r="U118" s="13"/>
      <c r="V118" s="11"/>
      <c r="W118" s="12"/>
      <c r="X118" s="12"/>
      <c r="Y118" s="12"/>
      <c r="Z118" s="13"/>
      <c r="AA118" s="12">
        <v>100</v>
      </c>
    </row>
    <row r="119" spans="1:27" ht="18.75" x14ac:dyDescent="0.3">
      <c r="A119" s="35"/>
      <c r="B119" s="35"/>
      <c r="C119" s="35"/>
      <c r="D119" s="35"/>
      <c r="E119" s="35"/>
      <c r="F119" s="35"/>
      <c r="G119">
        <f>IF(ISNUMBER(SEARCH($G$2,H119)),MAX($G$4:G118)+1,0)</f>
        <v>0</v>
      </c>
      <c r="K119" s="29" t="str">
        <f>IFERROR(VLOOKUP(ROWS($K$4:K118),$G$5:$I$149,2,0),"")</f>
        <v/>
      </c>
      <c r="L119" s="11"/>
      <c r="M119" s="16"/>
      <c r="N119" s="12"/>
      <c r="O119" s="12"/>
      <c r="P119" s="13"/>
      <c r="Q119" s="11"/>
      <c r="R119" s="12"/>
      <c r="S119" s="12"/>
      <c r="T119" s="12"/>
      <c r="U119" s="13"/>
      <c r="V119" s="11"/>
      <c r="W119" s="12"/>
      <c r="X119" s="12"/>
      <c r="Y119" s="12"/>
      <c r="Z119" s="13"/>
      <c r="AA119" s="12">
        <v>100</v>
      </c>
    </row>
    <row r="120" spans="1:27" ht="18.75" x14ac:dyDescent="0.3">
      <c r="A120" s="35"/>
      <c r="B120" s="35"/>
      <c r="C120" s="35"/>
      <c r="D120" s="35"/>
      <c r="E120" s="35"/>
      <c r="F120" s="35"/>
      <c r="G120">
        <f>IF(ISNUMBER(SEARCH($G$2,H120)),MAX($G$4:G119)+1,0)</f>
        <v>0</v>
      </c>
      <c r="K120" s="29" t="str">
        <f>IFERROR(VLOOKUP(ROWS($K$4:K119),$G$5:$I$149,2,0),"")</f>
        <v/>
      </c>
      <c r="L120" s="11"/>
      <c r="M120" s="16"/>
      <c r="N120" s="12"/>
      <c r="O120" s="12"/>
      <c r="P120" s="13"/>
      <c r="Q120" s="11"/>
      <c r="R120" s="12"/>
      <c r="S120" s="12"/>
      <c r="T120" s="12"/>
      <c r="U120" s="13"/>
      <c r="V120" s="11"/>
      <c r="W120" s="12"/>
      <c r="X120" s="12"/>
      <c r="Y120" s="12"/>
      <c r="Z120" s="13"/>
      <c r="AA120" s="12">
        <v>100</v>
      </c>
    </row>
    <row r="121" spans="1:27" ht="18.75" x14ac:dyDescent="0.3">
      <c r="A121" s="35"/>
      <c r="B121" s="35"/>
      <c r="C121" s="35"/>
      <c r="D121" s="35"/>
      <c r="E121" s="35"/>
      <c r="F121" s="35"/>
      <c r="G121">
        <f>IF(ISNUMBER(SEARCH($G$2,H121)),MAX($G$4:G120)+1,0)</f>
        <v>0</v>
      </c>
      <c r="K121" s="29" t="str">
        <f>IFERROR(VLOOKUP(ROWS($K$4:K120),$G$5:$I$149,2,0),"")</f>
        <v/>
      </c>
      <c r="L121" s="11"/>
      <c r="M121" s="16"/>
      <c r="N121" s="12"/>
      <c r="O121" s="12"/>
      <c r="P121" s="13"/>
      <c r="Q121" s="11"/>
      <c r="R121" s="12"/>
      <c r="S121" s="12"/>
      <c r="T121" s="12"/>
      <c r="U121" s="13"/>
      <c r="V121" s="11"/>
      <c r="W121" s="12"/>
      <c r="X121" s="12"/>
      <c r="Y121" s="12"/>
      <c r="Z121" s="13"/>
      <c r="AA121" s="12">
        <v>100</v>
      </c>
    </row>
    <row r="122" spans="1:27" ht="18.75" x14ac:dyDescent="0.3">
      <c r="A122" s="35"/>
      <c r="B122" s="35"/>
      <c r="C122" s="35"/>
      <c r="D122" s="35"/>
      <c r="E122" s="35"/>
      <c r="F122" s="35"/>
      <c r="G122">
        <f>IF(ISNUMBER(SEARCH($G$2,H122)),MAX($G$4:G121)+1,0)</f>
        <v>0</v>
      </c>
      <c r="K122" s="29" t="str">
        <f>IFERROR(VLOOKUP(ROWS($K$4:K121),$G$5:$I$149,2,0),"")</f>
        <v/>
      </c>
      <c r="L122" s="11"/>
      <c r="M122" s="16"/>
      <c r="N122" s="12"/>
      <c r="O122" s="12"/>
      <c r="P122" s="13"/>
      <c r="Q122" s="11"/>
      <c r="R122" s="12"/>
      <c r="S122" s="12"/>
      <c r="T122" s="12"/>
      <c r="U122" s="13"/>
      <c r="V122" s="11"/>
      <c r="W122" s="12"/>
      <c r="X122" s="12"/>
      <c r="Y122" s="12"/>
      <c r="Z122" s="13"/>
      <c r="AA122" s="12">
        <v>100</v>
      </c>
    </row>
    <row r="123" spans="1:27" ht="18.75" x14ac:dyDescent="0.3">
      <c r="A123" s="35"/>
      <c r="B123" s="35"/>
      <c r="C123" s="35"/>
      <c r="D123" s="35"/>
      <c r="E123" s="35"/>
      <c r="F123" s="35"/>
      <c r="G123">
        <f>IF(ISNUMBER(SEARCH($G$2,H123)),MAX($G$4:G122)+1,0)</f>
        <v>0</v>
      </c>
      <c r="K123" s="29" t="str">
        <f>IFERROR(VLOOKUP(ROWS($K$4:K122),$G$5:$I$149,2,0),"")</f>
        <v/>
      </c>
      <c r="L123" s="11"/>
      <c r="M123" s="16"/>
      <c r="N123" s="12"/>
      <c r="O123" s="12"/>
      <c r="P123" s="13"/>
      <c r="Q123" s="11"/>
      <c r="R123" s="12"/>
      <c r="S123" s="12"/>
      <c r="T123" s="12"/>
      <c r="U123" s="13"/>
      <c r="V123" s="11"/>
      <c r="W123" s="12"/>
      <c r="X123" s="12"/>
      <c r="Y123" s="12"/>
      <c r="Z123" s="13"/>
      <c r="AA123" s="12">
        <v>100</v>
      </c>
    </row>
    <row r="124" spans="1:27" ht="18.75" x14ac:dyDescent="0.3">
      <c r="A124" s="35"/>
      <c r="B124" s="35"/>
      <c r="C124" s="35"/>
      <c r="D124" s="35"/>
      <c r="E124" s="35"/>
      <c r="F124" s="35"/>
      <c r="G124">
        <f>IF(ISNUMBER(SEARCH($G$2,H124)),MAX($G$4:G123)+1,0)</f>
        <v>0</v>
      </c>
      <c r="K124" s="29" t="str">
        <f>IFERROR(VLOOKUP(ROWS($K$4:K123),$G$5:$I$149,2,0),"")</f>
        <v/>
      </c>
      <c r="L124" s="11"/>
      <c r="M124" s="16"/>
      <c r="N124" s="12"/>
      <c r="O124" s="12"/>
      <c r="P124" s="13"/>
      <c r="Q124" s="11"/>
      <c r="R124" s="12"/>
      <c r="S124" s="12"/>
      <c r="T124" s="12"/>
      <c r="U124" s="13"/>
      <c r="V124" s="11"/>
      <c r="W124" s="12"/>
      <c r="X124" s="12"/>
      <c r="Y124" s="12"/>
      <c r="Z124" s="13"/>
      <c r="AA124" s="12">
        <v>100</v>
      </c>
    </row>
    <row r="125" spans="1:27" ht="18.75" x14ac:dyDescent="0.3">
      <c r="A125" s="35"/>
      <c r="B125" s="35"/>
      <c r="C125" s="35"/>
      <c r="D125" s="35"/>
      <c r="E125" s="35"/>
      <c r="F125" s="35"/>
      <c r="G125">
        <f>IF(ISNUMBER(SEARCH($G$2,H125)),MAX($G$4:G124)+1,0)</f>
        <v>0</v>
      </c>
      <c r="K125" s="29" t="str">
        <f>IFERROR(VLOOKUP(ROWS($K$4:K124),$G$5:$I$149,2,0),"")</f>
        <v/>
      </c>
      <c r="L125" s="11"/>
      <c r="M125" s="16"/>
      <c r="N125" s="12"/>
      <c r="O125" s="12"/>
      <c r="P125" s="13"/>
      <c r="Q125" s="11"/>
      <c r="R125" s="12"/>
      <c r="S125" s="12"/>
      <c r="T125" s="12"/>
      <c r="U125" s="13"/>
      <c r="V125" s="11"/>
      <c r="W125" s="12"/>
      <c r="X125" s="12"/>
      <c r="Y125" s="12"/>
      <c r="Z125" s="13"/>
      <c r="AA125" s="12">
        <v>100</v>
      </c>
    </row>
    <row r="126" spans="1:27" ht="18.75" x14ac:dyDescent="0.3">
      <c r="A126" s="35"/>
      <c r="B126" s="35"/>
      <c r="C126" s="35"/>
      <c r="D126" s="35"/>
      <c r="E126" s="35"/>
      <c r="F126" s="35"/>
      <c r="G126">
        <f>IF(ISNUMBER(SEARCH($G$2,H126)),MAX($G$4:G125)+1,0)</f>
        <v>0</v>
      </c>
      <c r="K126" s="29" t="str">
        <f>IFERROR(VLOOKUP(ROWS($K$4:K125),$G$5:$I$149,2,0),"")</f>
        <v/>
      </c>
      <c r="L126" s="11"/>
      <c r="M126" s="16"/>
      <c r="N126" s="12"/>
      <c r="O126" s="12"/>
      <c r="P126" s="13"/>
      <c r="Q126" s="11"/>
      <c r="R126" s="12"/>
      <c r="S126" s="12"/>
      <c r="T126" s="12"/>
      <c r="U126" s="13"/>
      <c r="V126" s="11"/>
      <c r="W126" s="12"/>
      <c r="X126" s="12"/>
      <c r="Y126" s="12"/>
      <c r="Z126" s="13"/>
      <c r="AA126" s="12">
        <v>100</v>
      </c>
    </row>
    <row r="127" spans="1:27" ht="18.75" x14ac:dyDescent="0.3">
      <c r="A127" s="35"/>
      <c r="B127" s="35"/>
      <c r="C127" s="35"/>
      <c r="D127" s="35"/>
      <c r="E127" s="35"/>
      <c r="F127" s="35"/>
      <c r="G127">
        <f>IF(ISNUMBER(SEARCH($G$2,H127)),MAX($G$4:G126)+1,0)</f>
        <v>0</v>
      </c>
      <c r="K127" s="29" t="str">
        <f>IFERROR(VLOOKUP(ROWS($K$4:K126),$G$5:$I$149,2,0),"")</f>
        <v/>
      </c>
      <c r="L127" s="11"/>
      <c r="M127" s="16"/>
      <c r="N127" s="12"/>
      <c r="O127" s="12"/>
      <c r="P127" s="13"/>
      <c r="Q127" s="11"/>
      <c r="R127" s="12"/>
      <c r="S127" s="12"/>
      <c r="T127" s="12"/>
      <c r="U127" s="13"/>
      <c r="V127" s="11"/>
      <c r="W127" s="12"/>
      <c r="X127" s="12"/>
      <c r="Y127" s="12"/>
      <c r="Z127" s="13"/>
      <c r="AA127" s="12">
        <v>100</v>
      </c>
    </row>
    <row r="128" spans="1:27" ht="18.75" x14ac:dyDescent="0.3">
      <c r="A128" s="35"/>
      <c r="B128" s="35"/>
      <c r="C128" s="35"/>
      <c r="D128" s="35"/>
      <c r="E128" s="35"/>
      <c r="F128" s="35"/>
      <c r="G128">
        <f>IF(ISNUMBER(SEARCH($G$2,H128)),MAX($G$4:G127)+1,0)</f>
        <v>0</v>
      </c>
      <c r="K128" s="29" t="str">
        <f>IFERROR(VLOOKUP(ROWS($K$4:K127),$G$5:$I$149,2,0),"")</f>
        <v/>
      </c>
      <c r="L128" s="11"/>
      <c r="M128" s="16"/>
      <c r="N128" s="12"/>
      <c r="O128" s="12"/>
      <c r="P128" s="13"/>
      <c r="Q128" s="11"/>
      <c r="R128" s="12"/>
      <c r="S128" s="12"/>
      <c r="T128" s="12"/>
      <c r="U128" s="13"/>
      <c r="V128" s="11"/>
      <c r="W128" s="12"/>
      <c r="X128" s="12"/>
      <c r="Y128" s="12"/>
      <c r="Z128" s="13"/>
      <c r="AA128" s="12">
        <v>100</v>
      </c>
    </row>
    <row r="129" spans="1:27" ht="18.75" x14ac:dyDescent="0.3">
      <c r="A129" s="35"/>
      <c r="B129" s="35"/>
      <c r="C129" s="35"/>
      <c r="D129" s="35"/>
      <c r="E129" s="35"/>
      <c r="F129" s="35"/>
      <c r="G129">
        <f>IF(ISNUMBER(SEARCH($G$2,H129)),MAX($G$4:G128)+1,0)</f>
        <v>0</v>
      </c>
      <c r="K129" s="29" t="str">
        <f>IFERROR(VLOOKUP(ROWS($K$4:K128),$G$5:$I$149,2,0),"")</f>
        <v/>
      </c>
      <c r="L129" s="11"/>
      <c r="M129" s="16"/>
      <c r="N129" s="12"/>
      <c r="O129" s="12"/>
      <c r="P129" s="13"/>
      <c r="Q129" s="11"/>
      <c r="R129" s="12"/>
      <c r="S129" s="12"/>
      <c r="T129" s="12"/>
      <c r="U129" s="13"/>
      <c r="V129" s="11"/>
      <c r="W129" s="12"/>
      <c r="X129" s="12"/>
      <c r="Y129" s="12"/>
      <c r="Z129" s="13"/>
      <c r="AA129" s="12">
        <v>100</v>
      </c>
    </row>
    <row r="130" spans="1:27" ht="18.75" x14ac:dyDescent="0.3">
      <c r="A130" s="35"/>
      <c r="B130" s="35"/>
      <c r="C130" s="35"/>
      <c r="D130" s="35"/>
      <c r="E130" s="35"/>
      <c r="F130" s="35"/>
      <c r="G130">
        <f>IF(ISNUMBER(SEARCH($G$2,H130)),MAX($G$4:G129)+1,0)</f>
        <v>0</v>
      </c>
      <c r="K130" s="29" t="str">
        <f>IFERROR(VLOOKUP(ROWS($K$4:K129),$G$5:$I$149,2,0),"")</f>
        <v/>
      </c>
      <c r="L130" s="11"/>
      <c r="M130" s="16"/>
      <c r="N130" s="12"/>
      <c r="O130" s="12"/>
      <c r="P130" s="13"/>
      <c r="Q130" s="11"/>
      <c r="R130" s="12"/>
      <c r="S130" s="12"/>
      <c r="T130" s="12"/>
      <c r="U130" s="13"/>
      <c r="V130" s="11"/>
      <c r="W130" s="12"/>
      <c r="X130" s="12"/>
      <c r="Y130" s="12"/>
      <c r="Z130" s="13"/>
      <c r="AA130" s="12">
        <v>100</v>
      </c>
    </row>
    <row r="131" spans="1:27" ht="18.75" x14ac:dyDescent="0.3">
      <c r="A131" s="35"/>
      <c r="B131" s="35"/>
      <c r="C131" s="35"/>
      <c r="D131" s="35"/>
      <c r="E131" s="35"/>
      <c r="F131" s="35"/>
      <c r="G131">
        <f>IF(ISNUMBER(SEARCH($G$2,H131)),MAX($G$4:G130)+1,0)</f>
        <v>0</v>
      </c>
      <c r="K131" s="29" t="str">
        <f>IFERROR(VLOOKUP(ROWS($K$4:K130),$G$5:$I$149,2,0),"")</f>
        <v/>
      </c>
      <c r="L131" s="11"/>
      <c r="M131" s="16"/>
      <c r="N131" s="12"/>
      <c r="O131" s="12"/>
      <c r="P131" s="13"/>
      <c r="Q131" s="11"/>
      <c r="R131" s="12"/>
      <c r="S131" s="12"/>
      <c r="T131" s="12"/>
      <c r="U131" s="13"/>
      <c r="V131" s="11"/>
      <c r="W131" s="12"/>
      <c r="X131" s="12"/>
      <c r="Y131" s="12"/>
      <c r="Z131" s="13"/>
      <c r="AA131" s="12">
        <v>100</v>
      </c>
    </row>
    <row r="132" spans="1:27" ht="18.75" x14ac:dyDescent="0.3">
      <c r="A132" s="35"/>
      <c r="B132" s="35"/>
      <c r="C132" s="35"/>
      <c r="D132" s="35"/>
      <c r="E132" s="35"/>
      <c r="F132" s="35"/>
      <c r="G132">
        <f>IF(ISNUMBER(SEARCH($G$2,H132)),MAX($G$4:G131)+1,0)</f>
        <v>0</v>
      </c>
      <c r="K132" s="29" t="str">
        <f>IFERROR(VLOOKUP(ROWS($K$4:K131),$G$5:$I$149,2,0),"")</f>
        <v/>
      </c>
      <c r="L132" s="11"/>
      <c r="M132" s="16"/>
      <c r="N132" s="12"/>
      <c r="O132" s="12"/>
      <c r="P132" s="13"/>
      <c r="Q132" s="11"/>
      <c r="R132" s="12"/>
      <c r="S132" s="12"/>
      <c r="T132" s="12"/>
      <c r="U132" s="13"/>
      <c r="V132" s="11"/>
      <c r="W132" s="12"/>
      <c r="X132" s="12"/>
      <c r="Y132" s="12"/>
      <c r="Z132" s="13"/>
      <c r="AA132" s="12">
        <v>100</v>
      </c>
    </row>
    <row r="133" spans="1:27" ht="18.75" x14ac:dyDescent="0.3">
      <c r="A133" s="35"/>
      <c r="B133" s="35"/>
      <c r="C133" s="35"/>
      <c r="D133" s="35"/>
      <c r="E133" s="35"/>
      <c r="F133" s="35"/>
      <c r="G133">
        <f>IF(ISNUMBER(SEARCH($G$2,H133)),MAX($G$4:G132)+1,0)</f>
        <v>0</v>
      </c>
      <c r="K133" s="29" t="str">
        <f>IFERROR(VLOOKUP(ROWS($K$4:K132),$G$5:$I$149,2,0),"")</f>
        <v/>
      </c>
      <c r="L133" s="11"/>
      <c r="M133" s="16"/>
      <c r="N133" s="12"/>
      <c r="O133" s="12"/>
      <c r="P133" s="13"/>
      <c r="Q133" s="11"/>
      <c r="R133" s="12"/>
      <c r="S133" s="12"/>
      <c r="T133" s="12"/>
      <c r="U133" s="13"/>
      <c r="V133" s="11"/>
      <c r="W133" s="12"/>
      <c r="X133" s="12"/>
      <c r="Y133" s="12"/>
      <c r="Z133" s="13"/>
      <c r="AA133" s="12">
        <v>100</v>
      </c>
    </row>
    <row r="134" spans="1:27" ht="18.75" x14ac:dyDescent="0.3">
      <c r="A134" s="35"/>
      <c r="B134" s="35"/>
      <c r="C134" s="35"/>
      <c r="D134" s="35"/>
      <c r="E134" s="35"/>
      <c r="F134" s="35"/>
      <c r="G134">
        <f>IF(ISNUMBER(SEARCH($G$2,H134)),MAX($G$4:G133)+1,0)</f>
        <v>0</v>
      </c>
      <c r="K134" s="29" t="str">
        <f>IFERROR(VLOOKUP(ROWS($K$4:K133),$G$5:$I$149,2,0),"")</f>
        <v/>
      </c>
      <c r="L134" s="11"/>
      <c r="M134" s="16"/>
      <c r="N134" s="12"/>
      <c r="O134" s="12"/>
      <c r="P134" s="13"/>
      <c r="Q134" s="11"/>
      <c r="R134" s="12"/>
      <c r="S134" s="12"/>
      <c r="T134" s="12"/>
      <c r="U134" s="13"/>
      <c r="V134" s="11"/>
      <c r="W134" s="12"/>
      <c r="X134" s="12"/>
      <c r="Y134" s="12"/>
      <c r="Z134" s="13"/>
      <c r="AA134" s="12">
        <v>100</v>
      </c>
    </row>
    <row r="135" spans="1:27" ht="18.75" x14ac:dyDescent="0.3">
      <c r="A135" s="35"/>
      <c r="B135" s="35"/>
      <c r="C135" s="35"/>
      <c r="D135" s="35"/>
      <c r="E135" s="35"/>
      <c r="F135" s="35"/>
      <c r="G135">
        <f>IF(ISNUMBER(SEARCH($G$2,H135)),MAX($G$4:G134)+1,0)</f>
        <v>0</v>
      </c>
      <c r="K135" s="29" t="str">
        <f>IFERROR(VLOOKUP(ROWS($K$4:K134),$G$5:$I$149,2,0),"")</f>
        <v/>
      </c>
      <c r="L135" s="11"/>
      <c r="M135" s="16"/>
      <c r="N135" s="12"/>
      <c r="O135" s="12"/>
      <c r="P135" s="13"/>
      <c r="Q135" s="11"/>
      <c r="R135" s="12"/>
      <c r="S135" s="12"/>
      <c r="T135" s="12"/>
      <c r="U135" s="13"/>
      <c r="V135" s="11"/>
      <c r="W135" s="12"/>
      <c r="X135" s="12"/>
      <c r="Y135" s="12"/>
      <c r="Z135" s="13"/>
      <c r="AA135" s="12">
        <v>100</v>
      </c>
    </row>
    <row r="136" spans="1:27" ht="18.75" x14ac:dyDescent="0.3">
      <c r="A136" s="35"/>
      <c r="B136" s="35"/>
      <c r="C136" s="35"/>
      <c r="D136" s="35"/>
      <c r="E136" s="35"/>
      <c r="F136" s="35"/>
      <c r="G136">
        <f>IF(ISNUMBER(SEARCH($G$2,H136)),MAX($G$4:G135)+1,0)</f>
        <v>0</v>
      </c>
      <c r="K136" s="29" t="str">
        <f>IFERROR(VLOOKUP(ROWS($K$4:K135),$G$5:$I$149,2,0),"")</f>
        <v/>
      </c>
      <c r="L136" s="11"/>
      <c r="M136" s="16"/>
      <c r="N136" s="12"/>
      <c r="O136" s="12"/>
      <c r="P136" s="13"/>
      <c r="Q136" s="11"/>
      <c r="R136" s="12"/>
      <c r="S136" s="12"/>
      <c r="T136" s="12"/>
      <c r="U136" s="13"/>
      <c r="V136" s="11"/>
      <c r="W136" s="12"/>
      <c r="X136" s="12"/>
      <c r="Y136" s="12"/>
      <c r="Z136" s="13"/>
      <c r="AA136" s="12">
        <v>100</v>
      </c>
    </row>
    <row r="137" spans="1:27" ht="18.75" x14ac:dyDescent="0.3">
      <c r="A137" s="34"/>
      <c r="B137" s="34"/>
      <c r="C137" s="34"/>
      <c r="D137" s="34"/>
      <c r="E137" s="34"/>
      <c r="F137" s="34"/>
      <c r="G137">
        <f>IF(ISNUMBER(SEARCH($G$2,H137)),MAX($G$4:G136)+1,0)</f>
        <v>0</v>
      </c>
      <c r="K137" s="29" t="str">
        <f>IFERROR(VLOOKUP(ROWS($K$4:K136),$G$5:$I$149,2,0),"")</f>
        <v/>
      </c>
      <c r="L137" s="11"/>
      <c r="M137" s="16"/>
      <c r="N137" s="12"/>
      <c r="O137" s="12"/>
      <c r="P137" s="13"/>
      <c r="Q137" s="11"/>
      <c r="R137" s="12"/>
      <c r="S137" s="12"/>
      <c r="T137" s="12"/>
      <c r="U137" s="13"/>
      <c r="V137" s="11"/>
      <c r="W137" s="12"/>
      <c r="X137" s="12"/>
      <c r="Y137" s="12"/>
      <c r="Z137" s="13"/>
      <c r="AA137" s="12">
        <v>100</v>
      </c>
    </row>
    <row r="138" spans="1:27" ht="18.75" x14ac:dyDescent="0.3">
      <c r="G138">
        <f>IF(ISNUMBER(SEARCH($G$2,H138)),MAX($G$4:G137)+1,0)</f>
        <v>0</v>
      </c>
      <c r="K138" s="29" t="str">
        <f>IFERROR(VLOOKUP(ROWS($K$4:K137),$G$5:$I$149,2,0),"")</f>
        <v/>
      </c>
      <c r="L138" s="11"/>
      <c r="M138" s="16"/>
      <c r="N138" s="12"/>
      <c r="O138" s="12"/>
      <c r="P138" s="13"/>
      <c r="Q138" s="11"/>
      <c r="R138" s="12"/>
      <c r="S138" s="12"/>
      <c r="T138" s="12"/>
      <c r="U138" s="13"/>
      <c r="V138" s="11"/>
      <c r="W138" s="12"/>
      <c r="X138" s="12"/>
      <c r="Y138" s="12"/>
      <c r="Z138" s="13"/>
      <c r="AA138" s="12">
        <v>100</v>
      </c>
    </row>
    <row r="139" spans="1:27" ht="18.75" x14ac:dyDescent="0.3">
      <c r="G139">
        <f>IF(ISNUMBER(SEARCH($G$2,H139)),MAX($G$4:G138)+1,0)</f>
        <v>0</v>
      </c>
      <c r="K139" s="29" t="str">
        <f>IFERROR(VLOOKUP(ROWS($K$4:K138),$G$5:$I$149,2,0),"")</f>
        <v/>
      </c>
      <c r="L139" s="11"/>
      <c r="M139" s="16"/>
      <c r="N139" s="12"/>
      <c r="O139" s="12"/>
      <c r="P139" s="13"/>
      <c r="Q139" s="11"/>
      <c r="R139" s="12"/>
      <c r="S139" s="12"/>
      <c r="T139" s="12"/>
      <c r="U139" s="13"/>
      <c r="V139" s="11"/>
      <c r="W139" s="12"/>
      <c r="X139" s="12"/>
      <c r="Y139" s="12"/>
      <c r="Z139" s="13"/>
      <c r="AA139" s="12">
        <v>100</v>
      </c>
    </row>
    <row r="140" spans="1:27" ht="18.75" x14ac:dyDescent="0.3">
      <c r="G140">
        <f>IF(ISNUMBER(SEARCH($G$2,H140)),MAX($G$4:G139)+1,0)</f>
        <v>0</v>
      </c>
      <c r="K140" s="29" t="str">
        <f>IFERROR(VLOOKUP(ROWS($K$4:K139),$G$5:$I$149,2,0),"")</f>
        <v/>
      </c>
      <c r="L140" s="11"/>
      <c r="M140" s="16"/>
      <c r="N140" s="12"/>
      <c r="O140" s="12"/>
      <c r="P140" s="13"/>
      <c r="Q140" s="11"/>
      <c r="R140" s="12"/>
      <c r="S140" s="12"/>
      <c r="T140" s="12"/>
      <c r="U140" s="13"/>
      <c r="V140" s="11"/>
      <c r="W140" s="12"/>
      <c r="X140" s="12"/>
      <c r="Y140" s="12"/>
      <c r="Z140" s="13"/>
      <c r="AA140" s="12">
        <v>100</v>
      </c>
    </row>
    <row r="141" spans="1:27" ht="18.75" x14ac:dyDescent="0.3">
      <c r="G141">
        <f>IF(ISNUMBER(SEARCH($G$2,H141)),MAX($G$4:G140)+1,0)</f>
        <v>0</v>
      </c>
      <c r="K141" s="29" t="str">
        <f>IFERROR(VLOOKUP(ROWS($K$4:K140),$G$5:$I$149,2,0),"")</f>
        <v/>
      </c>
      <c r="L141" s="11"/>
      <c r="M141" s="16"/>
      <c r="N141" s="12"/>
      <c r="O141" s="12"/>
      <c r="P141" s="13"/>
      <c r="Q141" s="11"/>
      <c r="R141" s="12"/>
      <c r="S141" s="12"/>
      <c r="T141" s="12"/>
      <c r="U141" s="13"/>
      <c r="V141" s="11"/>
      <c r="W141" s="12"/>
      <c r="X141" s="12"/>
      <c r="Y141" s="12"/>
      <c r="Z141" s="13"/>
      <c r="AA141" s="12">
        <v>100</v>
      </c>
    </row>
    <row r="142" spans="1:27" ht="18.75" x14ac:dyDescent="0.3">
      <c r="G142">
        <f>IF(ISNUMBER(SEARCH($G$2,H142)),MAX($G$4:G141)+1,0)</f>
        <v>0</v>
      </c>
      <c r="K142" s="29" t="str">
        <f>IFERROR(VLOOKUP(ROWS($K$4:K141),$G$5:$I$149,2,0),"")</f>
        <v/>
      </c>
      <c r="L142" s="11"/>
      <c r="M142" s="16"/>
      <c r="N142" s="12"/>
      <c r="O142" s="12"/>
      <c r="P142" s="13"/>
      <c r="Q142" s="11"/>
      <c r="R142" s="12"/>
      <c r="S142" s="12"/>
      <c r="T142" s="12"/>
      <c r="U142" s="13"/>
      <c r="V142" s="11"/>
      <c r="W142" s="12"/>
      <c r="X142" s="12"/>
      <c r="Y142" s="12"/>
      <c r="Z142" s="13"/>
      <c r="AA142" s="12">
        <v>100</v>
      </c>
    </row>
    <row r="143" spans="1:27" ht="18.75" x14ac:dyDescent="0.3">
      <c r="G143">
        <f>IF(ISNUMBER(SEARCH($G$2,H143)),MAX($G$4:G142)+1,0)</f>
        <v>0</v>
      </c>
      <c r="K143" s="29" t="str">
        <f>IFERROR(VLOOKUP(ROWS($K$4:K142),$G$5:$I$149,2,0),"")</f>
        <v/>
      </c>
      <c r="L143" s="11"/>
      <c r="M143" s="16"/>
      <c r="N143" s="12"/>
      <c r="O143" s="12"/>
      <c r="P143" s="13"/>
      <c r="Q143" s="11"/>
      <c r="R143" s="12"/>
      <c r="S143" s="12"/>
      <c r="T143" s="12"/>
      <c r="U143" s="13"/>
      <c r="V143" s="11"/>
      <c r="W143" s="12"/>
      <c r="X143" s="12"/>
      <c r="Y143" s="12"/>
      <c r="Z143" s="13"/>
      <c r="AA143" s="12">
        <v>100</v>
      </c>
    </row>
    <row r="144" spans="1:27" ht="18.75" x14ac:dyDescent="0.3">
      <c r="G144">
        <f>IF(ISNUMBER(SEARCH($G$2,H144)),MAX($G$4:G143)+1,0)</f>
        <v>0</v>
      </c>
      <c r="K144" s="29" t="str">
        <f>IFERROR(VLOOKUP(ROWS($K$4:K143),$G$5:$I$149,2,0),"")</f>
        <v/>
      </c>
      <c r="L144" s="11"/>
      <c r="M144" s="16"/>
      <c r="N144" s="12"/>
      <c r="O144" s="12"/>
      <c r="P144" s="13"/>
      <c r="Q144" s="11"/>
      <c r="R144" s="12"/>
      <c r="S144" s="12"/>
      <c r="T144" s="12"/>
      <c r="U144" s="13"/>
      <c r="V144" s="11"/>
      <c r="W144" s="12"/>
      <c r="X144" s="12"/>
      <c r="Y144" s="12"/>
      <c r="Z144" s="13"/>
      <c r="AA144" s="12">
        <v>100</v>
      </c>
    </row>
    <row r="145" spans="7:27" ht="18.75" x14ac:dyDescent="0.3">
      <c r="G145">
        <f>IF(ISNUMBER(SEARCH($G$2,H145)),MAX($G$4:G144)+1,0)</f>
        <v>0</v>
      </c>
      <c r="K145" s="29" t="str">
        <f>IFERROR(VLOOKUP(ROWS($K$4:K144),$G$5:$I$149,2,0),"")</f>
        <v/>
      </c>
      <c r="L145" s="11"/>
      <c r="M145" s="16"/>
      <c r="N145" s="12"/>
      <c r="O145" s="12"/>
      <c r="P145" s="13"/>
      <c r="Q145" s="11"/>
      <c r="R145" s="12"/>
      <c r="S145" s="12"/>
      <c r="T145" s="12"/>
      <c r="U145" s="13"/>
      <c r="V145" s="11"/>
      <c r="W145" s="12"/>
      <c r="X145" s="12"/>
      <c r="Y145" s="12"/>
      <c r="Z145" s="13"/>
      <c r="AA145" s="12">
        <v>100</v>
      </c>
    </row>
    <row r="146" spans="7:27" ht="18.75" x14ac:dyDescent="0.3">
      <c r="G146">
        <f>IF(ISNUMBER(SEARCH($G$2,H146)),MAX($G$4:G145)+1,0)</f>
        <v>0</v>
      </c>
      <c r="K146" s="29" t="str">
        <f>IFERROR(VLOOKUP(ROWS($K$4:K145),$G$5:$I$149,2,0),"")</f>
        <v/>
      </c>
      <c r="L146" s="11"/>
      <c r="M146" s="16"/>
      <c r="N146" s="12"/>
      <c r="O146" s="12"/>
      <c r="P146" s="13"/>
      <c r="Q146" s="11"/>
      <c r="R146" s="12"/>
      <c r="S146" s="12"/>
      <c r="T146" s="12"/>
      <c r="U146" s="13"/>
      <c r="V146" s="11"/>
      <c r="W146" s="12"/>
      <c r="X146" s="12"/>
      <c r="Y146" s="12"/>
      <c r="Z146" s="13"/>
      <c r="AA146" s="12">
        <v>100</v>
      </c>
    </row>
    <row r="147" spans="7:27" ht="18.75" x14ac:dyDescent="0.3">
      <c r="G147">
        <f>IF(ISNUMBER(SEARCH($G$2,H147)),MAX($G$4:G146)+1,0)</f>
        <v>0</v>
      </c>
      <c r="K147" s="29" t="str">
        <f>IFERROR(VLOOKUP(ROWS($K$4:K146),$G$5:$I$149,2,0),"")</f>
        <v/>
      </c>
      <c r="L147" s="11"/>
      <c r="M147" s="16"/>
      <c r="N147" s="12"/>
      <c r="O147" s="12"/>
      <c r="P147" s="13"/>
      <c r="Q147" s="11"/>
      <c r="R147" s="12"/>
      <c r="S147" s="12"/>
      <c r="T147" s="12"/>
      <c r="U147" s="13"/>
      <c r="V147" s="11"/>
      <c r="W147" s="12"/>
      <c r="X147" s="12"/>
      <c r="Y147" s="12"/>
      <c r="Z147" s="13"/>
      <c r="AA147" s="12">
        <v>100</v>
      </c>
    </row>
    <row r="148" spans="7:27" ht="18.75" x14ac:dyDescent="0.3">
      <c r="G148">
        <f>IF(ISNUMBER(SEARCH($G$2,H148)),MAX($G$4:G147)+1,0)</f>
        <v>0</v>
      </c>
      <c r="K148" s="29" t="str">
        <f>IFERROR(VLOOKUP(ROWS($K$4:K147),$G$5:$I$149,2,0),"")</f>
        <v/>
      </c>
      <c r="L148" s="11"/>
      <c r="M148" s="16"/>
      <c r="N148" s="12"/>
      <c r="O148" s="12"/>
      <c r="P148" s="13"/>
      <c r="Q148" s="11"/>
      <c r="R148" s="12"/>
      <c r="S148" s="12"/>
      <c r="T148" s="12"/>
      <c r="U148" s="13"/>
      <c r="V148" s="11"/>
      <c r="W148" s="12"/>
      <c r="X148" s="12"/>
      <c r="Y148" s="12"/>
      <c r="Z148" s="13"/>
      <c r="AA148" s="12">
        <v>100</v>
      </c>
    </row>
    <row r="149" spans="7:27" ht="18.75" x14ac:dyDescent="0.3">
      <c r="G149">
        <f>IF(ISNUMBER(SEARCH($G$2,H149)),MAX($G$4:G148)+1,0)</f>
        <v>0</v>
      </c>
      <c r="K149" s="29" t="str">
        <f>IFERROR(VLOOKUP(ROWS($K$4:K148),$G$5:$I$149,2,0),"")</f>
        <v/>
      </c>
      <c r="L149" s="11"/>
      <c r="M149" s="16"/>
      <c r="N149" s="12"/>
      <c r="O149" s="12"/>
      <c r="P149" s="13"/>
      <c r="Q149" s="11"/>
      <c r="R149" s="12"/>
      <c r="S149" s="12"/>
      <c r="T149" s="12"/>
      <c r="U149" s="13"/>
      <c r="V149" s="11"/>
      <c r="W149" s="12"/>
      <c r="X149" s="12"/>
      <c r="Y149" s="12"/>
      <c r="Z149" s="13"/>
      <c r="AA149" s="12">
        <v>100</v>
      </c>
    </row>
    <row r="150" spans="7:27" ht="18.75" x14ac:dyDescent="0.3">
      <c r="G150">
        <f>IF(ISNUMBER(SEARCH($G$2,H150)),MAX($G$4:G149)+1,0)</f>
        <v>0</v>
      </c>
      <c r="K150" s="29" t="str">
        <f>IFERROR(VLOOKUP(ROWS($K$4:K149),$G$5:$I$149,2,0),"")</f>
        <v/>
      </c>
      <c r="L150" s="11"/>
      <c r="M150" s="16"/>
      <c r="N150" s="12"/>
      <c r="O150" s="12"/>
      <c r="P150" s="13"/>
      <c r="Q150" s="11"/>
      <c r="R150" s="12"/>
      <c r="S150" s="12"/>
      <c r="T150" s="12"/>
      <c r="U150" s="13"/>
      <c r="V150" s="11"/>
      <c r="W150" s="12"/>
      <c r="X150" s="12"/>
      <c r="Y150" s="12"/>
      <c r="Z150" s="13"/>
      <c r="AA150" s="12">
        <v>100</v>
      </c>
    </row>
    <row r="151" spans="7:27" ht="18.75" x14ac:dyDescent="0.3">
      <c r="G151">
        <f>IF(ISNUMBER(SEARCH($G$2,H151)),MAX($G$4:G150)+1,0)</f>
        <v>0</v>
      </c>
      <c r="K151" s="29" t="str">
        <f>IFERROR(VLOOKUP(ROWS($K$4:K150),$G$5:$I$149,2,0),"")</f>
        <v/>
      </c>
      <c r="L151" s="11"/>
      <c r="M151" s="16"/>
      <c r="N151" s="12"/>
      <c r="O151" s="12"/>
      <c r="P151" s="13"/>
      <c r="Q151" s="11"/>
      <c r="R151" s="12"/>
      <c r="S151" s="12"/>
      <c r="T151" s="12"/>
      <c r="U151" s="13"/>
      <c r="V151" s="11"/>
      <c r="W151" s="12"/>
      <c r="X151" s="12"/>
      <c r="Y151" s="12"/>
      <c r="Z151" s="13"/>
      <c r="AA151" s="12">
        <v>100</v>
      </c>
    </row>
    <row r="152" spans="7:27" ht="18.75" x14ac:dyDescent="0.3">
      <c r="G152">
        <f>IF(ISNUMBER(SEARCH($G$2,H152)),MAX($G$4:G151)+1,0)</f>
        <v>0</v>
      </c>
      <c r="K152" s="29" t="str">
        <f>IFERROR(VLOOKUP(ROWS($K$4:K151),$G$5:$I$149,2,0),"")</f>
        <v/>
      </c>
      <c r="L152" s="11"/>
      <c r="M152" s="16"/>
      <c r="N152" s="12"/>
      <c r="O152" s="12"/>
      <c r="P152" s="13"/>
      <c r="Q152" s="11"/>
      <c r="R152" s="12"/>
      <c r="S152" s="12"/>
      <c r="T152" s="12"/>
      <c r="U152" s="13"/>
      <c r="V152" s="11"/>
      <c r="W152" s="12"/>
      <c r="X152" s="12"/>
      <c r="Y152" s="12"/>
      <c r="Z152" s="13"/>
      <c r="AA152" s="12">
        <v>100</v>
      </c>
    </row>
    <row r="153" spans="7:27" ht="18.75" x14ac:dyDescent="0.3">
      <c r="G153">
        <f>IF(ISNUMBER(SEARCH($G$2,H153)),MAX($G$4:G152)+1,0)</f>
        <v>0</v>
      </c>
      <c r="K153" s="29" t="str">
        <f>IFERROR(VLOOKUP(ROWS($K$4:K152),$G$5:$I$149,2,0),"")</f>
        <v/>
      </c>
      <c r="L153" s="11"/>
      <c r="M153" s="16"/>
      <c r="N153" s="12"/>
      <c r="O153" s="12"/>
      <c r="P153" s="13"/>
      <c r="Q153" s="11"/>
      <c r="R153" s="12"/>
      <c r="S153" s="12"/>
      <c r="T153" s="12"/>
      <c r="U153" s="13"/>
      <c r="V153" s="11"/>
      <c r="W153" s="12"/>
      <c r="X153" s="12"/>
      <c r="Y153" s="12"/>
      <c r="Z153" s="13"/>
      <c r="AA153" s="12">
        <v>100</v>
      </c>
    </row>
    <row r="154" spans="7:27" ht="18.75" x14ac:dyDescent="0.3">
      <c r="G154">
        <f>IF(ISNUMBER(SEARCH($G$2,H154)),MAX($G$4:G153)+1,0)</f>
        <v>0</v>
      </c>
      <c r="K154" s="29" t="str">
        <f>IFERROR(VLOOKUP(ROWS($K$4:K153),$G$5:$I$149,2,0),"")</f>
        <v/>
      </c>
      <c r="L154" s="11"/>
      <c r="M154" s="16"/>
      <c r="N154" s="12"/>
      <c r="O154" s="12"/>
      <c r="P154" s="13"/>
      <c r="Q154" s="11"/>
      <c r="R154" s="12"/>
      <c r="S154" s="12"/>
      <c r="T154" s="12"/>
      <c r="U154" s="13"/>
      <c r="V154" s="11"/>
      <c r="W154" s="12"/>
      <c r="X154" s="12"/>
      <c r="Y154" s="12"/>
      <c r="Z154" s="13"/>
      <c r="AA154" s="12">
        <v>100</v>
      </c>
    </row>
    <row r="155" spans="7:27" ht="18.75" x14ac:dyDescent="0.3">
      <c r="G155">
        <f>IF(ISNUMBER(SEARCH($G$2,H155)),MAX($G$4:G154)+1,0)</f>
        <v>0</v>
      </c>
      <c r="K155" s="29" t="str">
        <f>IFERROR(VLOOKUP(ROWS($K$4:K154),$G$5:$I$149,2,0),"")</f>
        <v/>
      </c>
      <c r="L155" s="11"/>
      <c r="M155" s="16"/>
      <c r="N155" s="12"/>
      <c r="O155" s="12"/>
      <c r="P155" s="13"/>
      <c r="Q155" s="11"/>
      <c r="R155" s="12"/>
      <c r="S155" s="12"/>
      <c r="T155" s="12"/>
      <c r="U155" s="13"/>
      <c r="V155" s="11"/>
      <c r="W155" s="12"/>
      <c r="X155" s="12"/>
      <c r="Y155" s="12"/>
      <c r="Z155" s="13"/>
      <c r="AA155" s="12">
        <v>100</v>
      </c>
    </row>
    <row r="156" spans="7:27" ht="18.75" x14ac:dyDescent="0.3">
      <c r="G156">
        <f>IF(ISNUMBER(SEARCH($G$2,H156)),MAX($G$4:G155)+1,0)</f>
        <v>0</v>
      </c>
      <c r="K156" s="29" t="str">
        <f>IFERROR(VLOOKUP(ROWS($K$4:K155),$G$5:$I$149,2,0),"")</f>
        <v/>
      </c>
      <c r="L156" s="11"/>
      <c r="M156" s="16"/>
      <c r="N156" s="12"/>
      <c r="O156" s="12"/>
      <c r="P156" s="13"/>
      <c r="Q156" s="11"/>
      <c r="R156" s="12"/>
      <c r="S156" s="12"/>
      <c r="T156" s="12"/>
      <c r="U156" s="13"/>
      <c r="V156" s="11"/>
      <c r="W156" s="12"/>
      <c r="X156" s="12"/>
      <c r="Y156" s="12"/>
      <c r="Z156" s="13"/>
      <c r="AA156" s="12">
        <v>100</v>
      </c>
    </row>
    <row r="157" spans="7:27" ht="18.75" x14ac:dyDescent="0.3">
      <c r="G157">
        <f>IF(ISNUMBER(SEARCH($G$2,H157)),MAX($G$4:G156)+1,0)</f>
        <v>0</v>
      </c>
      <c r="K157" s="29" t="str">
        <f>IFERROR(VLOOKUP(ROWS($K$4:K156),$G$5:$I$149,2,0),"")</f>
        <v/>
      </c>
      <c r="L157" s="11"/>
      <c r="M157" s="16"/>
      <c r="N157" s="12"/>
      <c r="O157" s="12"/>
      <c r="P157" s="13"/>
      <c r="Q157" s="11"/>
      <c r="R157" s="12"/>
      <c r="S157" s="12"/>
      <c r="T157" s="12"/>
      <c r="U157" s="13"/>
      <c r="V157" s="11"/>
      <c r="W157" s="12"/>
      <c r="X157" s="12"/>
      <c r="Y157" s="12"/>
      <c r="Z157" s="13"/>
      <c r="AA157" s="12">
        <v>100</v>
      </c>
    </row>
    <row r="158" spans="7:27" ht="18.75" x14ac:dyDescent="0.3">
      <c r="G158">
        <f>IF(ISNUMBER(SEARCH($G$2,H158)),MAX($G$4:G157)+1,0)</f>
        <v>0</v>
      </c>
      <c r="K158" s="29" t="str">
        <f>IFERROR(VLOOKUP(ROWS($K$4:K157),$G$5:$I$149,2,0),"")</f>
        <v/>
      </c>
      <c r="L158" s="11"/>
      <c r="M158" s="16"/>
      <c r="N158" s="12"/>
      <c r="O158" s="12"/>
      <c r="P158" s="13"/>
      <c r="Q158" s="11"/>
      <c r="R158" s="12"/>
      <c r="S158" s="12"/>
      <c r="T158" s="12"/>
      <c r="U158" s="13"/>
      <c r="V158" s="11"/>
      <c r="W158" s="12"/>
      <c r="X158" s="12"/>
      <c r="Y158" s="12"/>
      <c r="Z158" s="13"/>
      <c r="AA158" s="12">
        <v>100</v>
      </c>
    </row>
    <row r="159" spans="7:27" ht="18.75" x14ac:dyDescent="0.3">
      <c r="G159">
        <f>IF(ISNUMBER(SEARCH($G$2,H159)),MAX($G$4:G158)+1,0)</f>
        <v>0</v>
      </c>
      <c r="K159" s="29" t="str">
        <f>IFERROR(VLOOKUP(ROWS($K$4:K158),$G$5:$I$149,2,0),"")</f>
        <v/>
      </c>
      <c r="L159" s="11"/>
      <c r="M159" s="16"/>
      <c r="N159" s="12"/>
      <c r="O159" s="12"/>
      <c r="P159" s="13"/>
      <c r="Q159" s="11"/>
      <c r="R159" s="12"/>
      <c r="S159" s="12"/>
      <c r="T159" s="12"/>
      <c r="U159" s="13"/>
      <c r="V159" s="11"/>
      <c r="W159" s="12"/>
      <c r="X159" s="12"/>
      <c r="Y159" s="12"/>
      <c r="Z159" s="13"/>
      <c r="AA159" s="12">
        <v>100</v>
      </c>
    </row>
    <row r="160" spans="7:27" ht="18.75" x14ac:dyDescent="0.3">
      <c r="G160">
        <f>IF(ISNUMBER(SEARCH($G$2,H160)),MAX($G$4:G159)+1,0)</f>
        <v>0</v>
      </c>
      <c r="K160" s="29" t="str">
        <f>IFERROR(VLOOKUP(ROWS($K$4:K159),$G$5:$I$149,2,0),"")</f>
        <v/>
      </c>
      <c r="L160" s="11"/>
      <c r="M160" s="16"/>
      <c r="N160" s="12"/>
      <c r="O160" s="12"/>
      <c r="P160" s="13"/>
      <c r="Q160" s="11"/>
      <c r="R160" s="12"/>
      <c r="S160" s="12"/>
      <c r="T160" s="12"/>
      <c r="U160" s="13"/>
      <c r="V160" s="11"/>
      <c r="W160" s="12"/>
      <c r="X160" s="12"/>
      <c r="Y160" s="12"/>
      <c r="Z160" s="13"/>
      <c r="AA160" s="12">
        <v>100</v>
      </c>
    </row>
    <row r="161" spans="7:27" ht="18.75" x14ac:dyDescent="0.3">
      <c r="G161">
        <f>IF(ISNUMBER(SEARCH($G$2,H161)),MAX($G$4:G160)+1,0)</f>
        <v>0</v>
      </c>
      <c r="K161" s="29" t="str">
        <f>IFERROR(VLOOKUP(ROWS($K$4:K160),$G$5:$I$149,2,0),"")</f>
        <v/>
      </c>
      <c r="L161" s="11"/>
      <c r="M161" s="16"/>
      <c r="N161" s="12"/>
      <c r="O161" s="12"/>
      <c r="P161" s="13"/>
      <c r="Q161" s="11"/>
      <c r="R161" s="12"/>
      <c r="S161" s="12"/>
      <c r="T161" s="12"/>
      <c r="U161" s="13"/>
      <c r="V161" s="11"/>
      <c r="W161" s="12"/>
      <c r="X161" s="12"/>
      <c r="Y161" s="12"/>
      <c r="Z161" s="13"/>
      <c r="AA161" s="12">
        <v>100</v>
      </c>
    </row>
    <row r="162" spans="7:27" ht="18.75" x14ac:dyDescent="0.3">
      <c r="G162">
        <f>IF(ISNUMBER(SEARCH($G$2,H162)),MAX($G$4:G161)+1,0)</f>
        <v>0</v>
      </c>
      <c r="K162" s="29" t="str">
        <f>IFERROR(VLOOKUP(ROWS($K$4:K161),$G$5:$I$149,2,0),"")</f>
        <v/>
      </c>
      <c r="L162" s="11"/>
      <c r="M162" s="16"/>
      <c r="N162" s="12"/>
      <c r="O162" s="12"/>
      <c r="P162" s="13"/>
      <c r="Q162" s="11"/>
      <c r="R162" s="12"/>
      <c r="S162" s="12"/>
      <c r="T162" s="12"/>
      <c r="U162" s="13"/>
      <c r="V162" s="11"/>
      <c r="W162" s="12"/>
      <c r="X162" s="12"/>
      <c r="Y162" s="12"/>
      <c r="Z162" s="13"/>
      <c r="AA162" s="12">
        <v>100</v>
      </c>
    </row>
    <row r="163" spans="7:27" ht="18.75" x14ac:dyDescent="0.3">
      <c r="G163">
        <f>IF(ISNUMBER(SEARCH($G$2,H163)),MAX($G$4:G162)+1,0)</f>
        <v>0</v>
      </c>
      <c r="K163" s="29" t="str">
        <f>IFERROR(VLOOKUP(ROWS($K$4:K162),$G$5:$I$149,2,0),"")</f>
        <v/>
      </c>
      <c r="L163" s="11"/>
      <c r="M163" s="16"/>
      <c r="N163" s="12"/>
      <c r="O163" s="12"/>
      <c r="P163" s="13"/>
      <c r="Q163" s="11"/>
      <c r="R163" s="12"/>
      <c r="S163" s="12"/>
      <c r="T163" s="12"/>
      <c r="U163" s="13"/>
      <c r="V163" s="11"/>
      <c r="W163" s="12"/>
      <c r="X163" s="12"/>
      <c r="Y163" s="12"/>
      <c r="Z163" s="13"/>
      <c r="AA163" s="12">
        <v>100</v>
      </c>
    </row>
    <row r="164" spans="7:27" ht="18.75" x14ac:dyDescent="0.3">
      <c r="G164">
        <f>IF(ISNUMBER(SEARCH($G$2,H164)),MAX($G$4:G163)+1,0)</f>
        <v>0</v>
      </c>
      <c r="K164" s="29" t="str">
        <f>IFERROR(VLOOKUP(ROWS($K$4:K163),$G$5:$I$149,2,0),"")</f>
        <v/>
      </c>
      <c r="L164" s="11"/>
      <c r="M164" s="16"/>
      <c r="N164" s="12"/>
      <c r="O164" s="12"/>
      <c r="P164" s="13"/>
      <c r="Q164" s="11"/>
      <c r="R164" s="12"/>
      <c r="S164" s="12"/>
      <c r="T164" s="12"/>
      <c r="U164" s="13"/>
      <c r="V164" s="11"/>
      <c r="W164" s="12"/>
      <c r="X164" s="12"/>
      <c r="Y164" s="12"/>
      <c r="Z164" s="13"/>
      <c r="AA164" s="12">
        <v>100</v>
      </c>
    </row>
    <row r="165" spans="7:27" ht="18.75" x14ac:dyDescent="0.3">
      <c r="G165">
        <f>IF(ISNUMBER(SEARCH($G$2,H165)),MAX($G$4:G164)+1,0)</f>
        <v>0</v>
      </c>
      <c r="K165" s="29" t="str">
        <f>IFERROR(VLOOKUP(ROWS($K$4:K164),$G$5:$I$149,2,0),"")</f>
        <v/>
      </c>
      <c r="L165" s="11"/>
      <c r="M165" s="16"/>
      <c r="N165" s="12"/>
      <c r="O165" s="12"/>
      <c r="P165" s="13"/>
      <c r="Q165" s="11"/>
      <c r="R165" s="12"/>
      <c r="S165" s="12"/>
      <c r="T165" s="12"/>
      <c r="U165" s="13"/>
      <c r="V165" s="11"/>
      <c r="W165" s="12"/>
      <c r="X165" s="12"/>
      <c r="Y165" s="12"/>
      <c r="Z165" s="13"/>
      <c r="AA165" s="12">
        <v>100</v>
      </c>
    </row>
    <row r="166" spans="7:27" ht="18.75" x14ac:dyDescent="0.3">
      <c r="G166">
        <f>IF(ISNUMBER(SEARCH($G$2,H166)),MAX($G$4:G165)+1,0)</f>
        <v>0</v>
      </c>
      <c r="K166" s="29" t="str">
        <f>IFERROR(VLOOKUP(ROWS($K$4:K165),$G$5:$I$149,2,0),"")</f>
        <v/>
      </c>
      <c r="L166" s="11"/>
      <c r="M166" s="16"/>
      <c r="N166" s="12"/>
      <c r="O166" s="12"/>
      <c r="P166" s="13"/>
      <c r="Q166" s="11"/>
      <c r="R166" s="12"/>
      <c r="S166" s="12"/>
      <c r="T166" s="12"/>
      <c r="U166" s="13"/>
      <c r="V166" s="11"/>
      <c r="W166" s="12"/>
      <c r="X166" s="12"/>
      <c r="Y166" s="12"/>
      <c r="Z166" s="13"/>
      <c r="AA166" s="12">
        <v>100</v>
      </c>
    </row>
    <row r="167" spans="7:27" ht="18.75" x14ac:dyDescent="0.3">
      <c r="G167">
        <f>IF(ISNUMBER(SEARCH($G$2,H167)),MAX($G$4:G166)+1,0)</f>
        <v>0</v>
      </c>
      <c r="K167" s="29" t="str">
        <f>IFERROR(VLOOKUP(ROWS($K$4:K166),$G$5:$I$149,2,0),"")</f>
        <v/>
      </c>
      <c r="L167" s="11"/>
      <c r="M167" s="16"/>
      <c r="N167" s="12"/>
      <c r="O167" s="12"/>
      <c r="P167" s="13"/>
      <c r="Q167" s="11"/>
      <c r="R167" s="12"/>
      <c r="S167" s="12"/>
      <c r="T167" s="12"/>
      <c r="U167" s="13"/>
      <c r="V167" s="11"/>
      <c r="W167" s="12"/>
      <c r="X167" s="12"/>
      <c r="Y167" s="12"/>
      <c r="Z167" s="13"/>
      <c r="AA167" s="12">
        <v>100</v>
      </c>
    </row>
    <row r="168" spans="7:27" ht="18.75" x14ac:dyDescent="0.3">
      <c r="G168">
        <f>IF(ISNUMBER(SEARCH($G$2,H168)),MAX($G$4:G167)+1,0)</f>
        <v>0</v>
      </c>
      <c r="K168" s="29" t="str">
        <f>IFERROR(VLOOKUP(ROWS($K$4:K167),$G$5:$I$149,2,0),"")</f>
        <v/>
      </c>
      <c r="L168" s="11"/>
      <c r="M168" s="16"/>
      <c r="N168" s="12"/>
      <c r="O168" s="12"/>
      <c r="P168" s="13"/>
      <c r="Q168" s="11"/>
      <c r="R168" s="12"/>
      <c r="S168" s="12"/>
      <c r="T168" s="12"/>
      <c r="U168" s="13"/>
      <c r="V168" s="11"/>
      <c r="W168" s="12"/>
      <c r="X168" s="12"/>
      <c r="Y168" s="12"/>
      <c r="Z168" s="13"/>
      <c r="AA168" s="12">
        <v>100</v>
      </c>
    </row>
    <row r="169" spans="7:27" ht="18.75" x14ac:dyDescent="0.3">
      <c r="G169">
        <f>IF(ISNUMBER(SEARCH($G$2,H169)),MAX($G$4:G168)+1,0)</f>
        <v>0</v>
      </c>
      <c r="K169" s="29" t="str">
        <f>IFERROR(VLOOKUP(ROWS($K$4:K168),$G$5:$I$149,2,0),"")</f>
        <v/>
      </c>
      <c r="L169" s="11"/>
      <c r="M169" s="16"/>
      <c r="N169" s="12"/>
      <c r="O169" s="12"/>
      <c r="P169" s="13"/>
      <c r="Q169" s="11"/>
      <c r="R169" s="12"/>
      <c r="S169" s="12"/>
      <c r="T169" s="12"/>
      <c r="U169" s="13"/>
      <c r="V169" s="11"/>
      <c r="W169" s="12"/>
      <c r="X169" s="12"/>
      <c r="Y169" s="12"/>
      <c r="Z169" s="13"/>
      <c r="AA169" s="12">
        <v>100</v>
      </c>
    </row>
    <row r="170" spans="7:27" ht="18.75" x14ac:dyDescent="0.3">
      <c r="G170">
        <f>IF(ISNUMBER(SEARCH($G$2,H170)),MAX($G$4:G169)+1,0)</f>
        <v>0</v>
      </c>
      <c r="K170" s="29" t="str">
        <f>IFERROR(VLOOKUP(ROWS($K$4:K169),$G$5:$I$149,2,0),"")</f>
        <v/>
      </c>
      <c r="L170" s="11"/>
      <c r="M170" s="16"/>
      <c r="N170" s="12"/>
      <c r="O170" s="12"/>
      <c r="P170" s="13"/>
      <c r="Q170" s="11"/>
      <c r="R170" s="12"/>
      <c r="S170" s="12"/>
      <c r="T170" s="12"/>
      <c r="U170" s="13"/>
      <c r="V170" s="11"/>
      <c r="W170" s="12"/>
      <c r="X170" s="12"/>
      <c r="Y170" s="12"/>
      <c r="Z170" s="13"/>
      <c r="AA170" s="12">
        <v>100</v>
      </c>
    </row>
    <row r="171" spans="7:27" ht="18.75" x14ac:dyDescent="0.3">
      <c r="G171">
        <f>IF(ISNUMBER(SEARCH($G$2,H171)),MAX($G$4:G170)+1,0)</f>
        <v>0</v>
      </c>
      <c r="K171" s="29" t="str">
        <f>IFERROR(VLOOKUP(ROWS($K$4:K170),$G$5:$I$149,2,0),"")</f>
        <v/>
      </c>
      <c r="L171" s="11"/>
      <c r="M171" s="16"/>
      <c r="N171" s="12"/>
      <c r="O171" s="12"/>
      <c r="P171" s="13"/>
      <c r="Q171" s="11"/>
      <c r="R171" s="12"/>
      <c r="S171" s="12"/>
      <c r="T171" s="12"/>
      <c r="U171" s="13"/>
      <c r="V171" s="11"/>
      <c r="W171" s="12"/>
      <c r="X171" s="12"/>
      <c r="Y171" s="12"/>
      <c r="Z171" s="13"/>
      <c r="AA171" s="12">
        <v>100</v>
      </c>
    </row>
    <row r="172" spans="7:27" ht="18.75" x14ac:dyDescent="0.3">
      <c r="G172">
        <f>IF(ISNUMBER(SEARCH($G$2,H172)),MAX($G$4:G171)+1,0)</f>
        <v>0</v>
      </c>
      <c r="K172" s="29" t="str">
        <f>IFERROR(VLOOKUP(ROWS($K$4:K171),$G$5:$I$149,2,0),"")</f>
        <v/>
      </c>
      <c r="L172" s="11"/>
      <c r="M172" s="16"/>
      <c r="N172" s="12"/>
      <c r="O172" s="12"/>
      <c r="P172" s="13"/>
      <c r="Q172" s="11"/>
      <c r="R172" s="12"/>
      <c r="S172" s="12"/>
      <c r="T172" s="12"/>
      <c r="U172" s="13"/>
      <c r="V172" s="11"/>
      <c r="W172" s="12"/>
      <c r="X172" s="12"/>
      <c r="Y172" s="12"/>
      <c r="Z172" s="13"/>
      <c r="AA172" s="12">
        <v>100</v>
      </c>
    </row>
    <row r="173" spans="7:27" ht="18.75" x14ac:dyDescent="0.3">
      <c r="G173">
        <f>IF(ISNUMBER(SEARCH($G$2,H173)),MAX($G$4:G172)+1,0)</f>
        <v>0</v>
      </c>
      <c r="L173" s="11"/>
      <c r="M173" s="16"/>
      <c r="N173" s="12"/>
      <c r="O173" s="12"/>
      <c r="P173" s="13"/>
      <c r="Q173" s="11"/>
      <c r="R173" s="12"/>
      <c r="S173" s="12"/>
      <c r="T173" s="12"/>
      <c r="U173" s="13"/>
      <c r="V173" s="11"/>
      <c r="W173" s="12"/>
      <c r="X173" s="12"/>
      <c r="Y173" s="12"/>
      <c r="Z173" s="13"/>
      <c r="AA173" s="12">
        <v>100</v>
      </c>
    </row>
    <row r="174" spans="7:27" ht="18.75" x14ac:dyDescent="0.3">
      <c r="G174">
        <f>IF(ISNUMBER(SEARCH($G$2,H174)),MAX($G$4:G173)+1,0)</f>
        <v>0</v>
      </c>
      <c r="L174" s="11"/>
      <c r="M174" s="16"/>
      <c r="N174" s="12"/>
      <c r="O174" s="12"/>
      <c r="P174" s="13"/>
      <c r="Q174" s="11"/>
      <c r="R174" s="12"/>
      <c r="S174" s="12"/>
      <c r="T174" s="12"/>
      <c r="U174" s="13"/>
      <c r="V174" s="11"/>
      <c r="W174" s="12"/>
      <c r="X174" s="12"/>
      <c r="Y174" s="12"/>
      <c r="Z174" s="13"/>
      <c r="AA174" s="12">
        <v>100</v>
      </c>
    </row>
    <row r="175" spans="7:27" ht="18.75" x14ac:dyDescent="0.3">
      <c r="G175">
        <f>IF(ISNUMBER(SEARCH($G$2,H175)),MAX($G$4:G174)+1,0)</f>
        <v>0</v>
      </c>
      <c r="L175" s="11"/>
      <c r="M175" s="16"/>
      <c r="N175" s="12"/>
      <c r="O175" s="12"/>
      <c r="P175" s="13"/>
      <c r="Q175" s="11"/>
      <c r="R175" s="12"/>
      <c r="S175" s="12"/>
      <c r="T175" s="12"/>
      <c r="U175" s="13"/>
      <c r="V175" s="11"/>
      <c r="W175" s="12"/>
      <c r="X175" s="12"/>
      <c r="Y175" s="12"/>
      <c r="Z175" s="13"/>
      <c r="AA175" s="12">
        <v>100</v>
      </c>
    </row>
    <row r="176" spans="7:27" ht="18.75" x14ac:dyDescent="0.3">
      <c r="G176">
        <f>IF(ISNUMBER(SEARCH($G$2,H176)),MAX($G$4:G175)+1,0)</f>
        <v>0</v>
      </c>
      <c r="L176" s="11"/>
      <c r="M176" s="16"/>
      <c r="N176" s="12"/>
      <c r="O176" s="12"/>
      <c r="P176" s="13"/>
      <c r="Q176" s="11"/>
      <c r="R176" s="12"/>
      <c r="S176" s="12"/>
      <c r="T176" s="12"/>
      <c r="U176" s="13"/>
      <c r="V176" s="11"/>
      <c r="W176" s="12"/>
      <c r="X176" s="12"/>
      <c r="Y176" s="12"/>
      <c r="Z176" s="13"/>
      <c r="AA176" s="12">
        <v>100</v>
      </c>
    </row>
    <row r="177" spans="7:27" ht="18.75" x14ac:dyDescent="0.3">
      <c r="G177">
        <f>IF(ISNUMBER(SEARCH($G$2,H177)),MAX($G$4:G176)+1,0)</f>
        <v>0</v>
      </c>
      <c r="L177" s="11"/>
      <c r="M177" s="16"/>
      <c r="N177" s="12"/>
      <c r="O177" s="12"/>
      <c r="P177" s="13"/>
      <c r="Q177" s="11"/>
      <c r="R177" s="12"/>
      <c r="S177" s="12"/>
      <c r="T177" s="12"/>
      <c r="U177" s="13"/>
      <c r="V177" s="11"/>
      <c r="W177" s="12"/>
      <c r="X177" s="12"/>
      <c r="Y177" s="12"/>
      <c r="Z177" s="13"/>
      <c r="AA177" s="12">
        <v>100</v>
      </c>
    </row>
    <row r="178" spans="7:27" ht="18.75" x14ac:dyDescent="0.3">
      <c r="G178">
        <f>IF(ISNUMBER(SEARCH($G$2,H178)),MAX($G$4:G177)+1,0)</f>
        <v>0</v>
      </c>
      <c r="L178" s="11"/>
      <c r="M178" s="16"/>
      <c r="N178" s="12"/>
      <c r="O178" s="12"/>
      <c r="P178" s="13"/>
      <c r="Q178" s="11"/>
      <c r="R178" s="12"/>
      <c r="S178" s="12"/>
      <c r="T178" s="12"/>
      <c r="U178" s="13"/>
      <c r="V178" s="11"/>
      <c r="W178" s="12"/>
      <c r="X178" s="12"/>
      <c r="Y178" s="12"/>
      <c r="Z178" s="13"/>
      <c r="AA178" s="12">
        <v>100</v>
      </c>
    </row>
    <row r="179" spans="7:27" ht="18.75" x14ac:dyDescent="0.3">
      <c r="G179">
        <f>IF(ISNUMBER(SEARCH($G$2,H179)),MAX($G$4:G178)+1,0)</f>
        <v>0</v>
      </c>
      <c r="L179" s="11"/>
      <c r="M179" s="16"/>
      <c r="N179" s="12"/>
      <c r="O179" s="12"/>
      <c r="P179" s="13"/>
      <c r="Q179" s="11"/>
      <c r="R179" s="12"/>
      <c r="S179" s="12"/>
      <c r="T179" s="12"/>
      <c r="U179" s="13"/>
      <c r="V179" s="11"/>
      <c r="W179" s="12"/>
      <c r="X179" s="12"/>
      <c r="Y179" s="12"/>
      <c r="Z179" s="13"/>
      <c r="AA179" s="12">
        <v>100</v>
      </c>
    </row>
    <row r="180" spans="7:27" ht="18.75" x14ac:dyDescent="0.3">
      <c r="G180">
        <f>IF(ISNUMBER(SEARCH($G$2,H180)),MAX($G$4:G179)+1,0)</f>
        <v>0</v>
      </c>
      <c r="L180" s="11"/>
      <c r="M180" s="16"/>
      <c r="N180" s="12"/>
      <c r="O180" s="12"/>
      <c r="P180" s="13"/>
      <c r="Q180" s="11"/>
      <c r="R180" s="12"/>
      <c r="S180" s="12"/>
      <c r="T180" s="12"/>
      <c r="U180" s="13"/>
      <c r="V180" s="11"/>
      <c r="W180" s="12"/>
      <c r="X180" s="12"/>
      <c r="Y180" s="12"/>
      <c r="Z180" s="13"/>
      <c r="AA180" s="12">
        <v>100</v>
      </c>
    </row>
    <row r="181" spans="7:27" ht="18.75" x14ac:dyDescent="0.3">
      <c r="G181">
        <f>IF(ISNUMBER(SEARCH($G$2,H181)),MAX($G$4:G180)+1,0)</f>
        <v>0</v>
      </c>
      <c r="L181" s="11"/>
      <c r="M181" s="16"/>
      <c r="N181" s="12"/>
      <c r="O181" s="12"/>
      <c r="P181" s="13"/>
      <c r="Q181" s="11"/>
      <c r="R181" s="12"/>
      <c r="S181" s="12"/>
      <c r="T181" s="12"/>
      <c r="U181" s="13"/>
      <c r="V181" s="11"/>
      <c r="W181" s="12"/>
      <c r="X181" s="12"/>
      <c r="Y181" s="12"/>
      <c r="Z181" s="13"/>
      <c r="AA181" s="12">
        <v>100</v>
      </c>
    </row>
    <row r="182" spans="7:27" ht="18.75" x14ac:dyDescent="0.3">
      <c r="G182">
        <f>IF(ISNUMBER(SEARCH($G$2,H182)),MAX($G$4:G181)+1,0)</f>
        <v>0</v>
      </c>
      <c r="L182" s="11"/>
      <c r="M182" s="16"/>
      <c r="N182" s="12"/>
      <c r="O182" s="12"/>
      <c r="P182" s="13"/>
      <c r="Q182" s="11"/>
      <c r="R182" s="12"/>
      <c r="S182" s="12"/>
      <c r="T182" s="12"/>
      <c r="U182" s="13"/>
      <c r="V182" s="11"/>
      <c r="W182" s="12"/>
      <c r="X182" s="12"/>
      <c r="Y182" s="12"/>
      <c r="Z182" s="13"/>
      <c r="AA182" s="12">
        <v>100</v>
      </c>
    </row>
    <row r="183" spans="7:27" ht="18.75" x14ac:dyDescent="0.3">
      <c r="G183">
        <f>IF(ISNUMBER(SEARCH($G$2,H183)),MAX($G$4:G182)+1,0)</f>
        <v>0</v>
      </c>
      <c r="L183" s="11"/>
      <c r="M183" s="16"/>
      <c r="N183" s="12"/>
      <c r="O183" s="12"/>
      <c r="P183" s="13"/>
      <c r="Q183" s="11"/>
      <c r="R183" s="12"/>
      <c r="S183" s="12"/>
      <c r="T183" s="12"/>
      <c r="U183" s="13"/>
      <c r="V183" s="11"/>
      <c r="W183" s="12"/>
      <c r="X183" s="12"/>
      <c r="Y183" s="12"/>
      <c r="Z183" s="13"/>
      <c r="AA183" s="12">
        <v>100</v>
      </c>
    </row>
    <row r="184" spans="7:27" ht="18.75" x14ac:dyDescent="0.3">
      <c r="G184">
        <f>IF(ISNUMBER(SEARCH($G$2,H184)),MAX($G$4:G183)+1,0)</f>
        <v>0</v>
      </c>
      <c r="L184" s="11"/>
      <c r="M184" s="16"/>
      <c r="N184" s="12"/>
      <c r="O184" s="12"/>
      <c r="P184" s="13"/>
      <c r="Q184" s="11"/>
      <c r="R184" s="12"/>
      <c r="S184" s="12"/>
      <c r="T184" s="12"/>
      <c r="U184" s="13"/>
      <c r="V184" s="11"/>
      <c r="W184" s="12"/>
      <c r="X184" s="12"/>
      <c r="Y184" s="12"/>
      <c r="Z184" s="13"/>
      <c r="AA184" s="12">
        <v>100</v>
      </c>
    </row>
    <row r="185" spans="7:27" ht="18.75" x14ac:dyDescent="0.3">
      <c r="G185">
        <f>IF(ISNUMBER(SEARCH($G$2,H185)),MAX($G$4:G184)+1,0)</f>
        <v>0</v>
      </c>
      <c r="L185" s="11"/>
      <c r="M185" s="16"/>
      <c r="N185" s="12"/>
      <c r="O185" s="12"/>
      <c r="P185" s="13"/>
      <c r="Q185" s="11"/>
      <c r="R185" s="12"/>
      <c r="S185" s="12"/>
      <c r="T185" s="12"/>
      <c r="U185" s="13"/>
      <c r="V185" s="11"/>
      <c r="W185" s="12"/>
      <c r="X185" s="12"/>
      <c r="Y185" s="12"/>
      <c r="Z185" s="13"/>
      <c r="AA185" s="12">
        <v>100</v>
      </c>
    </row>
    <row r="186" spans="7:27" ht="18.75" x14ac:dyDescent="0.3">
      <c r="G186">
        <f>IF(ISNUMBER(SEARCH($G$2,H186)),MAX($G$4:G185)+1,0)</f>
        <v>0</v>
      </c>
      <c r="L186" s="11"/>
      <c r="M186" s="16"/>
      <c r="N186" s="12"/>
      <c r="O186" s="12"/>
      <c r="P186" s="13"/>
      <c r="Q186" s="11"/>
      <c r="R186" s="12"/>
      <c r="S186" s="12"/>
      <c r="T186" s="12"/>
      <c r="U186" s="13"/>
      <c r="V186" s="11"/>
      <c r="W186" s="12"/>
      <c r="X186" s="12"/>
      <c r="Y186" s="12"/>
      <c r="Z186" s="13"/>
      <c r="AA186" s="12">
        <v>100</v>
      </c>
    </row>
    <row r="187" spans="7:27" ht="18.75" x14ac:dyDescent="0.3">
      <c r="G187">
        <f>IF(ISNUMBER(SEARCH($G$2,H187)),MAX($G$4:G186)+1,0)</f>
        <v>0</v>
      </c>
      <c r="L187" s="11"/>
      <c r="M187" s="16"/>
      <c r="N187" s="12"/>
      <c r="O187" s="12"/>
      <c r="P187" s="13"/>
      <c r="Q187" s="11"/>
      <c r="R187" s="12"/>
      <c r="S187" s="12"/>
      <c r="T187" s="12"/>
      <c r="U187" s="13"/>
      <c r="V187" s="11"/>
      <c r="W187" s="12"/>
      <c r="X187" s="12"/>
      <c r="Y187" s="12"/>
      <c r="Z187" s="13"/>
      <c r="AA187" s="12">
        <v>100</v>
      </c>
    </row>
    <row r="188" spans="7:27" x14ac:dyDescent="0.25">
      <c r="G188">
        <f>IF(ISNUMBER(SEARCH($G$2,H188)),MAX($G$4:G187)+1,0)</f>
        <v>0</v>
      </c>
      <c r="L188" s="11"/>
      <c r="M188" s="12"/>
      <c r="N188" s="12"/>
      <c r="O188" s="12"/>
      <c r="P188" s="13"/>
      <c r="Q188" s="11"/>
      <c r="R188" s="12"/>
      <c r="S188" s="12"/>
      <c r="T188" s="12"/>
      <c r="U188" s="13"/>
      <c r="V188" s="11"/>
      <c r="W188" s="12"/>
      <c r="X188" s="12"/>
      <c r="Y188" s="12"/>
      <c r="Z188" s="13"/>
      <c r="AA188" s="12">
        <v>100</v>
      </c>
    </row>
    <row r="189" spans="7:27" x14ac:dyDescent="0.25">
      <c r="G189">
        <f>IF(ISNUMBER(SEARCH($G$2,H189)),MAX($G$4:G188)+1,0)</f>
        <v>0</v>
      </c>
      <c r="L189" s="11"/>
      <c r="M189" s="12"/>
      <c r="N189" s="12"/>
      <c r="O189" s="12"/>
      <c r="P189" s="13"/>
      <c r="Q189" s="11"/>
      <c r="R189" s="12"/>
      <c r="S189" s="12"/>
      <c r="T189" s="12"/>
      <c r="U189" s="13"/>
      <c r="V189" s="11"/>
      <c r="W189" s="12"/>
      <c r="X189" s="12"/>
      <c r="Y189" s="12"/>
      <c r="Z189" s="13"/>
      <c r="AA189" s="12">
        <v>100</v>
      </c>
    </row>
    <row r="190" spans="7:27" x14ac:dyDescent="0.25">
      <c r="G190">
        <f>IF(ISNUMBER(SEARCH($G$2,H190)),MAX($G$4:G189)+1,0)</f>
        <v>0</v>
      </c>
      <c r="L190" s="11"/>
      <c r="M190" s="12"/>
      <c r="N190" s="12"/>
      <c r="O190" s="12"/>
      <c r="P190" s="13"/>
      <c r="Q190" s="11"/>
      <c r="R190" s="12"/>
      <c r="S190" s="12"/>
      <c r="T190" s="12"/>
      <c r="U190" s="13"/>
      <c r="V190" s="11"/>
      <c r="W190" s="12"/>
      <c r="X190" s="12"/>
      <c r="Y190" s="12"/>
      <c r="Z190" s="13"/>
      <c r="AA190" s="12">
        <v>100</v>
      </c>
    </row>
    <row r="191" spans="7:27" x14ac:dyDescent="0.25">
      <c r="G191">
        <f>IF(ISNUMBER(SEARCH($G$2,H191)),MAX($G$4:G190)+1,0)</f>
        <v>0</v>
      </c>
      <c r="L191" s="11"/>
      <c r="M191" s="12"/>
      <c r="N191" s="12"/>
      <c r="O191" s="12"/>
      <c r="P191" s="13"/>
      <c r="Q191" s="11"/>
      <c r="R191" s="12"/>
      <c r="S191" s="12"/>
      <c r="T191" s="12"/>
      <c r="U191" s="13"/>
      <c r="V191" s="11"/>
      <c r="W191" s="12"/>
      <c r="X191" s="12"/>
      <c r="Y191" s="12"/>
      <c r="Z191" s="13"/>
      <c r="AA191" s="12">
        <v>100</v>
      </c>
    </row>
    <row r="192" spans="7:27" x14ac:dyDescent="0.25">
      <c r="G192">
        <f>IF(ISNUMBER(SEARCH($G$2,H192)),MAX($G$4:G191)+1,0)</f>
        <v>0</v>
      </c>
      <c r="L192" s="11"/>
      <c r="M192" s="12"/>
      <c r="N192" s="12"/>
      <c r="O192" s="12"/>
      <c r="P192" s="13"/>
      <c r="Q192" s="11"/>
      <c r="R192" s="12"/>
      <c r="S192" s="12"/>
      <c r="T192" s="12"/>
      <c r="U192" s="13"/>
      <c r="V192" s="11"/>
      <c r="W192" s="12"/>
      <c r="X192" s="12"/>
      <c r="Y192" s="12"/>
      <c r="Z192" s="13"/>
      <c r="AA192" s="12">
        <v>100</v>
      </c>
    </row>
    <row r="193" spans="7:27" x14ac:dyDescent="0.25">
      <c r="G193">
        <f>IF(ISNUMBER(SEARCH($G$2,H193)),MAX($G$4:G192)+1,0)</f>
        <v>0</v>
      </c>
      <c r="L193" s="11"/>
      <c r="M193" s="12"/>
      <c r="N193" s="12"/>
      <c r="O193" s="12"/>
      <c r="P193" s="13"/>
      <c r="Q193" s="11"/>
      <c r="R193" s="12"/>
      <c r="S193" s="12"/>
      <c r="T193" s="12"/>
      <c r="U193" s="13"/>
      <c r="V193" s="11"/>
      <c r="W193" s="12"/>
      <c r="X193" s="12"/>
      <c r="Y193" s="12"/>
      <c r="Z193" s="13"/>
      <c r="AA193" s="12">
        <v>100</v>
      </c>
    </row>
    <row r="194" spans="7:27" x14ac:dyDescent="0.25">
      <c r="G194">
        <f>IF(ISNUMBER(SEARCH($G$2,H194)),MAX($G$4:G193)+1,0)</f>
        <v>0</v>
      </c>
      <c r="L194" s="11"/>
      <c r="M194" s="12"/>
      <c r="N194" s="12"/>
      <c r="O194" s="12"/>
      <c r="P194" s="13"/>
      <c r="Q194" s="11"/>
      <c r="R194" s="12"/>
      <c r="S194" s="12"/>
      <c r="T194" s="12"/>
      <c r="U194" s="13"/>
      <c r="V194" s="11"/>
      <c r="W194" s="12"/>
      <c r="X194" s="12"/>
      <c r="Y194" s="12"/>
      <c r="Z194" s="13"/>
      <c r="AA194" s="12">
        <v>100</v>
      </c>
    </row>
    <row r="195" spans="7:27" x14ac:dyDescent="0.25">
      <c r="G195">
        <f>IF(ISNUMBER(SEARCH($G$2,H195)),MAX($G$4:G194)+1,0)</f>
        <v>0</v>
      </c>
      <c r="L195" s="11"/>
      <c r="M195" s="12"/>
      <c r="N195" s="12"/>
      <c r="O195" s="12"/>
      <c r="P195" s="13"/>
      <c r="Q195" s="11"/>
      <c r="R195" s="12"/>
      <c r="S195" s="12"/>
      <c r="T195" s="12"/>
      <c r="U195" s="13"/>
      <c r="V195" s="11"/>
      <c r="W195" s="12"/>
      <c r="X195" s="12"/>
      <c r="Y195" s="12"/>
      <c r="Z195" s="13"/>
    </row>
    <row r="196" spans="7:27" x14ac:dyDescent="0.25">
      <c r="G196">
        <f>IF(ISNUMBER(SEARCH($G$2,H196)),MAX($G$4:G195)+1,0)</f>
        <v>0</v>
      </c>
      <c r="L196" s="11"/>
      <c r="M196" s="12"/>
      <c r="N196" s="12"/>
      <c r="O196" s="12"/>
      <c r="P196" s="13"/>
      <c r="Q196" s="11"/>
      <c r="R196" s="12"/>
      <c r="S196" s="12"/>
      <c r="T196" s="12"/>
      <c r="U196" s="13"/>
      <c r="V196" s="11"/>
      <c r="W196" s="12"/>
      <c r="X196" s="12"/>
      <c r="Y196" s="12"/>
      <c r="Z196" s="13"/>
    </row>
    <row r="197" spans="7:27" x14ac:dyDescent="0.25">
      <c r="G197">
        <f>IF(ISNUMBER(SEARCH($G$2,H197)),MAX($G$4:G196)+1,0)</f>
        <v>0</v>
      </c>
      <c r="L197" s="11"/>
      <c r="M197" s="12"/>
      <c r="N197" s="12"/>
      <c r="O197" s="12"/>
      <c r="P197" s="13"/>
      <c r="Q197" s="11"/>
      <c r="R197" s="12"/>
      <c r="S197" s="12"/>
      <c r="T197" s="12"/>
      <c r="U197" s="13"/>
      <c r="V197" s="11"/>
      <c r="W197" s="12"/>
      <c r="X197" s="12"/>
      <c r="Y197" s="12"/>
      <c r="Z197" s="13"/>
    </row>
    <row r="198" spans="7:27" x14ac:dyDescent="0.25">
      <c r="G198">
        <f>IF(ISNUMBER(SEARCH($G$2,H198)),MAX($G$4:G197)+1,0)</f>
        <v>0</v>
      </c>
      <c r="L198" s="11"/>
      <c r="M198" s="12"/>
      <c r="N198" s="12"/>
      <c r="O198" s="12"/>
      <c r="P198" s="13"/>
      <c r="Q198" s="11"/>
      <c r="R198" s="12"/>
      <c r="S198" s="12"/>
      <c r="T198" s="12"/>
      <c r="U198" s="13"/>
      <c r="V198" s="11"/>
      <c r="W198" s="12"/>
      <c r="X198" s="12"/>
      <c r="Y198" s="12"/>
      <c r="Z198" s="13"/>
    </row>
    <row r="199" spans="7:27" x14ac:dyDescent="0.25">
      <c r="G199">
        <f>IF(ISNUMBER(SEARCH($G$2,H199)),MAX($G$4:G198)+1,0)</f>
        <v>0</v>
      </c>
      <c r="L199" s="11"/>
      <c r="M199" s="12"/>
      <c r="N199" s="12"/>
      <c r="O199" s="12"/>
      <c r="P199" s="13"/>
      <c r="Q199" s="11"/>
      <c r="R199" s="12"/>
      <c r="S199" s="12"/>
      <c r="T199" s="12"/>
      <c r="U199" s="13"/>
      <c r="V199" s="11"/>
      <c r="W199" s="12"/>
      <c r="X199" s="12"/>
      <c r="Y199" s="12"/>
      <c r="Z199" s="13"/>
    </row>
    <row r="200" spans="7:27" x14ac:dyDescent="0.25">
      <c r="G200">
        <f>IF(ISNUMBER(SEARCH($G$2,H200)),MAX($G$4:G199)+1,0)</f>
        <v>0</v>
      </c>
      <c r="L200" s="11"/>
      <c r="M200" s="12"/>
      <c r="N200" s="12"/>
      <c r="O200" s="12"/>
      <c r="P200" s="13"/>
      <c r="Q200" s="11"/>
      <c r="R200" s="12"/>
      <c r="S200" s="12"/>
      <c r="T200" s="12"/>
      <c r="U200" s="13"/>
      <c r="V200" s="11"/>
      <c r="W200" s="12"/>
      <c r="X200" s="12"/>
      <c r="Y200" s="12"/>
      <c r="Z200" s="13"/>
    </row>
    <row r="201" spans="7:27" x14ac:dyDescent="0.25">
      <c r="L201" s="11"/>
      <c r="M201" s="12"/>
      <c r="N201" s="12"/>
      <c r="O201" s="12"/>
      <c r="P201" s="13"/>
      <c r="Q201" s="11"/>
      <c r="R201" s="12"/>
      <c r="S201" s="12"/>
      <c r="T201" s="12"/>
      <c r="U201" s="13"/>
      <c r="V201" s="11"/>
      <c r="W201" s="12"/>
      <c r="X201" s="12"/>
      <c r="Y201" s="12"/>
      <c r="Z201" s="13"/>
    </row>
    <row r="202" spans="7:27" x14ac:dyDescent="0.25">
      <c r="L202" s="11"/>
      <c r="M202" s="12"/>
      <c r="N202" s="12"/>
      <c r="O202" s="12"/>
      <c r="P202" s="13"/>
      <c r="Q202" s="11"/>
      <c r="R202" s="12"/>
      <c r="S202" s="12"/>
      <c r="T202" s="12"/>
      <c r="U202" s="13"/>
      <c r="V202" s="11"/>
      <c r="W202" s="12"/>
      <c r="X202" s="12"/>
      <c r="Y202" s="12"/>
      <c r="Z202" s="13"/>
    </row>
  </sheetData>
  <sortState ref="H6:AA86">
    <sortCondition ref="H6:H86"/>
  </sortState>
  <mergeCells count="2">
    <mergeCell ref="K1:L1"/>
    <mergeCell ref="K2:L2"/>
  </mergeCells>
  <dataValidations count="5">
    <dataValidation type="list" allowBlank="1" showInputMessage="1" sqref="A2 M5:M187 R77:R79 W77 R82 W82">
      <formula1>Modifiers_List</formula1>
    </dataValidation>
    <dataValidation type="list" allowBlank="1" showInputMessage="1" showErrorMessage="1" sqref="B5:B29">
      <formula1>$A$5:$A$34</formula1>
    </dataValidation>
    <dataValidation type="list" allowBlank="1" showInputMessage="1" sqref="G2">
      <formula1>BUFFS</formula1>
    </dataValidation>
    <dataValidation type="list" allowBlank="1" showInputMessage="1" showErrorMessage="1" sqref="L5:L263 V5:V58 V67 V77 Q5:Q254 V82">
      <formula1>Types</formula1>
    </dataValidation>
    <dataValidation type="list" allowBlank="1" showInputMessage="1" showErrorMessage="1" sqref="W5:W58 W67 R5:R76 R80:R81 R83:R262">
      <formula1>Modifiers_List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Y472"/>
  <sheetViews>
    <sheetView topLeftCell="A39" zoomScale="85" zoomScaleNormal="85" workbookViewId="0">
      <pane xSplit="1" topLeftCell="B1" activePane="topRight" state="frozen"/>
      <selection pane="topRight" activeCell="A52" sqref="A52"/>
    </sheetView>
  </sheetViews>
  <sheetFormatPr defaultRowHeight="18.75" x14ac:dyDescent="0.3"/>
  <cols>
    <col min="1" max="1" width="25.28515625" style="3" bestFit="1" customWidth="1"/>
    <col min="2" max="2" width="11.42578125" bestFit="1" customWidth="1"/>
    <col min="3" max="3" width="15" bestFit="1" customWidth="1"/>
    <col min="4" max="4" width="18.5703125" customWidth="1"/>
    <col min="5" max="5" width="12.85546875" bestFit="1" customWidth="1"/>
    <col min="6" max="6" width="20.28515625" bestFit="1" customWidth="1"/>
    <col min="7" max="7" width="28.140625" bestFit="1" customWidth="1"/>
    <col min="8" max="8" width="11" bestFit="1" customWidth="1"/>
    <col min="9" max="9" width="15" customWidth="1"/>
    <col min="10" max="10" width="20.85546875" customWidth="1"/>
    <col min="11" max="11" width="15.5703125" customWidth="1"/>
    <col min="12" max="12" width="17.5703125" customWidth="1"/>
    <col min="13" max="13" width="13.5703125" bestFit="1" customWidth="1"/>
    <col min="14" max="14" width="12.85546875" bestFit="1" customWidth="1"/>
    <col min="15" max="15" width="20.140625" bestFit="1" customWidth="1"/>
    <col min="16" max="16" width="14.140625" bestFit="1" customWidth="1"/>
    <col min="17" max="17" width="26.85546875" customWidth="1"/>
    <col min="18" max="18" width="26.85546875" bestFit="1" customWidth="1"/>
    <col min="19" max="19" width="18.85546875" bestFit="1" customWidth="1"/>
    <col min="20" max="20" width="18" bestFit="1" customWidth="1"/>
    <col min="21" max="21" width="22.140625" bestFit="1" customWidth="1"/>
    <col min="22" max="22" width="12.5703125" customWidth="1"/>
    <col min="23" max="23" width="25.7109375" customWidth="1"/>
    <col min="24" max="24" width="22.140625" bestFit="1" customWidth="1"/>
    <col min="25" max="25" width="26.85546875" bestFit="1" customWidth="1"/>
    <col min="26" max="26" width="28.140625" bestFit="1" customWidth="1"/>
    <col min="27" max="27" width="14.42578125" bestFit="1" customWidth="1"/>
    <col min="28" max="28" width="14.28515625" bestFit="1" customWidth="1"/>
    <col min="29" max="29" width="16" bestFit="1" customWidth="1"/>
    <col min="30" max="30" width="21.42578125" bestFit="1" customWidth="1"/>
    <col min="31" max="31" width="37.42578125" customWidth="1"/>
    <col min="32" max="32" width="17.28515625" bestFit="1" customWidth="1"/>
    <col min="33" max="33" width="14.28515625" bestFit="1" customWidth="1"/>
    <col min="34" max="34" width="19.140625" bestFit="1" customWidth="1"/>
    <col min="35" max="35" width="16.28515625" bestFit="1" customWidth="1"/>
    <col min="36" max="36" width="14.28515625" bestFit="1" customWidth="1"/>
    <col min="37" max="37" width="13.5703125" bestFit="1" customWidth="1"/>
    <col min="38" max="38" width="12" bestFit="1" customWidth="1"/>
    <col min="39" max="40" width="13.5703125" bestFit="1" customWidth="1"/>
    <col min="41" max="41" width="18.7109375" customWidth="1"/>
    <col min="42" max="42" width="9.28515625" bestFit="1" customWidth="1"/>
    <col min="43" max="43" width="14.5703125" bestFit="1" customWidth="1"/>
    <col min="44" max="44" width="23" bestFit="1" customWidth="1"/>
    <col min="52" max="52" width="14.140625" bestFit="1" customWidth="1"/>
    <col min="53" max="53" width="15.7109375" bestFit="1" customWidth="1"/>
    <col min="54" max="54" width="15.28515625" bestFit="1" customWidth="1"/>
    <col min="55" max="55" width="26" bestFit="1" customWidth="1"/>
    <col min="56" max="56" width="16.140625" bestFit="1" customWidth="1"/>
  </cols>
  <sheetData>
    <row r="1" spans="1:389" ht="23.25" x14ac:dyDescent="0.35">
      <c r="A1" s="3" t="s">
        <v>46</v>
      </c>
      <c r="B1" s="157" t="s">
        <v>156</v>
      </c>
      <c r="C1" t="s">
        <v>95</v>
      </c>
      <c r="D1" s="86" t="s">
        <v>135</v>
      </c>
      <c r="H1" s="164" t="s">
        <v>157</v>
      </c>
      <c r="L1" s="180"/>
      <c r="M1" s="180"/>
    </row>
    <row r="2" spans="1:389" x14ac:dyDescent="0.3">
      <c r="L2" s="180"/>
      <c r="M2" s="180"/>
      <c r="AW2" s="50"/>
      <c r="AX2" s="51"/>
      <c r="AY2" s="51"/>
      <c r="AZ2" s="51"/>
      <c r="BA2" s="51"/>
      <c r="BB2" s="51"/>
      <c r="BC2" s="51"/>
      <c r="BD2" s="12"/>
      <c r="BE2" s="51"/>
      <c r="BF2" t="s">
        <v>118</v>
      </c>
      <c r="BG2" s="12"/>
      <c r="BH2" s="51"/>
      <c r="BI2" s="51"/>
      <c r="BJ2" s="51"/>
      <c r="BK2" s="51"/>
      <c r="BL2" s="51"/>
      <c r="BM2" s="51"/>
      <c r="BN2" s="52"/>
    </row>
    <row r="3" spans="1:389" x14ac:dyDescent="0.3">
      <c r="A3" s="3" t="s">
        <v>127</v>
      </c>
      <c r="B3">
        <f>101000+3150+1680+350</f>
        <v>106180</v>
      </c>
      <c r="I3" s="180"/>
      <c r="J3" s="180"/>
      <c r="L3" s="180"/>
      <c r="M3" s="180"/>
      <c r="AW3" s="11" t="s">
        <v>88</v>
      </c>
      <c r="AX3" s="12"/>
      <c r="AY3" s="12"/>
      <c r="AZ3" s="12"/>
      <c r="BA3" s="12"/>
      <c r="BB3" s="12"/>
      <c r="BC3" s="12"/>
      <c r="BD3" s="12"/>
      <c r="BE3" s="12"/>
      <c r="BF3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389" x14ac:dyDescent="0.3">
      <c r="A4" s="3" t="s">
        <v>155</v>
      </c>
      <c r="B4">
        <v>16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96</v>
      </c>
      <c r="W4" s="95" t="s">
        <v>6</v>
      </c>
      <c r="X4" s="95" t="s">
        <v>64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83" t="s">
        <v>114</v>
      </c>
      <c r="AX4" s="184"/>
      <c r="AY4" s="184"/>
      <c r="AZ4" s="12">
        <v>0</v>
      </c>
      <c r="BA4" s="12" t="s">
        <v>115</v>
      </c>
      <c r="BB4" s="12"/>
      <c r="BC4" s="12"/>
      <c r="BE4" s="12"/>
      <c r="BF4" s="12" t="s">
        <v>130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389" x14ac:dyDescent="0.3">
      <c r="C5" s="148" t="s">
        <v>124</v>
      </c>
      <c r="D5" s="98" t="s">
        <v>123</v>
      </c>
      <c r="F5" s="123" t="s">
        <v>125</v>
      </c>
      <c r="G5" s="124" t="s">
        <v>109</v>
      </c>
      <c r="H5" s="125" t="s">
        <v>119</v>
      </c>
      <c r="I5" s="122" t="s">
        <v>120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116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389" ht="33.75" x14ac:dyDescent="0.5">
      <c r="A6" s="116" t="s">
        <v>26</v>
      </c>
      <c r="B6" s="117">
        <f>SUM(C6:D6,R6:AR6,BG3)</f>
        <v>180</v>
      </c>
      <c r="C6" s="42">
        <f>C14*1*B4</f>
        <v>80</v>
      </c>
      <c r="D6" s="42">
        <v>100</v>
      </c>
      <c r="F6" s="86"/>
      <c r="G6" s="120">
        <v>0</v>
      </c>
      <c r="H6" s="121">
        <v>0</v>
      </c>
      <c r="I6" s="126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389" ht="31.5" x14ac:dyDescent="0.5">
      <c r="A7" s="118" t="s">
        <v>28</v>
      </c>
      <c r="B7" s="119">
        <f>SUM(MIN(C13,G7),D7,R7:AR7,BA10,H30*6)</f>
        <v>35</v>
      </c>
      <c r="D7" s="42">
        <v>10</v>
      </c>
      <c r="F7" s="76" t="s">
        <v>126</v>
      </c>
      <c r="G7" s="42">
        <v>100</v>
      </c>
      <c r="R7" s="142">
        <v>0</v>
      </c>
      <c r="S7" s="142">
        <v>0</v>
      </c>
      <c r="T7" s="142">
        <v>8</v>
      </c>
      <c r="U7" s="142">
        <v>0</v>
      </c>
      <c r="V7" s="142">
        <v>0</v>
      </c>
      <c r="W7" s="142">
        <v>5</v>
      </c>
      <c r="X7" s="142">
        <v>0</v>
      </c>
      <c r="Y7" s="142">
        <v>4</v>
      </c>
      <c r="Z7" s="142">
        <v>4</v>
      </c>
      <c r="AA7" s="142">
        <v>0</v>
      </c>
      <c r="AB7" s="142">
        <v>1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2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131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  <c r="NT7" s="76"/>
      <c r="NU7" s="76"/>
      <c r="NV7" s="76"/>
      <c r="NW7" s="76"/>
      <c r="NX7" s="76"/>
      <c r="NY7" s="76"/>
    </row>
    <row r="8" spans="1:389" x14ac:dyDescent="0.3">
      <c r="A8" s="3" t="s">
        <v>85</v>
      </c>
      <c r="B8">
        <f>B7-T7-Y7-Z7-AD7-AE7-AJ7</f>
        <v>17</v>
      </c>
      <c r="O8" t="s">
        <v>184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  <c r="NT8" s="76"/>
      <c r="NU8" s="76"/>
      <c r="NV8" s="76"/>
      <c r="NW8" s="76"/>
      <c r="NX8" s="76"/>
      <c r="NY8" s="76"/>
    </row>
    <row r="9" spans="1:389" x14ac:dyDescent="0.3">
      <c r="A9" s="3" t="s">
        <v>86</v>
      </c>
      <c r="B9">
        <f>B7-C13</f>
        <v>34</v>
      </c>
      <c r="O9" t="s">
        <v>185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56" t="s">
        <v>144</v>
      </c>
      <c r="AY9" s="56" t="s">
        <v>145</v>
      </c>
      <c r="AZ9" s="56" t="s">
        <v>146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  <c r="NT9" s="76"/>
      <c r="NU9" s="76"/>
      <c r="NV9" s="76"/>
      <c r="NW9" s="76"/>
      <c r="NX9" s="76"/>
      <c r="NY9" s="76"/>
    </row>
    <row r="10" spans="1:389" x14ac:dyDescent="0.3">
      <c r="A10" s="3" t="s">
        <v>47</v>
      </c>
      <c r="B10">
        <f>SUM(C13,R10:AR10,C10)</f>
        <v>1</v>
      </c>
      <c r="C10" s="86"/>
      <c r="F10" s="170"/>
      <c r="G10" s="91" t="s">
        <v>88</v>
      </c>
      <c r="H10" s="83">
        <v>0</v>
      </c>
      <c r="I10" s="181" t="s">
        <v>114</v>
      </c>
      <c r="J10" s="182"/>
      <c r="K10" s="84">
        <v>0</v>
      </c>
      <c r="L10" s="170"/>
      <c r="M10" s="170"/>
      <c r="N10" s="170"/>
      <c r="O10" t="s">
        <v>174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42" t="s">
        <v>143</v>
      </c>
      <c r="AY10" s="42">
        <v>8</v>
      </c>
      <c r="AZ10" s="42">
        <v>-16</v>
      </c>
      <c r="BA10" s="153">
        <f>VLOOKUP($D$1,$AX$10:$AZ$18,2,0)</f>
        <v>0</v>
      </c>
      <c r="BB10" s="153">
        <f>VLOOKUP($D$1,$AX$10:$AZ$18,3,0)</f>
        <v>0</v>
      </c>
      <c r="BC10" s="76"/>
      <c r="BD10" s="76"/>
      <c r="BE10" s="76"/>
      <c r="BF10" s="76"/>
      <c r="BG10" s="76"/>
      <c r="BH10" s="12"/>
      <c r="BI10" s="12"/>
      <c r="BJ10" s="12"/>
      <c r="BK10" s="12"/>
      <c r="BL10" s="12"/>
      <c r="BM10" s="12"/>
      <c r="BN10" s="13"/>
      <c r="NT10" s="76"/>
      <c r="NU10" s="76"/>
      <c r="NV10" s="76"/>
      <c r="NW10" s="76"/>
      <c r="NX10" s="76"/>
      <c r="NY10" s="76"/>
    </row>
    <row r="11" spans="1:389" x14ac:dyDescent="0.3">
      <c r="B11" s="98" t="s">
        <v>129</v>
      </c>
      <c r="C11" s="98" t="s">
        <v>128</v>
      </c>
      <c r="D11" s="98" t="s">
        <v>123</v>
      </c>
      <c r="F11" s="170"/>
      <c r="G11" s="166" t="s">
        <v>89</v>
      </c>
      <c r="H11" s="45" t="s">
        <v>91</v>
      </c>
      <c r="I11" s="4" t="s">
        <v>90</v>
      </c>
      <c r="J11" s="4" t="s">
        <v>100</v>
      </c>
      <c r="K11" s="44" t="s">
        <v>102</v>
      </c>
      <c r="L11" s="44" t="s">
        <v>101</v>
      </c>
      <c r="M11" s="44" t="s">
        <v>131</v>
      </c>
      <c r="N11" s="44" t="s">
        <v>160</v>
      </c>
      <c r="O11" s="167" t="s">
        <v>186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42" t="s">
        <v>132</v>
      </c>
      <c r="AY11" s="42">
        <v>4</v>
      </c>
      <c r="AZ11" s="42">
        <v>-12</v>
      </c>
      <c r="BB11" s="76"/>
      <c r="BC11" s="76"/>
      <c r="BD11" s="76"/>
      <c r="BE11" s="76"/>
      <c r="BF11" s="76"/>
      <c r="BG11" s="76"/>
      <c r="BH11" s="12"/>
      <c r="BI11" s="12"/>
      <c r="BJ11" s="12"/>
      <c r="BK11" s="12"/>
      <c r="BL11" s="12"/>
      <c r="BM11" s="12"/>
      <c r="BN11" s="13"/>
      <c r="NT11" s="76"/>
      <c r="NU11" s="76"/>
      <c r="NV11" s="76"/>
      <c r="NW11" s="76"/>
      <c r="NX11" s="76"/>
      <c r="NY11" s="76"/>
    </row>
    <row r="12" spans="1:389" ht="20.25" x14ac:dyDescent="0.3">
      <c r="A12" s="105" t="s">
        <v>79</v>
      </c>
      <c r="B12" s="129">
        <f t="shared" ref="B12:B17" si="0">SUM(D12,R12:AR12)</f>
        <v>14</v>
      </c>
      <c r="C12" s="130">
        <f t="shared" ref="C12:C17" si="1">ROUNDDOWN(B12/2,0)-5</f>
        <v>2</v>
      </c>
      <c r="D12" s="131">
        <v>14</v>
      </c>
      <c r="F12" s="3" t="s">
        <v>74</v>
      </c>
      <c r="G12" s="173">
        <f>SUM($B$23:$B$24,IF(L12="Strength",$C$12,$C$13),M12,$H$10*(-1))</f>
        <v>23</v>
      </c>
      <c r="H12" s="45" t="s">
        <v>285</v>
      </c>
      <c r="I12" s="45">
        <f>SUM(N13,$B$25)</f>
        <v>2</v>
      </c>
      <c r="J12" s="45" t="s">
        <v>116</v>
      </c>
      <c r="K12" s="154" t="s">
        <v>104</v>
      </c>
      <c r="L12" s="85" t="s">
        <v>83</v>
      </c>
      <c r="M12" s="4">
        <f>SUM($H$23*2,$H$24*(-2),$H$25*(2),$J$23*2,$J$24,$J$25,$L$23*2,$H$31*(-2),$L$24)</f>
        <v>0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2</v>
      </c>
      <c r="O12" s="43" t="s">
        <v>187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42" t="s">
        <v>133</v>
      </c>
      <c r="AY12" s="42">
        <v>2</v>
      </c>
      <c r="AZ12" s="42">
        <v>-8</v>
      </c>
      <c r="BB12" s="76"/>
      <c r="BC12" s="76"/>
      <c r="BD12" s="76"/>
      <c r="BE12" s="76"/>
      <c r="BF12" s="76"/>
      <c r="BG12" s="76"/>
      <c r="BH12" s="12"/>
      <c r="BI12" s="12"/>
      <c r="BJ12" s="12"/>
      <c r="BK12" s="12"/>
      <c r="BL12" s="12"/>
      <c r="BM12" s="12"/>
      <c r="BN12" s="13"/>
      <c r="NT12" s="76"/>
      <c r="NU12" s="76"/>
      <c r="NV12" s="76"/>
      <c r="NW12" s="76"/>
      <c r="NX12" s="76"/>
      <c r="NY12" s="76"/>
    </row>
    <row r="13" spans="1:389" ht="20.25" x14ac:dyDescent="0.3">
      <c r="A13" s="106" t="s">
        <v>83</v>
      </c>
      <c r="B13" s="99">
        <f t="shared" si="0"/>
        <v>13</v>
      </c>
      <c r="C13" s="99">
        <f t="shared" si="1"/>
        <v>1</v>
      </c>
      <c r="D13" s="108">
        <v>13</v>
      </c>
      <c r="F13" s="170"/>
      <c r="G13" s="186" t="s">
        <v>296</v>
      </c>
      <c r="H13" s="187"/>
      <c r="I13" s="188"/>
      <c r="J13" s="189"/>
      <c r="K13" s="190"/>
      <c r="L13" s="191"/>
      <c r="M13" s="4"/>
      <c r="N13" s="4">
        <f>SUM(N12,$L$24,$L$25*($B$4))</f>
        <v>2</v>
      </c>
      <c r="O13" s="43" t="s">
        <v>188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42" t="s">
        <v>134</v>
      </c>
      <c r="AY13" s="42">
        <v>1</v>
      </c>
      <c r="AZ13" s="42">
        <v>-4</v>
      </c>
      <c r="BB13" s="76"/>
      <c r="BC13" s="76"/>
      <c r="BD13" s="76"/>
      <c r="BE13" s="76"/>
      <c r="BF13" s="76"/>
      <c r="BG13" s="76"/>
      <c r="BH13" s="12"/>
      <c r="BI13" s="12"/>
      <c r="BJ13" s="12"/>
      <c r="BK13" s="12"/>
      <c r="BL13" s="12"/>
      <c r="BM13" s="12"/>
      <c r="BN13" s="13"/>
      <c r="NT13" s="76"/>
      <c r="NU13" s="76"/>
      <c r="NV13" s="76"/>
      <c r="NW13" s="76"/>
      <c r="NX13" s="76"/>
      <c r="NY13" s="76"/>
    </row>
    <row r="14" spans="1:389" ht="20.25" x14ac:dyDescent="0.3">
      <c r="A14" s="127" t="s">
        <v>82</v>
      </c>
      <c r="B14" s="103">
        <f t="shared" si="0"/>
        <v>21</v>
      </c>
      <c r="C14" s="103">
        <f t="shared" si="1"/>
        <v>5</v>
      </c>
      <c r="D14" s="128">
        <v>15</v>
      </c>
      <c r="F14" s="171"/>
      <c r="G14" s="171"/>
      <c r="H14" s="171"/>
      <c r="I14" s="171"/>
      <c r="J14" s="171"/>
      <c r="K14" s="171"/>
      <c r="L14" s="171"/>
      <c r="M14" s="171"/>
      <c r="N14" s="171"/>
      <c r="O14" s="43" t="s">
        <v>189</v>
      </c>
      <c r="R14" s="136">
        <v>0</v>
      </c>
      <c r="S14" s="136">
        <v>0</v>
      </c>
      <c r="T14" s="136">
        <v>0</v>
      </c>
      <c r="U14" s="136">
        <v>0</v>
      </c>
      <c r="V14" s="136">
        <v>4</v>
      </c>
      <c r="W14" s="136">
        <v>0</v>
      </c>
      <c r="X14" s="136">
        <v>0</v>
      </c>
      <c r="Y14" s="136">
        <v>0</v>
      </c>
      <c r="Z14" s="136">
        <v>0</v>
      </c>
      <c r="AA14" s="136">
        <v>2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42" t="s">
        <v>135</v>
      </c>
      <c r="AY14" s="42">
        <v>0</v>
      </c>
      <c r="AZ14" s="42">
        <v>0</v>
      </c>
      <c r="BB14" s="76"/>
      <c r="BC14" s="76"/>
      <c r="BD14" s="76"/>
      <c r="BE14" s="76"/>
      <c r="BF14" s="76"/>
      <c r="BG14" s="76"/>
      <c r="BH14" s="12"/>
      <c r="BI14" s="12"/>
      <c r="BJ14" s="12"/>
      <c r="BK14" s="12"/>
      <c r="BL14" s="12"/>
      <c r="BM14" s="12"/>
      <c r="BN14" s="13"/>
      <c r="NT14" s="76"/>
      <c r="NU14" s="76"/>
      <c r="NV14" s="76"/>
      <c r="NW14" s="76"/>
      <c r="NX14" s="76"/>
      <c r="NY14" s="76"/>
    </row>
    <row r="15" spans="1:389" ht="20.25" x14ac:dyDescent="0.3">
      <c r="A15" s="109" t="s">
        <v>122</v>
      </c>
      <c r="B15" s="100">
        <f t="shared" si="0"/>
        <v>12</v>
      </c>
      <c r="C15" s="100">
        <f t="shared" si="1"/>
        <v>1</v>
      </c>
      <c r="D15" s="110">
        <v>12</v>
      </c>
      <c r="F15" s="171"/>
      <c r="G15" s="180"/>
      <c r="H15" s="180"/>
      <c r="I15" s="180"/>
      <c r="J15" s="171"/>
      <c r="K15" s="171"/>
      <c r="L15" s="171"/>
      <c r="M15" s="171"/>
      <c r="N15" s="171"/>
      <c r="O15" s="43" t="s">
        <v>190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42" t="s">
        <v>136</v>
      </c>
      <c r="AY15" s="42" t="s">
        <v>137</v>
      </c>
      <c r="AZ15" s="42">
        <v>4</v>
      </c>
      <c r="BB15" s="76"/>
      <c r="BC15" s="76"/>
      <c r="BD15" s="76"/>
      <c r="BE15" s="76"/>
      <c r="BF15" s="76"/>
      <c r="BG15" s="76"/>
      <c r="BH15" s="12"/>
      <c r="BI15" s="12"/>
      <c r="BJ15" s="12"/>
      <c r="BK15" s="12"/>
      <c r="BL15" s="12"/>
      <c r="BM15" s="12"/>
      <c r="BN15" s="13"/>
      <c r="NT15" s="76"/>
      <c r="NU15" s="76"/>
      <c r="NV15" s="76"/>
      <c r="NW15" s="76"/>
      <c r="NX15" s="76"/>
      <c r="NY15" s="76"/>
    </row>
    <row r="16" spans="1:389" ht="20.25" x14ac:dyDescent="0.3">
      <c r="A16" s="111" t="s">
        <v>80</v>
      </c>
      <c r="B16" s="101">
        <f t="shared" si="0"/>
        <v>27</v>
      </c>
      <c r="C16" s="101">
        <f t="shared" si="1"/>
        <v>8</v>
      </c>
      <c r="D16" s="112">
        <v>19</v>
      </c>
      <c r="F16" s="171"/>
      <c r="G16" s="171"/>
      <c r="H16" s="171"/>
      <c r="I16" s="171"/>
      <c r="J16" s="171"/>
      <c r="K16" s="171"/>
      <c r="L16" s="171"/>
      <c r="M16" s="171"/>
      <c r="N16" s="171"/>
      <c r="O16" s="43" t="s">
        <v>191</v>
      </c>
      <c r="R16" s="138">
        <v>0</v>
      </c>
      <c r="S16" s="138">
        <v>0</v>
      </c>
      <c r="T16" s="138">
        <v>0</v>
      </c>
      <c r="U16" s="138">
        <v>0</v>
      </c>
      <c r="V16" s="138">
        <v>6</v>
      </c>
      <c r="W16" s="138">
        <v>0</v>
      </c>
      <c r="X16" s="138">
        <v>0</v>
      </c>
      <c r="Y16" s="138">
        <v>0</v>
      </c>
      <c r="Z16" s="138">
        <v>0</v>
      </c>
      <c r="AA16" s="138">
        <v>2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42" t="s">
        <v>138</v>
      </c>
      <c r="AY16" s="42" t="s">
        <v>139</v>
      </c>
      <c r="AZ16" s="42">
        <v>8</v>
      </c>
      <c r="BB16" s="76"/>
      <c r="BC16" s="76"/>
      <c r="BD16" s="76"/>
      <c r="BE16" s="76"/>
      <c r="BF16" s="76"/>
      <c r="BG16" s="76"/>
      <c r="BH16" s="12"/>
      <c r="BI16" s="12"/>
      <c r="BJ16" s="12"/>
      <c r="BK16" s="12"/>
      <c r="BL16" s="12"/>
      <c r="BM16" s="12"/>
      <c r="BN16" s="13"/>
    </row>
    <row r="17" spans="1:66" ht="20.25" x14ac:dyDescent="0.3">
      <c r="A17" s="113" t="s">
        <v>81</v>
      </c>
      <c r="B17" s="114">
        <f t="shared" si="0"/>
        <v>15</v>
      </c>
      <c r="C17" s="114">
        <f t="shared" si="1"/>
        <v>2</v>
      </c>
      <c r="D17" s="115">
        <v>15</v>
      </c>
      <c r="F17" s="171"/>
      <c r="G17" s="180"/>
      <c r="H17" s="180"/>
      <c r="I17" s="180"/>
      <c r="J17" s="180"/>
      <c r="K17" s="180"/>
      <c r="L17" s="180"/>
      <c r="M17" s="171"/>
      <c r="N17" s="171"/>
      <c r="O17" s="43" t="s">
        <v>192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42" t="s">
        <v>140</v>
      </c>
      <c r="AY17" s="42" t="s">
        <v>141</v>
      </c>
      <c r="AZ17" s="42">
        <v>12</v>
      </c>
      <c r="BB17" s="76"/>
      <c r="BC17" s="76"/>
      <c r="BD17" s="76"/>
      <c r="BE17" s="76"/>
      <c r="BF17" s="76"/>
      <c r="BG17" s="76"/>
      <c r="BH17" s="12"/>
      <c r="BI17" s="12"/>
      <c r="BJ17" s="12"/>
      <c r="BK17" s="12"/>
      <c r="BL17" s="12"/>
      <c r="BM17" s="12"/>
      <c r="BN17" s="13"/>
    </row>
    <row r="18" spans="1:66" x14ac:dyDescent="0.3">
      <c r="B18" s="45" t="s">
        <v>129</v>
      </c>
      <c r="C18" s="45" t="s">
        <v>123</v>
      </c>
      <c r="K18" s="93"/>
      <c r="O18" s="43" t="s">
        <v>193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42" t="s">
        <v>147</v>
      </c>
      <c r="AY18" s="42" t="s">
        <v>142</v>
      </c>
      <c r="AZ18" s="42">
        <v>16</v>
      </c>
      <c r="BB18" s="76"/>
      <c r="BC18" s="76"/>
      <c r="BD18" s="76"/>
      <c r="BE18" s="76"/>
      <c r="BF18" s="76"/>
      <c r="BG18" s="76"/>
      <c r="BH18" s="12"/>
      <c r="BI18" s="12"/>
      <c r="BJ18" s="12"/>
      <c r="BK18" s="12"/>
      <c r="BL18" s="12"/>
      <c r="BM18" s="12"/>
      <c r="BN18" s="13"/>
    </row>
    <row r="19" spans="1:66" ht="18" x14ac:dyDescent="0.25">
      <c r="A19" s="132" t="s">
        <v>29</v>
      </c>
      <c r="B19" s="149">
        <f>SUM(C14,C19,R19:AR19,BG4)</f>
        <v>24</v>
      </c>
      <c r="C19" s="94">
        <v>10</v>
      </c>
      <c r="O19" s="43" t="s">
        <v>194</v>
      </c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1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8" x14ac:dyDescent="0.25">
      <c r="A20" s="106" t="s">
        <v>30</v>
      </c>
      <c r="B20" s="104">
        <f>SUM(C13,C20,R20:AR20,BG5)</f>
        <v>14</v>
      </c>
      <c r="C20" s="156">
        <v>4</v>
      </c>
      <c r="H20" s="49"/>
      <c r="O20" s="43" t="s">
        <v>195</v>
      </c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1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0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192" t="s">
        <v>162</v>
      </c>
      <c r="AX20" s="192"/>
      <c r="AY20" s="192"/>
      <c r="AZ20" s="123" t="s">
        <v>104</v>
      </c>
      <c r="BA20" s="123" t="s">
        <v>159</v>
      </c>
      <c r="BB20" s="123" t="s">
        <v>113</v>
      </c>
      <c r="BC20" s="165" t="s">
        <v>158</v>
      </c>
      <c r="BD20" s="123" t="s">
        <v>112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8" x14ac:dyDescent="0.25">
      <c r="A21" s="107" t="s">
        <v>31</v>
      </c>
      <c r="B21" s="150">
        <f>SUM(C21,C16,R21:AR21,BG6)</f>
        <v>27</v>
      </c>
      <c r="C21" s="57">
        <v>10</v>
      </c>
      <c r="O21" s="43" t="s">
        <v>255</v>
      </c>
      <c r="P21">
        <v>12</v>
      </c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1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84" t="s">
        <v>149</v>
      </c>
      <c r="AX21" s="184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">
      <c r="B22" s="47" t="s">
        <v>129</v>
      </c>
      <c r="C22" s="48" t="s">
        <v>123</v>
      </c>
      <c r="G22" s="185" t="s">
        <v>121</v>
      </c>
      <c r="H22" s="185"/>
      <c r="O22" s="43" t="s">
        <v>256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5" x14ac:dyDescent="0.25">
      <c r="A23" s="151" t="s">
        <v>78</v>
      </c>
      <c r="B23" s="51">
        <f>SUM(C23,B29,R23:AR23)</f>
        <v>11</v>
      </c>
      <c r="C23" s="52">
        <v>11</v>
      </c>
      <c r="G23" s="79" t="s">
        <v>106</v>
      </c>
      <c r="H23" s="82">
        <v>0</v>
      </c>
      <c r="I23" s="50" t="s">
        <v>105</v>
      </c>
      <c r="J23" s="87">
        <v>0</v>
      </c>
      <c r="K23" s="79" t="s">
        <v>117</v>
      </c>
      <c r="L23" s="82">
        <v>0</v>
      </c>
      <c r="O23" s="43" t="s">
        <v>257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8" x14ac:dyDescent="0.25">
      <c r="A24" s="146" t="s">
        <v>53</v>
      </c>
      <c r="B24" s="12">
        <f>SUM(B23,R24:AR24,BG7,BA10)</f>
        <v>11</v>
      </c>
      <c r="C24" s="13"/>
      <c r="D24" s="161"/>
      <c r="G24" s="79" t="s">
        <v>107</v>
      </c>
      <c r="H24" s="82">
        <v>0</v>
      </c>
      <c r="I24" s="11" t="s">
        <v>110</v>
      </c>
      <c r="J24" s="88">
        <v>0</v>
      </c>
      <c r="O24" s="43" t="s">
        <v>258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83" t="s">
        <v>150</v>
      </c>
      <c r="AX24" s="184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0</v>
      </c>
      <c r="BC24" s="12">
        <f>BC21*$AY$24</f>
        <v>0</v>
      </c>
      <c r="BD24" s="12">
        <f>BD21*$AY$24</f>
        <v>0</v>
      </c>
      <c r="BE24" s="43">
        <f>IF($K$12=$AZ$20,AZ24,IF($K$12=$BA$20,BA24,IF($K$12=$BB$20,BB24,IF($K$12=$BC$20,BC24,IF($K$12=$BD$20,BD24,0)))))</f>
        <v>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5" x14ac:dyDescent="0.25">
      <c r="A25" s="152" t="s">
        <v>77</v>
      </c>
      <c r="B25" s="12">
        <f>SUM(R25:AR25)</f>
        <v>0</v>
      </c>
      <c r="C25" s="13"/>
      <c r="G25" s="79" t="s">
        <v>108</v>
      </c>
      <c r="H25" s="82">
        <v>0</v>
      </c>
      <c r="I25" s="90" t="s">
        <v>111</v>
      </c>
      <c r="J25" s="89">
        <v>0</v>
      </c>
      <c r="O25" s="43" t="s">
        <v>248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161</v>
      </c>
      <c r="AY25" s="12"/>
      <c r="AZ25" s="12">
        <f>$C$12</f>
        <v>2</v>
      </c>
      <c r="BA25" s="12">
        <f>ROUNDDOWN($C$12*0.5,0)</f>
        <v>1</v>
      </c>
      <c r="BB25" s="12">
        <f>$C$12</f>
        <v>2</v>
      </c>
      <c r="BC25" s="12">
        <f>ROUNDDOWN($C$12*0.5,0)</f>
        <v>1</v>
      </c>
      <c r="BD25" s="12">
        <f>ROUNDDOWN($C$12*1.5,0)</f>
        <v>3</v>
      </c>
      <c r="BE25" s="43">
        <f>IF(L12=A12,IF($K$12=$AZ$20,AZ25,IF($K$12=$BA$20,BA25,IF($K$12=$BB$20,BB25,IF($K$12=$BC$20,BC25,IF($K$12=$BD$20,BD25,0))))),0)</f>
        <v>0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">
      <c r="A26" s="147" t="s">
        <v>84</v>
      </c>
      <c r="B26" s="54">
        <f>SUM(B23,C12,BB10,R26:AR26)</f>
        <v>13</v>
      </c>
      <c r="C26" s="55"/>
      <c r="O26" s="43" t="s">
        <v>259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">
      <c r="O27" s="43" t="s">
        <v>260</v>
      </c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5" x14ac:dyDescent="0.25">
      <c r="A28" s="4" t="s">
        <v>93</v>
      </c>
      <c r="B28" s="77">
        <v>0</v>
      </c>
    </row>
    <row r="29" spans="1:66" ht="15" x14ac:dyDescent="0.25">
      <c r="A29" s="4" t="s">
        <v>94</v>
      </c>
      <c r="B29" s="78">
        <v>0</v>
      </c>
      <c r="G29" s="185" t="s">
        <v>152</v>
      </c>
      <c r="H29" s="185"/>
    </row>
    <row r="30" spans="1:66" ht="15" x14ac:dyDescent="0.25">
      <c r="A30" s="4" t="s">
        <v>148</v>
      </c>
      <c r="B30" s="78">
        <v>0</v>
      </c>
      <c r="G30" s="79" t="s">
        <v>153</v>
      </c>
      <c r="H30" s="82">
        <v>0</v>
      </c>
    </row>
    <row r="31" spans="1:66" s="1" customFormat="1" ht="15" x14ac:dyDescent="0.25">
      <c r="G31" s="79" t="s">
        <v>154</v>
      </c>
      <c r="H31" s="82">
        <v>0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3" spans="1:27" x14ac:dyDescent="0.3">
      <c r="A33" s="3" t="s">
        <v>71</v>
      </c>
      <c r="B33">
        <f>COUNTA(A35:A81)</f>
        <v>25</v>
      </c>
    </row>
    <row r="34" spans="1:27" x14ac:dyDescent="0.3">
      <c r="A34" s="3" t="s">
        <v>50</v>
      </c>
      <c r="B34" s="19" t="s">
        <v>62</v>
      </c>
      <c r="C34" s="30" t="s">
        <v>76</v>
      </c>
      <c r="D34" s="32" t="s">
        <v>70</v>
      </c>
      <c r="E34" s="21" t="s">
        <v>66</v>
      </c>
      <c r="F34" s="58" t="s">
        <v>51</v>
      </c>
      <c r="G34" s="59" t="s">
        <v>57</v>
      </c>
      <c r="H34" s="60" t="s">
        <v>58</v>
      </c>
      <c r="I34" s="61" t="s">
        <v>65</v>
      </c>
      <c r="J34" s="62" t="s">
        <v>54</v>
      </c>
      <c r="K34" s="59" t="s">
        <v>57</v>
      </c>
      <c r="L34" s="60" t="s">
        <v>58</v>
      </c>
      <c r="M34" s="61" t="s">
        <v>65</v>
      </c>
      <c r="N34" s="63" t="s">
        <v>66</v>
      </c>
      <c r="O34" s="62" t="s">
        <v>54</v>
      </c>
      <c r="P34" s="59" t="s">
        <v>57</v>
      </c>
      <c r="Q34" s="60" t="s">
        <v>58</v>
      </c>
      <c r="R34" s="61" t="s">
        <v>65</v>
      </c>
      <c r="S34" s="63" t="s">
        <v>66</v>
      </c>
      <c r="T34" s="64" t="s">
        <v>73</v>
      </c>
      <c r="W34" s="1"/>
      <c r="X34" s="1"/>
      <c r="Y34" s="1"/>
      <c r="Z34" s="1"/>
      <c r="AA34" s="1"/>
    </row>
    <row r="35" spans="1:27" x14ac:dyDescent="0.3">
      <c r="A35" s="17" t="s">
        <v>97</v>
      </c>
      <c r="B35" s="80">
        <v>8</v>
      </c>
      <c r="C35" s="81">
        <v>9999</v>
      </c>
      <c r="D35" s="31">
        <f>IFERROR(VLOOKUP(A35,BUFFS!$H$5:$AF$195,8,),"")</f>
        <v>0</v>
      </c>
      <c r="E35" s="24">
        <f t="shared" ref="E35:E43" si="2">IFERROR(SUM(H35,ROUNDDOWN(MIN(B35,T$35)*I35,0)),"")</f>
        <v>8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 t="shared" ref="N35:N43" si="3"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 t="shared" ref="S35:S43" si="4">IFERROR(SUM(Q35,ROUNDDOWN(MIN(B35,T$35)*R35,0)),"")</f>
        <v>0</v>
      </c>
      <c r="T35" s="70">
        <f>IFERROR(VLOOKUP(A35,BUFFS!$H$5:$AF$195,20,),"")</f>
        <v>100</v>
      </c>
    </row>
    <row r="36" spans="1:27" x14ac:dyDescent="0.3">
      <c r="A36" s="17" t="s">
        <v>98</v>
      </c>
      <c r="B36" s="80">
        <v>2</v>
      </c>
      <c r="C36" s="81">
        <v>9999</v>
      </c>
      <c r="D36" s="31">
        <f>IFERROR(VLOOKUP(A36,BUFFS!$H$5:$AF$195,8,),"")</f>
        <v>0</v>
      </c>
      <c r="E36" s="24">
        <f t="shared" si="2"/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 t="shared" si="3"/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 t="shared" si="4"/>
        <v>0</v>
      </c>
      <c r="T36" s="70">
        <f>IFERROR(VLOOKUP(A36,BUFFS!$H$5:$AF$195,20,),"")</f>
        <v>100</v>
      </c>
    </row>
    <row r="37" spans="1:27" x14ac:dyDescent="0.3">
      <c r="A37" s="17" t="s">
        <v>165</v>
      </c>
      <c r="B37" s="80">
        <v>0</v>
      </c>
      <c r="C37" s="81">
        <v>9999</v>
      </c>
      <c r="D37" s="31">
        <f>IFERROR(VLOOKUP(A37,BUFFS!$H$5:$AF$195,8,),"")</f>
        <v>0</v>
      </c>
      <c r="E37" s="24">
        <f t="shared" si="2"/>
        <v>0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 t="shared" si="3"/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 t="shared" si="4"/>
        <v>0</v>
      </c>
      <c r="T37" s="70">
        <f>IFERROR(VLOOKUP(A37,BUFFS!$H$5:$AF$195,20,),"")</f>
        <v>100</v>
      </c>
    </row>
    <row r="38" spans="1:27" x14ac:dyDescent="0.3">
      <c r="A38" s="17" t="s">
        <v>99</v>
      </c>
      <c r="B38" s="80">
        <v>4</v>
      </c>
      <c r="C38" s="81">
        <v>9999</v>
      </c>
      <c r="D38" s="31">
        <f>IFERROR(VLOOKUP(A38,BUFFS!$H$5:$AF$195,8,),"")</f>
        <v>0</v>
      </c>
      <c r="E38" s="24">
        <f t="shared" si="2"/>
        <v>4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 t="shared" si="3"/>
        <v>4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 t="shared" si="4"/>
        <v>4</v>
      </c>
      <c r="T38" s="70">
        <f>IFERROR(VLOOKUP(A38,BUFFS!$H$5:$AF$195,20,),"")</f>
        <v>100</v>
      </c>
    </row>
    <row r="39" spans="1:27" x14ac:dyDescent="0.3">
      <c r="A39" s="17" t="s">
        <v>182</v>
      </c>
      <c r="B39" s="80">
        <v>2</v>
      </c>
      <c r="C39" s="81">
        <v>9999</v>
      </c>
      <c r="D39" s="31">
        <f>IFERROR(VLOOKUP(A39,BUFFS!$H$5:$AF$195,8,),"")</f>
        <v>0</v>
      </c>
      <c r="E39" s="24">
        <f t="shared" si="2"/>
        <v>2</v>
      </c>
      <c r="F39" s="65" t="str">
        <f>IFERROR(VLOOKUP(A39,BUFFS!$H$5:$AF$195,5,),"")</f>
        <v>Constitution</v>
      </c>
      <c r="G39" s="66" t="str">
        <f>IFERROR(VLOOKUP(A39,BUFFS!$H$5:$AF$195,6,),"")</f>
        <v xml:space="preserve">Insight Bonus 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 t="shared" si="3"/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 t="shared" si="4"/>
        <v>0</v>
      </c>
      <c r="T39" s="70">
        <f>IFERROR(VLOOKUP(A39,BUFFS!$H$5:$AF$195,20,),"")</f>
        <v>100</v>
      </c>
    </row>
    <row r="40" spans="1:27" x14ac:dyDescent="0.3">
      <c r="A40" s="17" t="s">
        <v>183</v>
      </c>
      <c r="B40" s="80">
        <v>4</v>
      </c>
      <c r="C40" s="81">
        <v>9999</v>
      </c>
      <c r="D40" s="31">
        <f>IFERROR(VLOOKUP(A40,BUFFS!$H$5:$AF$195,8,),"")</f>
        <v>0</v>
      </c>
      <c r="E40" s="24">
        <f t="shared" si="2"/>
        <v>4</v>
      </c>
      <c r="F40" s="65" t="str">
        <f>IFERROR(VLOOKUP(A40,BUFFS!$H$5:$AF$195,5,),"")</f>
        <v>Constitution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 t="shared" si="3"/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 t="shared" si="4"/>
        <v>0</v>
      </c>
      <c r="T40" s="70">
        <f>IFERROR(VLOOKUP(A40,BUFFS!$H$5:$AF$195,20,),"")</f>
        <v>100</v>
      </c>
    </row>
    <row r="41" spans="1:27" x14ac:dyDescent="0.3">
      <c r="A41" s="17" t="s">
        <v>196</v>
      </c>
      <c r="B41" s="80">
        <v>2</v>
      </c>
      <c r="C41" s="81">
        <v>9999</v>
      </c>
      <c r="D41" s="31">
        <f>IFERROR(VLOOKUP(A41,BUFFS!$H$5:$AF$195,8,),"")</f>
        <v>0</v>
      </c>
      <c r="E41" s="24">
        <f t="shared" si="2"/>
        <v>2</v>
      </c>
      <c r="F41" s="65" t="str">
        <f>IFERROR(VLOOKUP(A41,BUFFS!$H$5:$AF$195,5,),"")</f>
        <v>AC</v>
      </c>
      <c r="G41" s="66" t="str">
        <f>IFERROR(VLOOKUP(A41,BUFFS!$H$5:$AF$195,6,),"")</f>
        <v xml:space="preserve">Deflection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 t="shared" si="3"/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 t="shared" si="4"/>
        <v>0</v>
      </c>
      <c r="T41" s="70">
        <f>IFERROR(VLOOKUP(A41,BUFFS!$H$5:$AF$195,20,),"")</f>
        <v>100</v>
      </c>
    </row>
    <row r="42" spans="1:27" x14ac:dyDescent="0.3">
      <c r="A42" s="17" t="s">
        <v>197</v>
      </c>
      <c r="B42" s="80">
        <v>2</v>
      </c>
      <c r="C42" s="81">
        <v>9999</v>
      </c>
      <c r="D42" s="31">
        <f>IFERROR(VLOOKUP(A42,BUFFS!$H$5:$AF$195,8,),"")</f>
        <v>0</v>
      </c>
      <c r="E42" s="24">
        <f t="shared" si="2"/>
        <v>2</v>
      </c>
      <c r="F42" s="65" t="str">
        <f>IFERROR(VLOOKUP(A42,BUFFS!$H$5:$AF$195,5,),"")</f>
        <v>Wisdom</v>
      </c>
      <c r="G42" s="66" t="str">
        <f>IFERROR(VLOOKUP(A42,BUFFS!$H$5:$AF$195,6,),"")</f>
        <v xml:space="preserve">Insight Bonus </v>
      </c>
      <c r="H42" s="67">
        <f>IFERROR(VLOOKUP(A42,BUFFS!$H$5:$AF$195,7,),"")</f>
        <v>0</v>
      </c>
      <c r="I42" s="66">
        <f>IFERROR(VLOOKUP(A42,BUFFS!$H$5:$AF$195,9,),"")</f>
        <v>1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 t="shared" si="3"/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 t="shared" si="4"/>
        <v>0</v>
      </c>
      <c r="T42" s="70">
        <f>IFERROR(VLOOKUP(A42,BUFFS!$H$5:$AF$195,20,),"")</f>
        <v>100</v>
      </c>
    </row>
    <row r="43" spans="1:27" x14ac:dyDescent="0.3">
      <c r="A43" s="17" t="s">
        <v>198</v>
      </c>
      <c r="B43" s="80">
        <v>6</v>
      </c>
      <c r="C43" s="81">
        <v>9999</v>
      </c>
      <c r="D43" s="31">
        <f>IFERROR(VLOOKUP(A43,BUFFS!$H$5:$AF$195,8,),"")</f>
        <v>0</v>
      </c>
      <c r="E43" s="24">
        <f t="shared" si="2"/>
        <v>6</v>
      </c>
      <c r="F43" s="65" t="str">
        <f>IFERROR(VLOOKUP(A43,BUFFS!$H$5:$AF$195,5,),"")</f>
        <v>Wisdom</v>
      </c>
      <c r="G43" s="66" t="str">
        <f>IFERROR(VLOOKUP(A43,BUFFS!$H$5:$AF$195,6,),"")</f>
        <v>Enhancement</v>
      </c>
      <c r="H43" s="67">
        <f>IFERROR(VLOOKUP(A43,BUFFS!$H$5:$AF$195,7,),"")</f>
        <v>0</v>
      </c>
      <c r="I43" s="66">
        <f>IFERROR(VLOOKUP(A43,BUFFS!$H$5:$AF$195,9,),"")</f>
        <v>1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 t="shared" si="3"/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 t="shared" si="4"/>
        <v>0</v>
      </c>
      <c r="T43" s="70">
        <f>IFERROR(VLOOKUP(A43,BUFFS!$H$5:$AF$195,20,),"")</f>
        <v>100</v>
      </c>
    </row>
    <row r="44" spans="1:27" x14ac:dyDescent="0.3">
      <c r="A44" s="17" t="s">
        <v>247</v>
      </c>
      <c r="B44" s="80">
        <v>0</v>
      </c>
      <c r="C44" s="81">
        <v>99999</v>
      </c>
      <c r="D44" s="31">
        <f>IFERROR(VLOOKUP(A44,BUFFS!$H$5:$AF$195,8,),"")</f>
        <v>0</v>
      </c>
      <c r="E44" s="24">
        <f t="shared" ref="E44:E107" si="5">IFERROR(SUM(H44,ROUNDDOWN(MIN(B44,T$35)*I44,0)),"")</f>
        <v>1</v>
      </c>
      <c r="F44" s="65" t="str">
        <f>IFERROR(VLOOKUP(A44,BUFFS!$H$5:$AF$195,5,),"")</f>
        <v>AC</v>
      </c>
      <c r="G44" s="66" t="str">
        <f>IFERROR(VLOOKUP(A44,BUFFS!$H$5:$AF$195,6,),"")</f>
        <v xml:space="preserve">Luck Modifier </v>
      </c>
      <c r="H44" s="67">
        <f>IFERROR(VLOOKUP(A44,BUFFS!$H$5:$AF$195,7,),"")</f>
        <v>1</v>
      </c>
      <c r="I44" s="66">
        <f>IFERROR(VLOOKUP(A44,BUFFS!$H$5:$AF$195,9,),"")</f>
        <v>0</v>
      </c>
      <c r="J44" s="65" t="str">
        <f>IFERROR(VLOOKUP(A44,BUFFS!$H$5:$AF$195,10,),"")</f>
        <v>REF</v>
      </c>
      <c r="K44" s="66" t="str">
        <f>IFERROR(VLOOKUP(A44,BUFFS!$H$5:$AF$195,11,),"")</f>
        <v xml:space="preserve">Luck Modifier </v>
      </c>
      <c r="L44" s="66">
        <f>IFERROR(VLOOKUP(A44,BUFFS!$H$5:$AF$195,12,),"")</f>
        <v>1</v>
      </c>
      <c r="M44" s="66">
        <f>IFERROR(VLOOKUP(A44,BUFFS!$H$5:$AF$195,14,),"")</f>
        <v>0</v>
      </c>
      <c r="N44" s="68">
        <f t="shared" ref="N44:N107" si="6">IFERROR(SUM(L44,ROUNDDOWN(MIN(B44,T$35)*M44,0)),"")</f>
        <v>1</v>
      </c>
      <c r="O44" s="65">
        <f>IFERROR(VLOOKUP(A44,BUFFS!$H$5:$AF$195,15,),"")</f>
        <v>0</v>
      </c>
      <c r="P44" s="66">
        <f>IFERROR(VLOOKUP(A44,BUFFS!$H$5:$AF$195,16,),"")</f>
        <v>0</v>
      </c>
      <c r="Q44" s="66">
        <f>IFERROR(VLOOKUP(A44,BUFFS!$H$5:$AF$195,17,),"")</f>
        <v>0</v>
      </c>
      <c r="R44" s="66">
        <f>IFERROR(VLOOKUP(A44,BUFFS!$H$5:$AF$195,19,),"")</f>
        <v>0</v>
      </c>
      <c r="S44" s="69">
        <f t="shared" ref="S44:S107" si="7">IFERROR(SUM(Q44,ROUNDDOWN(MIN(B44,T$35)*R44,0)),"")</f>
        <v>0</v>
      </c>
      <c r="T44" s="70">
        <f>IFERROR(VLOOKUP(A44,BUFFS!$H$5:$AF$195,20,),"")</f>
        <v>100</v>
      </c>
    </row>
    <row r="45" spans="1:27" x14ac:dyDescent="0.3">
      <c r="A45" s="17" t="s">
        <v>246</v>
      </c>
      <c r="B45" s="80">
        <v>0</v>
      </c>
      <c r="C45" s="81">
        <v>999999</v>
      </c>
      <c r="D45" s="31">
        <f>IFERROR(VLOOKUP(A45,BUFFS!$H$5:$AF$195,8,),"")</f>
        <v>0</v>
      </c>
      <c r="E45" s="24">
        <f t="shared" si="5"/>
        <v>1</v>
      </c>
      <c r="F45" s="65" t="str">
        <f>IFERROR(VLOOKUP(A45,BUFFS!$H$5:$AF$195,5,),"")</f>
        <v>FORT</v>
      </c>
      <c r="G45" s="66" t="str">
        <f>IFERROR(VLOOKUP(A45,BUFFS!$H$5:$AF$195,6,),"")</f>
        <v xml:space="preserve">Luck Modifier </v>
      </c>
      <c r="H45" s="67">
        <f>IFERROR(VLOOKUP(A45,BUFFS!$H$5:$AF$195,7,),"")</f>
        <v>1</v>
      </c>
      <c r="I45" s="66">
        <f>IFERROR(VLOOKUP(A45,BUFFS!$H$5:$AF$195,9,),"")</f>
        <v>0</v>
      </c>
      <c r="J45" s="65" t="str">
        <f>IFERROR(VLOOKUP(A45,BUFFS!$H$5:$AF$195,10,),"")</f>
        <v>WILL</v>
      </c>
      <c r="K45" s="66" t="str">
        <f>IFERROR(VLOOKUP(A45,BUFFS!$H$5:$AF$195,11,),"")</f>
        <v xml:space="preserve">Luck Modifier </v>
      </c>
      <c r="L45" s="66">
        <f>IFERROR(VLOOKUP(A45,BUFFS!$H$5:$AF$195,12,),"")</f>
        <v>1</v>
      </c>
      <c r="M45" s="66">
        <f>IFERROR(VLOOKUP(A45,BUFFS!$H$5:$AF$195,14,),"")</f>
        <v>0</v>
      </c>
      <c r="N45" s="68">
        <f t="shared" si="6"/>
        <v>1</v>
      </c>
      <c r="O45" s="65">
        <f>IFERROR(VLOOKUP(A45,BUFFS!$H$5:$AF$195,15,),"")</f>
        <v>0</v>
      </c>
      <c r="P45" s="66">
        <f>IFERROR(VLOOKUP(A45,BUFFS!$H$5:$AF$195,16,),"")</f>
        <v>0</v>
      </c>
      <c r="Q45" s="66">
        <f>IFERROR(VLOOKUP(A45,BUFFS!$H$5:$AF$195,17,),"")</f>
        <v>0</v>
      </c>
      <c r="R45" s="66">
        <f>IFERROR(VLOOKUP(A45,BUFFS!$H$5:$AF$195,19,),"")</f>
        <v>0</v>
      </c>
      <c r="S45" s="69">
        <f t="shared" si="7"/>
        <v>0</v>
      </c>
      <c r="T45" s="70">
        <f>IFERROR(VLOOKUP(A45,BUFFS!$H$5:$AF$195,20,),"")</f>
        <v>100</v>
      </c>
    </row>
    <row r="46" spans="1:27" x14ac:dyDescent="0.3">
      <c r="A46" s="17" t="s">
        <v>67</v>
      </c>
      <c r="B46" s="80">
        <v>20</v>
      </c>
      <c r="C46" s="81">
        <v>9999</v>
      </c>
      <c r="D46" s="31">
        <f>IFERROR(VLOOKUP(A46,BUFFS!$H$5:$AF$195,8,),"")</f>
        <v>3</v>
      </c>
      <c r="E46" s="24">
        <f t="shared" si="5"/>
        <v>4</v>
      </c>
      <c r="F46" s="65" t="str">
        <f>IFERROR(VLOOKUP(A46,BUFFS!$H$5:$AF$195,5,),"")</f>
        <v>AC</v>
      </c>
      <c r="G46" s="66" t="str">
        <f>IFERROR(VLOOKUP(A46,BUFFS!$H$5:$AF$195,6,),"")</f>
        <v>Enhancement Shield Bonus</v>
      </c>
      <c r="H46" s="67">
        <f>IFERROR(VLOOKUP(A46,BUFFS!$H$5:$AF$195,7,),"")</f>
        <v>0</v>
      </c>
      <c r="I46" s="66">
        <f>IFERROR(VLOOKUP(A46,BUFFS!$H$5:$AF$195,9,),"")</f>
        <v>0.2</v>
      </c>
      <c r="J46" s="65">
        <f>IFERROR(VLOOKUP(A46,BUFFS!$H$5:$AF$195,10,),"")</f>
        <v>0</v>
      </c>
      <c r="K46" s="66">
        <f>IFERROR(VLOOKUP(A46,BUFFS!$H$5:$AF$195,11,),"")</f>
        <v>0</v>
      </c>
      <c r="L46" s="66">
        <f>IFERROR(VLOOKUP(A46,BUFFS!$H$5:$AF$195,12,),"")</f>
        <v>0</v>
      </c>
      <c r="M46" s="66">
        <f>IFERROR(VLOOKUP(A46,BUFFS!$H$5:$AF$195,14,),"")</f>
        <v>0</v>
      </c>
      <c r="N46" s="68">
        <f t="shared" si="6"/>
        <v>0</v>
      </c>
      <c r="O46" s="65">
        <f>IFERROR(VLOOKUP(A46,BUFFS!$H$5:$AF$195,15,),"")</f>
        <v>0</v>
      </c>
      <c r="P46" s="66">
        <f>IFERROR(VLOOKUP(A46,BUFFS!$H$5:$AF$195,16,),"")</f>
        <v>0</v>
      </c>
      <c r="Q46" s="66">
        <f>IFERROR(VLOOKUP(A46,BUFFS!$H$5:$AF$195,17,),"")</f>
        <v>0</v>
      </c>
      <c r="R46" s="66">
        <f>IFERROR(VLOOKUP(A46,BUFFS!$H$5:$AF$195,19,),"")</f>
        <v>0</v>
      </c>
      <c r="S46" s="69">
        <f t="shared" si="7"/>
        <v>0</v>
      </c>
      <c r="T46" s="70">
        <f>IFERROR(VLOOKUP(A46,BUFFS!$H$5:$AF$195,20,),"")</f>
        <v>100</v>
      </c>
    </row>
    <row r="47" spans="1:27" x14ac:dyDescent="0.3">
      <c r="A47" s="17" t="s">
        <v>68</v>
      </c>
      <c r="B47" s="80">
        <v>20</v>
      </c>
      <c r="C47" s="81">
        <v>99999</v>
      </c>
      <c r="D47" s="31">
        <f>IFERROR(VLOOKUP(A47,BUFFS!$H$5:$AF$195,8,),"")</f>
        <v>3</v>
      </c>
      <c r="E47" s="24">
        <f t="shared" si="5"/>
        <v>4</v>
      </c>
      <c r="F47" s="65" t="str">
        <f>IFERROR(VLOOKUP(A47,BUFFS!$H$5:$AF$195,5,),"")</f>
        <v>AC</v>
      </c>
      <c r="G47" s="66" t="str">
        <f>IFERROR(VLOOKUP(A47,BUFFS!$H$5:$AF$195,6,),"")</f>
        <v xml:space="preserve">Enhancement Armor Bonus </v>
      </c>
      <c r="H47" s="67">
        <f>IFERROR(VLOOKUP(A47,BUFFS!$H$5:$AF$195,7,),"")</f>
        <v>0</v>
      </c>
      <c r="I47" s="66">
        <f>IFERROR(VLOOKUP(A47,BUFFS!$H$5:$AF$195,9,),"")</f>
        <v>0.2</v>
      </c>
      <c r="J47" s="65">
        <f>IFERROR(VLOOKUP(A47,BUFFS!$H$5:$AF$195,10,),"")</f>
        <v>0</v>
      </c>
      <c r="K47" s="66">
        <f>IFERROR(VLOOKUP(A47,BUFFS!$H$5:$AF$195,11,),"")</f>
        <v>0</v>
      </c>
      <c r="L47" s="66">
        <f>IFERROR(VLOOKUP(A47,BUFFS!$H$5:$AF$195,12,),"")</f>
        <v>0</v>
      </c>
      <c r="M47" s="66">
        <f>IFERROR(VLOOKUP(A47,BUFFS!$H$5:$AF$195,14,),"")</f>
        <v>0</v>
      </c>
      <c r="N47" s="68">
        <f t="shared" si="6"/>
        <v>0</v>
      </c>
      <c r="O47" s="65">
        <f>IFERROR(VLOOKUP(A47,BUFFS!$H$5:$AF$195,15,),"")</f>
        <v>0</v>
      </c>
      <c r="P47" s="66">
        <f>IFERROR(VLOOKUP(A47,BUFFS!$H$5:$AF$195,16,),"")</f>
        <v>0</v>
      </c>
      <c r="Q47" s="66">
        <f>IFERROR(VLOOKUP(A47,BUFFS!$H$5:$AF$195,17,),"")</f>
        <v>0</v>
      </c>
      <c r="R47" s="66">
        <f>IFERROR(VLOOKUP(A47,BUFFS!$H$5:$AF$195,19,),"")</f>
        <v>0</v>
      </c>
      <c r="S47" s="69">
        <f t="shared" si="7"/>
        <v>0</v>
      </c>
      <c r="T47" s="70">
        <f>IFERROR(VLOOKUP(A47,BUFFS!$H$5:$AF$195,20,),"")</f>
        <v>100</v>
      </c>
    </row>
    <row r="48" spans="1:27" x14ac:dyDescent="0.3">
      <c r="A48" s="17" t="s">
        <v>240</v>
      </c>
      <c r="B48" s="80">
        <v>16</v>
      </c>
      <c r="C48" s="81">
        <v>9999</v>
      </c>
      <c r="D48" s="31">
        <f>IFERROR(VLOOKUP(A48,BUFFS!$H$5:$AF$195,8,),"")</f>
        <v>3</v>
      </c>
      <c r="E48" s="24">
        <f t="shared" si="5"/>
        <v>0</v>
      </c>
      <c r="F48" s="65">
        <f>IFERROR(VLOOKUP(A48,BUFFS!$H$5:$AF$195,5,),"")</f>
        <v>0</v>
      </c>
      <c r="G48" s="66">
        <f>IFERROR(VLOOKUP(A48,BUFFS!$H$5:$AF$195,6,),"")</f>
        <v>0</v>
      </c>
      <c r="H48" s="67">
        <f>IFERROR(VLOOKUP(A48,BUFFS!$H$5:$AF$195,7,),"")</f>
        <v>0</v>
      </c>
      <c r="I48" s="66">
        <f>IFERROR(VLOOKUP(A48,BUFFS!$H$5:$AF$195,9,),"")</f>
        <v>0</v>
      </c>
      <c r="J48" s="65">
        <f>IFERROR(VLOOKUP(A48,BUFFS!$H$5:$AF$195,10,),"")</f>
        <v>0</v>
      </c>
      <c r="K48" s="66">
        <f>IFERROR(VLOOKUP(A48,BUFFS!$H$5:$AF$195,11,),"")</f>
        <v>0</v>
      </c>
      <c r="L48" s="66">
        <f>IFERROR(VLOOKUP(A48,BUFFS!$H$5:$AF$195,12,),"")</f>
        <v>0</v>
      </c>
      <c r="M48" s="66">
        <f>IFERROR(VLOOKUP(A48,BUFFS!$H$5:$AF$195,14,),"")</f>
        <v>0</v>
      </c>
      <c r="N48" s="68">
        <f t="shared" si="6"/>
        <v>0</v>
      </c>
      <c r="O48" s="65">
        <f>IFERROR(VLOOKUP(A48,BUFFS!$H$5:$AF$195,15,),"")</f>
        <v>0</v>
      </c>
      <c r="P48" s="66">
        <f>IFERROR(VLOOKUP(A48,BUFFS!$H$5:$AF$195,16,),"")</f>
        <v>0</v>
      </c>
      <c r="Q48" s="66">
        <f>IFERROR(VLOOKUP(A48,BUFFS!$H$5:$AF$195,17,),"")</f>
        <v>0</v>
      </c>
      <c r="R48" s="66">
        <f>IFERROR(VLOOKUP(A48,BUFFS!$H$5:$AF$195,19,),"")</f>
        <v>0</v>
      </c>
      <c r="S48" s="69">
        <f t="shared" si="7"/>
        <v>0</v>
      </c>
      <c r="T48" s="70">
        <f>IFERROR(VLOOKUP(A48,BUFFS!$H$5:$AF$195,20,),"")</f>
        <v>100</v>
      </c>
    </row>
    <row r="49" spans="1:20" x14ac:dyDescent="0.3">
      <c r="A49" s="17" t="s">
        <v>241</v>
      </c>
      <c r="B49" s="80">
        <v>20</v>
      </c>
      <c r="C49" s="81">
        <v>99999</v>
      </c>
      <c r="D49" s="31">
        <f>IFERROR(VLOOKUP(A49,BUFFS!$H$5:$AF$195,8,),"")</f>
        <v>4</v>
      </c>
      <c r="E49" s="24">
        <f t="shared" si="5"/>
        <v>5</v>
      </c>
      <c r="F49" s="65" t="str">
        <f>IFERROR(VLOOKUP(A49,BUFFS!$H$5:$AF$195,5,),"")</f>
        <v>AC</v>
      </c>
      <c r="G49" s="66" t="str">
        <f>IFERROR(VLOOKUP(A49,BUFFS!$H$5:$AF$195,6,),"")</f>
        <v xml:space="preserve">Deflection Bonus </v>
      </c>
      <c r="H49" s="67">
        <f>IFERROR(VLOOKUP(A49,BUFFS!$H$5:$AF$195,7,),"")</f>
        <v>2</v>
      </c>
      <c r="I49" s="66">
        <f>IFERROR(VLOOKUP(A49,BUFFS!$H$5:$AF$195,9,),"")</f>
        <v>0.16666666666666666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 t="shared" si="6"/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 t="shared" si="7"/>
        <v>0</v>
      </c>
      <c r="T49" s="70">
        <f>IFERROR(VLOOKUP(A49,BUFFS!$H$5:$AF$195,20,),"")</f>
        <v>20</v>
      </c>
    </row>
    <row r="50" spans="1:20" x14ac:dyDescent="0.3">
      <c r="A50" s="17" t="s">
        <v>166</v>
      </c>
      <c r="B50" s="80">
        <v>1</v>
      </c>
      <c r="C50" s="81"/>
      <c r="D50" s="31">
        <f>IFERROR(VLOOKUP(A50,BUFFS!$H$5:$AF$195,8,),"")</f>
        <v>0</v>
      </c>
      <c r="E50" s="24">
        <f t="shared" si="5"/>
        <v>1</v>
      </c>
      <c r="F50" s="65" t="str">
        <f>IFERROR(VLOOKUP(A50,BUFFS!$H$5:$AF$195,5,),"")</f>
        <v>AC</v>
      </c>
      <c r="G50" s="66" t="str">
        <f>IFERROR(VLOOKUP(A50,BUFFS!$H$5:$AF$195,6,),"")</f>
        <v>Enhancement Shield Bonus</v>
      </c>
      <c r="H50" s="67">
        <f>IFERROR(VLOOKUP(A50,BUFFS!$H$5:$AF$195,7,),"")</f>
        <v>0</v>
      </c>
      <c r="I50" s="66">
        <f>IFERROR(VLOOKUP(A50,BUFFS!$H$5:$AF$195,9,),"")</f>
        <v>1</v>
      </c>
      <c r="J50" s="65">
        <f>IFERROR(VLOOKUP(A50,BUFFS!$H$5:$AF$195,10,),"")</f>
        <v>0</v>
      </c>
      <c r="K50" s="66">
        <f>IFERROR(VLOOKUP(A50,BUFFS!$H$5:$AF$195,11,),"")</f>
        <v>0</v>
      </c>
      <c r="L50" s="66">
        <f>IFERROR(VLOOKUP(A50,BUFFS!$H$5:$AF$195,12,),"")</f>
        <v>0</v>
      </c>
      <c r="M50" s="66">
        <f>IFERROR(VLOOKUP(A50,BUFFS!$H$5:$AF$195,14,),"")</f>
        <v>0</v>
      </c>
      <c r="N50" s="68">
        <f t="shared" si="6"/>
        <v>0</v>
      </c>
      <c r="O50" s="65">
        <f>IFERROR(VLOOKUP(A50,BUFFS!$H$5:$AF$195,15,),"")</f>
        <v>0</v>
      </c>
      <c r="P50" s="66">
        <f>IFERROR(VLOOKUP(A50,BUFFS!$H$5:$AF$195,16,),"")</f>
        <v>0</v>
      </c>
      <c r="Q50" s="66">
        <f>IFERROR(VLOOKUP(A50,BUFFS!$H$5:$AF$195,17,),"")</f>
        <v>0</v>
      </c>
      <c r="R50" s="66">
        <f>IFERROR(VLOOKUP(A50,BUFFS!$H$5:$AF$195,19,),"")</f>
        <v>0</v>
      </c>
      <c r="S50" s="69">
        <f t="shared" si="7"/>
        <v>0</v>
      </c>
      <c r="T50" s="70">
        <f>IFERROR(VLOOKUP(A50,BUFFS!$H$5:$AF$195,20,),"")</f>
        <v>100</v>
      </c>
    </row>
    <row r="51" spans="1:20" x14ac:dyDescent="0.3">
      <c r="A51" s="17" t="s">
        <v>297</v>
      </c>
      <c r="B51" s="80">
        <v>16</v>
      </c>
      <c r="C51" s="81"/>
      <c r="D51" s="31">
        <f>IFERROR(VLOOKUP(A51,BUFFS!$H$5:$AF$195,8,),"")</f>
        <v>3</v>
      </c>
      <c r="E51" s="24">
        <f>IFERROR(SUM(H51,ROUNDDOWN(MIN(B51,T$35)*I51,0)),"")</f>
        <v>4</v>
      </c>
      <c r="F51" s="65" t="str">
        <f>IFERROR(VLOOKUP(A51,BUFFS!$H$5:$AF$195,5,),"")</f>
        <v>FORT</v>
      </c>
      <c r="G51" s="66" t="str">
        <f>IFERROR(VLOOKUP(A51,BUFFS!$H$5:$AF$195,6,),"")</f>
        <v xml:space="preserve">Morale Modifier </v>
      </c>
      <c r="H51" s="67">
        <f>IFERROR(VLOOKUP(A51,BUFFS!$H$5:$AF$195,7,),"")</f>
        <v>2</v>
      </c>
      <c r="I51" s="66">
        <f>IFERROR(VLOOKUP(A51,BUFFS!$H$5:$AF$195,9,),"")</f>
        <v>0.16666666666666666</v>
      </c>
      <c r="J51" s="65" t="str">
        <f>IFERROR(VLOOKUP(A51,BUFFS!$H$5:$AF$195,10,),"")</f>
        <v>REF</v>
      </c>
      <c r="K51" s="66" t="str">
        <f>IFERROR(VLOOKUP(A51,BUFFS!$H$5:$AF$195,11,),"")</f>
        <v xml:space="preserve">Morale Modifier </v>
      </c>
      <c r="L51" s="66">
        <f>IFERROR(VLOOKUP(A51,BUFFS!$H$5:$AF$195,12,),"")</f>
        <v>2</v>
      </c>
      <c r="M51" s="66">
        <f>IFERROR(VLOOKUP(A51,BUFFS!$H$5:$AF$195,14,),"")</f>
        <v>0.16666666666666666</v>
      </c>
      <c r="N51" s="68">
        <f t="shared" si="6"/>
        <v>4</v>
      </c>
      <c r="O51" s="65" t="str">
        <f>IFERROR(VLOOKUP(A51,BUFFS!$H$5:$AF$195,15,),"")</f>
        <v>WILL</v>
      </c>
      <c r="P51" s="66" t="str">
        <f>IFERROR(VLOOKUP(A51,BUFFS!$H$5:$AF$195,16,),"")</f>
        <v xml:space="preserve">Morale Modifier </v>
      </c>
      <c r="Q51" s="66">
        <f>IFERROR(VLOOKUP(A51,BUFFS!$H$5:$AF$195,17,),"")</f>
        <v>2</v>
      </c>
      <c r="R51" s="66">
        <f>IFERROR(VLOOKUP(A51,BUFFS!$H$5:$AF$195,19,),"")</f>
        <v>0.16666666666666666</v>
      </c>
      <c r="S51" s="69">
        <f t="shared" si="7"/>
        <v>4</v>
      </c>
      <c r="T51" s="70">
        <f>IFERROR(VLOOKUP(A51,BUFFS!$H$5:$AF$195,20,),"")</f>
        <v>100</v>
      </c>
    </row>
    <row r="52" spans="1:20" x14ac:dyDescent="0.3">
      <c r="A52" s="17" t="s">
        <v>302</v>
      </c>
      <c r="B52" s="80"/>
      <c r="C52" s="81"/>
      <c r="D52" s="31">
        <f>IFERROR(VLOOKUP(A52,BUFFS!$H$5:$AF$195,8,),"")</f>
        <v>2</v>
      </c>
      <c r="E52" s="24">
        <f t="shared" si="5"/>
        <v>2</v>
      </c>
      <c r="F52" s="65" t="str">
        <f>IFERROR(VLOOKUP(A52,BUFFS!$H$5:$AF$195,5,),"")</f>
        <v>FORT</v>
      </c>
      <c r="G52" s="66" t="str">
        <f>IFERROR(VLOOKUP(A52,BUFFS!$H$5:$AF$195,6,),"")</f>
        <v xml:space="preserve">Luck Modifier </v>
      </c>
      <c r="H52" s="67">
        <f>IFERROR(VLOOKUP(A52,BUFFS!$H$5:$AF$195,7,),"")</f>
        <v>2</v>
      </c>
      <c r="I52" s="66">
        <f>IFERROR(VLOOKUP(A52,BUFFS!$H$5:$AF$195,9,),"")</f>
        <v>0</v>
      </c>
      <c r="J52" s="65" t="str">
        <f>IFERROR(VLOOKUP(A52,BUFFS!$H$5:$AF$195,10,),"")</f>
        <v>REF</v>
      </c>
      <c r="K52" s="66" t="str">
        <f>IFERROR(VLOOKUP(A52,BUFFS!$H$5:$AF$195,11,),"")</f>
        <v xml:space="preserve">Luck Modifier </v>
      </c>
      <c r="L52" s="66">
        <f>IFERROR(VLOOKUP(A52,BUFFS!$H$5:$AF$195,12,),"")</f>
        <v>2</v>
      </c>
      <c r="M52" s="66">
        <f>IFERROR(VLOOKUP(A52,BUFFS!$H$5:$AF$195,14,),"")</f>
        <v>0</v>
      </c>
      <c r="N52" s="68">
        <f t="shared" si="6"/>
        <v>2</v>
      </c>
      <c r="O52" s="65" t="str">
        <f>IFERROR(VLOOKUP(A52,BUFFS!$H$5:$AF$195,15,),"")</f>
        <v>WILL</v>
      </c>
      <c r="P52" s="66" t="str">
        <f>IFERROR(VLOOKUP(A52,BUFFS!$H$5:$AF$195,16,),"")</f>
        <v xml:space="preserve">Luck Modifier </v>
      </c>
      <c r="Q52" s="66">
        <f>IFERROR(VLOOKUP(A52,BUFFS!$H$5:$AF$195,17,),"")</f>
        <v>2</v>
      </c>
      <c r="R52" s="66">
        <f>IFERROR(VLOOKUP(A52,BUFFS!$H$5:$AF$195,19,),"")</f>
        <v>0</v>
      </c>
      <c r="S52" s="69">
        <f t="shared" si="7"/>
        <v>2</v>
      </c>
      <c r="T52" s="70">
        <f>IFERROR(VLOOKUP(A52,BUFFS!$H$5:$AF$195,20,),"")</f>
        <v>100</v>
      </c>
    </row>
    <row r="53" spans="1:20" x14ac:dyDescent="0.3">
      <c r="A53" s="17" t="s">
        <v>251</v>
      </c>
      <c r="B53" s="80">
        <v>17</v>
      </c>
      <c r="C53" s="81"/>
      <c r="D53" s="31">
        <f>IFERROR(VLOOKUP(A53,BUFFS!$H$5:$AF$195,8,),"")</f>
        <v>7</v>
      </c>
      <c r="E53" s="24">
        <f>IFERROR(SUM(H53,ROUNDDOWN(MIN(B53,T$35)*I53,0)),"")</f>
        <v>0</v>
      </c>
      <c r="F53" s="65">
        <f>IFERROR(VLOOKUP(A53,BUFFS!$H$5:$AF$195,5,),"")</f>
        <v>0</v>
      </c>
      <c r="G53" s="66">
        <f>IFERROR(VLOOKUP(A53,BUFFS!$H$5:$AF$195,6,),"")</f>
        <v>0</v>
      </c>
      <c r="H53" s="67">
        <f>IFERROR(VLOOKUP(A53,BUFFS!$H$5:$AF$195,7,),"")</f>
        <v>0</v>
      </c>
      <c r="I53" s="66">
        <f>IFERROR(VLOOKUP(A53,BUFFS!$H$5:$AF$195,9,),"")</f>
        <v>0</v>
      </c>
      <c r="J53" s="65">
        <f>IFERROR(VLOOKUP(A53,BUFFS!$H$5:$AF$195,10,),"")</f>
        <v>0</v>
      </c>
      <c r="K53" s="66">
        <f>IFERROR(VLOOKUP(A53,BUFFS!$H$5:$AF$195,11,),"")</f>
        <v>0</v>
      </c>
      <c r="L53" s="66">
        <f>IFERROR(VLOOKUP(A53,BUFFS!$H$5:$AF$195,12,),"")</f>
        <v>0</v>
      </c>
      <c r="M53" s="66">
        <f>IFERROR(VLOOKUP(A53,BUFFS!$H$5:$AF$195,14,),"")</f>
        <v>0</v>
      </c>
      <c r="N53" s="68">
        <f t="shared" ref="N53" si="8">IFERROR(SUM(L53,ROUNDDOWN(MIN(B53,T$35)*M53,0)),"")</f>
        <v>0</v>
      </c>
      <c r="O53" s="65">
        <f>IFERROR(VLOOKUP(A53,BUFFS!$H$5:$AF$195,15,),"")</f>
        <v>0</v>
      </c>
      <c r="P53" s="66">
        <f>IFERROR(VLOOKUP(A53,BUFFS!$H$5:$AF$195,16,),"")</f>
        <v>0</v>
      </c>
      <c r="Q53" s="66">
        <f>IFERROR(VLOOKUP(A53,BUFFS!$H$5:$AF$195,17,),"")</f>
        <v>0</v>
      </c>
      <c r="R53" s="66">
        <f>IFERROR(VLOOKUP(A53,BUFFS!$H$5:$AF$195,19,),"")</f>
        <v>0</v>
      </c>
      <c r="S53" s="69">
        <f t="shared" ref="S53" si="9">IFERROR(SUM(Q53,ROUNDDOWN(MIN(B53,T$35)*R53,0)),"")</f>
        <v>0</v>
      </c>
      <c r="T53" s="70">
        <f>IFERROR(VLOOKUP(A53,BUFFS!$H$5:$AF$195,20,),"")</f>
        <v>100</v>
      </c>
    </row>
    <row r="54" spans="1:20" x14ac:dyDescent="0.3">
      <c r="A54" s="17" t="s">
        <v>218</v>
      </c>
      <c r="B54" s="80"/>
      <c r="C54" s="81"/>
      <c r="D54" s="31">
        <f>IFERROR(VLOOKUP(A54,BUFFS!$H$5:$AF$195,8,),"")</f>
        <v>3</v>
      </c>
      <c r="E54" s="24">
        <f t="shared" si="5"/>
        <v>1</v>
      </c>
      <c r="F54" s="65" t="str">
        <f>IFERROR(VLOOKUP(A54,BUFFS!$H$5:$AF$195,5,),"")</f>
        <v>attack</v>
      </c>
      <c r="G54" s="66" t="str">
        <f>IFERROR(VLOOKUP(A54,BUFFS!$H$5:$AF$195,6,),"")</f>
        <v>Untyped</v>
      </c>
      <c r="H54" s="67">
        <f>IFERROR(VLOOKUP(A54,BUFFS!$H$5:$AF$195,7,),"")</f>
        <v>1</v>
      </c>
      <c r="I54" s="66">
        <f>IFERROR(VLOOKUP(A54,BUFFS!$H$5:$AF$195,9,),"")</f>
        <v>0</v>
      </c>
      <c r="J54" s="65" t="str">
        <f>IFERROR(VLOOKUP(A54,BUFFS!$H$5:$AF$195,10,),"")</f>
        <v>AC</v>
      </c>
      <c r="K54" s="66" t="str">
        <f>IFERROR(VLOOKUP(A54,BUFFS!$H$5:$AF$195,11,),"")</f>
        <v xml:space="preserve">Dodge Bonus </v>
      </c>
      <c r="L54" s="66">
        <f>IFERROR(VLOOKUP(A54,BUFFS!$H$5:$AF$195,12,),"")</f>
        <v>1</v>
      </c>
      <c r="M54" s="66">
        <f>IFERROR(VLOOKUP(A54,BUFFS!$H$5:$AF$195,14,),"")</f>
        <v>0</v>
      </c>
      <c r="N54" s="68">
        <f t="shared" si="6"/>
        <v>1</v>
      </c>
      <c r="O54" s="65" t="str">
        <f>IFERROR(VLOOKUP(A54,BUFFS!$H$5:$AF$195,15,),"")</f>
        <v>REF</v>
      </c>
      <c r="P54" s="66" t="str">
        <f>IFERROR(VLOOKUP(A54,BUFFS!$H$5:$AF$195,16,),"")</f>
        <v xml:space="preserve">Dodge Bonus </v>
      </c>
      <c r="Q54" s="66">
        <f>IFERROR(VLOOKUP(A54,BUFFS!$H$5:$AF$195,17,),"")</f>
        <v>1</v>
      </c>
      <c r="R54" s="66">
        <f>IFERROR(VLOOKUP(A54,BUFFS!$H$5:$AF$195,19,),"")</f>
        <v>0</v>
      </c>
      <c r="S54" s="69">
        <f t="shared" si="7"/>
        <v>1</v>
      </c>
      <c r="T54" s="70">
        <f>IFERROR(VLOOKUP(A54,BUFFS!$H$5:$AF$195,20,),"")</f>
        <v>100</v>
      </c>
    </row>
    <row r="55" spans="1:20" x14ac:dyDescent="0.3">
      <c r="A55" s="17" t="s">
        <v>244</v>
      </c>
      <c r="B55" s="80"/>
      <c r="C55" s="81"/>
      <c r="D55" s="31">
        <f>IFERROR(VLOOKUP(A55,BUFFS!$H$5:$AF$195,8,),"")</f>
        <v>5</v>
      </c>
      <c r="E55" s="24">
        <f t="shared" si="5"/>
        <v>2</v>
      </c>
      <c r="F55" s="65" t="str">
        <f>IFERROR(VLOOKUP(A55,BUFFS!$H$5:$AF$195,5,),"")</f>
        <v>FORT</v>
      </c>
      <c r="G55" s="66" t="str">
        <f>IFERROR(VLOOKUP(A55,BUFFS!$H$5:$AF$195,6,),"")</f>
        <v xml:space="preserve">Luck Modifier </v>
      </c>
      <c r="H55" s="67">
        <f>IFERROR(VLOOKUP(A55,BUFFS!$H$5:$AF$195,7,),"")</f>
        <v>2</v>
      </c>
      <c r="I55" s="66">
        <f>IFERROR(VLOOKUP(A55,BUFFS!$H$5:$AF$195,9,),"")</f>
        <v>0</v>
      </c>
      <c r="J55" s="65" t="str">
        <f>IFERROR(VLOOKUP(A55,BUFFS!$H$5:$AF$195,10,),"")</f>
        <v>REF</v>
      </c>
      <c r="K55" s="66" t="str">
        <f>IFERROR(VLOOKUP(A55,BUFFS!$H$5:$AF$195,11,),"")</f>
        <v xml:space="preserve">Luck Modifier </v>
      </c>
      <c r="L55" s="66">
        <f>IFERROR(VLOOKUP(A55,BUFFS!$H$5:$AF$195,12,),"")</f>
        <v>2</v>
      </c>
      <c r="M55" s="66">
        <f>IFERROR(VLOOKUP(A55,BUFFS!$H$5:$AF$195,14,),"")</f>
        <v>0</v>
      </c>
      <c r="N55" s="68">
        <f t="shared" si="6"/>
        <v>2</v>
      </c>
      <c r="O55" s="65">
        <f>IFERROR(VLOOKUP(A55,BUFFS!$H$5:$AF$195,15,),"")</f>
        <v>0</v>
      </c>
      <c r="P55" s="66">
        <f>IFERROR(VLOOKUP(A55,BUFFS!$H$5:$AF$195,16,),"")</f>
        <v>0</v>
      </c>
      <c r="Q55" s="66">
        <f>IFERROR(VLOOKUP(A55,BUFFS!$H$5:$AF$195,17,),"")</f>
        <v>0</v>
      </c>
      <c r="R55" s="66">
        <f>IFERROR(VLOOKUP(A55,BUFFS!$H$5:$AF$195,19,),"")</f>
        <v>0</v>
      </c>
      <c r="S55" s="69">
        <f t="shared" si="7"/>
        <v>0</v>
      </c>
      <c r="T55" s="70">
        <f>IFERROR(VLOOKUP(A55,BUFFS!$H$5:$AF$195,20,),"")</f>
        <v>100</v>
      </c>
    </row>
    <row r="56" spans="1:20" x14ac:dyDescent="0.3">
      <c r="A56" s="17" t="s">
        <v>245</v>
      </c>
      <c r="B56" s="80"/>
      <c r="C56" s="81"/>
      <c r="D56" s="31">
        <f>IFERROR(VLOOKUP(A56,BUFFS!$H$5:$AF$195,8,),"")</f>
        <v>5</v>
      </c>
      <c r="E56" s="24">
        <f t="shared" si="5"/>
        <v>2</v>
      </c>
      <c r="F56" s="65" t="str">
        <f>IFERROR(VLOOKUP(A56,BUFFS!$H$5:$AF$195,5,),"")</f>
        <v>AC</v>
      </c>
      <c r="G56" s="66" t="str">
        <f>IFERROR(VLOOKUP(A56,BUFFS!$H$5:$AF$195,6,),"")</f>
        <v xml:space="preserve">Luck Modifier </v>
      </c>
      <c r="H56" s="67">
        <f>IFERROR(VLOOKUP(A56,BUFFS!$H$5:$AF$195,7,),"")</f>
        <v>2</v>
      </c>
      <c r="I56" s="66">
        <f>IFERROR(VLOOKUP(A56,BUFFS!$H$5:$AF$195,9,),"")</f>
        <v>0</v>
      </c>
      <c r="J56" s="65" t="str">
        <f>IFERROR(VLOOKUP(A56,BUFFS!$H$5:$AF$195,10,),"")</f>
        <v>WILL</v>
      </c>
      <c r="K56" s="66" t="str">
        <f>IFERROR(VLOOKUP(A56,BUFFS!$H$5:$AF$195,11,),"")</f>
        <v xml:space="preserve">Luck Modifier </v>
      </c>
      <c r="L56" s="66">
        <f>IFERROR(VLOOKUP(A56,BUFFS!$H$5:$AF$195,12,),"")</f>
        <v>2</v>
      </c>
      <c r="M56" s="66">
        <f>IFERROR(VLOOKUP(A56,BUFFS!$H$5:$AF$195,14,),"")</f>
        <v>0</v>
      </c>
      <c r="N56" s="68">
        <f t="shared" si="6"/>
        <v>2</v>
      </c>
      <c r="O56" s="65">
        <f>IFERROR(VLOOKUP(A56,BUFFS!$H$5:$AF$195,15,),"")</f>
        <v>0</v>
      </c>
      <c r="P56" s="66">
        <f>IFERROR(VLOOKUP(A56,BUFFS!$H$5:$AF$195,16,),"")</f>
        <v>0</v>
      </c>
      <c r="Q56" s="66">
        <f>IFERROR(VLOOKUP(A56,BUFFS!$H$5:$AF$195,17,),"")</f>
        <v>0</v>
      </c>
      <c r="R56" s="66">
        <f>IFERROR(VLOOKUP(A56,BUFFS!$H$5:$AF$195,19,),"")</f>
        <v>0</v>
      </c>
      <c r="S56" s="69">
        <f t="shared" si="7"/>
        <v>0</v>
      </c>
      <c r="T56" s="70">
        <f>IFERROR(VLOOKUP(A56,BUFFS!$H$5:$AF$195,20,),"")</f>
        <v>100</v>
      </c>
    </row>
    <row r="57" spans="1:20" x14ac:dyDescent="0.3">
      <c r="A57" s="17" t="s">
        <v>233</v>
      </c>
      <c r="B57" s="80"/>
      <c r="C57" s="81"/>
      <c r="D57" s="31">
        <f>IFERROR(VLOOKUP(A57,BUFFS!$H$5:$AF$195,8,),"")</f>
        <v>2</v>
      </c>
      <c r="E57" s="24">
        <f t="shared" si="5"/>
        <v>4</v>
      </c>
      <c r="F57" s="65" t="str">
        <f>IFERROR(VLOOKUP(A57,BUFFS!$H$5:$AF$195,5,),"")</f>
        <v>FORT</v>
      </c>
      <c r="G57" s="66" t="str">
        <f>IFERROR(VLOOKUP(A57,BUFFS!$H$5:$AF$195,6,),"")</f>
        <v>Sacred Modifier</v>
      </c>
      <c r="H57" s="67">
        <f>IFERROR(VLOOKUP(A57,BUFFS!$H$5:$AF$195,7,),"")</f>
        <v>4</v>
      </c>
      <c r="I57" s="66">
        <f>IFERROR(VLOOKUP(A57,BUFFS!$H$5:$AF$195,9,),"")</f>
        <v>0</v>
      </c>
      <c r="J57" s="65" t="str">
        <f>IFERROR(VLOOKUP(A57,BUFFS!$H$5:$AF$195,10,),"")</f>
        <v>REF</v>
      </c>
      <c r="K57" s="66" t="str">
        <f>IFERROR(VLOOKUP(A57,BUFFS!$H$5:$AF$195,11,),"")</f>
        <v>Sacred Modifier</v>
      </c>
      <c r="L57" s="66">
        <f>IFERROR(VLOOKUP(A57,BUFFS!$H$5:$AF$195,12,),"")</f>
        <v>4</v>
      </c>
      <c r="M57" s="66">
        <f>IFERROR(VLOOKUP(A57,BUFFS!$H$5:$AF$195,14,),"")</f>
        <v>0</v>
      </c>
      <c r="N57" s="68">
        <f t="shared" si="6"/>
        <v>4</v>
      </c>
      <c r="O57" s="65" t="str">
        <f>IFERROR(VLOOKUP(A57,BUFFS!$H$5:$AF$195,15,),"")</f>
        <v>WILL</v>
      </c>
      <c r="P57" s="66" t="str">
        <f>IFERROR(VLOOKUP(A57,BUFFS!$H$5:$AF$195,16,),"")</f>
        <v>Sacred Modifier</v>
      </c>
      <c r="Q57" s="66">
        <f>IFERROR(VLOOKUP(A57,BUFFS!$H$5:$AF$195,17,),"")</f>
        <v>4</v>
      </c>
      <c r="R57" s="66">
        <f>IFERROR(VLOOKUP(A57,BUFFS!$H$5:$AF$195,19,),"")</f>
        <v>0</v>
      </c>
      <c r="S57" s="69">
        <f t="shared" si="7"/>
        <v>4</v>
      </c>
      <c r="T57" s="70">
        <f>IFERROR(VLOOKUP(A57,BUFFS!$H$5:$AF$195,20,),"")</f>
        <v>100</v>
      </c>
    </row>
    <row r="58" spans="1:20" x14ac:dyDescent="0.3">
      <c r="A58" s="17" t="s">
        <v>299</v>
      </c>
      <c r="B58" s="80"/>
      <c r="C58" s="81"/>
      <c r="D58" s="31">
        <f>IFERROR(VLOOKUP(A58,BUFFS!$H$5:$AF$195,8,),"")</f>
        <v>8</v>
      </c>
      <c r="E58" s="24">
        <f t="shared" si="5"/>
        <v>2</v>
      </c>
      <c r="F58" s="65" t="str">
        <f>IFERROR(VLOOKUP(A58,BUFFS!$H$5:$AF$195,5,),"")</f>
        <v>AC</v>
      </c>
      <c r="G58" s="66" t="str">
        <f>IFERROR(VLOOKUP(A58,BUFFS!$H$5:$AF$195,6,),"")</f>
        <v xml:space="preserve">Dodge Bonus </v>
      </c>
      <c r="H58" s="67">
        <f>IFERROR(VLOOKUP(A58,BUFFS!$H$5:$AF$195,7,),"")</f>
        <v>2</v>
      </c>
      <c r="I58" s="66">
        <f>IFERROR(VLOOKUP(A58,BUFFS!$H$5:$AF$195,9,),"")</f>
        <v>0</v>
      </c>
      <c r="J58" s="65" t="str">
        <f>IFERROR(VLOOKUP(A58,BUFFS!$H$5:$AF$195,10,),"")</f>
        <v>REF</v>
      </c>
      <c r="K58" s="66" t="str">
        <f>IFERROR(VLOOKUP(A58,BUFFS!$H$5:$AF$195,11,),"")</f>
        <v>Sacred Modifier</v>
      </c>
      <c r="L58" s="66">
        <f>IFERROR(VLOOKUP(A58,BUFFS!$H$5:$AF$195,12,),"")</f>
        <v>2</v>
      </c>
      <c r="M58" s="66">
        <f>IFERROR(VLOOKUP(A58,BUFFS!$H$5:$AF$195,14,),"")</f>
        <v>0</v>
      </c>
      <c r="N58" s="68">
        <f t="shared" si="6"/>
        <v>2</v>
      </c>
      <c r="O58" s="65">
        <f>IFERROR(VLOOKUP(A58,BUFFS!$H$5:$AF$195,15,),"")</f>
        <v>0</v>
      </c>
      <c r="P58" s="66">
        <f>IFERROR(VLOOKUP(A58,BUFFS!$H$5:$AF$195,16,),"")</f>
        <v>0</v>
      </c>
      <c r="Q58" s="66">
        <f>IFERROR(VLOOKUP(A58,BUFFS!$H$5:$AF$195,17,),"")</f>
        <v>0</v>
      </c>
      <c r="R58" s="66">
        <f>IFERROR(VLOOKUP(A58,BUFFS!$H$5:$AF$195,19,),"")</f>
        <v>0</v>
      </c>
      <c r="S58" s="69">
        <f t="shared" si="7"/>
        <v>0</v>
      </c>
      <c r="T58" s="70">
        <f>IFERROR(VLOOKUP(A58,BUFFS!$H$5:$AF$195,20,),"")</f>
        <v>100</v>
      </c>
    </row>
    <row r="59" spans="1:20" x14ac:dyDescent="0.3">
      <c r="A59" s="17" t="s">
        <v>298</v>
      </c>
      <c r="B59" s="80"/>
      <c r="C59" s="81"/>
      <c r="D59" s="31">
        <f>IFERROR(VLOOKUP(A59,BUFFS!$H$5:$AF$195,8,),"")</f>
        <v>8</v>
      </c>
      <c r="E59" s="24">
        <f t="shared" si="5"/>
        <v>2</v>
      </c>
      <c r="F59" s="65" t="str">
        <f>IFERROR(VLOOKUP(A59,BUFFS!$H$5:$AF$195,5,),"")</f>
        <v>FORT</v>
      </c>
      <c r="G59" s="66" t="str">
        <f>IFERROR(VLOOKUP(A59,BUFFS!$H$5:$AF$195,6,),"")</f>
        <v>Sacred Modifier</v>
      </c>
      <c r="H59" s="67">
        <f>IFERROR(VLOOKUP(A59,BUFFS!$H$5:$AF$195,7,),"")</f>
        <v>2</v>
      </c>
      <c r="I59" s="66">
        <f>IFERROR(VLOOKUP(A59,BUFFS!$H$5:$AF$195,9,),"")</f>
        <v>0</v>
      </c>
      <c r="J59" s="65" t="str">
        <f>IFERROR(VLOOKUP(A59,BUFFS!$H$5:$AF$195,10,),"")</f>
        <v>WILL</v>
      </c>
      <c r="K59" s="66" t="str">
        <f>IFERROR(VLOOKUP(A59,BUFFS!$H$5:$AF$195,11,),"")</f>
        <v>Sacred Modifier</v>
      </c>
      <c r="L59" s="66">
        <f>IFERROR(VLOOKUP(A59,BUFFS!$H$5:$AF$195,12,),"")</f>
        <v>2</v>
      </c>
      <c r="M59" s="66">
        <f>IFERROR(VLOOKUP(A59,BUFFS!$H$5:$AF$195,14,),"")</f>
        <v>0</v>
      </c>
      <c r="N59" s="68">
        <f t="shared" si="6"/>
        <v>2</v>
      </c>
      <c r="O59" s="65">
        <f>IFERROR(VLOOKUP(A59,BUFFS!$H$5:$AF$195,15,),"")</f>
        <v>0</v>
      </c>
      <c r="P59" s="66">
        <f>IFERROR(VLOOKUP(A59,BUFFS!$H$5:$AF$195,16,),"")</f>
        <v>0</v>
      </c>
      <c r="Q59" s="66">
        <f>IFERROR(VLOOKUP(A59,BUFFS!$H$5:$AF$195,17,),"")</f>
        <v>0</v>
      </c>
      <c r="R59" s="66">
        <f>IFERROR(VLOOKUP(A59,BUFFS!$H$5:$AF$195,19,),"")</f>
        <v>0</v>
      </c>
      <c r="S59" s="69">
        <f t="shared" si="7"/>
        <v>0</v>
      </c>
      <c r="T59" s="70">
        <f>IFERROR(VLOOKUP(A59,BUFFS!$H$5:$AF$195,20,),"")</f>
        <v>100</v>
      </c>
    </row>
    <row r="60" spans="1:20" x14ac:dyDescent="0.3">
      <c r="A60" s="17"/>
      <c r="B60" s="80"/>
      <c r="C60" s="81"/>
      <c r="D60" s="31" t="str">
        <f>IFERROR(VLOOKUP(A60,BUFFS!$H$5:$AF$195,8,),"")</f>
        <v/>
      </c>
      <c r="E60" s="24" t="str">
        <f t="shared" si="5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6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7"/>
        <v/>
      </c>
      <c r="T60" s="70" t="str">
        <f>IFERROR(VLOOKUP(A60,BUFFS!$H$5:$AF$195,20,),"")</f>
        <v/>
      </c>
    </row>
    <row r="61" spans="1:20" x14ac:dyDescent="0.3">
      <c r="A61" s="17"/>
      <c r="B61" s="80"/>
      <c r="C61" s="81"/>
      <c r="D61" s="31" t="str">
        <f>IFERROR(VLOOKUP(A61,BUFFS!$H$5:$AF$195,8,),"")</f>
        <v/>
      </c>
      <c r="E61" s="24" t="str">
        <f t="shared" si="5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6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7"/>
        <v/>
      </c>
      <c r="T61" s="70" t="str">
        <f>IFERROR(VLOOKUP(A61,BUFFS!$H$5:$AF$195,20,),"")</f>
        <v/>
      </c>
    </row>
    <row r="62" spans="1:20" x14ac:dyDescent="0.3">
      <c r="A62" s="17"/>
      <c r="B62" s="80"/>
      <c r="C62" s="81"/>
      <c r="D62" s="31" t="str">
        <f>IFERROR(VLOOKUP(A62,BUFFS!$H$5:$AF$195,8,),"")</f>
        <v/>
      </c>
      <c r="E62" s="24" t="str">
        <f t="shared" si="5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6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7"/>
        <v/>
      </c>
      <c r="T62" s="70" t="str">
        <f>IFERROR(VLOOKUP(A62,BUFFS!$H$5:$AF$195,20,),"")</f>
        <v/>
      </c>
    </row>
    <row r="63" spans="1:20" x14ac:dyDescent="0.3">
      <c r="A63" s="17"/>
      <c r="B63" s="80"/>
      <c r="C63" s="81"/>
      <c r="D63" s="31" t="str">
        <f>IFERROR(VLOOKUP(A63,BUFFS!$H$5:$AF$195,8,),"")</f>
        <v/>
      </c>
      <c r="E63" s="24" t="str">
        <f t="shared" si="5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6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7"/>
        <v/>
      </c>
      <c r="T63" s="70" t="str">
        <f>IFERROR(VLOOKUP(A63,BUFFS!$H$5:$AF$195,20,),"")</f>
        <v/>
      </c>
    </row>
    <row r="64" spans="1:20" x14ac:dyDescent="0.3">
      <c r="A64" s="17"/>
      <c r="B64" s="80"/>
      <c r="C64" s="81"/>
      <c r="D64" s="31" t="str">
        <f>IFERROR(VLOOKUP(A64,BUFFS!$H$5:$AF$195,8,),"")</f>
        <v/>
      </c>
      <c r="E64" s="24" t="str">
        <f t="shared" si="5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6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7"/>
        <v/>
      </c>
      <c r="T64" s="70" t="str">
        <f>IFERROR(VLOOKUP(A64,BUFFS!$H$5:$AF$195,20,),"")</f>
        <v/>
      </c>
    </row>
    <row r="65" spans="1:20" x14ac:dyDescent="0.3">
      <c r="A65" s="17"/>
      <c r="B65" s="80"/>
      <c r="C65" s="81"/>
      <c r="D65" s="31" t="str">
        <f>IFERROR(VLOOKUP(A65,BUFFS!$H$5:$AF$195,8,),"")</f>
        <v/>
      </c>
      <c r="E65" s="24" t="str">
        <f t="shared" si="5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6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7"/>
        <v/>
      </c>
      <c r="T65" s="70" t="str">
        <f>IFERROR(VLOOKUP(A65,BUFFS!$H$5:$AF$195,20,),"")</f>
        <v/>
      </c>
    </row>
    <row r="66" spans="1:20" x14ac:dyDescent="0.3">
      <c r="A66" s="17"/>
      <c r="B66" s="80"/>
      <c r="C66" s="81"/>
      <c r="D66" s="31" t="str">
        <f>IFERROR(VLOOKUP(A66,BUFFS!$H$5:$AF$195,8,),"")</f>
        <v/>
      </c>
      <c r="E66" s="24" t="str">
        <f t="shared" si="5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6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7"/>
        <v/>
      </c>
      <c r="T66" s="70" t="str">
        <f>IFERROR(VLOOKUP(A66,BUFFS!$H$5:$AF$195,20,),"")</f>
        <v/>
      </c>
    </row>
    <row r="67" spans="1:20" x14ac:dyDescent="0.3">
      <c r="A67" s="17"/>
      <c r="B67" s="80"/>
      <c r="C67" s="81"/>
      <c r="D67" s="31" t="str">
        <f>IFERROR(VLOOKUP(A67,BUFFS!$H$5:$AF$195,8,),"")</f>
        <v/>
      </c>
      <c r="E67" s="24" t="str">
        <f t="shared" si="5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6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7"/>
        <v/>
      </c>
      <c r="T67" s="70" t="str">
        <f>IFERROR(VLOOKUP(A67,BUFFS!$H$5:$AF$195,20,),"")</f>
        <v/>
      </c>
    </row>
    <row r="68" spans="1:20" x14ac:dyDescent="0.3">
      <c r="A68" s="17"/>
      <c r="B68" s="80"/>
      <c r="C68" s="81"/>
      <c r="D68" s="31" t="str">
        <f>IFERROR(VLOOKUP(A68,BUFFS!$H$5:$AF$195,8,),"")</f>
        <v/>
      </c>
      <c r="E68" s="24" t="str">
        <f t="shared" si="5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6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7"/>
        <v/>
      </c>
      <c r="T68" s="70" t="str">
        <f>IFERROR(VLOOKUP(A68,BUFFS!$H$5:$AF$195,20,),"")</f>
        <v/>
      </c>
    </row>
    <row r="69" spans="1:20" x14ac:dyDescent="0.3">
      <c r="A69" s="17"/>
      <c r="B69" s="80"/>
      <c r="C69" s="81"/>
      <c r="D69" s="31" t="str">
        <f>IFERROR(VLOOKUP(A69,BUFFS!$H$5:$AF$195,8,),"")</f>
        <v/>
      </c>
      <c r="E69" s="24" t="str">
        <f t="shared" si="5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6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7"/>
        <v/>
      </c>
      <c r="T69" s="70" t="str">
        <f>IFERROR(VLOOKUP(A69,BUFFS!$H$5:$AF$195,20,),"")</f>
        <v/>
      </c>
    </row>
    <row r="70" spans="1:20" x14ac:dyDescent="0.3">
      <c r="A70" s="17"/>
      <c r="B70" s="80"/>
      <c r="C70" s="81"/>
      <c r="D70" s="31" t="str">
        <f>IFERROR(VLOOKUP(A70,BUFFS!$H$5:$AF$195,8,),"")</f>
        <v/>
      </c>
      <c r="E70" s="24" t="str">
        <f t="shared" si="5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6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7"/>
        <v/>
      </c>
      <c r="T70" s="70" t="str">
        <f>IFERROR(VLOOKUP(A70,BUFFS!$H$5:$AF$195,20,),"")</f>
        <v/>
      </c>
    </row>
    <row r="71" spans="1:20" x14ac:dyDescent="0.3">
      <c r="A71" s="17"/>
      <c r="B71" s="80"/>
      <c r="C71" s="81"/>
      <c r="D71" s="31" t="str">
        <f>IFERROR(VLOOKUP(A71,BUFFS!$H$5:$AF$195,8,),"")</f>
        <v/>
      </c>
      <c r="E71" s="24" t="str">
        <f t="shared" si="5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6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7"/>
        <v/>
      </c>
      <c r="T71" s="70" t="str">
        <f>IFERROR(VLOOKUP(A71,BUFFS!$H$5:$AF$195,20,),"")</f>
        <v/>
      </c>
    </row>
    <row r="72" spans="1:20" x14ac:dyDescent="0.3">
      <c r="A72" s="17"/>
      <c r="B72" s="80"/>
      <c r="C72" s="81"/>
      <c r="D72" s="31" t="str">
        <f>IFERROR(VLOOKUP(A72,BUFFS!$H$5:$AF$195,8,),"")</f>
        <v/>
      </c>
      <c r="E72" s="24" t="str">
        <f t="shared" si="5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6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7"/>
        <v/>
      </c>
      <c r="T72" s="70" t="str">
        <f>IFERROR(VLOOKUP(A72,BUFFS!$H$5:$AF$195,20,),"")</f>
        <v/>
      </c>
    </row>
    <row r="73" spans="1:20" x14ac:dyDescent="0.3">
      <c r="A73" s="17"/>
      <c r="B73" s="80"/>
      <c r="C73" s="81"/>
      <c r="D73" s="31" t="str">
        <f>IFERROR(VLOOKUP(A73,BUFFS!$H$5:$AF$195,8,),"")</f>
        <v/>
      </c>
      <c r="E73" s="24" t="str">
        <f t="shared" si="5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6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7"/>
        <v/>
      </c>
      <c r="T73" s="70" t="str">
        <f>IFERROR(VLOOKUP(A73,BUFFS!$H$5:$AF$195,20,),"")</f>
        <v/>
      </c>
    </row>
    <row r="74" spans="1:20" x14ac:dyDescent="0.3">
      <c r="A74" s="17"/>
      <c r="B74" s="80"/>
      <c r="C74" s="81"/>
      <c r="D74" s="31" t="str">
        <f>IFERROR(VLOOKUP(A74,BUFFS!$H$5:$AF$195,8,),"")</f>
        <v/>
      </c>
      <c r="E74" s="24" t="str">
        <f t="shared" si="5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6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7"/>
        <v/>
      </c>
      <c r="T74" s="70" t="str">
        <f>IFERROR(VLOOKUP(A74,BUFFS!$H$5:$AF$195,20,),"")</f>
        <v/>
      </c>
    </row>
    <row r="75" spans="1:20" x14ac:dyDescent="0.3">
      <c r="A75" s="17"/>
      <c r="B75" s="80"/>
      <c r="C75" s="81"/>
      <c r="D75" s="31" t="str">
        <f>IFERROR(VLOOKUP(A75,BUFFS!$H$5:$AF$195,8,),"")</f>
        <v/>
      </c>
      <c r="E75" s="24" t="str">
        <f t="shared" si="5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6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7"/>
        <v/>
      </c>
      <c r="T75" s="70" t="str">
        <f>IFERROR(VLOOKUP(A75,BUFFS!$H$5:$AF$195,20,),"")</f>
        <v/>
      </c>
    </row>
    <row r="76" spans="1:20" x14ac:dyDescent="0.3">
      <c r="A76" s="17"/>
      <c r="B76" s="80"/>
      <c r="C76" s="81"/>
      <c r="D76" s="31" t="str">
        <f>IFERROR(VLOOKUP(A76,BUFFS!$H$5:$AF$195,8,),"")</f>
        <v/>
      </c>
      <c r="E76" s="24" t="str">
        <f t="shared" si="5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6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7"/>
        <v/>
      </c>
      <c r="T76" s="70" t="str">
        <f>IFERROR(VLOOKUP(A76,BUFFS!$H$5:$AF$195,20,),"")</f>
        <v/>
      </c>
    </row>
    <row r="77" spans="1:20" x14ac:dyDescent="0.3">
      <c r="A77" s="17"/>
      <c r="B77" s="80"/>
      <c r="C77" s="81"/>
      <c r="D77" s="31" t="str">
        <f>IFERROR(VLOOKUP(A77,BUFFS!$H$5:$AF$195,8,),"")</f>
        <v/>
      </c>
      <c r="E77" s="24" t="str">
        <f t="shared" si="5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6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7"/>
        <v/>
      </c>
      <c r="T77" s="70" t="str">
        <f>IFERROR(VLOOKUP(A77,BUFFS!$H$5:$AF$195,20,),"")</f>
        <v/>
      </c>
    </row>
    <row r="78" spans="1:20" x14ac:dyDescent="0.3">
      <c r="A78" s="17"/>
      <c r="B78" s="80"/>
      <c r="C78" s="81"/>
      <c r="D78" s="31" t="str">
        <f>IFERROR(VLOOKUP(A78,BUFFS!$H$5:$AF$195,8,),"")</f>
        <v/>
      </c>
      <c r="E78" s="24" t="str">
        <f t="shared" si="5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6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7"/>
        <v/>
      </c>
      <c r="T78" s="70" t="str">
        <f>IFERROR(VLOOKUP(A78,BUFFS!$H$5:$AF$195,20,),"")</f>
        <v/>
      </c>
    </row>
    <row r="79" spans="1:20" x14ac:dyDescent="0.3">
      <c r="A79" s="17"/>
      <c r="B79" s="80"/>
      <c r="C79" s="81"/>
      <c r="D79" s="31" t="str">
        <f>IFERROR(VLOOKUP(A79,BUFFS!$H$5:$AF$195,8,),"")</f>
        <v/>
      </c>
      <c r="E79" s="24" t="str">
        <f t="shared" si="5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6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7"/>
        <v/>
      </c>
      <c r="T79" s="70" t="str">
        <f>IFERROR(VLOOKUP(A79,BUFFS!$H$5:$AF$195,20,),"")</f>
        <v/>
      </c>
    </row>
    <row r="80" spans="1:20" x14ac:dyDescent="0.3">
      <c r="A80" s="17"/>
      <c r="B80" s="80"/>
      <c r="C80" s="81"/>
      <c r="D80" s="31" t="str">
        <f>IFERROR(VLOOKUP(A80,BUFFS!$H$5:$AF$195,8,),"")</f>
        <v/>
      </c>
      <c r="E80" s="24" t="str">
        <f t="shared" si="5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6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7"/>
        <v/>
      </c>
      <c r="T80" s="70" t="str">
        <f>IFERROR(VLOOKUP(A80,BUFFS!$H$5:$AF$195,20,),"")</f>
        <v/>
      </c>
    </row>
    <row r="81" spans="1:20" x14ac:dyDescent="0.3">
      <c r="A81" s="17"/>
      <c r="B81" s="80"/>
      <c r="C81" s="81"/>
      <c r="D81" s="31" t="str">
        <f>IFERROR(VLOOKUP(A81,BUFFS!$H$5:$AF$195,8,),"")</f>
        <v/>
      </c>
      <c r="E81" s="24" t="str">
        <f t="shared" si="5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6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7"/>
        <v/>
      </c>
      <c r="T81" s="70" t="str">
        <f>IFERROR(VLOOKUP(A81,BUFFS!$H$5:$AF$195,20,),"")</f>
        <v/>
      </c>
    </row>
    <row r="82" spans="1:20" x14ac:dyDescent="0.3">
      <c r="A82" s="17"/>
      <c r="B82" s="18"/>
      <c r="C82" s="13"/>
      <c r="D82" s="31" t="str">
        <f>IFERROR(VLOOKUP(A82,BUFFS!$H$5:$AF$195,8,),"")</f>
        <v/>
      </c>
      <c r="E82" s="24" t="str">
        <f t="shared" si="5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6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7"/>
        <v/>
      </c>
      <c r="T82" s="70" t="str">
        <f>IFERROR(VLOOKUP(A82,BUFFS!$H$5:$AF$195,20,),"")</f>
        <v/>
      </c>
    </row>
    <row r="83" spans="1:20" x14ac:dyDescent="0.3">
      <c r="A83" s="17"/>
      <c r="B83" s="18"/>
      <c r="C83" s="13"/>
      <c r="D83" s="31" t="str">
        <f>IFERROR(VLOOKUP(A83,BUFFS!$H$5:$AF$195,8,),"")</f>
        <v/>
      </c>
      <c r="E83" s="24" t="str">
        <f t="shared" si="5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6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7"/>
        <v/>
      </c>
      <c r="T83" s="70" t="str">
        <f>IFERROR(VLOOKUP(A83,BUFFS!$H$5:$AF$195,20,),"")</f>
        <v/>
      </c>
    </row>
    <row r="84" spans="1:20" x14ac:dyDescent="0.3">
      <c r="A84" s="17"/>
      <c r="B84" s="18"/>
      <c r="C84" s="13"/>
      <c r="D84" s="31" t="str">
        <f>IFERROR(VLOOKUP(A84,BUFFS!$H$5:$AF$195,8,),"")</f>
        <v/>
      </c>
      <c r="E84" s="24" t="str">
        <f t="shared" si="5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6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7"/>
        <v/>
      </c>
      <c r="T84" s="70" t="str">
        <f>IFERROR(VLOOKUP(A84,BUFFS!$H$5:$AF$195,20,),"")</f>
        <v/>
      </c>
    </row>
    <row r="85" spans="1:20" x14ac:dyDescent="0.3">
      <c r="A85" s="17"/>
      <c r="B85" s="18"/>
      <c r="C85" s="13"/>
      <c r="D85" s="31" t="str">
        <f>IFERROR(VLOOKUP(A85,BUFFS!$H$5:$AF$195,8,),"")</f>
        <v/>
      </c>
      <c r="E85" s="24" t="str">
        <f t="shared" si="5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6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7"/>
        <v/>
      </c>
      <c r="T85" s="70" t="str">
        <f>IFERROR(VLOOKUP(A85,BUFFS!$H$5:$AF$195,20,),"")</f>
        <v/>
      </c>
    </row>
    <row r="86" spans="1:20" x14ac:dyDescent="0.3">
      <c r="A86" s="17"/>
      <c r="B86" s="18"/>
      <c r="C86" s="13"/>
      <c r="D86" s="31" t="str">
        <f>IFERROR(VLOOKUP(A86,BUFFS!$H$5:$AF$195,8,),"")</f>
        <v/>
      </c>
      <c r="E86" s="24" t="str">
        <f t="shared" si="5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6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7"/>
        <v/>
      </c>
      <c r="T86" s="70" t="str">
        <f>IFERROR(VLOOKUP(A86,BUFFS!$H$5:$AF$195,20,),"")</f>
        <v/>
      </c>
    </row>
    <row r="87" spans="1:20" x14ac:dyDescent="0.3">
      <c r="A87" s="17"/>
      <c r="B87" s="18"/>
      <c r="C87" s="13"/>
      <c r="D87" s="31" t="str">
        <f>IFERROR(VLOOKUP(A87,BUFFS!$H$5:$AF$195,8,),"")</f>
        <v/>
      </c>
      <c r="E87" s="24" t="str">
        <f t="shared" si="5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6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7"/>
        <v/>
      </c>
      <c r="T87" s="70" t="str">
        <f>IFERROR(VLOOKUP(A87,BUFFS!$H$5:$AF$195,20,),"")</f>
        <v/>
      </c>
    </row>
    <row r="88" spans="1:20" x14ac:dyDescent="0.3">
      <c r="A88" s="17"/>
      <c r="B88" s="18"/>
      <c r="C88" s="13"/>
      <c r="D88" s="31" t="str">
        <f>IFERROR(VLOOKUP(A88,BUFFS!$H$5:$AF$195,8,),"")</f>
        <v/>
      </c>
      <c r="E88" s="24" t="str">
        <f t="shared" si="5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6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7"/>
        <v/>
      </c>
      <c r="T88" s="70" t="str">
        <f>IFERROR(VLOOKUP(A88,BUFFS!$H$5:$AF$195,20,),"")</f>
        <v/>
      </c>
    </row>
    <row r="89" spans="1:20" x14ac:dyDescent="0.3">
      <c r="A89" s="17"/>
      <c r="B89" s="18"/>
      <c r="C89" s="13"/>
      <c r="D89" s="31" t="str">
        <f>IFERROR(VLOOKUP(A89,BUFFS!$H$5:$AF$195,8,),"")</f>
        <v/>
      </c>
      <c r="E89" s="24" t="str">
        <f t="shared" si="5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6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7"/>
        <v/>
      </c>
      <c r="T89" s="70" t="str">
        <f>IFERROR(VLOOKUP(A89,BUFFS!$H$5:$AF$195,20,),"")</f>
        <v/>
      </c>
    </row>
    <row r="90" spans="1:20" x14ac:dyDescent="0.3">
      <c r="A90" s="17"/>
      <c r="B90" s="18"/>
      <c r="C90" s="13"/>
      <c r="D90" s="31" t="str">
        <f>IFERROR(VLOOKUP(A90,BUFFS!$H$5:$AF$195,8,),"")</f>
        <v/>
      </c>
      <c r="E90" s="24" t="str">
        <f t="shared" si="5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6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7"/>
        <v/>
      </c>
      <c r="T90" s="70" t="str">
        <f>IFERROR(VLOOKUP(A90,BUFFS!$H$5:$AF$195,20,),"")</f>
        <v/>
      </c>
    </row>
    <row r="91" spans="1:20" x14ac:dyDescent="0.3">
      <c r="A91" s="17"/>
      <c r="B91" s="18"/>
      <c r="C91" s="13"/>
      <c r="D91" s="31" t="str">
        <f>IFERROR(VLOOKUP(A91,BUFFS!$H$5:$AF$195,8,),"")</f>
        <v/>
      </c>
      <c r="E91" s="24" t="str">
        <f t="shared" si="5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6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7"/>
        <v/>
      </c>
      <c r="T91" s="70" t="str">
        <f>IFERROR(VLOOKUP(A91,BUFFS!$H$5:$AF$195,20,),"")</f>
        <v/>
      </c>
    </row>
    <row r="92" spans="1:20" x14ac:dyDescent="0.3">
      <c r="A92" s="17"/>
      <c r="B92" s="18"/>
      <c r="C92" s="13"/>
      <c r="D92" s="31" t="str">
        <f>IFERROR(VLOOKUP(A92,BUFFS!$H$5:$AF$195,8,),"")</f>
        <v/>
      </c>
      <c r="E92" s="24" t="str">
        <f t="shared" si="5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6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7"/>
        <v/>
      </c>
      <c r="T92" s="70" t="str">
        <f>IFERROR(VLOOKUP(A92,BUFFS!$H$5:$AF$195,20,),"")</f>
        <v/>
      </c>
    </row>
    <row r="93" spans="1:20" x14ac:dyDescent="0.3">
      <c r="A93" s="17"/>
      <c r="B93" s="18"/>
      <c r="C93" s="13"/>
      <c r="D93" s="31" t="str">
        <f>IFERROR(VLOOKUP(A93,BUFFS!$H$5:$AF$195,8,),"")</f>
        <v/>
      </c>
      <c r="E93" s="24" t="str">
        <f t="shared" si="5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6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7"/>
        <v/>
      </c>
      <c r="T93" s="70" t="str">
        <f>IFERROR(VLOOKUP(A93,BUFFS!$H$5:$AF$195,20,),"")</f>
        <v/>
      </c>
    </row>
    <row r="94" spans="1:20" x14ac:dyDescent="0.3">
      <c r="A94" s="17"/>
      <c r="B94" s="18"/>
      <c r="C94" s="13"/>
      <c r="D94" s="31" t="str">
        <f>IFERROR(VLOOKUP(A94,BUFFS!$H$5:$AF$195,8,),"")</f>
        <v/>
      </c>
      <c r="E94" s="24" t="str">
        <f t="shared" si="5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6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7"/>
        <v/>
      </c>
      <c r="T94" s="70" t="str">
        <f>IFERROR(VLOOKUP(A94,BUFFS!$H$5:$AF$195,20,),"")</f>
        <v/>
      </c>
    </row>
    <row r="95" spans="1:20" x14ac:dyDescent="0.3">
      <c r="A95" s="17"/>
      <c r="B95" s="18"/>
      <c r="C95" s="13"/>
      <c r="D95" s="31" t="str">
        <f>IFERROR(VLOOKUP(A95,BUFFS!$H$5:$AF$195,8,),"")</f>
        <v/>
      </c>
      <c r="E95" s="24" t="str">
        <f t="shared" si="5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6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7"/>
        <v/>
      </c>
      <c r="T95" s="70" t="str">
        <f>IFERROR(VLOOKUP(A95,BUFFS!$H$5:$AF$195,20,),"")</f>
        <v/>
      </c>
    </row>
    <row r="96" spans="1:20" x14ac:dyDescent="0.3">
      <c r="A96" s="17"/>
      <c r="B96" s="18"/>
      <c r="C96" s="13"/>
      <c r="D96" s="31" t="str">
        <f>IFERROR(VLOOKUP(A96,BUFFS!$H$5:$AF$195,8,),"")</f>
        <v/>
      </c>
      <c r="E96" s="24" t="str">
        <f t="shared" si="5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6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7"/>
        <v/>
      </c>
      <c r="T96" s="70" t="str">
        <f>IFERROR(VLOOKUP(A96,BUFFS!$H$5:$AF$195,20,),"")</f>
        <v/>
      </c>
    </row>
    <row r="97" spans="1:20" x14ac:dyDescent="0.3">
      <c r="A97" s="17"/>
      <c r="B97" s="18"/>
      <c r="C97" s="13"/>
      <c r="D97" s="31" t="str">
        <f>IFERROR(VLOOKUP(A97,BUFFS!$H$5:$AF$195,8,),"")</f>
        <v/>
      </c>
      <c r="E97" s="24" t="str">
        <f t="shared" si="5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6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7"/>
        <v/>
      </c>
      <c r="T97" s="70" t="str">
        <f>IFERROR(VLOOKUP(A97,BUFFS!$H$5:$AF$195,20,),"")</f>
        <v/>
      </c>
    </row>
    <row r="98" spans="1:20" x14ac:dyDescent="0.3">
      <c r="A98" s="17"/>
      <c r="B98" s="18"/>
      <c r="C98" s="13"/>
      <c r="D98" s="31" t="str">
        <f>IFERROR(VLOOKUP(A98,BUFFS!$H$5:$AF$195,8,),"")</f>
        <v/>
      </c>
      <c r="E98" s="24" t="str">
        <f t="shared" si="5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6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7"/>
        <v/>
      </c>
      <c r="T98" s="70" t="str">
        <f>IFERROR(VLOOKUP(A98,BUFFS!$H$5:$AF$195,20,),"")</f>
        <v/>
      </c>
    </row>
    <row r="99" spans="1:20" x14ac:dyDescent="0.3">
      <c r="A99" s="17"/>
      <c r="B99" s="18"/>
      <c r="C99" s="13"/>
      <c r="D99" s="31" t="str">
        <f>IFERROR(VLOOKUP(A99,BUFFS!$H$5:$AF$195,8,),"")</f>
        <v/>
      </c>
      <c r="E99" s="24" t="str">
        <f t="shared" si="5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6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7"/>
        <v/>
      </c>
      <c r="T99" s="70" t="str">
        <f>IFERROR(VLOOKUP(A99,BUFFS!$H$5:$AF$195,20,),"")</f>
        <v/>
      </c>
    </row>
    <row r="100" spans="1:20" x14ac:dyDescent="0.3">
      <c r="A100" s="17"/>
      <c r="B100" s="18"/>
      <c r="C100" s="13"/>
      <c r="D100" s="31" t="str">
        <f>IFERROR(VLOOKUP(A100,BUFFS!$H$5:$AF$195,8,),"")</f>
        <v/>
      </c>
      <c r="E100" s="24" t="str">
        <f t="shared" si="5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6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7"/>
        <v/>
      </c>
      <c r="T100" s="70" t="str">
        <f>IFERROR(VLOOKUP(A100,BUFFS!$H$5:$AF$195,20,),"")</f>
        <v/>
      </c>
    </row>
    <row r="101" spans="1:20" x14ac:dyDescent="0.3">
      <c r="A101" s="17"/>
      <c r="B101" s="18"/>
      <c r="C101" s="13"/>
      <c r="D101" s="31" t="str">
        <f>IFERROR(VLOOKUP(A101,BUFFS!$H$5:$AF$195,8,),"")</f>
        <v/>
      </c>
      <c r="E101" s="24" t="str">
        <f t="shared" si="5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6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7"/>
        <v/>
      </c>
      <c r="T101" s="70" t="str">
        <f>IFERROR(VLOOKUP(A101,BUFFS!$H$5:$AF$195,20,),"")</f>
        <v/>
      </c>
    </row>
    <row r="102" spans="1:20" x14ac:dyDescent="0.3">
      <c r="A102" s="17"/>
      <c r="B102" s="18"/>
      <c r="C102" s="13"/>
      <c r="D102" s="31" t="str">
        <f>IFERROR(VLOOKUP(A102,BUFFS!$H$5:$AF$195,8,),"")</f>
        <v/>
      </c>
      <c r="E102" s="24" t="str">
        <f t="shared" si="5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6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7"/>
        <v/>
      </c>
      <c r="T102" s="70" t="str">
        <f>IFERROR(VLOOKUP(A102,BUFFS!$H$5:$AF$195,20,),"")</f>
        <v/>
      </c>
    </row>
    <row r="103" spans="1:20" x14ac:dyDescent="0.3">
      <c r="A103" s="17"/>
      <c r="B103" s="18"/>
      <c r="C103" s="13"/>
      <c r="D103" s="31" t="str">
        <f>IFERROR(VLOOKUP(A103,BUFFS!$H$5:$AF$195,8,),"")</f>
        <v/>
      </c>
      <c r="E103" s="24" t="str">
        <f t="shared" si="5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6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7"/>
        <v/>
      </c>
      <c r="T103" s="70" t="str">
        <f>IFERROR(VLOOKUP(A103,BUFFS!$H$5:$AF$195,20,),"")</f>
        <v/>
      </c>
    </row>
    <row r="104" spans="1:20" x14ac:dyDescent="0.3">
      <c r="A104" s="17"/>
      <c r="B104" s="18"/>
      <c r="C104" s="13"/>
      <c r="D104" s="31" t="str">
        <f>IFERROR(VLOOKUP(A104,BUFFS!$H$5:$AF$195,8,),"")</f>
        <v/>
      </c>
      <c r="E104" s="24" t="str">
        <f t="shared" si="5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6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7"/>
        <v/>
      </c>
      <c r="T104" s="70" t="str">
        <f>IFERROR(VLOOKUP(A104,BUFFS!$H$5:$AF$195,20,),"")</f>
        <v/>
      </c>
    </row>
    <row r="105" spans="1:20" x14ac:dyDescent="0.3">
      <c r="A105" s="17"/>
      <c r="B105" s="18"/>
      <c r="C105" s="13"/>
      <c r="D105" s="31" t="str">
        <f>IFERROR(VLOOKUP(A105,BUFFS!$H$5:$AF$195,8,),"")</f>
        <v/>
      </c>
      <c r="E105" s="24" t="str">
        <f t="shared" si="5"/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si="6"/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si="7"/>
        <v/>
      </c>
      <c r="T105" s="70" t="str">
        <f>IFERROR(VLOOKUP(A105,BUFFS!$H$5:$AF$195,20,),"")</f>
        <v/>
      </c>
    </row>
    <row r="106" spans="1:20" x14ac:dyDescent="0.3">
      <c r="A106" s="17"/>
      <c r="B106" s="18"/>
      <c r="C106" s="13"/>
      <c r="D106" s="31" t="str">
        <f>IFERROR(VLOOKUP(A106,BUFFS!$H$5:$AF$195,8,),"")</f>
        <v/>
      </c>
      <c r="E106" s="24" t="str">
        <f t="shared" si="5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6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7"/>
        <v/>
      </c>
      <c r="T106" s="70" t="str">
        <f>IFERROR(VLOOKUP(A106,BUFFS!$H$5:$AF$195,20,),"")</f>
        <v/>
      </c>
    </row>
    <row r="107" spans="1:20" x14ac:dyDescent="0.3">
      <c r="A107" s="17"/>
      <c r="B107" s="18"/>
      <c r="C107" s="13"/>
      <c r="D107" s="31" t="str">
        <f>IFERROR(VLOOKUP(A107,BUFFS!$H$5:$AF$195,8,),"")</f>
        <v/>
      </c>
      <c r="E107" s="24" t="str">
        <f t="shared" si="5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6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7"/>
        <v/>
      </c>
      <c r="T107" s="70" t="str">
        <f>IFERROR(VLOOKUP(A107,BUFFS!$H$5:$AF$195,20,),"")</f>
        <v/>
      </c>
    </row>
    <row r="108" spans="1:20" x14ac:dyDescent="0.3">
      <c r="A108" s="17"/>
      <c r="B108" s="18"/>
      <c r="C108" s="13"/>
      <c r="D108" s="31" t="str">
        <f>IFERROR(VLOOKUP(A108,BUFFS!$H$5:$AF$195,8,),"")</f>
        <v/>
      </c>
      <c r="E108" s="24" t="str">
        <f t="shared" ref="E108:E163" si="10">IFERROR(SUM(H108,ROUNDDOWN(MIN(B108,T$35)*I108,0)),"")</f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ref="N108:N163" si="11">IFERROR(SUM(L108,ROUNDDOWN(MIN(B108,T$35)*M108,0)),"")</f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ref="S108:S163" si="12">IFERROR(SUM(Q108,ROUNDDOWN(MIN(B108,T$35)*R108,0)),"")</f>
        <v/>
      </c>
      <c r="T108" s="70" t="str">
        <f>IFERROR(VLOOKUP(A108,BUFFS!$H$5:$AF$195,20,),"")</f>
        <v/>
      </c>
    </row>
    <row r="109" spans="1:20" x14ac:dyDescent="0.3">
      <c r="A109" s="17"/>
      <c r="B109" s="18"/>
      <c r="C109" s="13"/>
      <c r="D109" s="31" t="str">
        <f>IFERROR(VLOOKUP(A109,BUFFS!$H$5:$AF$195,8,),"")</f>
        <v/>
      </c>
      <c r="E109" s="24" t="str">
        <f t="shared" si="10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11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2"/>
        <v/>
      </c>
      <c r="T109" s="70" t="str">
        <f>IFERROR(VLOOKUP(A109,BUFFS!$H$5:$AF$195,20,),"")</f>
        <v/>
      </c>
    </row>
    <row r="110" spans="1:20" x14ac:dyDescent="0.3">
      <c r="A110" s="17"/>
      <c r="B110" s="18"/>
      <c r="C110" s="13"/>
      <c r="D110" s="31" t="str">
        <f>IFERROR(VLOOKUP(A110,BUFFS!$H$5:$AF$195,8,),"")</f>
        <v/>
      </c>
      <c r="E110" s="24" t="str">
        <f t="shared" si="10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11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2"/>
        <v/>
      </c>
      <c r="T110" s="70" t="str">
        <f>IFERROR(VLOOKUP(A110,BUFFS!$H$5:$AF$195,20,),"")</f>
        <v/>
      </c>
    </row>
    <row r="111" spans="1:20" x14ac:dyDescent="0.3">
      <c r="A111" s="17"/>
      <c r="B111" s="18"/>
      <c r="C111" s="13"/>
      <c r="D111" s="31" t="str">
        <f>IFERROR(VLOOKUP(A111,BUFFS!$H$5:$AF$195,8,),"")</f>
        <v/>
      </c>
      <c r="E111" s="24" t="str">
        <f t="shared" si="10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11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2"/>
        <v/>
      </c>
      <c r="T111" s="70" t="str">
        <f>IFERROR(VLOOKUP(A111,BUFFS!$H$5:$AF$195,20,),"")</f>
        <v/>
      </c>
    </row>
    <row r="112" spans="1:20" x14ac:dyDescent="0.3">
      <c r="A112" s="17"/>
      <c r="B112" s="18"/>
      <c r="C112" s="13"/>
      <c r="D112" s="31" t="str">
        <f>IFERROR(VLOOKUP(A112,BUFFS!$H$5:$AF$195,8,),"")</f>
        <v/>
      </c>
      <c r="E112" s="24" t="str">
        <f t="shared" si="10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11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2"/>
        <v/>
      </c>
      <c r="T112" s="70" t="str">
        <f>IFERROR(VLOOKUP(A112,BUFFS!$H$5:$AF$195,20,),"")</f>
        <v/>
      </c>
    </row>
    <row r="113" spans="1:20" x14ac:dyDescent="0.3">
      <c r="A113" s="17"/>
      <c r="B113" s="18"/>
      <c r="C113" s="13"/>
      <c r="D113" s="31" t="str">
        <f>IFERROR(VLOOKUP(A113,BUFFS!$H$5:$AF$195,8,),"")</f>
        <v/>
      </c>
      <c r="E113" s="24" t="str">
        <f t="shared" si="10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11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2"/>
        <v/>
      </c>
      <c r="T113" s="70" t="str">
        <f>IFERROR(VLOOKUP(A113,BUFFS!$H$5:$AF$195,20,),"")</f>
        <v/>
      </c>
    </row>
    <row r="114" spans="1:20" x14ac:dyDescent="0.3">
      <c r="A114" s="17"/>
      <c r="B114" s="18"/>
      <c r="C114" s="13"/>
      <c r="D114" s="31" t="str">
        <f>IFERROR(VLOOKUP(A114,BUFFS!$H$5:$AF$195,8,),"")</f>
        <v/>
      </c>
      <c r="E114" s="24" t="str">
        <f t="shared" si="10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11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2"/>
        <v/>
      </c>
      <c r="T114" s="70" t="str">
        <f>IFERROR(VLOOKUP(A114,BUFFS!$H$5:$AF$195,20,),"")</f>
        <v/>
      </c>
    </row>
    <row r="115" spans="1:20" x14ac:dyDescent="0.3">
      <c r="A115" s="17"/>
      <c r="B115" s="18"/>
      <c r="C115" s="13"/>
      <c r="D115" s="31" t="str">
        <f>IFERROR(VLOOKUP(A115,BUFFS!$H$5:$AF$195,8,),"")</f>
        <v/>
      </c>
      <c r="E115" s="24" t="str">
        <f t="shared" si="10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11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2"/>
        <v/>
      </c>
      <c r="T115" s="70" t="str">
        <f>IFERROR(VLOOKUP(A115,BUFFS!$H$5:$AF$195,20,),"")</f>
        <v/>
      </c>
    </row>
    <row r="116" spans="1:20" x14ac:dyDescent="0.3">
      <c r="A116" s="17"/>
      <c r="B116" s="18"/>
      <c r="C116" s="13"/>
      <c r="D116" s="31" t="str">
        <f>IFERROR(VLOOKUP(A116,BUFFS!$H$5:$AF$195,8,),"")</f>
        <v/>
      </c>
      <c r="E116" s="24" t="str">
        <f t="shared" si="10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11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2"/>
        <v/>
      </c>
      <c r="T116" s="70" t="str">
        <f>IFERROR(VLOOKUP(A116,BUFFS!$H$5:$AF$195,20,),"")</f>
        <v/>
      </c>
    </row>
    <row r="117" spans="1:20" x14ac:dyDescent="0.3">
      <c r="A117" s="17"/>
      <c r="B117" s="18"/>
      <c r="C117" s="13"/>
      <c r="D117" s="31" t="str">
        <f>IFERROR(VLOOKUP(A117,BUFFS!$H$5:$AF$195,8,),"")</f>
        <v/>
      </c>
      <c r="E117" s="24" t="str">
        <f t="shared" si="10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11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2"/>
        <v/>
      </c>
      <c r="T117" s="70" t="str">
        <f>IFERROR(VLOOKUP(A117,BUFFS!$H$5:$AF$195,20,),"")</f>
        <v/>
      </c>
    </row>
    <row r="118" spans="1:20" x14ac:dyDescent="0.3">
      <c r="A118" s="17"/>
      <c r="B118" s="18"/>
      <c r="C118" s="13"/>
      <c r="D118" s="31" t="str">
        <f>IFERROR(VLOOKUP(A118,BUFFS!$H$5:$AF$195,8,),"")</f>
        <v/>
      </c>
      <c r="E118" s="24" t="str">
        <f t="shared" si="10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11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2"/>
        <v/>
      </c>
      <c r="T118" s="70" t="str">
        <f>IFERROR(VLOOKUP(A118,BUFFS!$H$5:$AF$195,20,),"")</f>
        <v/>
      </c>
    </row>
    <row r="119" spans="1:20" x14ac:dyDescent="0.3">
      <c r="A119" s="17"/>
      <c r="B119" s="18"/>
      <c r="C119" s="13"/>
      <c r="D119" s="31" t="str">
        <f>IFERROR(VLOOKUP(A119,BUFFS!$H$5:$AF$195,8,),"")</f>
        <v/>
      </c>
      <c r="E119" s="24" t="str">
        <f t="shared" si="10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11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2"/>
        <v/>
      </c>
      <c r="T119" s="70" t="str">
        <f>IFERROR(VLOOKUP(A119,BUFFS!$H$5:$AF$195,20,),"")</f>
        <v/>
      </c>
    </row>
    <row r="120" spans="1:20" x14ac:dyDescent="0.3">
      <c r="A120" s="17"/>
      <c r="B120" s="18"/>
      <c r="C120" s="13"/>
      <c r="D120" s="31" t="str">
        <f>IFERROR(VLOOKUP(A120,BUFFS!$H$5:$AF$195,8,),"")</f>
        <v/>
      </c>
      <c r="E120" s="24" t="str">
        <f t="shared" si="10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11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2"/>
        <v/>
      </c>
      <c r="T120" s="70" t="str">
        <f>IFERROR(VLOOKUP(A120,BUFFS!$H$5:$AF$195,20,),"")</f>
        <v/>
      </c>
    </row>
    <row r="121" spans="1:20" x14ac:dyDescent="0.3">
      <c r="A121" s="17"/>
      <c r="B121" s="18"/>
      <c r="C121" s="13"/>
      <c r="D121" s="31" t="str">
        <f>IFERROR(VLOOKUP(A121,BUFFS!$H$5:$AF$195,8,),"")</f>
        <v/>
      </c>
      <c r="E121" s="24" t="str">
        <f t="shared" si="10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11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2"/>
        <v/>
      </c>
      <c r="T121" s="70" t="str">
        <f>IFERROR(VLOOKUP(A121,BUFFS!$H$5:$AF$195,20,),"")</f>
        <v/>
      </c>
    </row>
    <row r="122" spans="1:20" x14ac:dyDescent="0.3">
      <c r="A122" s="17"/>
      <c r="B122" s="18"/>
      <c r="C122" s="13"/>
      <c r="D122" s="31" t="str">
        <f>IFERROR(VLOOKUP(A122,BUFFS!$H$5:$AF$195,8,),"")</f>
        <v/>
      </c>
      <c r="E122" s="24" t="str">
        <f t="shared" si="10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11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2"/>
        <v/>
      </c>
      <c r="T122" s="70" t="str">
        <f>IFERROR(VLOOKUP(A122,BUFFS!$H$5:$AF$195,20,),"")</f>
        <v/>
      </c>
    </row>
    <row r="123" spans="1:20" x14ac:dyDescent="0.3">
      <c r="A123" s="17"/>
      <c r="B123" s="18"/>
      <c r="C123" s="13"/>
      <c r="D123" s="31" t="str">
        <f>IFERROR(VLOOKUP(A123,BUFFS!$H$5:$AF$195,8,),"")</f>
        <v/>
      </c>
      <c r="E123" s="24" t="str">
        <f t="shared" si="10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11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2"/>
        <v/>
      </c>
      <c r="T123" s="70" t="str">
        <f>IFERROR(VLOOKUP(A123,BUFFS!$H$5:$AF$195,20,),"")</f>
        <v/>
      </c>
    </row>
    <row r="124" spans="1:20" x14ac:dyDescent="0.3">
      <c r="A124" s="17"/>
      <c r="B124" s="18"/>
      <c r="C124" s="13"/>
      <c r="D124" s="31" t="str">
        <f>IFERROR(VLOOKUP(A124,BUFFS!$H$5:$AF$195,8,),"")</f>
        <v/>
      </c>
      <c r="E124" s="24" t="str">
        <f t="shared" si="10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11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2"/>
        <v/>
      </c>
      <c r="T124" s="70" t="str">
        <f>IFERROR(VLOOKUP(A124,BUFFS!$H$5:$AF$195,20,),"")</f>
        <v/>
      </c>
    </row>
    <row r="125" spans="1:20" x14ac:dyDescent="0.3">
      <c r="A125" s="17"/>
      <c r="B125" s="18"/>
      <c r="C125" s="13"/>
      <c r="D125" s="31" t="str">
        <f>IFERROR(VLOOKUP(A125,BUFFS!$H$5:$AF$195,8,),"")</f>
        <v/>
      </c>
      <c r="E125" s="24" t="str">
        <f t="shared" si="10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11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2"/>
        <v/>
      </c>
      <c r="T125" s="70" t="str">
        <f>IFERROR(VLOOKUP(A125,BUFFS!$H$5:$AF$195,20,),"")</f>
        <v/>
      </c>
    </row>
    <row r="126" spans="1:20" x14ac:dyDescent="0.3">
      <c r="A126" s="17"/>
      <c r="B126" s="18"/>
      <c r="C126" s="13"/>
      <c r="D126" s="31" t="str">
        <f>IFERROR(VLOOKUP(A126,BUFFS!$H$5:$AF$195,8,),"")</f>
        <v/>
      </c>
      <c r="E126" s="24" t="str">
        <f t="shared" si="10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11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2"/>
        <v/>
      </c>
      <c r="T126" s="70" t="str">
        <f>IFERROR(VLOOKUP(A126,BUFFS!$H$5:$AF$195,20,),"")</f>
        <v/>
      </c>
    </row>
    <row r="127" spans="1:20" x14ac:dyDescent="0.3">
      <c r="A127" s="17"/>
      <c r="B127" s="18"/>
      <c r="C127" s="13"/>
      <c r="D127" s="31" t="str">
        <f>IFERROR(VLOOKUP(A127,BUFFS!$H$5:$AF$195,8,),"")</f>
        <v/>
      </c>
      <c r="E127" s="24" t="str">
        <f t="shared" si="10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11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2"/>
        <v/>
      </c>
      <c r="T127" s="70" t="str">
        <f>IFERROR(VLOOKUP(A127,BUFFS!$H$5:$AF$195,20,),"")</f>
        <v/>
      </c>
    </row>
    <row r="128" spans="1:20" x14ac:dyDescent="0.3">
      <c r="A128" s="17"/>
      <c r="B128" s="18"/>
      <c r="C128" s="13"/>
      <c r="D128" s="31" t="str">
        <f>IFERROR(VLOOKUP(A128,BUFFS!$H$5:$AF$195,8,),"")</f>
        <v/>
      </c>
      <c r="E128" s="24" t="str">
        <f t="shared" si="10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11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2"/>
        <v/>
      </c>
      <c r="T128" s="70" t="str">
        <f>IFERROR(VLOOKUP(A128,BUFFS!$H$5:$AF$195,20,),"")</f>
        <v/>
      </c>
    </row>
    <row r="129" spans="1:20" x14ac:dyDescent="0.3">
      <c r="A129" s="17"/>
      <c r="B129" s="18"/>
      <c r="C129" s="13"/>
      <c r="D129" s="31" t="str">
        <f>IFERROR(VLOOKUP(A129,BUFFS!$H$5:$AF$195,8,),"")</f>
        <v/>
      </c>
      <c r="E129" s="24" t="str">
        <f t="shared" si="10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11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2"/>
        <v/>
      </c>
      <c r="T129" s="70" t="str">
        <f>IFERROR(VLOOKUP(A129,BUFFS!$H$5:$AF$195,20,),"")</f>
        <v/>
      </c>
    </row>
    <row r="130" spans="1:20" x14ac:dyDescent="0.3">
      <c r="A130" s="17"/>
      <c r="B130" s="18"/>
      <c r="C130" s="13"/>
      <c r="D130" s="31" t="str">
        <f>IFERROR(VLOOKUP(A130,BUFFS!$H$5:$AF$195,8,),"")</f>
        <v/>
      </c>
      <c r="E130" s="24" t="str">
        <f t="shared" si="10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11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2"/>
        <v/>
      </c>
      <c r="T130" s="70" t="str">
        <f>IFERROR(VLOOKUP(A130,BUFFS!$H$5:$AF$195,20,),"")</f>
        <v/>
      </c>
    </row>
    <row r="131" spans="1:20" x14ac:dyDescent="0.3">
      <c r="A131" s="17"/>
      <c r="B131" s="18"/>
      <c r="C131" s="13"/>
      <c r="D131" s="31" t="str">
        <f>IFERROR(VLOOKUP(A131,BUFFS!$H$5:$AF$195,8,),"")</f>
        <v/>
      </c>
      <c r="E131" s="24" t="str">
        <f t="shared" si="10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11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2"/>
        <v/>
      </c>
      <c r="T131" s="70" t="str">
        <f>IFERROR(VLOOKUP(A131,BUFFS!$H$5:$AF$195,20,),"")</f>
        <v/>
      </c>
    </row>
    <row r="132" spans="1:20" x14ac:dyDescent="0.3">
      <c r="A132" s="17"/>
      <c r="B132" s="18"/>
      <c r="C132" s="13"/>
      <c r="D132" s="31" t="str">
        <f>IFERROR(VLOOKUP(A132,BUFFS!$H$5:$AF$195,8,),"")</f>
        <v/>
      </c>
      <c r="E132" s="24" t="str">
        <f t="shared" si="10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11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2"/>
        <v/>
      </c>
      <c r="T132" s="70" t="str">
        <f>IFERROR(VLOOKUP(A132,BUFFS!$H$5:$AF$195,20,),"")</f>
        <v/>
      </c>
    </row>
    <row r="133" spans="1:20" x14ac:dyDescent="0.3">
      <c r="A133" s="17"/>
      <c r="B133" s="18"/>
      <c r="C133" s="13"/>
      <c r="D133" s="31" t="str">
        <f>IFERROR(VLOOKUP(A133,BUFFS!$H$5:$AF$195,8,),"")</f>
        <v/>
      </c>
      <c r="E133" s="24" t="str">
        <f t="shared" si="10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11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2"/>
        <v/>
      </c>
      <c r="T133" s="70" t="str">
        <f>IFERROR(VLOOKUP(A133,BUFFS!$H$5:$AF$195,20,),"")</f>
        <v/>
      </c>
    </row>
    <row r="134" spans="1:20" x14ac:dyDescent="0.3">
      <c r="A134" s="17"/>
      <c r="B134" s="18"/>
      <c r="C134" s="13"/>
      <c r="D134" s="31" t="str">
        <f>IFERROR(VLOOKUP(A134,BUFFS!$H$5:$AF$195,8,),"")</f>
        <v/>
      </c>
      <c r="E134" s="24" t="str">
        <f t="shared" si="10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11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2"/>
        <v/>
      </c>
      <c r="T134" s="70" t="str">
        <f>IFERROR(VLOOKUP(A134,BUFFS!$H$5:$AF$195,20,),"")</f>
        <v/>
      </c>
    </row>
    <row r="135" spans="1:20" x14ac:dyDescent="0.3">
      <c r="A135" s="17"/>
      <c r="B135" s="18"/>
      <c r="C135" s="13"/>
      <c r="D135" s="31" t="str">
        <f>IFERROR(VLOOKUP(A135,BUFFS!$H$5:$AF$195,8,),"")</f>
        <v/>
      </c>
      <c r="E135" s="24" t="str">
        <f t="shared" si="10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11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2"/>
        <v/>
      </c>
      <c r="T135" s="70" t="str">
        <f>IFERROR(VLOOKUP(A135,BUFFS!$H$5:$AF$195,20,),"")</f>
        <v/>
      </c>
    </row>
    <row r="136" spans="1:20" x14ac:dyDescent="0.3">
      <c r="A136" s="17"/>
      <c r="B136" s="18"/>
      <c r="C136" s="13"/>
      <c r="D136" s="31" t="str">
        <f>IFERROR(VLOOKUP(A136,BUFFS!$H$5:$AF$195,8,),"")</f>
        <v/>
      </c>
      <c r="E136" s="24" t="str">
        <f t="shared" si="10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11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2"/>
        <v/>
      </c>
      <c r="T136" s="70" t="str">
        <f>IFERROR(VLOOKUP(A136,BUFFS!$H$5:$AF$195,20,),"")</f>
        <v/>
      </c>
    </row>
    <row r="137" spans="1:20" x14ac:dyDescent="0.3">
      <c r="A137" s="17"/>
      <c r="B137" s="18"/>
      <c r="C137" s="13"/>
      <c r="D137" s="31" t="str">
        <f>IFERROR(VLOOKUP(A137,BUFFS!$H$5:$AF$195,8,),"")</f>
        <v/>
      </c>
      <c r="E137" s="24" t="str">
        <f t="shared" si="10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11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2"/>
        <v/>
      </c>
      <c r="T137" s="70" t="str">
        <f>IFERROR(VLOOKUP(A137,BUFFS!$H$5:$AF$195,20,),"")</f>
        <v/>
      </c>
    </row>
    <row r="138" spans="1:20" x14ac:dyDescent="0.3">
      <c r="A138" s="17"/>
      <c r="B138" s="18"/>
      <c r="C138" s="13"/>
      <c r="D138" s="31" t="str">
        <f>IFERROR(VLOOKUP(A138,BUFFS!$H$5:$AF$195,8,),"")</f>
        <v/>
      </c>
      <c r="E138" s="24" t="str">
        <f t="shared" si="10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11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2"/>
        <v/>
      </c>
      <c r="T138" s="70" t="str">
        <f>IFERROR(VLOOKUP(A138,BUFFS!$H$5:$AF$195,20,),"")</f>
        <v/>
      </c>
    </row>
    <row r="139" spans="1:20" x14ac:dyDescent="0.3">
      <c r="A139" s="17"/>
      <c r="B139" s="18"/>
      <c r="C139" s="13"/>
      <c r="D139" s="31" t="str">
        <f>IFERROR(VLOOKUP(A139,BUFFS!$H$5:$AF$195,8,),"")</f>
        <v/>
      </c>
      <c r="E139" s="24" t="str">
        <f t="shared" si="10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11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2"/>
        <v/>
      </c>
      <c r="T139" s="70" t="str">
        <f>IFERROR(VLOOKUP(A139,BUFFS!$H$5:$AF$195,20,),"")</f>
        <v/>
      </c>
    </row>
    <row r="140" spans="1:20" x14ac:dyDescent="0.3">
      <c r="A140" s="17"/>
      <c r="B140" s="18"/>
      <c r="C140" s="13"/>
      <c r="D140" s="31" t="str">
        <f>IFERROR(VLOOKUP(A140,BUFFS!$H$5:$AF$195,8,),"")</f>
        <v/>
      </c>
      <c r="E140" s="24" t="str">
        <f t="shared" si="10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11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2"/>
        <v/>
      </c>
      <c r="T140" s="70" t="str">
        <f>IFERROR(VLOOKUP(A140,BUFFS!$H$5:$AF$195,20,),"")</f>
        <v/>
      </c>
    </row>
    <row r="141" spans="1:20" x14ac:dyDescent="0.3">
      <c r="A141" s="17"/>
      <c r="B141" s="18"/>
      <c r="C141" s="13"/>
      <c r="D141" s="31" t="str">
        <f>IFERROR(VLOOKUP(A141,BUFFS!$H$5:$AF$195,8,),"")</f>
        <v/>
      </c>
      <c r="E141" s="24" t="str">
        <f t="shared" si="10"/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si="11"/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12"/>
        <v/>
      </c>
      <c r="T141" s="70" t="str">
        <f>IFERROR(VLOOKUP(A141,BUFFS!$H$5:$AF$195,20,),"")</f>
        <v/>
      </c>
    </row>
    <row r="142" spans="1:20" x14ac:dyDescent="0.3">
      <c r="A142" s="17"/>
      <c r="B142" s="18"/>
      <c r="C142" s="13"/>
      <c r="D142" s="31" t="str">
        <f>IFERROR(VLOOKUP(A142,BUFFS!$H$5:$AF$195,8,),"")</f>
        <v/>
      </c>
      <c r="E142" s="24" t="str">
        <f t="shared" si="10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11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2"/>
        <v/>
      </c>
      <c r="T142" s="70" t="str">
        <f>IFERROR(VLOOKUP(A142,BUFFS!$H$5:$AF$195,20,),"")</f>
        <v/>
      </c>
    </row>
    <row r="143" spans="1:20" x14ac:dyDescent="0.3">
      <c r="A143" s="17"/>
      <c r="B143" s="18"/>
      <c r="C143" s="13"/>
      <c r="D143" s="31" t="str">
        <f>IFERROR(VLOOKUP(A143,BUFFS!$H$5:$AF$195,8,),"")</f>
        <v/>
      </c>
      <c r="E143" s="24" t="str">
        <f t="shared" si="10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11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2"/>
        <v/>
      </c>
      <c r="T143" s="70" t="str">
        <f>IFERROR(VLOOKUP(A143,BUFFS!$H$5:$AF$195,20,),"")</f>
        <v/>
      </c>
    </row>
    <row r="144" spans="1:20" x14ac:dyDescent="0.3">
      <c r="A144" s="17"/>
      <c r="B144" s="18"/>
      <c r="C144" s="13"/>
      <c r="D144" s="31" t="str">
        <f>IFERROR(VLOOKUP(A144,BUFFS!$H$5:$AF$195,8,),"")</f>
        <v/>
      </c>
      <c r="E144" s="24" t="str">
        <f t="shared" si="10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11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2"/>
        <v/>
      </c>
      <c r="T144" s="70" t="str">
        <f>IFERROR(VLOOKUP(A144,BUFFS!$H$5:$AF$195,20,),"")</f>
        <v/>
      </c>
    </row>
    <row r="145" spans="1:20" x14ac:dyDescent="0.3">
      <c r="A145" s="17"/>
      <c r="B145" s="18"/>
      <c r="C145" s="13"/>
      <c r="D145" s="31" t="str">
        <f>IFERROR(VLOOKUP(A145,BUFFS!$H$5:$AF$195,8,),"")</f>
        <v/>
      </c>
      <c r="E145" s="24" t="str">
        <f t="shared" si="10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11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2"/>
        <v/>
      </c>
      <c r="T145" s="70" t="str">
        <f>IFERROR(VLOOKUP(A145,BUFFS!$H$5:$AF$195,20,),"")</f>
        <v/>
      </c>
    </row>
    <row r="146" spans="1:20" x14ac:dyDescent="0.3">
      <c r="A146" s="17"/>
      <c r="B146" s="18"/>
      <c r="C146" s="13"/>
      <c r="D146" s="31" t="str">
        <f>IFERROR(VLOOKUP(A146,BUFFS!$H$5:$AF$195,8,),"")</f>
        <v/>
      </c>
      <c r="E146" s="24" t="str">
        <f t="shared" si="10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11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2"/>
        <v/>
      </c>
      <c r="T146" s="70" t="str">
        <f>IFERROR(VLOOKUP(A146,BUFFS!$H$5:$AF$195,20,),"")</f>
        <v/>
      </c>
    </row>
    <row r="147" spans="1:20" x14ac:dyDescent="0.3">
      <c r="A147" s="17"/>
      <c r="B147" s="18"/>
      <c r="C147" s="13"/>
      <c r="D147" s="31" t="str">
        <f>IFERROR(VLOOKUP(A147,BUFFS!$H$5:$AF$195,8,),"")</f>
        <v/>
      </c>
      <c r="E147" s="24" t="str">
        <f t="shared" si="10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11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2"/>
        <v/>
      </c>
      <c r="T147" s="70" t="str">
        <f>IFERROR(VLOOKUP(A147,BUFFS!$H$5:$AF$195,20,),"")</f>
        <v/>
      </c>
    </row>
    <row r="148" spans="1:20" x14ac:dyDescent="0.3">
      <c r="A148" s="17"/>
      <c r="B148" s="18"/>
      <c r="C148" s="13"/>
      <c r="D148" s="31" t="str">
        <f>IFERROR(VLOOKUP(A148,BUFFS!$H$5:$AF$195,8,),"")</f>
        <v/>
      </c>
      <c r="E148" s="24" t="str">
        <f t="shared" si="10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11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2"/>
        <v/>
      </c>
      <c r="T148" s="70" t="str">
        <f>IFERROR(VLOOKUP(A148,BUFFS!$H$5:$AF$195,20,),"")</f>
        <v/>
      </c>
    </row>
    <row r="149" spans="1:20" x14ac:dyDescent="0.3">
      <c r="A149" s="17"/>
      <c r="B149" s="18"/>
      <c r="C149" s="13"/>
      <c r="D149" s="31" t="str">
        <f>IFERROR(VLOOKUP(A149,BUFFS!$H$5:$AF$195,8,),"")</f>
        <v/>
      </c>
      <c r="E149" s="24" t="str">
        <f t="shared" si="10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11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2"/>
        <v/>
      </c>
      <c r="T149" s="70" t="str">
        <f>IFERROR(VLOOKUP(A149,BUFFS!$H$5:$AF$195,20,),"")</f>
        <v/>
      </c>
    </row>
    <row r="150" spans="1:20" x14ac:dyDescent="0.3">
      <c r="A150" s="17"/>
      <c r="B150" s="18"/>
      <c r="C150" s="13"/>
      <c r="D150" s="31" t="str">
        <f>IFERROR(VLOOKUP(A150,BUFFS!$H$5:$AF$195,8,),"")</f>
        <v/>
      </c>
      <c r="E150" s="24" t="str">
        <f t="shared" si="10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11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2"/>
        <v/>
      </c>
      <c r="T150" s="70" t="str">
        <f>IFERROR(VLOOKUP(A150,BUFFS!$H$5:$AF$195,20,),"")</f>
        <v/>
      </c>
    </row>
    <row r="151" spans="1:20" x14ac:dyDescent="0.3">
      <c r="A151" s="17"/>
      <c r="B151" s="18"/>
      <c r="C151" s="13"/>
      <c r="D151" s="31" t="str">
        <f>IFERROR(VLOOKUP(A151,BUFFS!$H$5:$AF$195,8,),"")</f>
        <v/>
      </c>
      <c r="E151" s="24" t="str">
        <f t="shared" si="10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11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2"/>
        <v/>
      </c>
      <c r="T151" s="70" t="str">
        <f>IFERROR(VLOOKUP(A151,BUFFS!$H$5:$AF$195,20,),"")</f>
        <v/>
      </c>
    </row>
    <row r="152" spans="1:20" x14ac:dyDescent="0.3">
      <c r="A152" s="17"/>
      <c r="B152" s="18"/>
      <c r="C152" s="13"/>
      <c r="D152" s="31" t="str">
        <f>IFERROR(VLOOKUP(A152,BUFFS!$H$5:$AF$195,8,),"")</f>
        <v/>
      </c>
      <c r="E152" s="24" t="str">
        <f t="shared" si="10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11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2"/>
        <v/>
      </c>
      <c r="T152" s="70" t="str">
        <f>IFERROR(VLOOKUP(A152,BUFFS!$H$5:$AF$195,20,),"")</f>
        <v/>
      </c>
    </row>
    <row r="153" spans="1:20" x14ac:dyDescent="0.3">
      <c r="A153" s="17"/>
      <c r="B153" s="18"/>
      <c r="C153" s="13"/>
      <c r="D153" s="31" t="str">
        <f>IFERROR(VLOOKUP(A153,BUFFS!$H$5:$AF$195,8,),"")</f>
        <v/>
      </c>
      <c r="E153" s="24" t="str">
        <f t="shared" si="10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11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2"/>
        <v/>
      </c>
      <c r="T153" s="70" t="str">
        <f>IFERROR(VLOOKUP(A153,BUFFS!$H$5:$AF$195,20,),"")</f>
        <v/>
      </c>
    </row>
    <row r="154" spans="1:20" x14ac:dyDescent="0.3">
      <c r="A154" s="17"/>
      <c r="B154" s="18"/>
      <c r="C154" s="13"/>
      <c r="D154" s="31" t="str">
        <f>IFERROR(VLOOKUP(A154,BUFFS!$H$5:$AF$195,8,),"")</f>
        <v/>
      </c>
      <c r="E154" s="24" t="str">
        <f t="shared" si="10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11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2"/>
        <v/>
      </c>
      <c r="T154" s="70" t="str">
        <f>IFERROR(VLOOKUP(A154,BUFFS!$H$5:$AF$195,20,),"")</f>
        <v/>
      </c>
    </row>
    <row r="155" spans="1:20" x14ac:dyDescent="0.3">
      <c r="A155" s="17"/>
      <c r="B155" s="18"/>
      <c r="C155" s="13"/>
      <c r="D155" s="31" t="str">
        <f>IFERROR(VLOOKUP(A155,BUFFS!$H$5:$AF$195,8,),"")</f>
        <v/>
      </c>
      <c r="E155" s="24" t="str">
        <f t="shared" si="10"/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si="11"/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si="12"/>
        <v/>
      </c>
      <c r="T155" s="70" t="str">
        <f>IFERROR(VLOOKUP(A155,BUFFS!$H$5:$AF$195,20,),"")</f>
        <v/>
      </c>
    </row>
    <row r="156" spans="1:20" x14ac:dyDescent="0.3">
      <c r="A156" s="17"/>
      <c r="B156" s="18"/>
      <c r="C156" s="13"/>
      <c r="D156" s="31" t="str">
        <f>IFERROR(VLOOKUP(A156,BUFFS!$H$5:$AF$195,8,),"")</f>
        <v/>
      </c>
      <c r="E156" s="24" t="str">
        <f t="shared" si="10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11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2"/>
        <v/>
      </c>
      <c r="T156" s="70" t="str">
        <f>IFERROR(VLOOKUP(A156,BUFFS!$H$5:$AF$195,20,),"")</f>
        <v/>
      </c>
    </row>
    <row r="157" spans="1:20" x14ac:dyDescent="0.3">
      <c r="A157" s="17"/>
      <c r="B157" s="18"/>
      <c r="C157" s="13"/>
      <c r="D157" s="31" t="str">
        <f>IFERROR(VLOOKUP(A157,BUFFS!$H$5:$AF$195,8,),"")</f>
        <v/>
      </c>
      <c r="E157" s="24" t="str">
        <f t="shared" si="10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11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2"/>
        <v/>
      </c>
      <c r="T157" s="70" t="str">
        <f>IFERROR(VLOOKUP(A157,BUFFS!$H$5:$AF$195,20,),"")</f>
        <v/>
      </c>
    </row>
    <row r="158" spans="1:20" x14ac:dyDescent="0.3">
      <c r="A158" s="17"/>
      <c r="B158" s="18"/>
      <c r="C158" s="13"/>
      <c r="D158" s="31" t="str">
        <f>IFERROR(VLOOKUP(A158,BUFFS!$H$5:$AF$195,8,),"")</f>
        <v/>
      </c>
      <c r="E158" s="24" t="str">
        <f t="shared" si="10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11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2"/>
        <v/>
      </c>
      <c r="T158" s="70" t="str">
        <f>IFERROR(VLOOKUP(A158,BUFFS!$H$5:$AF$195,20,),"")</f>
        <v/>
      </c>
    </row>
    <row r="159" spans="1:20" x14ac:dyDescent="0.3">
      <c r="A159" s="17"/>
      <c r="B159" s="18"/>
      <c r="C159" s="13"/>
      <c r="D159" s="31" t="str">
        <f>IFERROR(VLOOKUP(A159,BUFFS!$H$5:$AF$195,8,),"")</f>
        <v/>
      </c>
      <c r="E159" s="24" t="str">
        <f t="shared" si="10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11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2"/>
        <v/>
      </c>
      <c r="T159" s="70" t="str">
        <f>IFERROR(VLOOKUP(A159,BUFFS!$H$5:$AF$195,20,),"")</f>
        <v/>
      </c>
    </row>
    <row r="160" spans="1:20" x14ac:dyDescent="0.3">
      <c r="A160" s="17"/>
      <c r="B160" s="18"/>
      <c r="C160" s="13"/>
      <c r="D160" s="31" t="str">
        <f>IFERROR(VLOOKUP(A160,BUFFS!$H$5:$AF$195,8,),"")</f>
        <v/>
      </c>
      <c r="E160" s="24" t="str">
        <f t="shared" si="10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11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2"/>
        <v/>
      </c>
      <c r="T160" s="70" t="str">
        <f>IFERROR(VLOOKUP(A160,BUFFS!$H$5:$AF$195,20,),"")</f>
        <v/>
      </c>
    </row>
    <row r="161" spans="1:20" x14ac:dyDescent="0.3">
      <c r="A161" s="17"/>
      <c r="B161" s="18"/>
      <c r="C161" s="13"/>
      <c r="D161" s="31" t="str">
        <f>IFERROR(VLOOKUP(A161,BUFFS!$H$5:$AF$195,8,),"")</f>
        <v/>
      </c>
      <c r="E161" s="24" t="str">
        <f t="shared" si="10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11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2"/>
        <v/>
      </c>
      <c r="T161" s="70" t="str">
        <f>IFERROR(VLOOKUP(A161,BUFFS!$H$5:$AF$195,20,),"")</f>
        <v/>
      </c>
    </row>
    <row r="162" spans="1:20" x14ac:dyDescent="0.3">
      <c r="A162" s="17"/>
      <c r="B162" s="18"/>
      <c r="C162" s="13"/>
      <c r="D162" s="31" t="str">
        <f>IFERROR(VLOOKUP(A162,BUFFS!$H$5:$AF$195,8,),"")</f>
        <v/>
      </c>
      <c r="E162" s="24" t="str">
        <f t="shared" si="10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11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2"/>
        <v/>
      </c>
      <c r="T162" s="70" t="str">
        <f>IFERROR(VLOOKUP(A162,BUFFS!$H$5:$AF$195,20,),"")</f>
        <v/>
      </c>
    </row>
    <row r="163" spans="1:20" x14ac:dyDescent="0.3">
      <c r="A163" s="17"/>
      <c r="B163" s="18"/>
      <c r="C163" s="13"/>
      <c r="D163" s="31" t="str">
        <f>IFERROR(VLOOKUP(A163,BUFFS!$H$5:$AF$195,8,),"")</f>
        <v/>
      </c>
      <c r="E163" s="24" t="str">
        <f t="shared" si="10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11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2"/>
        <v/>
      </c>
      <c r="T163" s="70" t="str">
        <f>IFERROR(VLOOKUP(A163,BUFFS!$H$5:$AF$195,20,),"")</f>
        <v/>
      </c>
    </row>
    <row r="164" spans="1:20" x14ac:dyDescent="0.3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Z20:BD20">
    <sortCondition ref="AZ20"/>
  </sortState>
  <dataConsolidate/>
  <mergeCells count="16">
    <mergeCell ref="AW24:AX24"/>
    <mergeCell ref="G29:H29"/>
    <mergeCell ref="AW4:AY4"/>
    <mergeCell ref="G13:I13"/>
    <mergeCell ref="G22:H22"/>
    <mergeCell ref="J13:L13"/>
    <mergeCell ref="AW21:AX21"/>
    <mergeCell ref="AW20:AY20"/>
    <mergeCell ref="G15:I15"/>
    <mergeCell ref="G17:I17"/>
    <mergeCell ref="J17:L17"/>
    <mergeCell ref="L1:M1"/>
    <mergeCell ref="L2:M2"/>
    <mergeCell ref="L3:M3"/>
    <mergeCell ref="I3:J3"/>
    <mergeCell ref="I10:J10"/>
  </mergeCells>
  <dataValidations count="5">
    <dataValidation type="list" allowBlank="1" showInputMessage="1" showErrorMessage="1" sqref="L12 L14 L16">
      <formula1>$A$12:$A$13</formula1>
    </dataValidation>
    <dataValidation type="list" allowBlank="1" showInputMessage="1" showErrorMessage="1" sqref="W4 R4:U4 Y4:AP4 AR4">
      <formula1>$A$5:$A$37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K12 K14 K16">
      <formula1>$AZ$20:$BD$20</formula1>
    </dataValidation>
    <dataValidation type="list" allowBlank="1" showInputMessage="1" showErrorMessage="1" sqref="A35:A472">
      <formula1>BUFFS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N472"/>
  <sheetViews>
    <sheetView tabSelected="1" topLeftCell="A34" zoomScale="85" zoomScaleNormal="85" workbookViewId="0">
      <selection activeCell="A55" sqref="A55"/>
    </sheetView>
  </sheetViews>
  <sheetFormatPr defaultRowHeight="18.75" x14ac:dyDescent="0.3"/>
  <cols>
    <col min="1" max="1" width="20.5703125" style="3" customWidth="1"/>
    <col min="2" max="2" width="11.42578125" style="161" bestFit="1" customWidth="1"/>
    <col min="3" max="3" width="15" style="161" bestFit="1" customWidth="1"/>
    <col min="4" max="4" width="18.5703125" style="161" customWidth="1"/>
    <col min="5" max="5" width="12.85546875" style="161" bestFit="1" customWidth="1"/>
    <col min="6" max="6" width="20.28515625" style="161" bestFit="1" customWidth="1"/>
    <col min="7" max="7" width="28.140625" style="161" bestFit="1" customWidth="1"/>
    <col min="8" max="8" width="11" style="161" bestFit="1" customWidth="1"/>
    <col min="9" max="9" width="15" style="161" customWidth="1"/>
    <col min="10" max="10" width="20.85546875" style="161" customWidth="1"/>
    <col min="11" max="11" width="15.5703125" style="161" customWidth="1"/>
    <col min="12" max="12" width="17.5703125" style="161" customWidth="1"/>
    <col min="13" max="13" width="13.5703125" style="161" bestFit="1" customWidth="1"/>
    <col min="14" max="14" width="12.85546875" style="161" bestFit="1" customWidth="1"/>
    <col min="15" max="15" width="20.140625" style="161" bestFit="1" customWidth="1"/>
    <col min="16" max="16" width="14.140625" style="161" bestFit="1" customWidth="1"/>
    <col min="17" max="17" width="26.85546875" style="161" customWidth="1"/>
    <col min="18" max="18" width="26.85546875" style="161" bestFit="1" customWidth="1"/>
    <col min="19" max="19" width="18.85546875" style="161" bestFit="1" customWidth="1"/>
    <col min="20" max="20" width="18" style="161" bestFit="1" customWidth="1"/>
    <col min="21" max="21" width="22.140625" style="161" bestFit="1" customWidth="1"/>
    <col min="22" max="22" width="12.5703125" style="161" customWidth="1"/>
    <col min="23" max="23" width="25.7109375" style="161" customWidth="1"/>
    <col min="24" max="24" width="22.140625" style="161" bestFit="1" customWidth="1"/>
    <col min="25" max="25" width="26.85546875" style="161" bestFit="1" customWidth="1"/>
    <col min="26" max="26" width="28.140625" style="161" bestFit="1" customWidth="1"/>
    <col min="27" max="27" width="14.42578125" style="161" bestFit="1" customWidth="1"/>
    <col min="28" max="28" width="14.28515625" style="161" bestFit="1" customWidth="1"/>
    <col min="29" max="29" width="16" style="161" bestFit="1" customWidth="1"/>
    <col min="30" max="30" width="21.42578125" style="161" bestFit="1" customWidth="1"/>
    <col min="31" max="31" width="37.42578125" style="161" customWidth="1"/>
    <col min="32" max="32" width="17.28515625" style="161" bestFit="1" customWidth="1"/>
    <col min="33" max="33" width="14.28515625" style="161" bestFit="1" customWidth="1"/>
    <col min="34" max="34" width="19.140625" style="161" bestFit="1" customWidth="1"/>
    <col min="35" max="35" width="16.28515625" style="161" bestFit="1" customWidth="1"/>
    <col min="36" max="36" width="14.28515625" style="161" bestFit="1" customWidth="1"/>
    <col min="37" max="37" width="13.5703125" style="161" bestFit="1" customWidth="1"/>
    <col min="38" max="38" width="12" style="161" bestFit="1" customWidth="1"/>
    <col min="39" max="40" width="13.5703125" style="161" bestFit="1" customWidth="1"/>
    <col min="41" max="41" width="18.7109375" style="161" customWidth="1"/>
    <col min="42" max="42" width="9.28515625" style="161" bestFit="1" customWidth="1"/>
    <col min="43" max="43" width="14.5703125" style="161" bestFit="1" customWidth="1"/>
    <col min="44" max="44" width="23" style="161" bestFit="1" customWidth="1"/>
    <col min="45" max="51" width="9.140625" style="161"/>
    <col min="52" max="52" width="14.140625" style="161" bestFit="1" customWidth="1"/>
    <col min="53" max="53" width="15.7109375" style="161" bestFit="1" customWidth="1"/>
    <col min="54" max="54" width="15.28515625" style="161" bestFit="1" customWidth="1"/>
    <col min="55" max="55" width="26" style="161" bestFit="1" customWidth="1"/>
    <col min="56" max="56" width="16.140625" style="161" bestFit="1" customWidth="1"/>
    <col min="57" max="16384" width="9.140625" style="161"/>
  </cols>
  <sheetData>
    <row r="1" spans="1:66" ht="23.25" x14ac:dyDescent="0.35">
      <c r="A1" s="3" t="s">
        <v>46</v>
      </c>
      <c r="B1" s="157"/>
      <c r="C1" s="161" t="s">
        <v>95</v>
      </c>
      <c r="D1" s="86" t="s">
        <v>135</v>
      </c>
      <c r="G1" s="161">
        <f>6*15-135</f>
        <v>-45</v>
      </c>
      <c r="H1" s="164" t="s">
        <v>157</v>
      </c>
      <c r="L1" s="180"/>
      <c r="M1" s="180"/>
    </row>
    <row r="2" spans="1:66" x14ac:dyDescent="0.3">
      <c r="A2" s="3" t="s">
        <v>167</v>
      </c>
      <c r="L2" s="180"/>
      <c r="M2" s="180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118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">
      <c r="A3" s="3" t="s">
        <v>127</v>
      </c>
      <c r="B3" s="161">
        <v>109000</v>
      </c>
      <c r="I3" s="180"/>
      <c r="J3" s="180"/>
      <c r="L3" s="180"/>
      <c r="M3" s="180"/>
      <c r="AW3" s="11" t="s">
        <v>88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">
      <c r="A4" s="3" t="s">
        <v>155</v>
      </c>
      <c r="B4" s="16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96</v>
      </c>
      <c r="W4" s="95" t="s">
        <v>6</v>
      </c>
      <c r="X4" s="95" t="s">
        <v>64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83" t="s">
        <v>114</v>
      </c>
      <c r="AX4" s="184"/>
      <c r="AY4" s="184"/>
      <c r="AZ4" s="12">
        <v>0</v>
      </c>
      <c r="BA4" s="12" t="s">
        <v>115</v>
      </c>
      <c r="BB4" s="12"/>
      <c r="BC4" s="12"/>
      <c r="BE4" s="12"/>
      <c r="BF4" s="12" t="s">
        <v>130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">
      <c r="C5" s="148" t="s">
        <v>124</v>
      </c>
      <c r="D5" s="98" t="s">
        <v>123</v>
      </c>
      <c r="F5" s="123" t="s">
        <v>125</v>
      </c>
      <c r="G5" s="124" t="s">
        <v>109</v>
      </c>
      <c r="H5" s="125" t="s">
        <v>119</v>
      </c>
      <c r="I5" s="122" t="s">
        <v>120</v>
      </c>
      <c r="O5" s="161" t="s">
        <v>168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116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75" x14ac:dyDescent="0.5">
      <c r="A6" s="116" t="s">
        <v>26</v>
      </c>
      <c r="B6" s="117">
        <f>SUM(C6:D6,R6:AR6,BG3)</f>
        <v>135</v>
      </c>
      <c r="C6" s="163">
        <f>C14*1*B4</f>
        <v>90</v>
      </c>
      <c r="D6" s="163">
        <v>45</v>
      </c>
      <c r="F6" s="86"/>
      <c r="G6" s="120">
        <v>0</v>
      </c>
      <c r="H6" s="121">
        <v>0</v>
      </c>
      <c r="I6" s="126">
        <v>0</v>
      </c>
      <c r="O6" s="161" t="s">
        <v>169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5" x14ac:dyDescent="0.5">
      <c r="A7" s="118" t="s">
        <v>28</v>
      </c>
      <c r="B7" s="119">
        <f>SUM(MIN(C13,G7),D7,R7:AR7,BA10,H30*6)</f>
        <v>15</v>
      </c>
      <c r="D7" s="163">
        <v>10</v>
      </c>
      <c r="F7" s="161" t="s">
        <v>126</v>
      </c>
      <c r="G7" s="163">
        <v>100</v>
      </c>
      <c r="O7" s="161" t="s">
        <v>170</v>
      </c>
      <c r="R7" s="142">
        <v>0</v>
      </c>
      <c r="S7" s="142">
        <v>0</v>
      </c>
      <c r="T7" s="142">
        <v>0</v>
      </c>
      <c r="U7" s="142">
        <v>0</v>
      </c>
      <c r="V7" s="142">
        <v>0</v>
      </c>
      <c r="W7" s="142">
        <v>0</v>
      </c>
      <c r="X7" s="142">
        <v>0</v>
      </c>
      <c r="Y7" s="142">
        <v>1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1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131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">
      <c r="A8" s="3" t="s">
        <v>85</v>
      </c>
      <c r="B8" s="161">
        <f>B7-T7-Y7-Z7-AD7-AE7-AJ7</f>
        <v>13</v>
      </c>
      <c r="O8" s="161" t="s">
        <v>171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">
      <c r="A9" s="3" t="s">
        <v>86</v>
      </c>
      <c r="B9" s="161">
        <f>B7-C13</f>
        <v>12</v>
      </c>
      <c r="O9" s="161" t="s">
        <v>172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144</v>
      </c>
      <c r="AY9" s="158" t="s">
        <v>145</v>
      </c>
      <c r="AZ9" s="158" t="s">
        <v>146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">
      <c r="A10" s="3" t="s">
        <v>47</v>
      </c>
      <c r="B10" s="161">
        <f>SUM(C13,R10:AR10,C10)</f>
        <v>3</v>
      </c>
      <c r="C10" s="86"/>
      <c r="G10" s="91" t="s">
        <v>88</v>
      </c>
      <c r="H10" s="83">
        <v>10</v>
      </c>
      <c r="I10" s="181" t="s">
        <v>114</v>
      </c>
      <c r="J10" s="182"/>
      <c r="K10" s="84">
        <v>0</v>
      </c>
      <c r="O10" s="161" t="s">
        <v>173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143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">
      <c r="B11" s="98" t="s">
        <v>129</v>
      </c>
      <c r="C11" s="98" t="s">
        <v>128</v>
      </c>
      <c r="D11" s="98" t="s">
        <v>123</v>
      </c>
      <c r="G11" s="166" t="s">
        <v>89</v>
      </c>
      <c r="H11" s="45" t="s">
        <v>91</v>
      </c>
      <c r="I11" s="4" t="s">
        <v>90</v>
      </c>
      <c r="J11" s="4" t="s">
        <v>100</v>
      </c>
      <c r="K11" s="44" t="s">
        <v>102</v>
      </c>
      <c r="L11" s="44" t="s">
        <v>101</v>
      </c>
      <c r="M11" s="44" t="s">
        <v>92</v>
      </c>
      <c r="N11" s="167" t="s">
        <v>160</v>
      </c>
      <c r="O11" s="167" t="s">
        <v>174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132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25" x14ac:dyDescent="0.3">
      <c r="A12" s="105" t="s">
        <v>79</v>
      </c>
      <c r="B12" s="129">
        <f t="shared" ref="B12:B17" si="0">SUM(D12,R12:AR12)</f>
        <v>12</v>
      </c>
      <c r="C12" s="130">
        <f t="shared" ref="C12:C17" si="1">ROUNDDOWN(B12/2,0)-5</f>
        <v>1</v>
      </c>
      <c r="D12" s="131">
        <v>12</v>
      </c>
      <c r="F12" s="3" t="s">
        <v>74</v>
      </c>
      <c r="G12" s="45">
        <f>SUM($B$23:$B$24,IF(L12="Strength",$C$12,$C$13),M12,$H$10*(-1))</f>
        <v>5</v>
      </c>
      <c r="H12" s="45" t="s">
        <v>87</v>
      </c>
      <c r="I12" s="45">
        <f>SUM(M12,N12,$B$25)</f>
        <v>20</v>
      </c>
      <c r="J12" s="45" t="s">
        <v>103</v>
      </c>
      <c r="K12" s="154" t="s">
        <v>112</v>
      </c>
      <c r="L12" s="85" t="s">
        <v>83</v>
      </c>
      <c r="M12" s="4">
        <f>SUM(H23*2,H24*(-2),H25*(2),J23*2,J24,J25,L23*2,H31*(-2))</f>
        <v>0</v>
      </c>
      <c r="N12" s="161">
        <f>SUM(IF(K12=$AZ$20,$AZ$24,IF(K12=$BA$20,$BA$24,IF(K12=$BB$20,$BB$24,IF(K12=$BC$20,$BC$24,IF(K12=$BD$20,$BD$24,0))))),IF(L12=$A$12,IF(K12=$AZ$20,$AZ$25,IF(K12=$BA$20,$BA$25,IF(K12=$BB$20,$BB$25,IF(K12=$BC$20,$BC$25,IF(K12=$BD$20,$BD$25,0))))),0))</f>
        <v>20</v>
      </c>
      <c r="O12" s="43" t="s">
        <v>175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133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25" x14ac:dyDescent="0.3">
      <c r="A13" s="106" t="s">
        <v>83</v>
      </c>
      <c r="B13" s="99">
        <f t="shared" si="0"/>
        <v>17</v>
      </c>
      <c r="C13" s="99">
        <f t="shared" si="1"/>
        <v>3</v>
      </c>
      <c r="D13" s="108">
        <v>17</v>
      </c>
      <c r="G13" s="193"/>
      <c r="H13" s="194"/>
      <c r="I13" s="195"/>
      <c r="J13" s="189"/>
      <c r="K13" s="190"/>
      <c r="L13" s="191"/>
      <c r="O13" s="43" t="s">
        <v>176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134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25" x14ac:dyDescent="0.3">
      <c r="A14" s="127" t="s">
        <v>82</v>
      </c>
      <c r="B14" s="103">
        <f t="shared" si="0"/>
        <v>22</v>
      </c>
      <c r="C14" s="103">
        <f t="shared" si="1"/>
        <v>6</v>
      </c>
      <c r="D14" s="128">
        <v>18</v>
      </c>
      <c r="F14" s="3" t="s">
        <v>75</v>
      </c>
      <c r="G14" s="45">
        <f>SUM($B$23:$B$24,IF(L14="Strength",$C$12,$C$13),M14,$H$10*(-1))</f>
        <v>3</v>
      </c>
      <c r="H14" s="45" t="s">
        <v>151</v>
      </c>
      <c r="I14" s="45">
        <f>SUM(M14,N14,$B$25)</f>
        <v>1</v>
      </c>
      <c r="J14" s="45"/>
      <c r="K14" s="154" t="s">
        <v>104</v>
      </c>
      <c r="L14" s="85" t="s">
        <v>79</v>
      </c>
      <c r="M14" s="4"/>
      <c r="N14" s="161">
        <f>SUM(IF(K14=$AZ$20,$AZ$24,IF(K14=$BA$20,$BA$24,IF(K14=$BB$20,$BB$24,IF(K14=$BC$20,$BC$24,IF(K14=$BD$20,$BD$24,0))))),IF(L14=$A$12,IF(K14=$AZ$20,$AZ$25,IF(K14=$BA$20,$BA$25,IF(K14=$BB$20,$BB$25,IF(K14=$BC$20,$BC$25,IF(K14=$BD$20,$BD$25,0))))),0))</f>
        <v>1</v>
      </c>
      <c r="O14" s="43" t="s">
        <v>179</v>
      </c>
      <c r="R14" s="136">
        <v>0</v>
      </c>
      <c r="S14" s="136">
        <v>0</v>
      </c>
      <c r="T14" s="136">
        <v>0</v>
      </c>
      <c r="U14" s="136">
        <v>0</v>
      </c>
      <c r="V14" s="136">
        <v>2</v>
      </c>
      <c r="W14" s="136">
        <v>0</v>
      </c>
      <c r="X14" s="136">
        <v>0</v>
      </c>
      <c r="Y14" s="136">
        <v>0</v>
      </c>
      <c r="Z14" s="136">
        <v>0</v>
      </c>
      <c r="AA14" s="136">
        <v>2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135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25" x14ac:dyDescent="0.3">
      <c r="A15" s="109" t="s">
        <v>122</v>
      </c>
      <c r="B15" s="100">
        <f t="shared" si="0"/>
        <v>28</v>
      </c>
      <c r="C15" s="100">
        <f t="shared" si="1"/>
        <v>9</v>
      </c>
      <c r="D15" s="110">
        <v>22</v>
      </c>
      <c r="G15" s="45"/>
      <c r="H15" s="45"/>
      <c r="I15" s="45"/>
      <c r="J15" s="45"/>
      <c r="K15" s="4"/>
      <c r="L15" s="46"/>
      <c r="O15" s="43" t="s">
        <v>178</v>
      </c>
      <c r="R15" s="137">
        <v>0</v>
      </c>
      <c r="S15" s="137">
        <v>0</v>
      </c>
      <c r="T15" s="137">
        <v>0</v>
      </c>
      <c r="U15" s="137">
        <v>0</v>
      </c>
      <c r="V15" s="137">
        <v>4</v>
      </c>
      <c r="W15" s="137">
        <v>0</v>
      </c>
      <c r="X15" s="137">
        <v>0</v>
      </c>
      <c r="Y15" s="137">
        <v>0</v>
      </c>
      <c r="Z15" s="137">
        <v>0</v>
      </c>
      <c r="AA15" s="137">
        <v>2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136</v>
      </c>
      <c r="AY15" s="163" t="s">
        <v>137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25" x14ac:dyDescent="0.3">
      <c r="A16" s="111" t="s">
        <v>80</v>
      </c>
      <c r="B16" s="101">
        <f t="shared" si="0"/>
        <v>15</v>
      </c>
      <c r="C16" s="101">
        <f t="shared" si="1"/>
        <v>2</v>
      </c>
      <c r="D16" s="112">
        <v>15</v>
      </c>
      <c r="O16" s="43" t="s">
        <v>177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138</v>
      </c>
      <c r="AY16" s="163" t="s">
        <v>139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25" x14ac:dyDescent="0.3">
      <c r="A17" s="113" t="s">
        <v>81</v>
      </c>
      <c r="B17" s="114">
        <f t="shared" si="0"/>
        <v>15</v>
      </c>
      <c r="C17" s="114">
        <f t="shared" si="1"/>
        <v>2</v>
      </c>
      <c r="D17" s="115">
        <v>15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140</v>
      </c>
      <c r="AY17" s="163" t="s">
        <v>141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">
      <c r="B18" s="45" t="s">
        <v>129</v>
      </c>
      <c r="C18" s="45" t="s">
        <v>123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147</v>
      </c>
      <c r="AY18" s="163" t="s">
        <v>142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8" x14ac:dyDescent="0.25">
      <c r="A19" s="132" t="s">
        <v>29</v>
      </c>
      <c r="B19" s="149">
        <f>SUM(C14,C19,R19:AR19,BG4)</f>
        <v>14</v>
      </c>
      <c r="C19" s="94">
        <v>4</v>
      </c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8" x14ac:dyDescent="0.25">
      <c r="A20" s="106" t="s">
        <v>30</v>
      </c>
      <c r="B20" s="104">
        <f>SUM(C13,C20,R20:AR20,BG5)</f>
        <v>11</v>
      </c>
      <c r="C20" s="156">
        <v>4</v>
      </c>
      <c r="H20" s="49"/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0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192" t="s">
        <v>162</v>
      </c>
      <c r="AX20" s="192"/>
      <c r="AY20" s="192"/>
      <c r="AZ20" s="123" t="s">
        <v>104</v>
      </c>
      <c r="BA20" s="123" t="s">
        <v>159</v>
      </c>
      <c r="BB20" s="123" t="s">
        <v>113</v>
      </c>
      <c r="BC20" s="165" t="s">
        <v>158</v>
      </c>
      <c r="BD20" s="123" t="s">
        <v>112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8" x14ac:dyDescent="0.25">
      <c r="A21" s="107" t="s">
        <v>31</v>
      </c>
      <c r="B21" s="150">
        <f>SUM(C21,C16,R21:AR21,BG6)</f>
        <v>19</v>
      </c>
      <c r="C21" s="162">
        <v>13</v>
      </c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84" t="s">
        <v>149</v>
      </c>
      <c r="AX21" s="184"/>
      <c r="AY21" s="12">
        <f>SUM($H$10)</f>
        <v>10</v>
      </c>
      <c r="AZ21" s="12">
        <v>0</v>
      </c>
      <c r="BA21" s="12">
        <v>0</v>
      </c>
      <c r="BB21" s="12">
        <f>AY21</f>
        <v>10</v>
      </c>
      <c r="BC21" s="12">
        <f>AY21</f>
        <v>10</v>
      </c>
      <c r="BD21" s="161">
        <f>AY21*2</f>
        <v>20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">
      <c r="B22" s="159" t="s">
        <v>129</v>
      </c>
      <c r="C22" s="160" t="s">
        <v>123</v>
      </c>
      <c r="G22" s="185" t="s">
        <v>121</v>
      </c>
      <c r="H22" s="185"/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5" x14ac:dyDescent="0.25">
      <c r="A23" s="151" t="s">
        <v>78</v>
      </c>
      <c r="B23" s="51">
        <f>SUM(C23,B29,R23:AR23)</f>
        <v>6</v>
      </c>
      <c r="C23" s="52">
        <v>6</v>
      </c>
      <c r="G23" s="79" t="s">
        <v>106</v>
      </c>
      <c r="H23" s="82">
        <v>0</v>
      </c>
      <c r="I23" s="50" t="s">
        <v>105</v>
      </c>
      <c r="J23" s="87">
        <v>0</v>
      </c>
      <c r="K23" s="79" t="s">
        <v>117</v>
      </c>
      <c r="L23" s="82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8" x14ac:dyDescent="0.25">
      <c r="A24" s="146" t="s">
        <v>53</v>
      </c>
      <c r="B24" s="12">
        <f>SUM(B23,R24:AR24,BG7,BA10)</f>
        <v>6</v>
      </c>
      <c r="C24" s="13"/>
      <c r="G24" s="79" t="s">
        <v>107</v>
      </c>
      <c r="H24" s="82">
        <v>0</v>
      </c>
      <c r="I24" s="11" t="s">
        <v>110</v>
      </c>
      <c r="J24" s="88">
        <v>0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83" t="s">
        <v>150</v>
      </c>
      <c r="AX24" s="184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10</v>
      </c>
      <c r="BC24" s="12">
        <f>BC21*$AY$24</f>
        <v>10</v>
      </c>
      <c r="BD24" s="12">
        <f>BD21*$AY$24</f>
        <v>20</v>
      </c>
      <c r="BE24" s="43">
        <f>IF($K$12=$AZ$20,AZ24,IF($K$12=$BA$20,BA24,IF($K$12=$BB$20,BB24,IF($K$12=$BC$20,BC24,IF($K$12=$BD$20,BD24,0)))))</f>
        <v>20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5" x14ac:dyDescent="0.25">
      <c r="A25" s="152" t="s">
        <v>77</v>
      </c>
      <c r="B25" s="12">
        <f>SUM(R25:AR25)</f>
        <v>0</v>
      </c>
      <c r="C25" s="13"/>
      <c r="G25" s="79" t="s">
        <v>108</v>
      </c>
      <c r="H25" s="82">
        <v>0</v>
      </c>
      <c r="I25" s="90" t="s">
        <v>111</v>
      </c>
      <c r="J25" s="89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161</v>
      </c>
      <c r="AY25" s="12"/>
      <c r="AZ25" s="12">
        <f>$C$12</f>
        <v>1</v>
      </c>
      <c r="BA25" s="12">
        <f>ROUNDDOWN($C$12*0.5,0)</f>
        <v>0</v>
      </c>
      <c r="BB25" s="12">
        <f>$C$12</f>
        <v>1</v>
      </c>
      <c r="BC25" s="12">
        <f>ROUNDDOWN($C$12*0.5,0)</f>
        <v>0</v>
      </c>
      <c r="BD25" s="12">
        <f>ROUNDDOWN($C$12*1.5,0)</f>
        <v>1</v>
      </c>
      <c r="BE25" s="43">
        <f>IF(L12=A12,IF($K$12=$AZ$20,AZ25,IF($K$12=$BA$20,BA25,IF($K$12=$BB$20,BB25,IF($K$12=$BC$20,BC25,IF($K$12=$BD$20,BD25,0))))),0)</f>
        <v>0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">
      <c r="A26" s="147" t="s">
        <v>84</v>
      </c>
      <c r="B26" s="54">
        <f>SUM(B23,C12,BB10,R26:AR26)</f>
        <v>7</v>
      </c>
      <c r="C26" s="55"/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"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5" x14ac:dyDescent="0.25">
      <c r="A28" s="4" t="s">
        <v>93</v>
      </c>
      <c r="B28" s="77">
        <v>0</v>
      </c>
    </row>
    <row r="29" spans="1:66" ht="15" x14ac:dyDescent="0.25">
      <c r="A29" s="4" t="s">
        <v>94</v>
      </c>
      <c r="B29" s="78">
        <v>0</v>
      </c>
      <c r="G29" s="185" t="s">
        <v>152</v>
      </c>
      <c r="H29" s="185"/>
    </row>
    <row r="30" spans="1:66" ht="15" x14ac:dyDescent="0.25">
      <c r="A30" s="4" t="s">
        <v>148</v>
      </c>
      <c r="B30" s="78">
        <v>0</v>
      </c>
      <c r="G30" s="79" t="s">
        <v>153</v>
      </c>
      <c r="H30" s="82">
        <v>0</v>
      </c>
    </row>
    <row r="31" spans="1:66" s="1" customFormat="1" ht="15" x14ac:dyDescent="0.25">
      <c r="G31" s="79" t="s">
        <v>154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">
      <c r="A33" s="3" t="s">
        <v>71</v>
      </c>
      <c r="B33" s="161">
        <f>COUNTA(A35:A81)</f>
        <v>15</v>
      </c>
    </row>
    <row r="34" spans="1:27" x14ac:dyDescent="0.3">
      <c r="A34" s="3" t="s">
        <v>50</v>
      </c>
      <c r="B34" s="19" t="s">
        <v>62</v>
      </c>
      <c r="C34" s="30" t="s">
        <v>76</v>
      </c>
      <c r="D34" s="32" t="s">
        <v>70</v>
      </c>
      <c r="E34" s="21" t="s">
        <v>66</v>
      </c>
      <c r="F34" s="58" t="s">
        <v>51</v>
      </c>
      <c r="G34" s="59" t="s">
        <v>57</v>
      </c>
      <c r="H34" s="60" t="s">
        <v>58</v>
      </c>
      <c r="I34" s="61" t="s">
        <v>65</v>
      </c>
      <c r="J34" s="62" t="s">
        <v>54</v>
      </c>
      <c r="K34" s="59" t="s">
        <v>57</v>
      </c>
      <c r="L34" s="60" t="s">
        <v>58</v>
      </c>
      <c r="M34" s="61" t="s">
        <v>65</v>
      </c>
      <c r="N34" s="63" t="s">
        <v>66</v>
      </c>
      <c r="O34" s="62" t="s">
        <v>54</v>
      </c>
      <c r="P34" s="59" t="s">
        <v>57</v>
      </c>
      <c r="Q34" s="60" t="s">
        <v>58</v>
      </c>
      <c r="R34" s="61" t="s">
        <v>65</v>
      </c>
      <c r="S34" s="63" t="s">
        <v>66</v>
      </c>
      <c r="T34" s="64" t="s">
        <v>73</v>
      </c>
      <c r="W34" s="1"/>
      <c r="X34" s="1"/>
      <c r="Y34" s="1"/>
      <c r="Z34" s="1"/>
      <c r="AA34" s="1"/>
    </row>
    <row r="35" spans="1:27" x14ac:dyDescent="0.3">
      <c r="A35" s="17" t="s">
        <v>99</v>
      </c>
      <c r="B35" s="80">
        <v>4</v>
      </c>
      <c r="C35" s="81">
        <v>9999</v>
      </c>
      <c r="D35" s="31">
        <f>IFERROR(VLOOKUP(A35,BUFFS!$H$5:$AF$195,8,),"")</f>
        <v>0</v>
      </c>
      <c r="E35" s="24">
        <f>IFERROR(SUM(H35,ROUNDDOWN(MIN(B35,T$35)*I35,0)),"")</f>
        <v>4</v>
      </c>
      <c r="F35" s="65" t="str">
        <f>IFERROR(VLOOKUP(A35,BUFFS!$H$5:$AF$195,5,),"")</f>
        <v>FORT</v>
      </c>
      <c r="G35" s="66" t="str">
        <f>IFERROR(VLOOKUP(A35,BUFFS!$H$5:$AF$195,6,),"")</f>
        <v>Enhancement</v>
      </c>
      <c r="H35" s="67">
        <f>IFERROR(VLOOKUP(A35,BUFFS!$H$5:$AF$195,7,),"")</f>
        <v>0</v>
      </c>
      <c r="I35" s="66">
        <f>IFERROR(VLOOKUP(A35,BUFFS!$H$5:$AF$195,9,),"")</f>
        <v>1</v>
      </c>
      <c r="J35" s="65" t="str">
        <f>IFERROR(VLOOKUP(A35,BUFFS!$H$5:$AF$195,10,),"")</f>
        <v>REF</v>
      </c>
      <c r="K35" s="66" t="str">
        <f>IFERROR(VLOOKUP(A35,BUFFS!$H$5:$AF$195,11,),"")</f>
        <v>Enhancement</v>
      </c>
      <c r="L35" s="66">
        <f>IFERROR(VLOOKUP(A35,BUFFS!$H$5:$AF$195,12,),"")</f>
        <v>0</v>
      </c>
      <c r="M35" s="66">
        <f>IFERROR(VLOOKUP(A35,BUFFS!$H$5:$AF$195,14,),"")</f>
        <v>1</v>
      </c>
      <c r="N35" s="68">
        <f>IFERROR(SUM(L35,ROUNDDOWN(MIN(B35,T$35)*M35,0)),"")</f>
        <v>4</v>
      </c>
      <c r="O35" s="65" t="str">
        <f>IFERROR(VLOOKUP(A35,BUFFS!$H$5:$AF$195,15,),"")</f>
        <v>WILL</v>
      </c>
      <c r="P35" s="66" t="str">
        <f>IFERROR(VLOOKUP(A35,BUFFS!$H$5:$AF$195,16,),"")</f>
        <v>Enhancement</v>
      </c>
      <c r="Q35" s="66">
        <f>IFERROR(VLOOKUP(A35,BUFFS!$H$5:$AF$195,17,),"")</f>
        <v>0</v>
      </c>
      <c r="R35" s="66">
        <f>IFERROR(VLOOKUP(A35,BUFFS!$H$5:$AF$195,19,),"")</f>
        <v>1</v>
      </c>
      <c r="S35" s="69">
        <f>IFERROR(SUM(Q35,ROUNDDOWN(MIN(B35,T$35)*R35,0)),"")</f>
        <v>4</v>
      </c>
      <c r="T35" s="70">
        <f>IFERROR(VLOOKUP(A35,BUFFS!$H$5:$AF$195,20,),"")</f>
        <v>100</v>
      </c>
    </row>
    <row r="36" spans="1:27" x14ac:dyDescent="0.3">
      <c r="A36" s="17" t="s">
        <v>97</v>
      </c>
      <c r="B36" s="80">
        <v>0</v>
      </c>
      <c r="C36" s="81">
        <v>9999</v>
      </c>
      <c r="D36" s="31">
        <f>IFERROR(VLOOKUP(A36,BUFFS!$H$5:$AF$195,8,),"")</f>
        <v>0</v>
      </c>
      <c r="E36" s="24">
        <f t="shared" ref="E36:E55" si="2">IFERROR(SUM(H36,ROUNDDOWN(MIN(B36,T$35)*I36,0)),"")</f>
        <v>0</v>
      </c>
      <c r="F36" s="65" t="str">
        <f>IFERROR(VLOOKUP(A36,BUFFS!$H$5:$AF$195,5,),"")</f>
        <v>AC</v>
      </c>
      <c r="G36" s="66" t="str">
        <f>IFERROR(VLOOKUP(A36,BUFFS!$H$5:$AF$195,6,),"")</f>
        <v xml:space="preserve">Armor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 t="shared" ref="N36:N95" si="3">IFERROR(SUM(L36,ROUNDDOWN(MIN(B36,T$35)*M36,0)),"")</f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 t="shared" ref="S36:S99" si="4">IFERROR(SUM(Q36,ROUNDDOWN(MIN(B36,T$35)*R36,0)),"")</f>
        <v>0</v>
      </c>
      <c r="T36" s="70">
        <f>IFERROR(VLOOKUP(A36,BUFFS!$H$5:$AF$195,20,),"")</f>
        <v>100</v>
      </c>
    </row>
    <row r="37" spans="1:27" x14ac:dyDescent="0.3">
      <c r="A37" s="17" t="s">
        <v>98</v>
      </c>
      <c r="B37" s="80">
        <v>1</v>
      </c>
      <c r="C37" s="81">
        <v>9999</v>
      </c>
      <c r="D37" s="31">
        <f>IFERROR(VLOOKUP(A37,BUFFS!$H$5:$AF$195,8,),"")</f>
        <v>0</v>
      </c>
      <c r="E37" s="24">
        <f t="shared" si="2"/>
        <v>1</v>
      </c>
      <c r="F37" s="65" t="str">
        <f>IFERROR(VLOOKUP(A37,BUFFS!$H$5:$AF$195,5,),"")</f>
        <v>AC</v>
      </c>
      <c r="G37" s="66" t="str">
        <f>IFERROR(VLOOKUP(A37,BUFFS!$H$5:$AF$195,6,),"")</f>
        <v xml:space="preserve">Shield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 t="shared" si="3"/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 t="shared" si="4"/>
        <v>0</v>
      </c>
      <c r="T37" s="70">
        <f>IFERROR(VLOOKUP(A37,BUFFS!$H$5:$AF$195,20,),"")</f>
        <v>100</v>
      </c>
    </row>
    <row r="38" spans="1:27" x14ac:dyDescent="0.3">
      <c r="A38" s="17" t="s">
        <v>165</v>
      </c>
      <c r="B38" s="80">
        <v>0</v>
      </c>
      <c r="C38" s="81">
        <v>9999</v>
      </c>
      <c r="D38" s="31">
        <f>IFERROR(VLOOKUP(A38,BUFFS!$H$5:$AF$195,8,),"")</f>
        <v>0</v>
      </c>
      <c r="E38" s="24">
        <f t="shared" si="2"/>
        <v>0</v>
      </c>
      <c r="F38" s="65" t="str">
        <f>IFERROR(VLOOKUP(A38,BUFFS!$H$5:$AF$195,5,),"")</f>
        <v>AC</v>
      </c>
      <c r="G38" s="66" t="str">
        <f>IFERROR(VLOOKUP(A38,BUFFS!$H$5:$AF$195,6,),"")</f>
        <v xml:space="preserve">Enhancement Armor Bonus </v>
      </c>
      <c r="H38" s="67">
        <f>IFERROR(VLOOKUP(A38,BUFFS!$H$5:$AF$195,7,),"")</f>
        <v>0</v>
      </c>
      <c r="I38" s="66">
        <f>IFERROR(VLOOKUP(A38,BUFFS!$H$5:$AF$195,9,),"")</f>
        <v>1</v>
      </c>
      <c r="J38" s="65">
        <f>IFERROR(VLOOKUP(A38,BUFFS!$H$5:$AF$195,10,),"")</f>
        <v>0</v>
      </c>
      <c r="K38" s="66">
        <f>IFERROR(VLOOKUP(A38,BUFFS!$H$5:$AF$195,11,),"")</f>
        <v>0</v>
      </c>
      <c r="L38" s="66">
        <f>IFERROR(VLOOKUP(A38,BUFFS!$H$5:$AF$195,12,),"")</f>
        <v>0</v>
      </c>
      <c r="M38" s="66">
        <f>IFERROR(VLOOKUP(A38,BUFFS!$H$5:$AF$195,14,),"")</f>
        <v>0</v>
      </c>
      <c r="N38" s="68">
        <f t="shared" si="3"/>
        <v>0</v>
      </c>
      <c r="O38" s="65">
        <f>IFERROR(VLOOKUP(A38,BUFFS!$H$5:$AF$195,15,),"")</f>
        <v>0</v>
      </c>
      <c r="P38" s="66">
        <f>IFERROR(VLOOKUP(A38,BUFFS!$H$5:$AF$195,16,),"")</f>
        <v>0</v>
      </c>
      <c r="Q38" s="66">
        <f>IFERROR(VLOOKUP(A38,BUFFS!$H$5:$AF$195,17,),"")</f>
        <v>0</v>
      </c>
      <c r="R38" s="66">
        <f>IFERROR(VLOOKUP(A38,BUFFS!$H$5:$AF$195,19,),"")</f>
        <v>0</v>
      </c>
      <c r="S38" s="69">
        <f t="shared" si="4"/>
        <v>0</v>
      </c>
      <c r="T38" s="70">
        <f>IFERROR(VLOOKUP(A38,BUFFS!$H$5:$AF$195,20,),"")</f>
        <v>100</v>
      </c>
    </row>
    <row r="39" spans="1:27" x14ac:dyDescent="0.3">
      <c r="A39" s="17" t="s">
        <v>166</v>
      </c>
      <c r="B39" s="80">
        <v>1</v>
      </c>
      <c r="C39" s="81">
        <v>9999</v>
      </c>
      <c r="D39" s="31">
        <f>IFERROR(VLOOKUP(A39,BUFFS!$H$5:$AF$195,8,),"")</f>
        <v>0</v>
      </c>
      <c r="E39" s="24">
        <f t="shared" si="2"/>
        <v>1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 t="shared" si="3"/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 t="shared" si="4"/>
        <v>0</v>
      </c>
      <c r="T39" s="70">
        <f>IFERROR(VLOOKUP(A39,BUFFS!$H$5:$AF$195,20,),"")</f>
        <v>100</v>
      </c>
    </row>
    <row r="40" spans="1:27" x14ac:dyDescent="0.3">
      <c r="A40" s="17" t="s">
        <v>180</v>
      </c>
      <c r="B40" s="80">
        <v>4</v>
      </c>
      <c r="C40" s="81">
        <v>9999</v>
      </c>
      <c r="D40" s="31">
        <f>IFERROR(VLOOKUP(A40,BUFFS!$H$5:$AF$195,8,),"")</f>
        <v>0</v>
      </c>
      <c r="E40" s="24">
        <f t="shared" si="2"/>
        <v>4</v>
      </c>
      <c r="F40" s="65" t="str">
        <f>IFERROR(VLOOKUP(A40,BUFFS!$H$5:$AF$195,5,),"")</f>
        <v>Intelligence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 t="shared" si="3"/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 t="shared" si="4"/>
        <v>0</v>
      </c>
      <c r="T40" s="70">
        <f>IFERROR(VLOOKUP(A40,BUFFS!$H$5:$AF$195,20,),"")</f>
        <v>100</v>
      </c>
    </row>
    <row r="41" spans="1:27" x14ac:dyDescent="0.3">
      <c r="A41" s="17" t="s">
        <v>182</v>
      </c>
      <c r="B41" s="80">
        <v>2</v>
      </c>
      <c r="C41" s="81">
        <v>9999</v>
      </c>
      <c r="D41" s="31">
        <f>IFERROR(VLOOKUP(A41,BUFFS!$H$5:$AF$195,8,),"")</f>
        <v>0</v>
      </c>
      <c r="E41" s="24">
        <f t="shared" si="2"/>
        <v>2</v>
      </c>
      <c r="F41" s="65" t="str">
        <f>IFERROR(VLOOKUP(A41,BUFFS!$H$5:$AF$195,5,),"")</f>
        <v>Constitution</v>
      </c>
      <c r="G41" s="66" t="str">
        <f>IFERROR(VLOOKUP(A41,BUFFS!$H$5:$AF$195,6,),"")</f>
        <v xml:space="preserve">Insight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 t="shared" si="3"/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 t="shared" si="4"/>
        <v>0</v>
      </c>
      <c r="T41" s="70">
        <f>IFERROR(VLOOKUP(A41,BUFFS!$H$5:$AF$195,20,),"")</f>
        <v>100</v>
      </c>
    </row>
    <row r="42" spans="1:27" x14ac:dyDescent="0.3">
      <c r="A42" s="17" t="s">
        <v>181</v>
      </c>
      <c r="B42" s="80">
        <v>2</v>
      </c>
      <c r="C42" s="81">
        <v>99999</v>
      </c>
      <c r="D42" s="31">
        <f>IFERROR(VLOOKUP(A42,BUFFS!$H$5:$AF$195,8,),"")</f>
        <v>0</v>
      </c>
      <c r="E42" s="24">
        <f t="shared" si="2"/>
        <v>2</v>
      </c>
      <c r="F42" s="65" t="str">
        <f>IFERROR(VLOOKUP(A42,BUFFS!$H$5:$AF$195,5,),"")</f>
        <v>Intelligence</v>
      </c>
      <c r="G42" s="66" t="str">
        <f>IFERROR(VLOOKUP(A42,BUFFS!$H$5:$AF$195,6,),"")</f>
        <v xml:space="preserve">Insight Bonus </v>
      </c>
      <c r="H42" s="67">
        <f>IFERROR(VLOOKUP(A42,BUFFS!$H$5:$AF$195,7,),"")</f>
        <v>0</v>
      </c>
      <c r="I42" s="66">
        <f>IFERROR(VLOOKUP(A42,BUFFS!$H$5:$AF$195,9,),"")</f>
        <v>1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 t="shared" si="3"/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 t="shared" si="4"/>
        <v>0</v>
      </c>
      <c r="T42" s="70">
        <f>IFERROR(VLOOKUP(A42,BUFFS!$H$5:$AF$195,20,),"")</f>
        <v>100</v>
      </c>
    </row>
    <row r="43" spans="1:27" x14ac:dyDescent="0.3">
      <c r="A43" s="17" t="s">
        <v>183</v>
      </c>
      <c r="B43" s="80">
        <v>2</v>
      </c>
      <c r="C43" s="81">
        <v>9999</v>
      </c>
      <c r="D43" s="31">
        <f>IFERROR(VLOOKUP(A43,BUFFS!$H$5:$AF$195,8,),"")</f>
        <v>0</v>
      </c>
      <c r="E43" s="24">
        <f t="shared" si="2"/>
        <v>2</v>
      </c>
      <c r="F43" s="65" t="str">
        <f>IFERROR(VLOOKUP(A43,BUFFS!$H$5:$AF$195,5,),"")</f>
        <v>Constitution</v>
      </c>
      <c r="G43" s="66" t="str">
        <f>IFERROR(VLOOKUP(A43,BUFFS!$H$5:$AF$195,6,),"")</f>
        <v>Enhancement</v>
      </c>
      <c r="H43" s="67">
        <f>IFERROR(VLOOKUP(A43,BUFFS!$H$5:$AF$195,7,),"")</f>
        <v>0</v>
      </c>
      <c r="I43" s="66">
        <f>IFERROR(VLOOKUP(A43,BUFFS!$H$5:$AF$195,9,),"")</f>
        <v>1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 t="shared" si="3"/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 t="shared" si="4"/>
        <v>0</v>
      </c>
      <c r="T43" s="70">
        <f>IFERROR(VLOOKUP(A43,BUFFS!$H$5:$AF$195,20,),"")</f>
        <v>100</v>
      </c>
    </row>
    <row r="44" spans="1:27" x14ac:dyDescent="0.3">
      <c r="A44" s="17" t="s">
        <v>251</v>
      </c>
      <c r="B44" s="80"/>
      <c r="C44" s="81"/>
      <c r="D44" s="31"/>
      <c r="E44" s="24"/>
      <c r="F44" s="65"/>
      <c r="G44" s="66"/>
      <c r="H44" s="67"/>
      <c r="I44" s="66"/>
      <c r="J44" s="65"/>
      <c r="K44" s="66"/>
      <c r="L44" s="66"/>
      <c r="M44" s="66"/>
      <c r="N44" s="68"/>
      <c r="O44" s="65"/>
      <c r="P44" s="66"/>
      <c r="Q44" s="66"/>
      <c r="R44" s="66"/>
      <c r="S44" s="69"/>
      <c r="T44" s="70"/>
    </row>
    <row r="45" spans="1:27" x14ac:dyDescent="0.3">
      <c r="A45" s="17" t="s">
        <v>233</v>
      </c>
      <c r="B45" s="80"/>
      <c r="C45" s="81"/>
      <c r="D45" s="31"/>
      <c r="E45" s="24"/>
      <c r="F45" s="65"/>
      <c r="G45" s="66"/>
      <c r="H45" s="67"/>
      <c r="I45" s="66"/>
      <c r="J45" s="65"/>
      <c r="K45" s="66"/>
      <c r="L45" s="66"/>
      <c r="M45" s="66"/>
      <c r="N45" s="68"/>
      <c r="O45" s="65"/>
      <c r="P45" s="66"/>
      <c r="Q45" s="66"/>
      <c r="R45" s="66"/>
      <c r="S45" s="69"/>
      <c r="T45" s="70"/>
    </row>
    <row r="46" spans="1:27" x14ac:dyDescent="0.3">
      <c r="A46" s="17" t="s">
        <v>302</v>
      </c>
      <c r="B46" s="80"/>
      <c r="C46" s="81"/>
      <c r="D46" s="31">
        <f>IFERROR(VLOOKUP(A46,BUFFS!$H$5:$AF$195,8,),"")</f>
        <v>2</v>
      </c>
      <c r="E46" s="24">
        <f t="shared" si="2"/>
        <v>2</v>
      </c>
      <c r="F46" s="65" t="str">
        <f>IFERROR(VLOOKUP(A46,BUFFS!$H$5:$AF$195,5,),"")</f>
        <v>FORT</v>
      </c>
      <c r="G46" s="66" t="str">
        <f>IFERROR(VLOOKUP(A46,BUFFS!$H$5:$AF$195,6,),"")</f>
        <v xml:space="preserve">Luck Modifier </v>
      </c>
      <c r="H46" s="67">
        <f>IFERROR(VLOOKUP(A46,BUFFS!$H$5:$AF$195,7,),"")</f>
        <v>2</v>
      </c>
      <c r="I46" s="66">
        <f>IFERROR(VLOOKUP(A46,BUFFS!$H$5:$AF$195,9,),"")</f>
        <v>0</v>
      </c>
      <c r="J46" s="65" t="str">
        <f>IFERROR(VLOOKUP(A46,BUFFS!$H$5:$AF$195,10,),"")</f>
        <v>REF</v>
      </c>
      <c r="K46" s="66" t="str">
        <f>IFERROR(VLOOKUP(A46,BUFFS!$H$5:$AF$195,11,),"")</f>
        <v xml:space="preserve">Luck Modifier </v>
      </c>
      <c r="L46" s="66">
        <f>IFERROR(VLOOKUP(A46,BUFFS!$H$5:$AF$195,12,),"")</f>
        <v>2</v>
      </c>
      <c r="M46" s="66">
        <f>IFERROR(VLOOKUP(A46,BUFFS!$H$5:$AF$195,14,),"")</f>
        <v>0</v>
      </c>
      <c r="N46" s="68">
        <f t="shared" si="3"/>
        <v>2</v>
      </c>
      <c r="O46" s="65" t="str">
        <f>IFERROR(VLOOKUP(A46,BUFFS!$H$5:$AF$195,15,),"")</f>
        <v>WILL</v>
      </c>
      <c r="P46" s="66" t="str">
        <f>IFERROR(VLOOKUP(A46,BUFFS!$H$5:$AF$195,16,),"")</f>
        <v xml:space="preserve">Luck Modifier </v>
      </c>
      <c r="Q46" s="66">
        <f>IFERROR(VLOOKUP(A46,BUFFS!$H$5:$AF$195,17,),"")</f>
        <v>2</v>
      </c>
      <c r="R46" s="66">
        <f>IFERROR(VLOOKUP(A46,BUFFS!$H$5:$AF$195,19,),"")</f>
        <v>0</v>
      </c>
      <c r="S46" s="69">
        <f t="shared" si="4"/>
        <v>2</v>
      </c>
      <c r="T46" s="70">
        <f>IFERROR(VLOOKUP(A46,BUFFS!$H$5:$AF$195,20,),"")</f>
        <v>100</v>
      </c>
    </row>
    <row r="47" spans="1:27" x14ac:dyDescent="0.3">
      <c r="A47" s="17" t="s">
        <v>230</v>
      </c>
      <c r="B47" s="80"/>
      <c r="C47" s="81"/>
      <c r="D47" s="31">
        <f>IFERROR(VLOOKUP(A47,BUFFS!$H$5:$AF$195,8,),"")</f>
        <v>7</v>
      </c>
      <c r="E47" s="24">
        <f t="shared" si="2"/>
        <v>0</v>
      </c>
      <c r="F47" s="65">
        <f>IFERROR(VLOOKUP(A47,BUFFS!$H$5:$AF$195,5,),"")</f>
        <v>0</v>
      </c>
      <c r="G47" s="66">
        <f>IFERROR(VLOOKUP(A47,BUFFS!$H$5:$AF$195,6,),"")</f>
        <v>0</v>
      </c>
      <c r="H47" s="67">
        <f>IFERROR(VLOOKUP(A47,BUFFS!$H$5:$AF$195,7,),"")</f>
        <v>0</v>
      </c>
      <c r="I47" s="66">
        <f>IFERROR(VLOOKUP(A47,BUFFS!$H$5:$AF$195,9,),"")</f>
        <v>0</v>
      </c>
      <c r="J47" s="65">
        <f>IFERROR(VLOOKUP(A47,BUFFS!$H$5:$AF$195,10,),"")</f>
        <v>0</v>
      </c>
      <c r="K47" s="66">
        <f>IFERROR(VLOOKUP(A47,BUFFS!$H$5:$AF$195,11,),"")</f>
        <v>0</v>
      </c>
      <c r="L47" s="66">
        <f>IFERROR(VLOOKUP(A47,BUFFS!$H$5:$AF$195,12,),"")</f>
        <v>0</v>
      </c>
      <c r="M47" s="66">
        <f>IFERROR(VLOOKUP(A47,BUFFS!$H$5:$AF$195,14,),"")</f>
        <v>0</v>
      </c>
      <c r="N47" s="68">
        <f t="shared" si="3"/>
        <v>0</v>
      </c>
      <c r="O47" s="65">
        <f>IFERROR(VLOOKUP(A47,BUFFS!$H$5:$AF$195,15,),"")</f>
        <v>0</v>
      </c>
      <c r="P47" s="66">
        <f>IFERROR(VLOOKUP(A47,BUFFS!$H$5:$AF$195,16,),"")</f>
        <v>0</v>
      </c>
      <c r="Q47" s="66">
        <f>IFERROR(VLOOKUP(A47,BUFFS!$H$5:$AF$195,17,),"")</f>
        <v>0</v>
      </c>
      <c r="R47" s="66">
        <f>IFERROR(VLOOKUP(A47,BUFFS!$H$5:$AF$195,19,),"")</f>
        <v>0</v>
      </c>
      <c r="S47" s="69">
        <f t="shared" si="4"/>
        <v>0</v>
      </c>
      <c r="T47" s="70">
        <f>IFERROR(VLOOKUP(A47,BUFFS!$H$5:$AF$195,20,),"")</f>
        <v>100</v>
      </c>
    </row>
    <row r="48" spans="1:27" x14ac:dyDescent="0.3">
      <c r="A48" s="17" t="s">
        <v>207</v>
      </c>
      <c r="B48" s="80"/>
      <c r="C48" s="81"/>
      <c r="D48" s="31">
        <f>IFERROR(VLOOKUP(A48,BUFFS!$H$5:$AF$195,8,),"")</f>
        <v>2</v>
      </c>
      <c r="E48" s="24">
        <f t="shared" si="2"/>
        <v>0</v>
      </c>
      <c r="F48" s="65">
        <f>IFERROR(VLOOKUP(A48,BUFFS!$H$5:$AF$195,5,),"")</f>
        <v>0</v>
      </c>
      <c r="G48" s="66">
        <f>IFERROR(VLOOKUP(A48,BUFFS!$H$5:$AF$195,6,),"")</f>
        <v>0</v>
      </c>
      <c r="H48" s="67">
        <f>IFERROR(VLOOKUP(A48,BUFFS!$H$5:$AF$195,7,),"")</f>
        <v>0</v>
      </c>
      <c r="I48" s="66">
        <f>IFERROR(VLOOKUP(A48,BUFFS!$H$5:$AF$195,9,),"")</f>
        <v>0</v>
      </c>
      <c r="J48" s="65">
        <f>IFERROR(VLOOKUP(A48,BUFFS!$H$5:$AF$195,10,),"")</f>
        <v>0</v>
      </c>
      <c r="K48" s="66">
        <f>IFERROR(VLOOKUP(A48,BUFFS!$H$5:$AF$195,11,),"")</f>
        <v>0</v>
      </c>
      <c r="L48" s="66">
        <f>IFERROR(VLOOKUP(A48,BUFFS!$H$5:$AF$195,12,),"")</f>
        <v>0</v>
      </c>
      <c r="M48" s="66">
        <f>IFERROR(VLOOKUP(A48,BUFFS!$H$5:$AF$195,14,),"")</f>
        <v>0</v>
      </c>
      <c r="N48" s="68">
        <f t="shared" si="3"/>
        <v>0</v>
      </c>
      <c r="O48" s="65">
        <f>IFERROR(VLOOKUP(A48,BUFFS!$H$5:$AF$195,15,),"")</f>
        <v>0</v>
      </c>
      <c r="P48" s="66">
        <f>IFERROR(VLOOKUP(A48,BUFFS!$H$5:$AF$195,16,),"")</f>
        <v>0</v>
      </c>
      <c r="Q48" s="66">
        <f>IFERROR(VLOOKUP(A48,BUFFS!$H$5:$AF$195,17,),"")</f>
        <v>0</v>
      </c>
      <c r="R48" s="66">
        <f>IFERROR(VLOOKUP(A48,BUFFS!$H$5:$AF$195,19,),"")</f>
        <v>0</v>
      </c>
      <c r="S48" s="69">
        <f t="shared" si="4"/>
        <v>0</v>
      </c>
      <c r="T48" s="70">
        <f>IFERROR(VLOOKUP(A48,BUFFS!$H$5:$AF$195,20,),"")</f>
        <v>100</v>
      </c>
    </row>
    <row r="49" spans="1:20" x14ac:dyDescent="0.3">
      <c r="A49" s="17" t="s">
        <v>199</v>
      </c>
      <c r="B49" s="80"/>
      <c r="C49" s="81"/>
      <c r="D49" s="31">
        <f>IFERROR(VLOOKUP(A49,BUFFS!$H$5:$AF$195,8,),"")</f>
        <v>1</v>
      </c>
      <c r="E49" s="24">
        <f t="shared" si="2"/>
        <v>4</v>
      </c>
      <c r="F49" s="65" t="str">
        <f>IFERROR(VLOOKUP(A49,BUFFS!$H$5:$AF$195,5,),"")</f>
        <v>AC</v>
      </c>
      <c r="G49" s="66" t="str">
        <f>IFERROR(VLOOKUP(A49,BUFFS!$H$5:$AF$195,6,),"")</f>
        <v xml:space="preserve">Armor Bonus </v>
      </c>
      <c r="H49" s="67">
        <f>IFERROR(VLOOKUP(A49,BUFFS!$H$5:$AF$195,7,),"")</f>
        <v>4</v>
      </c>
      <c r="I49" s="66">
        <f>IFERROR(VLOOKUP(A49,BUFFS!$H$5:$AF$195,9,),"")</f>
        <v>0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 t="shared" si="3"/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 t="shared" si="4"/>
        <v>0</v>
      </c>
      <c r="T49" s="70">
        <f>IFERROR(VLOOKUP(A49,BUFFS!$H$5:$AF$195,20,),"")</f>
        <v>100</v>
      </c>
    </row>
    <row r="50" spans="1:20" x14ac:dyDescent="0.3">
      <c r="A50" s="17"/>
      <c r="B50" s="80"/>
      <c r="C50" s="81"/>
      <c r="D50" s="31" t="str">
        <f>IFERROR(VLOOKUP(A50,BUFFS!$H$5:$AF$195,8,),"")</f>
        <v/>
      </c>
      <c r="E50" s="24" t="str">
        <f t="shared" si="2"/>
        <v/>
      </c>
      <c r="F50" s="65" t="str">
        <f>IFERROR(VLOOKUP(A50,BUFFS!$H$5:$AF$195,5,),"")</f>
        <v/>
      </c>
      <c r="G50" s="66" t="str">
        <f>IFERROR(VLOOKUP(A50,BUFFS!$H$5:$AF$195,6,),"")</f>
        <v/>
      </c>
      <c r="H50" s="67" t="str">
        <f>IFERROR(VLOOKUP(A50,BUFFS!$H$5:$AF$195,7,),"")</f>
        <v/>
      </c>
      <c r="I50" s="66" t="str">
        <f>IFERROR(VLOOKUP(A50,BUFFS!$H$5:$AF$195,9,),"")</f>
        <v/>
      </c>
      <c r="J50" s="65" t="str">
        <f>IFERROR(VLOOKUP(A50,BUFFS!$H$5:$AF$195,10,),"")</f>
        <v/>
      </c>
      <c r="K50" s="66" t="str">
        <f>IFERROR(VLOOKUP(A50,BUFFS!$H$5:$AF$195,11,),"")</f>
        <v/>
      </c>
      <c r="L50" s="66" t="str">
        <f>IFERROR(VLOOKUP(A50,BUFFS!$H$5:$AF$195,12,),"")</f>
        <v/>
      </c>
      <c r="M50" s="66" t="str">
        <f>IFERROR(VLOOKUP(A50,BUFFS!$H$5:$AF$195,14,),"")</f>
        <v/>
      </c>
      <c r="N50" s="68" t="str">
        <f t="shared" si="3"/>
        <v/>
      </c>
      <c r="O50" s="65" t="str">
        <f>IFERROR(VLOOKUP(A50,BUFFS!$H$5:$AF$195,15,),"")</f>
        <v/>
      </c>
      <c r="P50" s="66" t="str">
        <f>IFERROR(VLOOKUP(A50,BUFFS!$H$5:$AF$195,16,),"")</f>
        <v/>
      </c>
      <c r="Q50" s="66" t="str">
        <f>IFERROR(VLOOKUP(A50,BUFFS!$H$5:$AF$195,17,),"")</f>
        <v/>
      </c>
      <c r="R50" s="66" t="str">
        <f>IFERROR(VLOOKUP(A50,BUFFS!$H$5:$AF$195,19,),"")</f>
        <v/>
      </c>
      <c r="S50" s="69" t="str">
        <f t="shared" si="4"/>
        <v/>
      </c>
      <c r="T50" s="70" t="str">
        <f>IFERROR(VLOOKUP(A50,BUFFS!$H$5:$AF$195,20,),"")</f>
        <v/>
      </c>
    </row>
    <row r="51" spans="1:20" x14ac:dyDescent="0.3">
      <c r="A51" s="17"/>
      <c r="B51" s="80"/>
      <c r="C51" s="81"/>
      <c r="D51" s="31" t="str">
        <f>IFERROR(VLOOKUP(A51,BUFFS!$H$5:$AF$195,8,),"")</f>
        <v/>
      </c>
      <c r="E51" s="24" t="str">
        <f t="shared" si="2"/>
        <v/>
      </c>
      <c r="F51" s="65" t="str">
        <f>IFERROR(VLOOKUP(A51,BUFFS!$H$5:$AF$195,5,),"")</f>
        <v/>
      </c>
      <c r="G51" s="66" t="str">
        <f>IFERROR(VLOOKUP(A51,BUFFS!$H$5:$AF$195,6,),"")</f>
        <v/>
      </c>
      <c r="H51" s="67" t="str">
        <f>IFERROR(VLOOKUP(A51,BUFFS!$H$5:$AF$195,7,),"")</f>
        <v/>
      </c>
      <c r="I51" s="66" t="str">
        <f>IFERROR(VLOOKUP(A51,BUFFS!$H$5:$AF$195,9,),"")</f>
        <v/>
      </c>
      <c r="J51" s="65" t="str">
        <f>IFERROR(VLOOKUP(A51,BUFFS!$H$5:$AF$195,10,),"")</f>
        <v/>
      </c>
      <c r="K51" s="66" t="str">
        <f>IFERROR(VLOOKUP(A51,BUFFS!$H$5:$AF$195,11,),"")</f>
        <v/>
      </c>
      <c r="L51" s="66" t="str">
        <f>IFERROR(VLOOKUP(A51,BUFFS!$H$5:$AF$195,12,),"")</f>
        <v/>
      </c>
      <c r="M51" s="66" t="str">
        <f>IFERROR(VLOOKUP(A51,BUFFS!$H$5:$AF$195,14,),"")</f>
        <v/>
      </c>
      <c r="N51" s="68" t="str">
        <f t="shared" si="3"/>
        <v/>
      </c>
      <c r="O51" s="65" t="str">
        <f>IFERROR(VLOOKUP(A51,BUFFS!$H$5:$AF$195,15,),"")</f>
        <v/>
      </c>
      <c r="P51" s="66" t="str">
        <f>IFERROR(VLOOKUP(A51,BUFFS!$H$5:$AF$195,16,),"")</f>
        <v/>
      </c>
      <c r="Q51" s="66" t="str">
        <f>IFERROR(VLOOKUP(A51,BUFFS!$H$5:$AF$195,17,),"")</f>
        <v/>
      </c>
      <c r="R51" s="66" t="str">
        <f>IFERROR(VLOOKUP(A51,BUFFS!$H$5:$AF$195,19,),"")</f>
        <v/>
      </c>
      <c r="S51" s="69" t="str">
        <f t="shared" si="4"/>
        <v/>
      </c>
      <c r="T51" s="70" t="str">
        <f>IFERROR(VLOOKUP(A51,BUFFS!$H$5:$AF$195,20,),"")</f>
        <v/>
      </c>
    </row>
    <row r="52" spans="1:20" x14ac:dyDescent="0.3">
      <c r="A52" s="17"/>
      <c r="B52" s="80"/>
      <c r="C52" s="81"/>
      <c r="D52" s="31" t="str">
        <f>IFERROR(VLOOKUP(A52,BUFFS!$H$5:$AF$195,8,),"")</f>
        <v/>
      </c>
      <c r="E52" s="24" t="str">
        <f t="shared" si="2"/>
        <v/>
      </c>
      <c r="F52" s="65" t="str">
        <f>IFERROR(VLOOKUP(A52,BUFFS!$H$5:$AF$195,5,),"")</f>
        <v/>
      </c>
      <c r="G52" s="66" t="str">
        <f>IFERROR(VLOOKUP(A52,BUFFS!$H$5:$AF$195,6,),"")</f>
        <v/>
      </c>
      <c r="H52" s="67" t="str">
        <f>IFERROR(VLOOKUP(A52,BUFFS!$H$5:$AF$195,7,),"")</f>
        <v/>
      </c>
      <c r="I52" s="66" t="str">
        <f>IFERROR(VLOOKUP(A52,BUFFS!$H$5:$AF$195,9,),"")</f>
        <v/>
      </c>
      <c r="J52" s="65" t="str">
        <f>IFERROR(VLOOKUP(A52,BUFFS!$H$5:$AF$195,10,),"")</f>
        <v/>
      </c>
      <c r="K52" s="66" t="str">
        <f>IFERROR(VLOOKUP(A52,BUFFS!$H$5:$AF$195,11,),"")</f>
        <v/>
      </c>
      <c r="L52" s="66" t="str">
        <f>IFERROR(VLOOKUP(A52,BUFFS!$H$5:$AF$195,12,),"")</f>
        <v/>
      </c>
      <c r="M52" s="66" t="str">
        <f>IFERROR(VLOOKUP(A52,BUFFS!$H$5:$AF$195,14,),"")</f>
        <v/>
      </c>
      <c r="N52" s="68" t="str">
        <f t="shared" si="3"/>
        <v/>
      </c>
      <c r="O52" s="65" t="str">
        <f>IFERROR(VLOOKUP(A52,BUFFS!$H$5:$AF$195,15,),"")</f>
        <v/>
      </c>
      <c r="P52" s="66" t="str">
        <f>IFERROR(VLOOKUP(A52,BUFFS!$H$5:$AF$195,16,),"")</f>
        <v/>
      </c>
      <c r="Q52" s="66" t="str">
        <f>IFERROR(VLOOKUP(A52,BUFFS!$H$5:$AF$195,17,),"")</f>
        <v/>
      </c>
      <c r="R52" s="66" t="str">
        <f>IFERROR(VLOOKUP(A52,BUFFS!$H$5:$AF$195,19,),"")</f>
        <v/>
      </c>
      <c r="S52" s="69" t="str">
        <f t="shared" si="4"/>
        <v/>
      </c>
      <c r="T52" s="70" t="str">
        <f>IFERROR(VLOOKUP(A52,BUFFS!$H$5:$AF$195,20,),"")</f>
        <v/>
      </c>
    </row>
    <row r="53" spans="1:20" x14ac:dyDescent="0.3">
      <c r="A53" s="17"/>
      <c r="B53" s="80"/>
      <c r="C53" s="81"/>
      <c r="D53" s="31" t="str">
        <f>IFERROR(VLOOKUP(A53,BUFFS!$H$5:$AF$195,8,),"")</f>
        <v/>
      </c>
      <c r="E53" s="24" t="str">
        <f t="shared" si="2"/>
        <v/>
      </c>
      <c r="F53" s="65" t="str">
        <f>IFERROR(VLOOKUP(A53,BUFFS!$H$5:$AF$195,5,),"")</f>
        <v/>
      </c>
      <c r="G53" s="66" t="str">
        <f>IFERROR(VLOOKUP(A53,BUFFS!$H$5:$AF$195,6,),"")</f>
        <v/>
      </c>
      <c r="H53" s="67" t="str">
        <f>IFERROR(VLOOKUP(A53,BUFFS!$H$5:$AF$195,7,),"")</f>
        <v/>
      </c>
      <c r="I53" s="66" t="str">
        <f>IFERROR(VLOOKUP(A53,BUFFS!$H$5:$AF$195,9,),"")</f>
        <v/>
      </c>
      <c r="J53" s="65" t="str">
        <f>IFERROR(VLOOKUP(A53,BUFFS!$H$5:$AF$195,10,),"")</f>
        <v/>
      </c>
      <c r="K53" s="66" t="str">
        <f>IFERROR(VLOOKUP(A53,BUFFS!$H$5:$AF$195,11,),"")</f>
        <v/>
      </c>
      <c r="L53" s="66" t="str">
        <f>IFERROR(VLOOKUP(A53,BUFFS!$H$5:$AF$195,12,),"")</f>
        <v/>
      </c>
      <c r="M53" s="66" t="str">
        <f>IFERROR(VLOOKUP(A53,BUFFS!$H$5:$AF$195,14,),"")</f>
        <v/>
      </c>
      <c r="N53" s="68" t="str">
        <f t="shared" si="3"/>
        <v/>
      </c>
      <c r="O53" s="65" t="str">
        <f>IFERROR(VLOOKUP(A53,BUFFS!$H$5:$AF$195,15,),"")</f>
        <v/>
      </c>
      <c r="P53" s="66" t="str">
        <f>IFERROR(VLOOKUP(A53,BUFFS!$H$5:$AF$195,16,),"")</f>
        <v/>
      </c>
      <c r="Q53" s="66" t="str">
        <f>IFERROR(VLOOKUP(A53,BUFFS!$H$5:$AF$195,17,),"")</f>
        <v/>
      </c>
      <c r="R53" s="66" t="str">
        <f>IFERROR(VLOOKUP(A53,BUFFS!$H$5:$AF$195,19,),"")</f>
        <v/>
      </c>
      <c r="S53" s="69" t="str">
        <f t="shared" si="4"/>
        <v/>
      </c>
      <c r="T53" s="70" t="str">
        <f>IFERROR(VLOOKUP(A53,BUFFS!$H$5:$AF$195,20,),"")</f>
        <v/>
      </c>
    </row>
    <row r="54" spans="1:20" x14ac:dyDescent="0.3">
      <c r="A54" s="17"/>
      <c r="B54" s="80"/>
      <c r="C54" s="81"/>
      <c r="D54" s="31" t="str">
        <f>IFERROR(VLOOKUP(A54,BUFFS!$H$5:$AF$195,8,),"")</f>
        <v/>
      </c>
      <c r="E54" s="24" t="str">
        <f t="shared" si="2"/>
        <v/>
      </c>
      <c r="F54" s="65" t="str">
        <f>IFERROR(VLOOKUP(A54,BUFFS!$H$5:$AF$195,5,),"")</f>
        <v/>
      </c>
      <c r="G54" s="66" t="str">
        <f>IFERROR(VLOOKUP(A54,BUFFS!$H$5:$AF$195,6,),"")</f>
        <v/>
      </c>
      <c r="H54" s="67" t="str">
        <f>IFERROR(VLOOKUP(A54,BUFFS!$H$5:$AF$195,7,),"")</f>
        <v/>
      </c>
      <c r="I54" s="66" t="str">
        <f>IFERROR(VLOOKUP(A54,BUFFS!$H$5:$AF$195,9,),"")</f>
        <v/>
      </c>
      <c r="J54" s="65" t="str">
        <f>IFERROR(VLOOKUP(A54,BUFFS!$H$5:$AF$195,10,),"")</f>
        <v/>
      </c>
      <c r="K54" s="66" t="str">
        <f>IFERROR(VLOOKUP(A54,BUFFS!$H$5:$AF$195,11,),"")</f>
        <v/>
      </c>
      <c r="L54" s="66" t="str">
        <f>IFERROR(VLOOKUP(A54,BUFFS!$H$5:$AF$195,12,),"")</f>
        <v/>
      </c>
      <c r="M54" s="66" t="str">
        <f>IFERROR(VLOOKUP(A54,BUFFS!$H$5:$AF$195,14,),"")</f>
        <v/>
      </c>
      <c r="N54" s="68" t="str">
        <f t="shared" si="3"/>
        <v/>
      </c>
      <c r="O54" s="65" t="str">
        <f>IFERROR(VLOOKUP(A54,BUFFS!$H$5:$AF$195,15,),"")</f>
        <v/>
      </c>
      <c r="P54" s="66" t="str">
        <f>IFERROR(VLOOKUP(A54,BUFFS!$H$5:$AF$195,16,),"")</f>
        <v/>
      </c>
      <c r="Q54" s="66" t="str">
        <f>IFERROR(VLOOKUP(A54,BUFFS!$H$5:$AF$195,17,),"")</f>
        <v/>
      </c>
      <c r="R54" s="66" t="str">
        <f>IFERROR(VLOOKUP(A54,BUFFS!$H$5:$AF$195,19,),"")</f>
        <v/>
      </c>
      <c r="S54" s="69" t="str">
        <f t="shared" si="4"/>
        <v/>
      </c>
      <c r="T54" s="70" t="str">
        <f>IFERROR(VLOOKUP(A54,BUFFS!$H$5:$AF$195,20,),"")</f>
        <v/>
      </c>
    </row>
    <row r="55" spans="1:20" x14ac:dyDescent="0.3">
      <c r="A55" s="17"/>
      <c r="B55" s="80"/>
      <c r="C55" s="81"/>
      <c r="D55" s="31" t="str">
        <f>IFERROR(VLOOKUP(A55,BUFFS!$H$5:$AF$195,8,),"")</f>
        <v/>
      </c>
      <c r="E55" s="24" t="str">
        <f t="shared" si="2"/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 t="shared" si="3"/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 t="shared" si="4"/>
        <v/>
      </c>
      <c r="T55" s="70" t="str">
        <f>IFERROR(VLOOKUP(A55,BUFFS!$H$5:$AF$195,20,),"")</f>
        <v/>
      </c>
    </row>
    <row r="56" spans="1:20" x14ac:dyDescent="0.3">
      <c r="A56" s="17"/>
      <c r="B56" s="80"/>
      <c r="C56" s="81"/>
      <c r="D56" s="31"/>
      <c r="E56" s="24"/>
      <c r="F56" s="65"/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si="3"/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si="4"/>
        <v/>
      </c>
      <c r="T56" s="70" t="str">
        <f>IFERROR(VLOOKUP(A56,BUFFS!$H$5:$AF$195,20,),"")</f>
        <v/>
      </c>
    </row>
    <row r="57" spans="1:20" x14ac:dyDescent="0.3">
      <c r="A57" s="17"/>
      <c r="B57" s="80"/>
      <c r="C57" s="81"/>
      <c r="D57" s="31"/>
      <c r="E57" s="24"/>
      <c r="F57" s="65"/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3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4"/>
        <v/>
      </c>
      <c r="T57" s="70" t="str">
        <f>IFERROR(VLOOKUP(A57,BUFFS!$H$5:$AF$195,20,),"")</f>
        <v/>
      </c>
    </row>
    <row r="58" spans="1:20" x14ac:dyDescent="0.3">
      <c r="A58" s="17"/>
      <c r="B58" s="80"/>
      <c r="C58" s="81"/>
      <c r="D58" s="31"/>
      <c r="E58" s="24"/>
      <c r="F58" s="71"/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3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4"/>
        <v/>
      </c>
      <c r="T58" s="70" t="str">
        <f>IFERROR(VLOOKUP(A58,BUFFS!$H$5:$AF$195,20,),"")</f>
        <v/>
      </c>
    </row>
    <row r="59" spans="1:20" x14ac:dyDescent="0.3">
      <c r="A59" s="17"/>
      <c r="B59" s="80"/>
      <c r="C59" s="81"/>
      <c r="D59" s="31"/>
      <c r="E59" s="24"/>
      <c r="F59" s="71"/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3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4"/>
        <v/>
      </c>
      <c r="T59" s="70" t="str">
        <f>IFERROR(VLOOKUP(A59,BUFFS!$H$5:$AF$195,20,),"")</f>
        <v/>
      </c>
    </row>
    <row r="60" spans="1:20" x14ac:dyDescent="0.3">
      <c r="A60" s="17"/>
      <c r="B60" s="80"/>
      <c r="C60" s="81"/>
      <c r="D60" s="31"/>
      <c r="E60" s="24"/>
      <c r="F60" s="71"/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3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4"/>
        <v/>
      </c>
      <c r="T60" s="70" t="str">
        <f>IFERROR(VLOOKUP(A60,BUFFS!$H$5:$AF$195,20,),"")</f>
        <v/>
      </c>
    </row>
    <row r="61" spans="1:20" x14ac:dyDescent="0.3">
      <c r="A61" s="17"/>
      <c r="B61" s="80"/>
      <c r="C61" s="81"/>
      <c r="D61" s="31"/>
      <c r="E61" s="24"/>
      <c r="F61" s="71"/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3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4"/>
        <v/>
      </c>
      <c r="T61" s="70" t="str">
        <f>IFERROR(VLOOKUP(A61,BUFFS!$H$5:$AF$195,20,),"")</f>
        <v/>
      </c>
    </row>
    <row r="62" spans="1:20" x14ac:dyDescent="0.3">
      <c r="A62" s="17"/>
      <c r="B62" s="80"/>
      <c r="C62" s="81"/>
      <c r="D62" s="31"/>
      <c r="E62" s="24"/>
      <c r="F62" s="71"/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3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4"/>
        <v/>
      </c>
      <c r="T62" s="70" t="str">
        <f>IFERROR(VLOOKUP(A62,BUFFS!$H$5:$AF$195,20,),"")</f>
        <v/>
      </c>
    </row>
    <row r="63" spans="1:20" x14ac:dyDescent="0.3">
      <c r="A63" s="17"/>
      <c r="B63" s="80"/>
      <c r="C63" s="81"/>
      <c r="D63" s="31"/>
      <c r="E63" s="24"/>
      <c r="F63" s="71"/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3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4"/>
        <v/>
      </c>
      <c r="T63" s="70" t="str">
        <f>IFERROR(VLOOKUP(A63,BUFFS!$H$5:$AF$195,20,),"")</f>
        <v/>
      </c>
    </row>
    <row r="64" spans="1:20" x14ac:dyDescent="0.3">
      <c r="A64" s="17"/>
      <c r="B64" s="80"/>
      <c r="C64" s="81"/>
      <c r="D64" s="31"/>
      <c r="E64" s="24"/>
      <c r="F64" s="71"/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3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4"/>
        <v/>
      </c>
      <c r="T64" s="70" t="str">
        <f>IFERROR(VLOOKUP(A64,BUFFS!$H$5:$AF$195,20,),"")</f>
        <v/>
      </c>
    </row>
    <row r="65" spans="1:20" x14ac:dyDescent="0.3">
      <c r="A65" s="17"/>
      <c r="B65" s="80"/>
      <c r="C65" s="81"/>
      <c r="D65" s="31"/>
      <c r="E65" s="24"/>
      <c r="F65" s="71"/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3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4"/>
        <v/>
      </c>
      <c r="T65" s="70" t="str">
        <f>IFERROR(VLOOKUP(A65,BUFFS!$H$5:$AF$195,20,),"")</f>
        <v/>
      </c>
    </row>
    <row r="66" spans="1:20" x14ac:dyDescent="0.3">
      <c r="A66" s="17"/>
      <c r="B66" s="80"/>
      <c r="C66" s="81"/>
      <c r="D66" s="31"/>
      <c r="E66" s="24"/>
      <c r="F66" s="71"/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3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4"/>
        <v/>
      </c>
      <c r="T66" s="70" t="str">
        <f>IFERROR(VLOOKUP(A66,BUFFS!$H$5:$AF$195,20,),"")</f>
        <v/>
      </c>
    </row>
    <row r="67" spans="1:20" x14ac:dyDescent="0.3">
      <c r="A67" s="17"/>
      <c r="B67" s="80"/>
      <c r="C67" s="81"/>
      <c r="D67" s="31"/>
      <c r="E67" s="24"/>
      <c r="F67" s="71"/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3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4"/>
        <v/>
      </c>
      <c r="T67" s="70" t="str">
        <f>IFERROR(VLOOKUP(A67,BUFFS!$H$5:$AF$195,20,),"")</f>
        <v/>
      </c>
    </row>
    <row r="68" spans="1:20" x14ac:dyDescent="0.3">
      <c r="A68" s="17"/>
      <c r="B68" s="80"/>
      <c r="C68" s="81"/>
      <c r="D68" s="31"/>
      <c r="E68" s="24"/>
      <c r="F68" s="71"/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3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4"/>
        <v/>
      </c>
      <c r="T68" s="70" t="str">
        <f>IFERROR(VLOOKUP(A68,BUFFS!$H$5:$AF$195,20,),"")</f>
        <v/>
      </c>
    </row>
    <row r="69" spans="1:20" x14ac:dyDescent="0.3">
      <c r="A69" s="17"/>
      <c r="B69" s="80"/>
      <c r="C69" s="81"/>
      <c r="D69" s="31"/>
      <c r="E69" s="24"/>
      <c r="F69" s="71"/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3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4"/>
        <v/>
      </c>
      <c r="T69" s="70" t="str">
        <f>IFERROR(VLOOKUP(A69,BUFFS!$H$5:$AF$195,20,),"")</f>
        <v/>
      </c>
    </row>
    <row r="70" spans="1:20" x14ac:dyDescent="0.3">
      <c r="A70" s="17"/>
      <c r="B70" s="80"/>
      <c r="C70" s="81"/>
      <c r="D70" s="31"/>
      <c r="E70" s="24"/>
      <c r="F70" s="71"/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3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4"/>
        <v/>
      </c>
      <c r="T70" s="70" t="str">
        <f>IFERROR(VLOOKUP(A70,BUFFS!$H$5:$AF$195,20,),"")</f>
        <v/>
      </c>
    </row>
    <row r="71" spans="1:20" x14ac:dyDescent="0.3">
      <c r="A71" s="17"/>
      <c r="B71" s="80"/>
      <c r="C71" s="81"/>
      <c r="D71" s="31"/>
      <c r="E71" s="24"/>
      <c r="F71" s="71"/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3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4"/>
        <v/>
      </c>
      <c r="T71" s="70" t="str">
        <f>IFERROR(VLOOKUP(A71,BUFFS!$H$5:$AF$195,20,),"")</f>
        <v/>
      </c>
    </row>
    <row r="72" spans="1:20" x14ac:dyDescent="0.3">
      <c r="A72" s="17"/>
      <c r="B72" s="80"/>
      <c r="C72" s="81"/>
      <c r="D72" s="31"/>
      <c r="E72" s="24"/>
      <c r="F72" s="71"/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3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4"/>
        <v/>
      </c>
      <c r="T72" s="70" t="str">
        <f>IFERROR(VLOOKUP(A72,BUFFS!$H$5:$AF$195,20,),"")</f>
        <v/>
      </c>
    </row>
    <row r="73" spans="1:20" x14ac:dyDescent="0.3">
      <c r="A73" s="17"/>
      <c r="B73" s="80"/>
      <c r="C73" s="81"/>
      <c r="D73" s="31"/>
      <c r="E73" s="24"/>
      <c r="F73" s="71"/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3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4"/>
        <v/>
      </c>
      <c r="T73" s="70" t="str">
        <f>IFERROR(VLOOKUP(A73,BUFFS!$H$5:$AF$195,20,),"")</f>
        <v/>
      </c>
    </row>
    <row r="74" spans="1:20" x14ac:dyDescent="0.3">
      <c r="A74" s="17"/>
      <c r="B74" s="80"/>
      <c r="C74" s="81"/>
      <c r="D74" s="31"/>
      <c r="E74" s="24"/>
      <c r="F74" s="71"/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3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4"/>
        <v/>
      </c>
      <c r="T74" s="70" t="str">
        <f>IFERROR(VLOOKUP(A74,BUFFS!$H$5:$AF$195,20,),"")</f>
        <v/>
      </c>
    </row>
    <row r="75" spans="1:20" x14ac:dyDescent="0.3">
      <c r="A75" s="17"/>
      <c r="B75" s="80"/>
      <c r="C75" s="81"/>
      <c r="D75" s="31"/>
      <c r="E75" s="24"/>
      <c r="F75" s="71"/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3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4"/>
        <v/>
      </c>
      <c r="T75" s="70" t="str">
        <f>IFERROR(VLOOKUP(A75,BUFFS!$H$5:$AF$195,20,),"")</f>
        <v/>
      </c>
    </row>
    <row r="76" spans="1:20" x14ac:dyDescent="0.3">
      <c r="A76" s="17"/>
      <c r="B76" s="80"/>
      <c r="C76" s="81"/>
      <c r="D76" s="31"/>
      <c r="E76" s="24"/>
      <c r="F76" s="71"/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3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4"/>
        <v/>
      </c>
      <c r="T76" s="70" t="str">
        <f>IFERROR(VLOOKUP(A76,BUFFS!$H$5:$AF$195,20,),"")</f>
        <v/>
      </c>
    </row>
    <row r="77" spans="1:20" x14ac:dyDescent="0.3">
      <c r="A77" s="17"/>
      <c r="B77" s="80"/>
      <c r="C77" s="81"/>
      <c r="D77" s="31"/>
      <c r="E77" s="24"/>
      <c r="F77" s="71"/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3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4"/>
        <v/>
      </c>
      <c r="T77" s="70" t="str">
        <f>IFERROR(VLOOKUP(A77,BUFFS!$H$5:$AF$195,20,),"")</f>
        <v/>
      </c>
    </row>
    <row r="78" spans="1:20" x14ac:dyDescent="0.3">
      <c r="A78" s="17"/>
      <c r="B78" s="80"/>
      <c r="C78" s="81"/>
      <c r="D78" s="31"/>
      <c r="E78" s="24"/>
      <c r="F78" s="71"/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3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4"/>
        <v/>
      </c>
      <c r="T78" s="70" t="str">
        <f>IFERROR(VLOOKUP(A78,BUFFS!$H$5:$AF$195,20,),"")</f>
        <v/>
      </c>
    </row>
    <row r="79" spans="1:20" x14ac:dyDescent="0.3">
      <c r="A79" s="17"/>
      <c r="B79" s="80"/>
      <c r="C79" s="81"/>
      <c r="D79" s="31"/>
      <c r="E79" s="24"/>
      <c r="F79" s="71"/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3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4"/>
        <v/>
      </c>
      <c r="T79" s="70" t="str">
        <f>IFERROR(VLOOKUP(A79,BUFFS!$H$5:$AF$195,20,),"")</f>
        <v/>
      </c>
    </row>
    <row r="80" spans="1:20" x14ac:dyDescent="0.3">
      <c r="A80" s="17"/>
      <c r="B80" s="80"/>
      <c r="C80" s="81"/>
      <c r="D80" s="31"/>
      <c r="E80" s="24"/>
      <c r="F80" s="71"/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3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4"/>
        <v/>
      </c>
      <c r="T80" s="70" t="str">
        <f>IFERROR(VLOOKUP(A80,BUFFS!$H$5:$AF$195,20,),"")</f>
        <v/>
      </c>
    </row>
    <row r="81" spans="1:20" x14ac:dyDescent="0.3">
      <c r="A81" s="17"/>
      <c r="B81" s="80"/>
      <c r="C81" s="81"/>
      <c r="D81" s="31"/>
      <c r="E81" s="24"/>
      <c r="F81" s="71"/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3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4"/>
        <v/>
      </c>
      <c r="T81" s="70" t="str">
        <f>IFERROR(VLOOKUP(A81,BUFFS!$H$5:$AF$195,20,),"")</f>
        <v/>
      </c>
    </row>
    <row r="82" spans="1:20" x14ac:dyDescent="0.3">
      <c r="A82" s="17"/>
      <c r="B82" s="18"/>
      <c r="C82" s="13"/>
      <c r="D82" s="31"/>
      <c r="E82" s="24"/>
      <c r="F82" s="71"/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3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4"/>
        <v/>
      </c>
      <c r="T82" s="70" t="str">
        <f>IFERROR(VLOOKUP(A82,BUFFS!$H$5:$AF$195,20,),"")</f>
        <v/>
      </c>
    </row>
    <row r="83" spans="1:20" x14ac:dyDescent="0.3">
      <c r="A83" s="17"/>
      <c r="B83" s="18"/>
      <c r="C83" s="13"/>
      <c r="D83" s="31"/>
      <c r="E83" s="24"/>
      <c r="F83" s="71"/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3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4"/>
        <v/>
      </c>
      <c r="T83" s="70" t="str">
        <f>IFERROR(VLOOKUP(A83,BUFFS!$H$5:$AF$195,20,),"")</f>
        <v/>
      </c>
    </row>
    <row r="84" spans="1:20" x14ac:dyDescent="0.3">
      <c r="A84" s="17"/>
      <c r="B84" s="18"/>
      <c r="C84" s="13"/>
      <c r="D84" s="31"/>
      <c r="E84" s="24"/>
      <c r="F84" s="71"/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3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4"/>
        <v/>
      </c>
      <c r="T84" s="70" t="str">
        <f>IFERROR(VLOOKUP(A84,BUFFS!$H$5:$AF$195,20,),"")</f>
        <v/>
      </c>
    </row>
    <row r="85" spans="1:20" x14ac:dyDescent="0.3">
      <c r="A85" s="17"/>
      <c r="B85" s="18"/>
      <c r="C85" s="13"/>
      <c r="D85" s="31"/>
      <c r="E85" s="24"/>
      <c r="F85" s="71"/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3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4"/>
        <v/>
      </c>
      <c r="T85" s="70" t="str">
        <f>IFERROR(VLOOKUP(A85,BUFFS!$H$5:$AF$195,20,),"")</f>
        <v/>
      </c>
    </row>
    <row r="86" spans="1:20" x14ac:dyDescent="0.3">
      <c r="A86" s="17"/>
      <c r="B86" s="18"/>
      <c r="C86" s="13"/>
      <c r="D86" s="31"/>
      <c r="E86" s="24"/>
      <c r="F86" s="71"/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3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4"/>
        <v/>
      </c>
      <c r="T86" s="70" t="str">
        <f>IFERROR(VLOOKUP(A86,BUFFS!$H$5:$AF$195,20,),"")</f>
        <v/>
      </c>
    </row>
    <row r="87" spans="1:20" x14ac:dyDescent="0.3">
      <c r="A87" s="17"/>
      <c r="B87" s="18"/>
      <c r="C87" s="13"/>
      <c r="D87" s="31"/>
      <c r="E87" s="24"/>
      <c r="F87" s="71"/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3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4"/>
        <v/>
      </c>
      <c r="T87" s="70" t="str">
        <f>IFERROR(VLOOKUP(A87,BUFFS!$H$5:$AF$195,20,),"")</f>
        <v/>
      </c>
    </row>
    <row r="88" spans="1:20" x14ac:dyDescent="0.3">
      <c r="A88" s="17"/>
      <c r="B88" s="18"/>
      <c r="C88" s="13"/>
      <c r="D88" s="31"/>
      <c r="E88" s="24"/>
      <c r="F88" s="71"/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3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4"/>
        <v/>
      </c>
      <c r="T88" s="70" t="str">
        <f>IFERROR(VLOOKUP(A88,BUFFS!$H$5:$AF$195,20,),"")</f>
        <v/>
      </c>
    </row>
    <row r="89" spans="1:20" x14ac:dyDescent="0.3">
      <c r="A89" s="17"/>
      <c r="B89" s="18"/>
      <c r="C89" s="13"/>
      <c r="D89" s="31"/>
      <c r="E89" s="24"/>
      <c r="F89" s="71"/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3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4"/>
        <v/>
      </c>
      <c r="T89" s="70" t="str">
        <f>IFERROR(VLOOKUP(A89,BUFFS!$H$5:$AF$195,20,),"")</f>
        <v/>
      </c>
    </row>
    <row r="90" spans="1:20" x14ac:dyDescent="0.3">
      <c r="A90" s="17"/>
      <c r="B90" s="18"/>
      <c r="C90" s="13"/>
      <c r="D90" s="31"/>
      <c r="E90" s="24"/>
      <c r="F90" s="71"/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3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4"/>
        <v/>
      </c>
      <c r="T90" s="70" t="str">
        <f>IFERROR(VLOOKUP(A90,BUFFS!$H$5:$AF$195,20,),"")</f>
        <v/>
      </c>
    </row>
    <row r="91" spans="1:20" x14ac:dyDescent="0.3">
      <c r="A91" s="17"/>
      <c r="B91" s="18"/>
      <c r="C91" s="13"/>
      <c r="D91" s="31"/>
      <c r="E91" s="24"/>
      <c r="F91" s="71"/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3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4"/>
        <v/>
      </c>
      <c r="T91" s="70" t="str">
        <f>IFERROR(VLOOKUP(A91,BUFFS!$H$5:$AF$195,20,),"")</f>
        <v/>
      </c>
    </row>
    <row r="92" spans="1:20" x14ac:dyDescent="0.3">
      <c r="A92" s="17"/>
      <c r="B92" s="18"/>
      <c r="C92" s="13"/>
      <c r="D92" s="31"/>
      <c r="E92" s="24"/>
      <c r="F92" s="71"/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72"/>
      <c r="M92" s="66" t="str">
        <f>IFERROR(VLOOKUP(A92,BUFFS!$H$5:$AF$195,14,),"")</f>
        <v/>
      </c>
      <c r="N92" s="68" t="str">
        <f t="shared" si="3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4"/>
        <v/>
      </c>
      <c r="T92" s="70" t="str">
        <f>IFERROR(VLOOKUP(A92,BUFFS!$H$5:$AF$195,20,),"")</f>
        <v/>
      </c>
    </row>
    <row r="93" spans="1:20" x14ac:dyDescent="0.3">
      <c r="A93" s="17"/>
      <c r="B93" s="18"/>
      <c r="C93" s="13"/>
      <c r="D93" s="31"/>
      <c r="E93" s="24"/>
      <c r="F93" s="71"/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72"/>
      <c r="M93" s="66" t="str">
        <f>IFERROR(VLOOKUP(A93,BUFFS!$H$5:$AF$195,14,),"")</f>
        <v/>
      </c>
      <c r="N93" s="68" t="str">
        <f t="shared" si="3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4"/>
        <v/>
      </c>
      <c r="T93" s="70" t="str">
        <f>IFERROR(VLOOKUP(A93,BUFFS!$H$5:$AF$195,20,),"")</f>
        <v/>
      </c>
    </row>
    <row r="94" spans="1:20" x14ac:dyDescent="0.3">
      <c r="A94" s="17"/>
      <c r="B94" s="18"/>
      <c r="C94" s="13"/>
      <c r="D94" s="31"/>
      <c r="E94" s="24"/>
      <c r="F94" s="71"/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72"/>
      <c r="M94" s="66" t="str">
        <f>IFERROR(VLOOKUP(A94,BUFFS!$H$5:$AF$195,14,),"")</f>
        <v/>
      </c>
      <c r="N94" s="68" t="str">
        <f t="shared" si="3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4"/>
        <v/>
      </c>
      <c r="T94" s="70" t="str">
        <f>IFERROR(VLOOKUP(A94,BUFFS!$H$5:$AF$195,20,),"")</f>
        <v/>
      </c>
    </row>
    <row r="95" spans="1:20" x14ac:dyDescent="0.3">
      <c r="A95" s="17"/>
      <c r="B95" s="18"/>
      <c r="C95" s="13"/>
      <c r="D95" s="31"/>
      <c r="E95" s="24"/>
      <c r="F95" s="71"/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72"/>
      <c r="M95" s="66" t="str">
        <f>IFERROR(VLOOKUP(A95,BUFFS!$H$5:$AF$195,14,),"")</f>
        <v/>
      </c>
      <c r="N95" s="68" t="str">
        <f t="shared" si="3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4"/>
        <v/>
      </c>
      <c r="T95" s="70" t="str">
        <f>IFERROR(VLOOKUP(A95,BUFFS!$H$5:$AF$195,20,),"")</f>
        <v/>
      </c>
    </row>
    <row r="96" spans="1:20" x14ac:dyDescent="0.3">
      <c r="A96" s="17"/>
      <c r="B96" s="18"/>
      <c r="C96" s="13"/>
      <c r="D96" s="31"/>
      <c r="E96" s="24"/>
      <c r="F96" s="71"/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72"/>
      <c r="M96" s="66" t="str">
        <f>IFERROR(VLOOKUP(A96,BUFFS!$H$5:$AF$195,14,),"")</f>
        <v/>
      </c>
      <c r="N96" s="74"/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4"/>
        <v/>
      </c>
      <c r="T96" s="70" t="str">
        <f>IFERROR(VLOOKUP(A96,BUFFS!$H$5:$AF$195,20,),"")</f>
        <v/>
      </c>
    </row>
    <row r="97" spans="1:20" x14ac:dyDescent="0.3">
      <c r="A97" s="17"/>
      <c r="B97" s="18"/>
      <c r="C97" s="13"/>
      <c r="D97" s="31"/>
      <c r="E97" s="24"/>
      <c r="F97" s="71"/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72"/>
      <c r="M97" s="66" t="str">
        <f>IFERROR(VLOOKUP(A97,BUFFS!$H$5:$AF$195,14,),"")</f>
        <v/>
      </c>
      <c r="N97" s="74"/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4"/>
        <v/>
      </c>
      <c r="T97" s="70" t="str">
        <f>IFERROR(VLOOKUP(A97,BUFFS!$H$5:$AF$195,20,),"")</f>
        <v/>
      </c>
    </row>
    <row r="98" spans="1:20" x14ac:dyDescent="0.3">
      <c r="A98" s="17"/>
      <c r="B98" s="18"/>
      <c r="C98" s="13"/>
      <c r="D98" s="31"/>
      <c r="E98" s="24"/>
      <c r="F98" s="71"/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72"/>
      <c r="M98" s="66" t="str">
        <f>IFERROR(VLOOKUP(A98,BUFFS!$H$5:$AF$195,14,),"")</f>
        <v/>
      </c>
      <c r="N98" s="74"/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4"/>
        <v/>
      </c>
      <c r="T98" s="70" t="str">
        <f>IFERROR(VLOOKUP(A98,BUFFS!$H$5:$AF$195,20,),"")</f>
        <v/>
      </c>
    </row>
    <row r="99" spans="1:20" x14ac:dyDescent="0.3">
      <c r="A99" s="17"/>
      <c r="B99" s="18"/>
      <c r="C99" s="13"/>
      <c r="D99" s="31"/>
      <c r="E99" s="24"/>
      <c r="F99" s="71"/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72"/>
      <c r="M99" s="66" t="str">
        <f>IFERROR(VLOOKUP(A99,BUFFS!$H$5:$AF$195,14,),"")</f>
        <v/>
      </c>
      <c r="N99" s="74"/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4"/>
        <v/>
      </c>
      <c r="T99" s="70" t="str">
        <f>IFERROR(VLOOKUP(A99,BUFFS!$H$5:$AF$195,20,),"")</f>
        <v/>
      </c>
    </row>
    <row r="100" spans="1:20" x14ac:dyDescent="0.3">
      <c r="A100" s="17"/>
      <c r="B100" s="18"/>
      <c r="C100" s="13"/>
      <c r="D100" s="31"/>
      <c r="E100" s="24"/>
      <c r="F100" s="71"/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72"/>
      <c r="M100" s="66" t="str">
        <f>IFERROR(VLOOKUP(A100,BUFFS!$H$5:$AF$195,14,),"")</f>
        <v/>
      </c>
      <c r="N100" s="74"/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ref="S100:S147" si="5">IFERROR(SUM(Q100,ROUNDDOWN(MIN(B100,T$35)*R100,0)),"")</f>
        <v/>
      </c>
      <c r="T100" s="70" t="str">
        <f>IFERROR(VLOOKUP(A100,BUFFS!$H$5:$AF$195,20,),"")</f>
        <v/>
      </c>
    </row>
    <row r="101" spans="1:20" x14ac:dyDescent="0.3">
      <c r="A101" s="17"/>
      <c r="B101" s="18"/>
      <c r="C101" s="13"/>
      <c r="D101" s="31"/>
      <c r="E101" s="24"/>
      <c r="F101" s="71"/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72"/>
      <c r="M101" s="66" t="str">
        <f>IFERROR(VLOOKUP(A101,BUFFS!$H$5:$AF$195,14,),"")</f>
        <v/>
      </c>
      <c r="N101" s="74"/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5"/>
        <v/>
      </c>
      <c r="T101" s="70" t="str">
        <f>IFERROR(VLOOKUP(A101,BUFFS!$H$5:$AF$195,20,),"")</f>
        <v/>
      </c>
    </row>
    <row r="102" spans="1:20" x14ac:dyDescent="0.3">
      <c r="A102" s="17"/>
      <c r="B102" s="18"/>
      <c r="C102" s="13"/>
      <c r="D102" s="31"/>
      <c r="E102" s="24"/>
      <c r="F102" s="71"/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72"/>
      <c r="M102" s="66" t="str">
        <f>IFERROR(VLOOKUP(A102,BUFFS!$H$5:$AF$195,14,),"")</f>
        <v/>
      </c>
      <c r="N102" s="74"/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5"/>
        <v/>
      </c>
      <c r="T102" s="70" t="str">
        <f>IFERROR(VLOOKUP(A102,BUFFS!$H$5:$AF$195,20,),"")</f>
        <v/>
      </c>
    </row>
    <row r="103" spans="1:20" x14ac:dyDescent="0.3">
      <c r="A103" s="17"/>
      <c r="B103" s="18"/>
      <c r="C103" s="13"/>
      <c r="D103" s="31"/>
      <c r="E103" s="24"/>
      <c r="F103" s="71"/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72"/>
      <c r="M103" s="66" t="str">
        <f>IFERROR(VLOOKUP(A103,BUFFS!$H$5:$AF$195,14,),"")</f>
        <v/>
      </c>
      <c r="N103" s="74"/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5"/>
        <v/>
      </c>
      <c r="T103" s="70" t="str">
        <f>IFERROR(VLOOKUP(A103,BUFFS!$H$5:$AF$195,20,),"")</f>
        <v/>
      </c>
    </row>
    <row r="104" spans="1:20" x14ac:dyDescent="0.3">
      <c r="A104" s="17"/>
      <c r="B104" s="18"/>
      <c r="C104" s="13"/>
      <c r="D104" s="31"/>
      <c r="E104" s="24"/>
      <c r="F104" s="71"/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72"/>
      <c r="M104" s="66" t="str">
        <f>IFERROR(VLOOKUP(A104,BUFFS!$H$5:$AF$195,14,),"")</f>
        <v/>
      </c>
      <c r="N104" s="74"/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5"/>
        <v/>
      </c>
      <c r="T104" s="70" t="str">
        <f>IFERROR(VLOOKUP(A104,BUFFS!$H$5:$AF$195,20,),"")</f>
        <v/>
      </c>
    </row>
    <row r="105" spans="1:20" x14ac:dyDescent="0.3">
      <c r="A105" s="17"/>
      <c r="B105" s="18"/>
      <c r="C105" s="13"/>
      <c r="D105" s="31"/>
      <c r="E105" s="24"/>
      <c r="F105" s="71"/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72"/>
      <c r="M105" s="66" t="str">
        <f>IFERROR(VLOOKUP(A105,BUFFS!$H$5:$AF$195,14,),"")</f>
        <v/>
      </c>
      <c r="N105" s="74"/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si="5"/>
        <v/>
      </c>
      <c r="T105" s="70" t="str">
        <f>IFERROR(VLOOKUP(A105,BUFFS!$H$5:$AF$195,20,),"")</f>
        <v/>
      </c>
    </row>
    <row r="106" spans="1:20" x14ac:dyDescent="0.3">
      <c r="A106" s="17"/>
      <c r="B106" s="18"/>
      <c r="C106" s="13"/>
      <c r="D106" s="31"/>
      <c r="E106" s="24"/>
      <c r="F106" s="71"/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72"/>
      <c r="M106" s="66" t="str">
        <f>IFERROR(VLOOKUP(A106,BUFFS!$H$5:$AF$195,14,),"")</f>
        <v/>
      </c>
      <c r="N106" s="74"/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5"/>
        <v/>
      </c>
      <c r="T106" s="70" t="str">
        <f>IFERROR(VLOOKUP(A106,BUFFS!$H$5:$AF$195,20,),"")</f>
        <v/>
      </c>
    </row>
    <row r="107" spans="1:20" x14ac:dyDescent="0.3">
      <c r="A107" s="17"/>
      <c r="B107" s="18"/>
      <c r="C107" s="13"/>
      <c r="D107" s="31"/>
      <c r="E107" s="24"/>
      <c r="F107" s="71"/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72"/>
      <c r="M107" s="66" t="str">
        <f>IFERROR(VLOOKUP(A107,BUFFS!$H$5:$AF$195,14,),"")</f>
        <v/>
      </c>
      <c r="N107" s="74"/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5"/>
        <v/>
      </c>
      <c r="T107" s="70" t="str">
        <f>IFERROR(VLOOKUP(A107,BUFFS!$H$5:$AF$195,20,),"")</f>
        <v/>
      </c>
    </row>
    <row r="108" spans="1:20" x14ac:dyDescent="0.3">
      <c r="A108" s="17"/>
      <c r="B108" s="18"/>
      <c r="C108" s="13"/>
      <c r="D108" s="31"/>
      <c r="E108" s="24"/>
      <c r="F108" s="71"/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72"/>
      <c r="M108" s="66" t="str">
        <f>IFERROR(VLOOKUP(A108,BUFFS!$H$5:$AF$195,14,),"")</f>
        <v/>
      </c>
      <c r="N108" s="74"/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5"/>
        <v/>
      </c>
      <c r="T108" s="70" t="str">
        <f>IFERROR(VLOOKUP(A108,BUFFS!$H$5:$AF$195,20,),"")</f>
        <v/>
      </c>
    </row>
    <row r="109" spans="1:20" x14ac:dyDescent="0.3">
      <c r="A109" s="17"/>
      <c r="B109" s="18"/>
      <c r="C109" s="13"/>
      <c r="D109" s="31"/>
      <c r="E109" s="24"/>
      <c r="F109" s="71"/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72"/>
      <c r="M109" s="66" t="str">
        <f>IFERROR(VLOOKUP(A109,BUFFS!$H$5:$AF$195,14,),"")</f>
        <v/>
      </c>
      <c r="N109" s="74"/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5"/>
        <v/>
      </c>
      <c r="T109" s="70" t="str">
        <f>IFERROR(VLOOKUP(A109,BUFFS!$H$5:$AF$195,20,),"")</f>
        <v/>
      </c>
    </row>
    <row r="110" spans="1:20" x14ac:dyDescent="0.3">
      <c r="A110" s="17"/>
      <c r="B110" s="18"/>
      <c r="C110" s="13"/>
      <c r="D110" s="31"/>
      <c r="E110" s="24"/>
      <c r="F110" s="71"/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72"/>
      <c r="M110" s="66" t="str">
        <f>IFERROR(VLOOKUP(A110,BUFFS!$H$5:$AF$195,14,),"")</f>
        <v/>
      </c>
      <c r="N110" s="74"/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5"/>
        <v/>
      </c>
      <c r="T110" s="70" t="str">
        <f>IFERROR(VLOOKUP(A110,BUFFS!$H$5:$AF$195,20,),"")</f>
        <v/>
      </c>
    </row>
    <row r="111" spans="1:20" x14ac:dyDescent="0.3">
      <c r="A111" s="17"/>
      <c r="B111" s="18"/>
      <c r="C111" s="13"/>
      <c r="D111" s="31"/>
      <c r="E111" s="24"/>
      <c r="F111" s="71"/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72"/>
      <c r="M111" s="66" t="str">
        <f>IFERROR(VLOOKUP(A111,BUFFS!$H$5:$AF$195,14,),"")</f>
        <v/>
      </c>
      <c r="N111" s="74"/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5"/>
        <v/>
      </c>
      <c r="T111" s="70" t="str">
        <f>IFERROR(VLOOKUP(A111,BUFFS!$H$5:$AF$195,20,),"")</f>
        <v/>
      </c>
    </row>
    <row r="112" spans="1:20" x14ac:dyDescent="0.3">
      <c r="A112" s="17"/>
      <c r="B112" s="18"/>
      <c r="C112" s="13"/>
      <c r="D112" s="31"/>
      <c r="E112" s="24"/>
      <c r="F112" s="71"/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72"/>
      <c r="M112" s="66" t="str">
        <f>IFERROR(VLOOKUP(A112,BUFFS!$H$5:$AF$195,14,),"")</f>
        <v/>
      </c>
      <c r="N112" s="74"/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5"/>
        <v/>
      </c>
      <c r="T112" s="70" t="str">
        <f>IFERROR(VLOOKUP(A112,BUFFS!$H$5:$AF$195,20,),"")</f>
        <v/>
      </c>
    </row>
    <row r="113" spans="1:20" x14ac:dyDescent="0.3">
      <c r="A113" s="17"/>
      <c r="B113" s="18"/>
      <c r="C113" s="13"/>
      <c r="D113" s="31"/>
      <c r="E113" s="24"/>
      <c r="F113" s="71"/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72"/>
      <c r="M113" s="66" t="str">
        <f>IFERROR(VLOOKUP(A113,BUFFS!$H$5:$AF$195,14,),"")</f>
        <v/>
      </c>
      <c r="N113" s="74"/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5"/>
        <v/>
      </c>
      <c r="T113" s="70" t="str">
        <f>IFERROR(VLOOKUP(A113,BUFFS!$H$5:$AF$195,20,),"")</f>
        <v/>
      </c>
    </row>
    <row r="114" spans="1:20" x14ac:dyDescent="0.3">
      <c r="A114" s="17"/>
      <c r="B114" s="18"/>
      <c r="C114" s="13"/>
      <c r="D114" s="31"/>
      <c r="E114" s="24"/>
      <c r="F114" s="71"/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72"/>
      <c r="M114" s="66" t="str">
        <f>IFERROR(VLOOKUP(A114,BUFFS!$H$5:$AF$195,14,),"")</f>
        <v/>
      </c>
      <c r="N114" s="74"/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5"/>
        <v/>
      </c>
      <c r="T114" s="70" t="str">
        <f>IFERROR(VLOOKUP(A114,BUFFS!$H$5:$AF$195,20,),"")</f>
        <v/>
      </c>
    </row>
    <row r="115" spans="1:20" x14ac:dyDescent="0.3">
      <c r="A115" s="17"/>
      <c r="B115" s="18"/>
      <c r="C115" s="13"/>
      <c r="D115" s="31"/>
      <c r="E115" s="24"/>
      <c r="F115" s="71"/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72"/>
      <c r="M115" s="66" t="str">
        <f>IFERROR(VLOOKUP(A115,BUFFS!$H$5:$AF$195,14,),"")</f>
        <v/>
      </c>
      <c r="N115" s="74"/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5"/>
        <v/>
      </c>
      <c r="T115" s="70" t="str">
        <f>IFERROR(VLOOKUP(A115,BUFFS!$H$5:$AF$195,20,),"")</f>
        <v/>
      </c>
    </row>
    <row r="116" spans="1:20" x14ac:dyDescent="0.3">
      <c r="A116" s="17"/>
      <c r="B116" s="18"/>
      <c r="C116" s="13"/>
      <c r="D116" s="31"/>
      <c r="E116" s="24"/>
      <c r="F116" s="71"/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72"/>
      <c r="M116" s="66" t="str">
        <f>IFERROR(VLOOKUP(A116,BUFFS!$H$5:$AF$195,14,),"")</f>
        <v/>
      </c>
      <c r="N116" s="74"/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5"/>
        <v/>
      </c>
      <c r="T116" s="70" t="str">
        <f>IFERROR(VLOOKUP(A116,BUFFS!$H$5:$AF$195,20,),"")</f>
        <v/>
      </c>
    </row>
    <row r="117" spans="1:20" x14ac:dyDescent="0.3">
      <c r="A117" s="17"/>
      <c r="B117" s="18"/>
      <c r="C117" s="13"/>
      <c r="D117" s="31"/>
      <c r="E117" s="24"/>
      <c r="F117" s="71"/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72"/>
      <c r="M117" s="66" t="str">
        <f>IFERROR(VLOOKUP(A117,BUFFS!$H$5:$AF$195,14,),"")</f>
        <v/>
      </c>
      <c r="N117" s="74"/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5"/>
        <v/>
      </c>
      <c r="T117" s="70" t="str">
        <f>IFERROR(VLOOKUP(A117,BUFFS!$H$5:$AF$195,20,),"")</f>
        <v/>
      </c>
    </row>
    <row r="118" spans="1:20" x14ac:dyDescent="0.3">
      <c r="A118" s="17"/>
      <c r="B118" s="18"/>
      <c r="C118" s="13"/>
      <c r="D118" s="31"/>
      <c r="E118" s="24"/>
      <c r="F118" s="71"/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72"/>
      <c r="M118" s="66" t="str">
        <f>IFERROR(VLOOKUP(A118,BUFFS!$H$5:$AF$195,14,),"")</f>
        <v/>
      </c>
      <c r="N118" s="74"/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5"/>
        <v/>
      </c>
      <c r="T118" s="70" t="str">
        <f>IFERROR(VLOOKUP(A118,BUFFS!$H$5:$AF$195,20,),"")</f>
        <v/>
      </c>
    </row>
    <row r="119" spans="1:20" x14ac:dyDescent="0.3">
      <c r="A119" s="17"/>
      <c r="B119" s="18"/>
      <c r="C119" s="13"/>
      <c r="D119" s="31"/>
      <c r="E119" s="24"/>
      <c r="F119" s="71"/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72"/>
      <c r="M119" s="66" t="str">
        <f>IFERROR(VLOOKUP(A119,BUFFS!$H$5:$AF$195,14,),"")</f>
        <v/>
      </c>
      <c r="N119" s="74"/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5"/>
        <v/>
      </c>
      <c r="T119" s="70" t="str">
        <f>IFERROR(VLOOKUP(A119,BUFFS!$H$5:$AF$195,20,),"")</f>
        <v/>
      </c>
    </row>
    <row r="120" spans="1:20" x14ac:dyDescent="0.3">
      <c r="A120" s="17"/>
      <c r="B120" s="18"/>
      <c r="C120" s="13"/>
      <c r="D120" s="31"/>
      <c r="E120" s="24"/>
      <c r="F120" s="71"/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72"/>
      <c r="M120" s="66" t="str">
        <f>IFERROR(VLOOKUP(A120,BUFFS!$H$5:$AF$195,14,),"")</f>
        <v/>
      </c>
      <c r="N120" s="74"/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5"/>
        <v/>
      </c>
      <c r="T120" s="70" t="str">
        <f>IFERROR(VLOOKUP(A120,BUFFS!$H$5:$AF$195,20,),"")</f>
        <v/>
      </c>
    </row>
    <row r="121" spans="1:20" x14ac:dyDescent="0.3">
      <c r="A121" s="17"/>
      <c r="B121" s="18"/>
      <c r="C121" s="13"/>
      <c r="D121" s="31"/>
      <c r="E121" s="24"/>
      <c r="F121" s="71"/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72"/>
      <c r="M121" s="66" t="str">
        <f>IFERROR(VLOOKUP(A121,BUFFS!$H$5:$AF$195,14,),"")</f>
        <v/>
      </c>
      <c r="N121" s="74"/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5"/>
        <v/>
      </c>
      <c r="T121" s="70" t="str">
        <f>IFERROR(VLOOKUP(A121,BUFFS!$H$5:$AF$195,20,),"")</f>
        <v/>
      </c>
    </row>
    <row r="122" spans="1:20" x14ac:dyDescent="0.3">
      <c r="A122" s="17"/>
      <c r="B122" s="18"/>
      <c r="C122" s="13"/>
      <c r="D122" s="31"/>
      <c r="E122" s="24"/>
      <c r="F122" s="71"/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72"/>
      <c r="M122" s="66" t="str">
        <f>IFERROR(VLOOKUP(A122,BUFFS!$H$5:$AF$195,14,),"")</f>
        <v/>
      </c>
      <c r="N122" s="74"/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5"/>
        <v/>
      </c>
      <c r="T122" s="70" t="str">
        <f>IFERROR(VLOOKUP(A122,BUFFS!$H$5:$AF$195,20,),"")</f>
        <v/>
      </c>
    </row>
    <row r="123" spans="1:20" x14ac:dyDescent="0.3">
      <c r="A123" s="17"/>
      <c r="B123" s="18"/>
      <c r="C123" s="13"/>
      <c r="D123" s="31"/>
      <c r="E123" s="24"/>
      <c r="F123" s="71"/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72"/>
      <c r="M123" s="66" t="str">
        <f>IFERROR(VLOOKUP(A123,BUFFS!$H$5:$AF$195,14,),"")</f>
        <v/>
      </c>
      <c r="N123" s="74"/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5"/>
        <v/>
      </c>
      <c r="T123" s="70" t="str">
        <f>IFERROR(VLOOKUP(A123,BUFFS!$H$5:$AF$195,20,),"")</f>
        <v/>
      </c>
    </row>
    <row r="124" spans="1:20" x14ac:dyDescent="0.3">
      <c r="A124" s="17"/>
      <c r="B124" s="18"/>
      <c r="C124" s="13"/>
      <c r="D124" s="31"/>
      <c r="E124" s="24"/>
      <c r="F124" s="71"/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72"/>
      <c r="M124" s="66" t="str">
        <f>IFERROR(VLOOKUP(A124,BUFFS!$H$5:$AF$195,14,),"")</f>
        <v/>
      </c>
      <c r="N124" s="74"/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5"/>
        <v/>
      </c>
      <c r="T124" s="70" t="str">
        <f>IFERROR(VLOOKUP(A124,BUFFS!$H$5:$AF$195,20,),"")</f>
        <v/>
      </c>
    </row>
    <row r="125" spans="1:20" x14ac:dyDescent="0.3">
      <c r="A125" s="17"/>
      <c r="B125" s="18"/>
      <c r="C125" s="13"/>
      <c r="D125" s="31"/>
      <c r="E125" s="24"/>
      <c r="F125" s="71"/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72"/>
      <c r="M125" s="66" t="str">
        <f>IFERROR(VLOOKUP(A125,BUFFS!$H$5:$AF$195,14,),"")</f>
        <v/>
      </c>
      <c r="N125" s="74"/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5"/>
        <v/>
      </c>
      <c r="T125" s="70" t="str">
        <f>IFERROR(VLOOKUP(A125,BUFFS!$H$5:$AF$195,20,),"")</f>
        <v/>
      </c>
    </row>
    <row r="126" spans="1:20" x14ac:dyDescent="0.3">
      <c r="A126" s="17"/>
      <c r="B126" s="18"/>
      <c r="C126" s="13"/>
      <c r="D126" s="31"/>
      <c r="E126" s="24"/>
      <c r="F126" s="71"/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72"/>
      <c r="M126" s="66" t="str">
        <f>IFERROR(VLOOKUP(A126,BUFFS!$H$5:$AF$195,14,),"")</f>
        <v/>
      </c>
      <c r="N126" s="74"/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5"/>
        <v/>
      </c>
      <c r="T126" s="70" t="str">
        <f>IFERROR(VLOOKUP(A126,BUFFS!$H$5:$AF$195,20,),"")</f>
        <v/>
      </c>
    </row>
    <row r="127" spans="1:20" x14ac:dyDescent="0.3">
      <c r="A127" s="17"/>
      <c r="B127" s="18"/>
      <c r="C127" s="13"/>
      <c r="D127" s="31"/>
      <c r="E127" s="24"/>
      <c r="F127" s="71"/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72"/>
      <c r="M127" s="66" t="str">
        <f>IFERROR(VLOOKUP(A127,BUFFS!$H$5:$AF$195,14,),"")</f>
        <v/>
      </c>
      <c r="N127" s="74"/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5"/>
        <v/>
      </c>
      <c r="T127" s="70" t="str">
        <f>IFERROR(VLOOKUP(A127,BUFFS!$H$5:$AF$195,20,),"")</f>
        <v/>
      </c>
    </row>
    <row r="128" spans="1:20" x14ac:dyDescent="0.3">
      <c r="A128" s="17"/>
      <c r="B128" s="18"/>
      <c r="C128" s="13"/>
      <c r="D128" s="31"/>
      <c r="E128" s="24"/>
      <c r="F128" s="71"/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72"/>
      <c r="M128" s="66" t="str">
        <f>IFERROR(VLOOKUP(A128,BUFFS!$H$5:$AF$195,14,),"")</f>
        <v/>
      </c>
      <c r="N128" s="74"/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5"/>
        <v/>
      </c>
      <c r="T128" s="70" t="str">
        <f>IFERROR(VLOOKUP(A128,BUFFS!$H$5:$AF$195,20,),"")</f>
        <v/>
      </c>
    </row>
    <row r="129" spans="1:20" x14ac:dyDescent="0.3">
      <c r="A129" s="17"/>
      <c r="B129" s="18"/>
      <c r="C129" s="13"/>
      <c r="D129" s="31"/>
      <c r="E129" s="24"/>
      <c r="F129" s="71"/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72"/>
      <c r="M129" s="66" t="str">
        <f>IFERROR(VLOOKUP(A129,BUFFS!$H$5:$AF$195,14,),"")</f>
        <v/>
      </c>
      <c r="N129" s="74"/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5"/>
        <v/>
      </c>
      <c r="T129" s="70" t="str">
        <f>IFERROR(VLOOKUP(A129,BUFFS!$H$5:$AF$195,20,),"")</f>
        <v/>
      </c>
    </row>
    <row r="130" spans="1:20" x14ac:dyDescent="0.3">
      <c r="A130" s="17"/>
      <c r="B130" s="18"/>
      <c r="C130" s="13"/>
      <c r="D130" s="31"/>
      <c r="E130" s="24"/>
      <c r="F130" s="71"/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72"/>
      <c r="M130" s="66" t="str">
        <f>IFERROR(VLOOKUP(A130,BUFFS!$H$5:$AF$195,14,),"")</f>
        <v/>
      </c>
      <c r="N130" s="74"/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5"/>
        <v/>
      </c>
      <c r="T130" s="70" t="str">
        <f>IFERROR(VLOOKUP(A130,BUFFS!$H$5:$AF$195,20,),"")</f>
        <v/>
      </c>
    </row>
    <row r="131" spans="1:20" x14ac:dyDescent="0.3">
      <c r="A131" s="17"/>
      <c r="B131" s="18"/>
      <c r="C131" s="13"/>
      <c r="D131" s="31"/>
      <c r="E131" s="24"/>
      <c r="F131" s="71"/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72"/>
      <c r="M131" s="66" t="str">
        <f>IFERROR(VLOOKUP(A131,BUFFS!$H$5:$AF$195,14,),"")</f>
        <v/>
      </c>
      <c r="N131" s="74"/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5"/>
        <v/>
      </c>
      <c r="T131" s="70" t="str">
        <f>IFERROR(VLOOKUP(A131,BUFFS!$H$5:$AF$195,20,),"")</f>
        <v/>
      </c>
    </row>
    <row r="132" spans="1:20" x14ac:dyDescent="0.3">
      <c r="A132" s="17"/>
      <c r="B132" s="18"/>
      <c r="C132" s="13"/>
      <c r="D132" s="31"/>
      <c r="E132" s="24"/>
      <c r="F132" s="71"/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72"/>
      <c r="M132" s="66" t="str">
        <f>IFERROR(VLOOKUP(A132,BUFFS!$H$5:$AF$195,14,),"")</f>
        <v/>
      </c>
      <c r="N132" s="74"/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5"/>
        <v/>
      </c>
      <c r="T132" s="70" t="str">
        <f>IFERROR(VLOOKUP(A132,BUFFS!$H$5:$AF$195,20,),"")</f>
        <v/>
      </c>
    </row>
    <row r="133" spans="1:20" x14ac:dyDescent="0.3">
      <c r="A133" s="17"/>
      <c r="B133" s="18"/>
      <c r="C133" s="13"/>
      <c r="D133" s="31"/>
      <c r="E133" s="24"/>
      <c r="F133" s="71"/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72"/>
      <c r="M133" s="66" t="str">
        <f>IFERROR(VLOOKUP(A133,BUFFS!$H$5:$AF$195,14,),"")</f>
        <v/>
      </c>
      <c r="N133" s="74"/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5"/>
        <v/>
      </c>
      <c r="T133" s="70" t="str">
        <f>IFERROR(VLOOKUP(A133,BUFFS!$H$5:$AF$195,20,),"")</f>
        <v/>
      </c>
    </row>
    <row r="134" spans="1:20" x14ac:dyDescent="0.3">
      <c r="A134" s="17"/>
      <c r="B134" s="18"/>
      <c r="C134" s="13"/>
      <c r="D134" s="31"/>
      <c r="E134" s="24"/>
      <c r="F134" s="71"/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72"/>
      <c r="M134" s="66" t="str">
        <f>IFERROR(VLOOKUP(A134,BUFFS!$H$5:$AF$195,14,),"")</f>
        <v/>
      </c>
      <c r="N134" s="74"/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5"/>
        <v/>
      </c>
      <c r="T134" s="70" t="str">
        <f>IFERROR(VLOOKUP(A134,BUFFS!$H$5:$AF$195,20,),"")</f>
        <v/>
      </c>
    </row>
    <row r="135" spans="1:20" x14ac:dyDescent="0.3">
      <c r="A135" s="17"/>
      <c r="B135" s="18"/>
      <c r="C135" s="13"/>
      <c r="D135" s="31"/>
      <c r="E135" s="24"/>
      <c r="F135" s="71"/>
      <c r="G135" s="66" t="str">
        <f>IFERROR(VLOOKUP(A135,BUFFS!$H$5:$AF$195,6,),"")</f>
        <v/>
      </c>
      <c r="H135" s="67" t="str">
        <f>IFERROR(VLOOKUP(A135,BUFFS!$H$5:$AF$195,7,),"")</f>
        <v/>
      </c>
      <c r="I135" s="72"/>
      <c r="J135" s="65" t="str">
        <f>IFERROR(VLOOKUP(A135,BUFFS!$H$5:$AF$195,10,),"")</f>
        <v/>
      </c>
      <c r="K135" s="66" t="str">
        <f>IFERROR(VLOOKUP(A135,BUFFS!$H$5:$AF$195,11,),"")</f>
        <v/>
      </c>
      <c r="L135" s="72"/>
      <c r="M135" s="66" t="str">
        <f>IFERROR(VLOOKUP(A135,BUFFS!$H$5:$AF$195,14,),"")</f>
        <v/>
      </c>
      <c r="N135" s="74"/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5"/>
        <v/>
      </c>
      <c r="T135" s="70" t="str">
        <f>IFERROR(VLOOKUP(A135,BUFFS!$H$5:$AF$195,20,),"")</f>
        <v/>
      </c>
    </row>
    <row r="136" spans="1:20" x14ac:dyDescent="0.3">
      <c r="A136" s="17"/>
      <c r="B136" s="18"/>
      <c r="C136" s="13"/>
      <c r="D136" s="31"/>
      <c r="E136" s="24"/>
      <c r="F136" s="71"/>
      <c r="G136" s="66" t="str">
        <f>IFERROR(VLOOKUP(A136,BUFFS!$H$5:$AF$195,6,),"")</f>
        <v/>
      </c>
      <c r="H136" s="73"/>
      <c r="I136" s="72"/>
      <c r="J136" s="65" t="str">
        <f>IFERROR(VLOOKUP(A136,BUFFS!$H$5:$AF$195,10,),"")</f>
        <v/>
      </c>
      <c r="K136" s="66" t="str">
        <f>IFERROR(VLOOKUP(A136,BUFFS!$H$5:$AF$195,11,),"")</f>
        <v/>
      </c>
      <c r="L136" s="72"/>
      <c r="M136" s="66" t="str">
        <f>IFERROR(VLOOKUP(A136,BUFFS!$H$5:$AF$195,14,),"")</f>
        <v/>
      </c>
      <c r="N136" s="74"/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5"/>
        <v/>
      </c>
      <c r="T136" s="70" t="str">
        <f>IFERROR(VLOOKUP(A136,BUFFS!$H$5:$AF$195,20,),"")</f>
        <v/>
      </c>
    </row>
    <row r="137" spans="1:20" x14ac:dyDescent="0.3">
      <c r="A137" s="17"/>
      <c r="B137" s="18"/>
      <c r="C137" s="13"/>
      <c r="D137" s="31"/>
      <c r="E137" s="24"/>
      <c r="F137" s="71"/>
      <c r="G137" s="66" t="str">
        <f>IFERROR(VLOOKUP(A137,BUFFS!$H$5:$AF$195,6,),"")</f>
        <v/>
      </c>
      <c r="H137" s="73"/>
      <c r="I137" s="72"/>
      <c r="J137" s="65" t="str">
        <f>IFERROR(VLOOKUP(A137,BUFFS!$H$5:$AF$195,10,),"")</f>
        <v/>
      </c>
      <c r="K137" s="66" t="str">
        <f>IFERROR(VLOOKUP(A137,BUFFS!$H$5:$AF$195,11,),"")</f>
        <v/>
      </c>
      <c r="L137" s="72"/>
      <c r="M137" s="66" t="str">
        <f>IFERROR(VLOOKUP(A137,BUFFS!$H$5:$AF$195,14,),"")</f>
        <v/>
      </c>
      <c r="N137" s="74"/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5"/>
        <v/>
      </c>
      <c r="T137" s="70" t="str">
        <f>IFERROR(VLOOKUP(A137,BUFFS!$H$5:$AF$195,20,),"")</f>
        <v/>
      </c>
    </row>
    <row r="138" spans="1:20" x14ac:dyDescent="0.3">
      <c r="A138" s="17"/>
      <c r="B138" s="18"/>
      <c r="C138" s="13"/>
      <c r="D138" s="31"/>
      <c r="E138" s="24"/>
      <c r="F138" s="71"/>
      <c r="G138" s="66" t="str">
        <f>IFERROR(VLOOKUP(A138,BUFFS!$H$5:$AF$195,6,),"")</f>
        <v/>
      </c>
      <c r="H138" s="73"/>
      <c r="I138" s="72"/>
      <c r="J138" s="65" t="str">
        <f>IFERROR(VLOOKUP(A138,BUFFS!$H$5:$AF$195,10,),"")</f>
        <v/>
      </c>
      <c r="K138" s="66" t="str">
        <f>IFERROR(VLOOKUP(A138,BUFFS!$H$5:$AF$195,11,),"")</f>
        <v/>
      </c>
      <c r="L138" s="72"/>
      <c r="M138" s="66" t="str">
        <f>IFERROR(VLOOKUP(A138,BUFFS!$H$5:$AF$195,14,),"")</f>
        <v/>
      </c>
      <c r="N138" s="74"/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5"/>
        <v/>
      </c>
      <c r="T138" s="70" t="str">
        <f>IFERROR(VLOOKUP(A138,BUFFS!$H$5:$AF$195,20,),"")</f>
        <v/>
      </c>
    </row>
    <row r="139" spans="1:20" x14ac:dyDescent="0.3">
      <c r="A139" s="17"/>
      <c r="B139" s="18"/>
      <c r="C139" s="13"/>
      <c r="D139" s="31"/>
      <c r="E139" s="24"/>
      <c r="F139" s="71"/>
      <c r="G139" s="66" t="str">
        <f>IFERROR(VLOOKUP(A139,BUFFS!$H$5:$AF$195,6,),"")</f>
        <v/>
      </c>
      <c r="H139" s="73"/>
      <c r="I139" s="72"/>
      <c r="J139" s="65" t="str">
        <f>IFERROR(VLOOKUP(A139,BUFFS!$H$5:$AF$195,10,),"")</f>
        <v/>
      </c>
      <c r="K139" s="66" t="str">
        <f>IFERROR(VLOOKUP(A139,BUFFS!$H$5:$AF$195,11,),"")</f>
        <v/>
      </c>
      <c r="L139" s="72"/>
      <c r="M139" s="66" t="str">
        <f>IFERROR(VLOOKUP(A139,BUFFS!$H$5:$AF$195,14,),"")</f>
        <v/>
      </c>
      <c r="N139" s="74"/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5"/>
        <v/>
      </c>
      <c r="T139" s="70" t="str">
        <f>IFERROR(VLOOKUP(A139,BUFFS!$H$5:$AF$195,20,),"")</f>
        <v/>
      </c>
    </row>
    <row r="140" spans="1:20" x14ac:dyDescent="0.3">
      <c r="A140" s="17"/>
      <c r="B140" s="18"/>
      <c r="C140" s="13"/>
      <c r="D140" s="31"/>
      <c r="E140" s="24"/>
      <c r="F140" s="71"/>
      <c r="G140" s="66" t="str">
        <f>IFERROR(VLOOKUP(A140,BUFFS!$H$5:$AF$195,6,),"")</f>
        <v/>
      </c>
      <c r="H140" s="73"/>
      <c r="I140" s="72"/>
      <c r="J140" s="65" t="str">
        <f>IFERROR(VLOOKUP(A140,BUFFS!$H$5:$AF$195,10,),"")</f>
        <v/>
      </c>
      <c r="K140" s="66" t="str">
        <f>IFERROR(VLOOKUP(A140,BUFFS!$H$5:$AF$195,11,),"")</f>
        <v/>
      </c>
      <c r="L140" s="72"/>
      <c r="M140" s="66" t="str">
        <f>IFERROR(VLOOKUP(A140,BUFFS!$H$5:$AF$195,14,),"")</f>
        <v/>
      </c>
      <c r="N140" s="74"/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5"/>
        <v/>
      </c>
      <c r="T140" s="70" t="str">
        <f>IFERROR(VLOOKUP(A140,BUFFS!$H$5:$AF$195,20,),"")</f>
        <v/>
      </c>
    </row>
    <row r="141" spans="1:20" x14ac:dyDescent="0.3">
      <c r="A141" s="17"/>
      <c r="B141" s="18"/>
      <c r="C141" s="13"/>
      <c r="D141" s="31"/>
      <c r="E141" s="24"/>
      <c r="F141" s="71"/>
      <c r="G141" s="66" t="str">
        <f>IFERROR(VLOOKUP(A141,BUFFS!$H$5:$AF$195,6,),"")</f>
        <v/>
      </c>
      <c r="H141" s="73"/>
      <c r="I141" s="72"/>
      <c r="J141" s="65" t="str">
        <f>IFERROR(VLOOKUP(A141,BUFFS!$H$5:$AF$195,10,),"")</f>
        <v/>
      </c>
      <c r="K141" s="66" t="str">
        <f>IFERROR(VLOOKUP(A141,BUFFS!$H$5:$AF$195,11,),"")</f>
        <v/>
      </c>
      <c r="L141" s="72"/>
      <c r="M141" s="66" t="str">
        <f>IFERROR(VLOOKUP(A141,BUFFS!$H$5:$AF$195,14,),"")</f>
        <v/>
      </c>
      <c r="N141" s="74"/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5"/>
        <v/>
      </c>
      <c r="T141" s="70" t="str">
        <f>IFERROR(VLOOKUP(A141,BUFFS!$H$5:$AF$195,20,),"")</f>
        <v/>
      </c>
    </row>
    <row r="142" spans="1:20" x14ac:dyDescent="0.3">
      <c r="A142" s="17"/>
      <c r="B142" s="18"/>
      <c r="C142" s="13"/>
      <c r="D142" s="31"/>
      <c r="E142" s="24"/>
      <c r="F142" s="71"/>
      <c r="G142" s="66" t="str">
        <f>IFERROR(VLOOKUP(A142,BUFFS!$H$5:$AF$195,6,),"")</f>
        <v/>
      </c>
      <c r="H142" s="73"/>
      <c r="I142" s="72"/>
      <c r="J142" s="65" t="str">
        <f>IFERROR(VLOOKUP(A142,BUFFS!$H$5:$AF$195,10,),"")</f>
        <v/>
      </c>
      <c r="K142" s="66" t="str">
        <f>IFERROR(VLOOKUP(A142,BUFFS!$H$5:$AF$195,11,),"")</f>
        <v/>
      </c>
      <c r="L142" s="72"/>
      <c r="M142" s="72"/>
      <c r="N142" s="74"/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5"/>
        <v/>
      </c>
      <c r="T142" s="70" t="str">
        <f>IFERROR(VLOOKUP(A142,BUFFS!$H$5:$AF$195,20,),"")</f>
        <v/>
      </c>
    </row>
    <row r="143" spans="1:20" x14ac:dyDescent="0.3">
      <c r="A143" s="17"/>
      <c r="B143" s="18"/>
      <c r="C143" s="13"/>
      <c r="D143" s="31"/>
      <c r="E143" s="24"/>
      <c r="F143" s="71"/>
      <c r="G143" s="66" t="str">
        <f>IFERROR(VLOOKUP(A143,BUFFS!$H$5:$AF$195,6,),"")</f>
        <v/>
      </c>
      <c r="H143" s="73"/>
      <c r="I143" s="72"/>
      <c r="J143" s="65" t="str">
        <f>IFERROR(VLOOKUP(A143,BUFFS!$H$5:$AF$195,10,),"")</f>
        <v/>
      </c>
      <c r="K143" s="66" t="str">
        <f>IFERROR(VLOOKUP(A143,BUFFS!$H$5:$AF$195,11,),"")</f>
        <v/>
      </c>
      <c r="L143" s="72"/>
      <c r="M143" s="72"/>
      <c r="N143" s="74"/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5"/>
        <v/>
      </c>
      <c r="T143" s="70" t="str">
        <f>IFERROR(VLOOKUP(A143,BUFFS!$H$5:$AF$195,20,),"")</f>
        <v/>
      </c>
    </row>
    <row r="144" spans="1:20" x14ac:dyDescent="0.3">
      <c r="A144" s="17"/>
      <c r="B144" s="18"/>
      <c r="C144" s="13"/>
      <c r="D144" s="31"/>
      <c r="E144" s="24"/>
      <c r="F144" s="71"/>
      <c r="G144" s="66" t="str">
        <f>IFERROR(VLOOKUP(A144,BUFFS!$H$5:$AF$195,6,),"")</f>
        <v/>
      </c>
      <c r="H144" s="73"/>
      <c r="I144" s="72"/>
      <c r="J144" s="65" t="str">
        <f>IFERROR(VLOOKUP(A144,BUFFS!$H$5:$AF$195,10,),"")</f>
        <v/>
      </c>
      <c r="K144" s="66" t="str">
        <f>IFERROR(VLOOKUP(A144,BUFFS!$H$5:$AF$195,11,),"")</f>
        <v/>
      </c>
      <c r="L144" s="72"/>
      <c r="M144" s="72"/>
      <c r="N144" s="74"/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5"/>
        <v/>
      </c>
      <c r="T144" s="70" t="str">
        <f>IFERROR(VLOOKUP(A144,BUFFS!$H$5:$AF$195,20,),"")</f>
        <v/>
      </c>
    </row>
    <row r="145" spans="1:20" x14ac:dyDescent="0.3">
      <c r="A145" s="17"/>
      <c r="B145" s="18"/>
      <c r="C145" s="13"/>
      <c r="D145" s="31"/>
      <c r="E145" s="24"/>
      <c r="F145" s="71"/>
      <c r="G145" s="66" t="str">
        <f>IFERROR(VLOOKUP(A145,BUFFS!$H$5:$AF$195,6,),"")</f>
        <v/>
      </c>
      <c r="H145" s="73"/>
      <c r="I145" s="72"/>
      <c r="J145" s="71"/>
      <c r="K145" s="66" t="str">
        <f>IFERROR(VLOOKUP(A145,BUFFS!$H$5:$AF$195,11,),"")</f>
        <v/>
      </c>
      <c r="L145" s="72"/>
      <c r="M145" s="72"/>
      <c r="N145" s="74"/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5"/>
        <v/>
      </c>
      <c r="T145" s="70" t="str">
        <f>IFERROR(VLOOKUP(A145,BUFFS!$H$5:$AF$195,20,),"")</f>
        <v/>
      </c>
    </row>
    <row r="146" spans="1:20" x14ac:dyDescent="0.3">
      <c r="A146" s="17"/>
      <c r="B146" s="18"/>
      <c r="C146" s="13"/>
      <c r="D146" s="31"/>
      <c r="E146" s="24"/>
      <c r="F146" s="71"/>
      <c r="G146" s="66" t="str">
        <f>IFERROR(VLOOKUP(A146,BUFFS!$H$5:$AF$195,6,),"")</f>
        <v/>
      </c>
      <c r="H146" s="73"/>
      <c r="I146" s="72"/>
      <c r="J146" s="71"/>
      <c r="K146" s="66" t="str">
        <f>IFERROR(VLOOKUP(A146,BUFFS!$H$5:$AF$195,11,),"")</f>
        <v/>
      </c>
      <c r="L146" s="72"/>
      <c r="M146" s="72"/>
      <c r="N146" s="74"/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5"/>
        <v/>
      </c>
      <c r="T146" s="70" t="str">
        <f>IFERROR(VLOOKUP(A146,BUFFS!$H$5:$AF$195,20,),"")</f>
        <v/>
      </c>
    </row>
    <row r="147" spans="1:20" x14ac:dyDescent="0.3">
      <c r="A147" s="17"/>
      <c r="B147" s="18"/>
      <c r="C147" s="13"/>
      <c r="D147" s="31"/>
      <c r="E147" s="24"/>
      <c r="F147" s="71"/>
      <c r="G147" s="66" t="str">
        <f>IFERROR(VLOOKUP(A147,BUFFS!$H$5:$AF$195,6,),"")</f>
        <v/>
      </c>
      <c r="H147" s="73"/>
      <c r="I147" s="72"/>
      <c r="J147" s="71"/>
      <c r="K147" s="66" t="str">
        <f>IFERROR(VLOOKUP(A147,BUFFS!$H$5:$AF$195,11,),"")</f>
        <v/>
      </c>
      <c r="L147" s="72"/>
      <c r="M147" s="72"/>
      <c r="N147" s="74"/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5"/>
        <v/>
      </c>
      <c r="T147" s="70" t="str">
        <f>IFERROR(VLOOKUP(A147,BUFFS!$H$5:$AF$195,20,),"")</f>
        <v/>
      </c>
    </row>
    <row r="148" spans="1:20" x14ac:dyDescent="0.3">
      <c r="A148" s="17"/>
      <c r="B148" s="18"/>
      <c r="C148" s="13"/>
      <c r="D148" s="31"/>
      <c r="E148" s="24"/>
      <c r="F148" s="71"/>
      <c r="G148" s="66" t="str">
        <f>IFERROR(VLOOKUP(A148,BUFFS!$H$5:$AF$195,6,),"")</f>
        <v/>
      </c>
      <c r="H148" s="73"/>
      <c r="I148" s="72"/>
      <c r="J148" s="71"/>
      <c r="K148" s="72"/>
      <c r="L148" s="72"/>
      <c r="M148" s="72"/>
      <c r="N148" s="74"/>
      <c r="O148" s="71"/>
      <c r="P148" s="72"/>
      <c r="Q148" s="72"/>
      <c r="R148" s="72"/>
      <c r="S148" s="74"/>
      <c r="T148" s="75"/>
    </row>
    <row r="149" spans="1:20" x14ac:dyDescent="0.3">
      <c r="A149" s="17"/>
      <c r="B149" s="18"/>
      <c r="C149" s="13"/>
      <c r="D149" s="31"/>
      <c r="E149" s="24"/>
      <c r="F149" s="71"/>
      <c r="G149" s="72"/>
      <c r="H149" s="73"/>
      <c r="I149" s="72"/>
      <c r="J149" s="71"/>
      <c r="K149" s="72"/>
      <c r="L149" s="72"/>
      <c r="M149" s="72"/>
      <c r="N149" s="74"/>
      <c r="O149" s="71"/>
      <c r="P149" s="72"/>
      <c r="Q149" s="72"/>
      <c r="R149" s="72"/>
      <c r="S149" s="74"/>
      <c r="T149" s="75"/>
    </row>
    <row r="150" spans="1:20" x14ac:dyDescent="0.3">
      <c r="A150" s="17"/>
      <c r="B150" s="18"/>
      <c r="C150" s="13"/>
      <c r="D150" s="31"/>
      <c r="E150" s="24"/>
      <c r="F150" s="71"/>
      <c r="G150" s="72"/>
      <c r="H150" s="73"/>
      <c r="I150" s="72"/>
      <c r="J150" s="71"/>
      <c r="K150" s="72"/>
      <c r="L150" s="72"/>
      <c r="M150" s="72"/>
      <c r="N150" s="74"/>
      <c r="O150" s="71"/>
      <c r="P150" s="72"/>
      <c r="Q150" s="72"/>
      <c r="R150" s="72"/>
      <c r="S150" s="74"/>
      <c r="T150" s="75"/>
    </row>
    <row r="151" spans="1:20" x14ac:dyDescent="0.3">
      <c r="A151" s="17"/>
      <c r="B151" s="18"/>
      <c r="C151" s="13"/>
      <c r="D151" s="31"/>
      <c r="E151" s="24"/>
      <c r="F151" s="71"/>
      <c r="G151" s="72"/>
      <c r="H151" s="73"/>
      <c r="I151" s="72"/>
      <c r="J151" s="71"/>
      <c r="K151" s="72"/>
      <c r="L151" s="72"/>
      <c r="M151" s="72"/>
      <c r="N151" s="74"/>
      <c r="O151" s="71"/>
      <c r="P151" s="72"/>
      <c r="Q151" s="72"/>
      <c r="R151" s="72"/>
      <c r="S151" s="74"/>
      <c r="T151" s="75"/>
    </row>
    <row r="152" spans="1:20" x14ac:dyDescent="0.3">
      <c r="A152" s="17"/>
      <c r="B152" s="18"/>
      <c r="C152" s="13"/>
      <c r="D152" s="31"/>
      <c r="E152" s="24"/>
      <c r="F152" s="71"/>
      <c r="G152" s="72"/>
      <c r="H152" s="73"/>
      <c r="I152" s="72"/>
      <c r="J152" s="71"/>
      <c r="K152" s="72"/>
      <c r="L152" s="72"/>
      <c r="M152" s="72"/>
      <c r="N152" s="74"/>
      <c r="O152" s="71"/>
      <c r="P152" s="72"/>
      <c r="Q152" s="72"/>
      <c r="R152" s="72"/>
      <c r="S152" s="74"/>
      <c r="T152" s="75"/>
    </row>
    <row r="153" spans="1:20" x14ac:dyDescent="0.3">
      <c r="A153" s="17"/>
      <c r="B153" s="18"/>
      <c r="C153" s="13"/>
      <c r="D153" s="31"/>
      <c r="E153" s="24"/>
      <c r="F153" s="71"/>
      <c r="G153" s="72"/>
      <c r="H153" s="73"/>
      <c r="I153" s="72"/>
      <c r="J153" s="71"/>
      <c r="K153" s="72"/>
      <c r="L153" s="72"/>
      <c r="M153" s="72"/>
      <c r="N153" s="74"/>
      <c r="O153" s="71"/>
      <c r="P153" s="72"/>
      <c r="Q153" s="72"/>
      <c r="R153" s="72"/>
      <c r="S153" s="74"/>
      <c r="T153" s="75"/>
    </row>
    <row r="154" spans="1:20" x14ac:dyDescent="0.3">
      <c r="A154" s="17"/>
      <c r="B154" s="18"/>
      <c r="C154" s="13"/>
      <c r="D154" s="31"/>
      <c r="E154" s="24"/>
      <c r="F154" s="71"/>
      <c r="G154" s="72"/>
      <c r="H154" s="73"/>
      <c r="I154" s="72"/>
      <c r="J154" s="71"/>
      <c r="K154" s="72"/>
      <c r="L154" s="72"/>
      <c r="M154" s="72"/>
      <c r="N154" s="74"/>
      <c r="O154" s="71"/>
      <c r="P154" s="72"/>
      <c r="Q154" s="72"/>
      <c r="R154" s="72"/>
      <c r="S154" s="74"/>
      <c r="T154" s="75"/>
    </row>
    <row r="155" spans="1:20" x14ac:dyDescent="0.3">
      <c r="A155" s="17"/>
      <c r="B155" s="18"/>
      <c r="C155" s="13"/>
      <c r="D155" s="31"/>
      <c r="E155" s="24"/>
      <c r="F155" s="71"/>
      <c r="G155" s="72"/>
      <c r="H155" s="73"/>
      <c r="I155" s="72"/>
      <c r="J155" s="71"/>
      <c r="K155" s="72"/>
      <c r="L155" s="72"/>
      <c r="M155" s="72"/>
      <c r="N155" s="74"/>
      <c r="O155" s="71"/>
      <c r="P155" s="72"/>
      <c r="Q155" s="72"/>
      <c r="R155" s="72"/>
      <c r="S155" s="74"/>
      <c r="T155" s="75"/>
    </row>
    <row r="156" spans="1:20" x14ac:dyDescent="0.3">
      <c r="A156" s="17"/>
      <c r="B156" s="18"/>
      <c r="C156" s="13"/>
      <c r="D156" s="31"/>
      <c r="E156" s="24"/>
      <c r="F156" s="71"/>
      <c r="G156" s="72"/>
      <c r="H156" s="73"/>
      <c r="I156" s="72"/>
      <c r="J156" s="71"/>
      <c r="K156" s="72"/>
      <c r="L156" s="72"/>
      <c r="M156" s="72"/>
      <c r="N156" s="74"/>
      <c r="O156" s="71"/>
      <c r="P156" s="72"/>
      <c r="Q156" s="72"/>
      <c r="R156" s="72"/>
      <c r="S156" s="74"/>
      <c r="T156" s="75"/>
    </row>
    <row r="157" spans="1:20" x14ac:dyDescent="0.3">
      <c r="A157" s="17"/>
      <c r="B157" s="18"/>
      <c r="C157" s="13"/>
      <c r="D157" s="31"/>
      <c r="E157" s="24"/>
      <c r="F157" s="71"/>
      <c r="G157" s="72"/>
      <c r="H157" s="73"/>
      <c r="I157" s="72"/>
      <c r="J157" s="71"/>
      <c r="K157" s="72"/>
      <c r="L157" s="72"/>
      <c r="M157" s="72"/>
      <c r="N157" s="74"/>
      <c r="O157" s="71"/>
      <c r="P157" s="72"/>
      <c r="Q157" s="72"/>
      <c r="R157" s="72"/>
      <c r="S157" s="74"/>
      <c r="T157" s="75"/>
    </row>
    <row r="158" spans="1:20" x14ac:dyDescent="0.3">
      <c r="A158" s="17"/>
      <c r="B158" s="18"/>
      <c r="C158" s="13"/>
      <c r="D158" s="31"/>
      <c r="E158" s="24"/>
      <c r="F158" s="71"/>
      <c r="G158" s="72"/>
      <c r="H158" s="73"/>
      <c r="I158" s="72"/>
      <c r="J158" s="71"/>
      <c r="K158" s="72"/>
      <c r="L158" s="72"/>
      <c r="M158" s="72"/>
      <c r="N158" s="74"/>
      <c r="O158" s="71"/>
      <c r="P158" s="72"/>
      <c r="Q158" s="72"/>
      <c r="R158" s="72"/>
      <c r="S158" s="74"/>
      <c r="T158" s="75"/>
    </row>
    <row r="159" spans="1:20" x14ac:dyDescent="0.3">
      <c r="A159" s="17"/>
      <c r="B159" s="18"/>
      <c r="C159" s="13"/>
      <c r="D159" s="31"/>
      <c r="E159" s="24"/>
      <c r="F159" s="71"/>
      <c r="G159" s="72"/>
      <c r="H159" s="73"/>
      <c r="I159" s="72"/>
      <c r="J159" s="71"/>
      <c r="K159" s="72"/>
      <c r="L159" s="72"/>
      <c r="M159" s="72"/>
      <c r="N159" s="74"/>
      <c r="O159" s="71"/>
      <c r="P159" s="72"/>
      <c r="Q159" s="72"/>
      <c r="R159" s="72"/>
      <c r="S159" s="74"/>
      <c r="T159" s="75"/>
    </row>
    <row r="160" spans="1:20" x14ac:dyDescent="0.3">
      <c r="A160" s="17"/>
      <c r="B160" s="18"/>
      <c r="C160" s="13"/>
      <c r="D160" s="31"/>
      <c r="E160" s="24"/>
      <c r="F160" s="71"/>
      <c r="G160" s="72"/>
      <c r="H160" s="73"/>
      <c r="I160" s="72"/>
      <c r="J160" s="71"/>
      <c r="K160" s="72"/>
      <c r="L160" s="72"/>
      <c r="M160" s="72"/>
      <c r="N160" s="74"/>
      <c r="O160" s="71"/>
      <c r="P160" s="72"/>
      <c r="Q160" s="72"/>
      <c r="R160" s="72"/>
      <c r="S160" s="74"/>
      <c r="T160" s="75"/>
    </row>
    <row r="161" spans="1:20" x14ac:dyDescent="0.3">
      <c r="A161" s="17"/>
      <c r="B161" s="18"/>
      <c r="C161" s="13"/>
      <c r="D161" s="31"/>
      <c r="E161" s="24"/>
      <c r="F161" s="71"/>
      <c r="G161" s="72"/>
      <c r="H161" s="73"/>
      <c r="I161" s="72"/>
      <c r="J161" s="71"/>
      <c r="K161" s="72"/>
      <c r="L161" s="72"/>
      <c r="M161" s="72"/>
      <c r="N161" s="74"/>
      <c r="O161" s="71"/>
      <c r="P161" s="72"/>
      <c r="Q161" s="72"/>
      <c r="R161" s="72"/>
      <c r="S161" s="74"/>
      <c r="T161" s="75"/>
    </row>
    <row r="162" spans="1:20" x14ac:dyDescent="0.3">
      <c r="A162" s="17"/>
      <c r="B162" s="18"/>
      <c r="C162" s="13"/>
      <c r="D162" s="31"/>
      <c r="E162" s="24"/>
      <c r="F162" s="71"/>
      <c r="G162" s="72"/>
      <c r="H162" s="73"/>
      <c r="I162" s="72"/>
      <c r="J162" s="71"/>
      <c r="K162" s="72"/>
      <c r="L162" s="72"/>
      <c r="M162" s="72"/>
      <c r="N162" s="74"/>
      <c r="O162" s="71"/>
      <c r="P162" s="72"/>
      <c r="Q162" s="72"/>
      <c r="R162" s="72"/>
      <c r="S162" s="74"/>
      <c r="T162" s="75"/>
    </row>
    <row r="163" spans="1:20" x14ac:dyDescent="0.3">
      <c r="A163" s="17"/>
      <c r="B163" s="18"/>
      <c r="C163" s="13"/>
      <c r="D163" s="31"/>
      <c r="E163" s="24"/>
      <c r="F163" s="71"/>
      <c r="G163" s="72"/>
      <c r="H163" s="73"/>
      <c r="I163" s="72"/>
      <c r="J163" s="71"/>
      <c r="K163" s="72"/>
      <c r="L163" s="72"/>
      <c r="M163" s="72"/>
      <c r="N163" s="74"/>
      <c r="O163" s="71"/>
      <c r="P163" s="72"/>
      <c r="Q163" s="72"/>
      <c r="R163" s="72"/>
      <c r="S163" s="74"/>
      <c r="T163" s="75"/>
    </row>
    <row r="164" spans="1:20" x14ac:dyDescent="0.3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mergeCells count="13">
    <mergeCell ref="G22:H22"/>
    <mergeCell ref="AW24:AX24"/>
    <mergeCell ref="G29:H29"/>
    <mergeCell ref="AW4:AY4"/>
    <mergeCell ref="I10:J10"/>
    <mergeCell ref="G13:I13"/>
    <mergeCell ref="J13:L13"/>
    <mergeCell ref="AW20:AY20"/>
    <mergeCell ref="L1:M1"/>
    <mergeCell ref="L2:M2"/>
    <mergeCell ref="I3:J3"/>
    <mergeCell ref="L3:M3"/>
    <mergeCell ref="AW21:AX21"/>
  </mergeCells>
  <dataValidations count="5">
    <dataValidation type="list" allowBlank="1" showInputMessage="1" showErrorMessage="1" sqref="A35:A472">
      <formula1>BUFFS</formula1>
    </dataValidation>
    <dataValidation type="list" allowBlank="1" showInputMessage="1" showErrorMessage="1" sqref="W4 R4:U4 Y4:AP4 AR4">
      <formula1>$A$5:$A$37</formula1>
    </dataValidation>
    <dataValidation type="list" allowBlank="1" showInputMessage="1" showErrorMessage="1" sqref="K12 K14">
      <formula1>$AZ$20:$BD$20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L12 L14">
      <formula1>$A$12:$A$13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472"/>
  <sheetViews>
    <sheetView topLeftCell="A28" workbookViewId="0">
      <selection activeCell="A45" sqref="A45"/>
    </sheetView>
  </sheetViews>
  <sheetFormatPr defaultRowHeight="18.75" x14ac:dyDescent="0.3"/>
  <cols>
    <col min="1" max="1" width="25.28515625" style="3" bestFit="1" customWidth="1"/>
    <col min="2" max="2" width="11.42578125" style="161" bestFit="1" customWidth="1"/>
    <col min="3" max="3" width="15" style="161" bestFit="1" customWidth="1"/>
    <col min="4" max="4" width="18.5703125" style="161" customWidth="1"/>
    <col min="5" max="5" width="12.85546875" style="161" bestFit="1" customWidth="1"/>
    <col min="6" max="6" width="20.28515625" style="161" bestFit="1" customWidth="1"/>
    <col min="7" max="7" width="28.140625" style="161" bestFit="1" customWidth="1"/>
    <col min="8" max="8" width="11" style="161" bestFit="1" customWidth="1"/>
    <col min="9" max="9" width="15" style="161" customWidth="1"/>
    <col min="10" max="10" width="20.85546875" style="161" customWidth="1"/>
    <col min="11" max="11" width="15.5703125" style="161" customWidth="1"/>
    <col min="12" max="12" width="17.5703125" style="161" customWidth="1"/>
    <col min="13" max="13" width="13.5703125" style="161" bestFit="1" customWidth="1"/>
    <col min="14" max="14" width="12.85546875" style="161" bestFit="1" customWidth="1"/>
    <col min="15" max="15" width="20.140625" style="161" bestFit="1" customWidth="1"/>
    <col min="16" max="16" width="14.140625" style="161" bestFit="1" customWidth="1"/>
    <col min="17" max="17" width="26.85546875" style="161" customWidth="1"/>
    <col min="18" max="18" width="26.85546875" style="161" bestFit="1" customWidth="1"/>
    <col min="19" max="19" width="18.85546875" style="161" bestFit="1" customWidth="1"/>
    <col min="20" max="20" width="18" style="161" bestFit="1" customWidth="1"/>
    <col min="21" max="21" width="22.140625" style="161" bestFit="1" customWidth="1"/>
    <col min="22" max="22" width="12.5703125" style="161" customWidth="1"/>
    <col min="23" max="23" width="25.7109375" style="161" customWidth="1"/>
    <col min="24" max="24" width="22.140625" style="161" bestFit="1" customWidth="1"/>
    <col min="25" max="25" width="26.85546875" style="161" bestFit="1" customWidth="1"/>
    <col min="26" max="26" width="28.140625" style="161" bestFit="1" customWidth="1"/>
    <col min="27" max="27" width="14.42578125" style="161" bestFit="1" customWidth="1"/>
    <col min="28" max="28" width="14.28515625" style="161" bestFit="1" customWidth="1"/>
    <col min="29" max="29" width="16" style="161" bestFit="1" customWidth="1"/>
    <col min="30" max="30" width="21.42578125" style="161" bestFit="1" customWidth="1"/>
    <col min="31" max="31" width="37.42578125" style="161" customWidth="1"/>
    <col min="32" max="32" width="17.28515625" style="161" bestFit="1" customWidth="1"/>
    <col min="33" max="33" width="14.28515625" style="161" bestFit="1" customWidth="1"/>
    <col min="34" max="34" width="19.140625" style="161" bestFit="1" customWidth="1"/>
    <col min="35" max="35" width="16.28515625" style="161" bestFit="1" customWidth="1"/>
    <col min="36" max="36" width="14.28515625" style="161" bestFit="1" customWidth="1"/>
    <col min="37" max="37" width="13.5703125" style="161" bestFit="1" customWidth="1"/>
    <col min="38" max="38" width="12" style="161" bestFit="1" customWidth="1"/>
    <col min="39" max="40" width="13.5703125" style="161" bestFit="1" customWidth="1"/>
    <col min="41" max="41" width="18.7109375" style="161" customWidth="1"/>
    <col min="42" max="42" width="9.28515625" style="161" bestFit="1" customWidth="1"/>
    <col min="43" max="43" width="14.5703125" style="161" bestFit="1" customWidth="1"/>
    <col min="44" max="44" width="23" style="161" bestFit="1" customWidth="1"/>
    <col min="45" max="51" width="9.140625" style="161"/>
    <col min="52" max="52" width="14.140625" style="161" bestFit="1" customWidth="1"/>
    <col min="53" max="53" width="15.7109375" style="161" bestFit="1" customWidth="1"/>
    <col min="54" max="54" width="15.28515625" style="161" bestFit="1" customWidth="1"/>
    <col min="55" max="55" width="26" style="161" bestFit="1" customWidth="1"/>
    <col min="56" max="56" width="16.140625" style="161" bestFit="1" customWidth="1"/>
    <col min="57" max="16384" width="9.140625" style="161"/>
  </cols>
  <sheetData>
    <row r="1" spans="1:66" ht="23.25" x14ac:dyDescent="0.35">
      <c r="A1" s="3" t="s">
        <v>46</v>
      </c>
      <c r="B1" s="157" t="s">
        <v>222</v>
      </c>
      <c r="C1" s="161" t="s">
        <v>95</v>
      </c>
      <c r="D1" s="86" t="s">
        <v>135</v>
      </c>
      <c r="H1" s="164" t="s">
        <v>157</v>
      </c>
      <c r="L1" s="180"/>
      <c r="M1" s="180"/>
    </row>
    <row r="2" spans="1:66" x14ac:dyDescent="0.3">
      <c r="L2" s="180"/>
      <c r="M2" s="180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118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">
      <c r="A3" s="3" t="s">
        <v>127</v>
      </c>
      <c r="B3" s="161">
        <v>106910</v>
      </c>
      <c r="I3" s="180"/>
      <c r="J3" s="180"/>
      <c r="L3" s="180"/>
      <c r="M3" s="180"/>
      <c r="AW3" s="11" t="s">
        <v>88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">
      <c r="A4" s="3" t="s">
        <v>155</v>
      </c>
      <c r="B4" s="16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96</v>
      </c>
      <c r="W4" s="95" t="s">
        <v>6</v>
      </c>
      <c r="X4" s="95" t="s">
        <v>64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83" t="s">
        <v>114</v>
      </c>
      <c r="AX4" s="184"/>
      <c r="AY4" s="184"/>
      <c r="AZ4" s="12">
        <v>0</v>
      </c>
      <c r="BA4" s="12" t="s">
        <v>115</v>
      </c>
      <c r="BB4" s="12"/>
      <c r="BC4" s="12"/>
      <c r="BE4" s="12"/>
      <c r="BF4" s="12" t="s">
        <v>130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">
      <c r="C5" s="148" t="s">
        <v>124</v>
      </c>
      <c r="D5" s="98" t="s">
        <v>123</v>
      </c>
      <c r="F5" s="123" t="s">
        <v>125</v>
      </c>
      <c r="G5" s="124" t="s">
        <v>109</v>
      </c>
      <c r="H5" s="125" t="s">
        <v>119</v>
      </c>
      <c r="I5" s="122" t="s">
        <v>120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116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75" x14ac:dyDescent="0.5">
      <c r="A6" s="116" t="s">
        <v>26</v>
      </c>
      <c r="B6" s="117">
        <f>SUM(C6:D6,R6:AR6,BG3)</f>
        <v>129</v>
      </c>
      <c r="C6" s="163">
        <f>C14*1*B4</f>
        <v>45</v>
      </c>
      <c r="D6" s="163">
        <v>84</v>
      </c>
      <c r="F6" s="86"/>
      <c r="G6" s="120">
        <v>0</v>
      </c>
      <c r="H6" s="121">
        <v>0</v>
      </c>
      <c r="I6" s="126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5" x14ac:dyDescent="0.5">
      <c r="A7" s="118" t="s">
        <v>28</v>
      </c>
      <c r="B7" s="119">
        <f>SUM(MIN(C13,G7),D7,R7:AR7,BA10,H30*6)</f>
        <v>35</v>
      </c>
      <c r="D7" s="163">
        <v>10</v>
      </c>
      <c r="F7" s="161" t="s">
        <v>126</v>
      </c>
      <c r="G7" s="163">
        <v>100</v>
      </c>
      <c r="R7" s="142">
        <v>0</v>
      </c>
      <c r="S7" s="142">
        <v>0</v>
      </c>
      <c r="T7" s="142">
        <v>5</v>
      </c>
      <c r="U7" s="142">
        <v>0</v>
      </c>
      <c r="V7" s="142">
        <v>0</v>
      </c>
      <c r="W7" s="142">
        <v>0</v>
      </c>
      <c r="X7" s="142">
        <v>0</v>
      </c>
      <c r="Y7" s="142">
        <v>2</v>
      </c>
      <c r="Z7" s="142">
        <v>3</v>
      </c>
      <c r="AA7" s="142">
        <v>0</v>
      </c>
      <c r="AB7" s="142">
        <v>0</v>
      </c>
      <c r="AC7" s="142">
        <v>0</v>
      </c>
      <c r="AD7" s="142">
        <v>6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2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131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">
      <c r="A8" s="3" t="s">
        <v>85</v>
      </c>
      <c r="B8" s="161">
        <f>B7-T7-Y7-Z7-AD7-AE7-AJ7</f>
        <v>17</v>
      </c>
      <c r="O8" s="161" t="s">
        <v>263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">
      <c r="A9" s="3" t="s">
        <v>86</v>
      </c>
      <c r="B9" s="161">
        <f>B7-C13</f>
        <v>28</v>
      </c>
      <c r="O9" s="161" t="s">
        <v>264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144</v>
      </c>
      <c r="AY9" s="158" t="s">
        <v>145</v>
      </c>
      <c r="AZ9" s="158" t="s">
        <v>146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">
      <c r="A10" s="3" t="s">
        <v>47</v>
      </c>
      <c r="B10" s="161">
        <f>SUM(C13,R10:AR10,C10)</f>
        <v>7</v>
      </c>
      <c r="C10" s="86"/>
      <c r="G10" s="91" t="s">
        <v>88</v>
      </c>
      <c r="H10" s="83">
        <v>0</v>
      </c>
      <c r="I10" s="181" t="s">
        <v>114</v>
      </c>
      <c r="J10" s="182"/>
      <c r="K10" s="84">
        <v>0</v>
      </c>
      <c r="O10" s="161" t="s">
        <v>265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143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">
      <c r="B11" s="98" t="s">
        <v>129</v>
      </c>
      <c r="C11" s="98" t="s">
        <v>128</v>
      </c>
      <c r="D11" s="98" t="s">
        <v>123</v>
      </c>
      <c r="G11" s="166" t="s">
        <v>89</v>
      </c>
      <c r="H11" s="45" t="s">
        <v>91</v>
      </c>
      <c r="I11" s="4" t="s">
        <v>90</v>
      </c>
      <c r="J11" s="4" t="s">
        <v>100</v>
      </c>
      <c r="K11" s="44" t="s">
        <v>102</v>
      </c>
      <c r="L11" s="44" t="s">
        <v>101</v>
      </c>
      <c r="M11" s="44" t="s">
        <v>131</v>
      </c>
      <c r="N11" s="44" t="s">
        <v>160</v>
      </c>
      <c r="O11" s="172" t="s">
        <v>266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132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25" x14ac:dyDescent="0.3">
      <c r="A12" s="105" t="s">
        <v>79</v>
      </c>
      <c r="B12" s="129">
        <f t="shared" ref="B12:B17" si="0">SUM(D12,R12:AR12)</f>
        <v>18</v>
      </c>
      <c r="C12" s="130">
        <f t="shared" ref="C12:C17" si="1">ROUNDDOWN(B12/2,0)-5</f>
        <v>4</v>
      </c>
      <c r="D12" s="131">
        <v>18</v>
      </c>
      <c r="F12" s="3" t="s">
        <v>74</v>
      </c>
      <c r="G12" s="45">
        <f>SUM($B$23:$B$24,IF(L12="Strength",$C$12,$C$13),M12,$H$10*(-1))</f>
        <v>30</v>
      </c>
      <c r="H12" s="45" t="s">
        <v>285</v>
      </c>
      <c r="I12" s="45">
        <f>SUM(N13,$B$25)</f>
        <v>20</v>
      </c>
      <c r="J12" s="45" t="s">
        <v>116</v>
      </c>
      <c r="K12" s="154" t="s">
        <v>113</v>
      </c>
      <c r="L12" s="85" t="s">
        <v>79</v>
      </c>
      <c r="M12" s="4">
        <f>SUM($H$23*2,$H$24*(-2),$H$25*(2),$J$23*2,$J$24,$J$25,$L$23*2,$H$31*(-2),$L$24)</f>
        <v>2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4</v>
      </c>
      <c r="O12" s="43" t="s">
        <v>267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133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25" x14ac:dyDescent="0.3">
      <c r="A13" s="106" t="s">
        <v>83</v>
      </c>
      <c r="B13" s="99">
        <f t="shared" si="0"/>
        <v>24</v>
      </c>
      <c r="C13" s="99">
        <f t="shared" si="1"/>
        <v>7</v>
      </c>
      <c r="D13" s="108">
        <v>22</v>
      </c>
      <c r="G13" s="186" t="str">
        <f>CONCATENATE("kukri   ","+",G12,"    "," Dmg: ",I12,"  +",H12, "    crit :  ",J12,)</f>
        <v>kukri   +30     Dmg: 20  +1d4    crit :  x2</v>
      </c>
      <c r="H13" s="187"/>
      <c r="I13" s="188"/>
      <c r="J13" s="189"/>
      <c r="K13" s="190"/>
      <c r="L13" s="191"/>
      <c r="M13" s="4"/>
      <c r="N13" s="4">
        <f>SUM(N12,$L$24,$L$25*($B$4))</f>
        <v>20</v>
      </c>
      <c r="O13" s="43" t="s">
        <v>268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2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134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25" x14ac:dyDescent="0.3">
      <c r="A14" s="127" t="s">
        <v>82</v>
      </c>
      <c r="B14" s="103">
        <f t="shared" si="0"/>
        <v>16</v>
      </c>
      <c r="C14" s="103">
        <f t="shared" si="1"/>
        <v>3</v>
      </c>
      <c r="D14" s="128">
        <v>14</v>
      </c>
      <c r="F14" s="3" t="s">
        <v>75</v>
      </c>
      <c r="G14" s="45">
        <f>SUM($B$23:$B$24,IF(L14="Strength",$C$12,$C$13),M14,$H$10*(-1))</f>
        <v>30</v>
      </c>
      <c r="H14" s="45" t="s">
        <v>286</v>
      </c>
      <c r="I14" s="45">
        <f>SUM(N15,$B$25)</f>
        <v>20</v>
      </c>
      <c r="J14" s="45" t="s">
        <v>116</v>
      </c>
      <c r="K14" s="154" t="s">
        <v>113</v>
      </c>
      <c r="L14" s="85" t="s">
        <v>79</v>
      </c>
      <c r="M14" s="4">
        <f>SUM($H$23*2,$H$24*(-2),$H$25*(2),$J$23*2,$J$24,$J$25,$L$23*2,$H$31*(-2),$L$24)</f>
        <v>2</v>
      </c>
      <c r="N14" s="4">
        <f>SUM(IF(K14=$AZ$20,$AZ$25,IF(K14=$BA$20,$BA$25,IF(K14=$BB$20,$BB$25,IF(K14=$BC$20,$BC$25,IF(K14=$BD$20,$BD$25,0))))),IF(L14=$AZ$20,$AZ$24,IF(K14=$BA$20,$BA$24,IF(K14=$BB$20,$BB$24,IF(K14=$BC$20,$BC$24,IF(K14=$BD$20,$BD$24,0))))))</f>
        <v>4</v>
      </c>
      <c r="O14" s="43" t="s">
        <v>269</v>
      </c>
      <c r="R14" s="136">
        <v>0</v>
      </c>
      <c r="S14" s="136">
        <v>0</v>
      </c>
      <c r="T14" s="136">
        <v>0</v>
      </c>
      <c r="U14" s="136">
        <v>0</v>
      </c>
      <c r="V14" s="136">
        <v>2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135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25" x14ac:dyDescent="0.3">
      <c r="A15" s="109" t="s">
        <v>122</v>
      </c>
      <c r="B15" s="100">
        <f t="shared" si="0"/>
        <v>16</v>
      </c>
      <c r="C15" s="100">
        <f t="shared" si="1"/>
        <v>3</v>
      </c>
      <c r="D15" s="110">
        <v>16</v>
      </c>
      <c r="G15" s="186" t="str">
        <f>CONCATENATE("Sword Sword   ","+",G14,"    "," Dmg: ",I14,"  +",H14, "    crit :  ",J14,)</f>
        <v>Sword Sword   +30     Dmg: 20  +1d6    crit :  x2</v>
      </c>
      <c r="H15" s="187"/>
      <c r="I15" s="188"/>
      <c r="J15" s="45"/>
      <c r="K15" s="4"/>
      <c r="L15" s="46"/>
      <c r="M15" s="4"/>
      <c r="N15" s="4">
        <f>SUM(N14,$L$24,$L$25*($B$4))</f>
        <v>20</v>
      </c>
      <c r="O15" s="43" t="s">
        <v>270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136</v>
      </c>
      <c r="AY15" s="163" t="s">
        <v>137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25" x14ac:dyDescent="0.3">
      <c r="A16" s="111" t="s">
        <v>80</v>
      </c>
      <c r="B16" s="101">
        <f t="shared" si="0"/>
        <v>15</v>
      </c>
      <c r="C16" s="101">
        <f t="shared" si="1"/>
        <v>2</v>
      </c>
      <c r="D16" s="112">
        <v>15</v>
      </c>
      <c r="F16" s="3" t="s">
        <v>295</v>
      </c>
      <c r="G16" s="45">
        <f>SUM($B$23:$B$24,IF(L16="Strength",$C$12,$C$13),M16,$H$10*(-1))</f>
        <v>30</v>
      </c>
      <c r="H16" s="45" t="s">
        <v>285</v>
      </c>
      <c r="I16" s="45">
        <f>SUM(N17,$B$25)</f>
        <v>20</v>
      </c>
      <c r="J16" s="45" t="s">
        <v>116</v>
      </c>
      <c r="K16" s="154" t="s">
        <v>113</v>
      </c>
      <c r="L16" s="85" t="s">
        <v>79</v>
      </c>
      <c r="M16" s="4">
        <f>SUM($H$23*2,$H$24*(-2),$H$25*(2),$J$23*2,$J$24,$J$25,$L$23*2,$H$31*(-2),$L$24)</f>
        <v>2</v>
      </c>
      <c r="N16" s="4">
        <f>SUM(IF(K16=$AZ$20,$AZ$25,IF(K16=$BA$20,$BA$25,IF(K16=$BB$20,$BB$25,IF(K16=$BC$20,$BC$25,IF(K16=$BD$20,$BD$25,0))))),IF(L16=$AZ$20,$AZ$24,IF(K16=$BA$20,$BA$24,IF(K16=$BB$20,$BB$24,IF(K16=$BC$20,$BC$24,IF(K16=$BD$20,$BD$24,0))))))</f>
        <v>4</v>
      </c>
      <c r="O16" s="43" t="s">
        <v>271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138</v>
      </c>
      <c r="AY16" s="163" t="s">
        <v>139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25" x14ac:dyDescent="0.3">
      <c r="A17" s="113" t="s">
        <v>81</v>
      </c>
      <c r="B17" s="114">
        <f t="shared" si="0"/>
        <v>11</v>
      </c>
      <c r="C17" s="114">
        <f t="shared" si="1"/>
        <v>0</v>
      </c>
      <c r="D17" s="115">
        <v>11</v>
      </c>
      <c r="F17" s="170"/>
      <c r="G17" s="193" t="str">
        <f>CONCATENATE("kukri   ","+",G16,"    "," Dmg: ",I16,"  +",H16, "    crit :  ",J16,)</f>
        <v>kukri   +30     Dmg: 20  +1d4    crit :  x2</v>
      </c>
      <c r="H17" s="194"/>
      <c r="I17" s="195"/>
      <c r="J17" s="189"/>
      <c r="K17" s="190"/>
      <c r="L17" s="191"/>
      <c r="M17" s="4"/>
      <c r="N17" s="4">
        <f>SUM(N16,$L$24,$L$25*($B$4))</f>
        <v>20</v>
      </c>
      <c r="O17" s="43" t="s">
        <v>272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140</v>
      </c>
      <c r="AY17" s="163" t="s">
        <v>141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">
      <c r="B18" s="45" t="s">
        <v>129</v>
      </c>
      <c r="C18" s="45" t="s">
        <v>123</v>
      </c>
      <c r="O18" s="43" t="s">
        <v>273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147</v>
      </c>
      <c r="AY18" s="163" t="s">
        <v>142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8" x14ac:dyDescent="0.25">
      <c r="A19" s="132" t="s">
        <v>29</v>
      </c>
      <c r="B19" s="149">
        <f>SUM(C14,C19,R19:AR19,BG4)</f>
        <v>13</v>
      </c>
      <c r="C19" s="94">
        <v>7</v>
      </c>
      <c r="O19" s="43" t="s">
        <v>274</v>
      </c>
      <c r="R19" s="136">
        <v>0</v>
      </c>
      <c r="S19" s="136">
        <v>0</v>
      </c>
      <c r="T19" s="136">
        <v>0</v>
      </c>
      <c r="U19" s="136">
        <v>0</v>
      </c>
      <c r="V19" s="136">
        <v>3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8" x14ac:dyDescent="0.25">
      <c r="A20" s="106" t="s">
        <v>30</v>
      </c>
      <c r="B20" s="104">
        <f>SUM(C13,C20,R20:AR20,BG5)</f>
        <v>18</v>
      </c>
      <c r="C20" s="156">
        <v>8</v>
      </c>
      <c r="H20" s="49"/>
      <c r="O20" s="43" t="s">
        <v>275</v>
      </c>
      <c r="R20" s="140">
        <v>0</v>
      </c>
      <c r="S20" s="140">
        <v>0</v>
      </c>
      <c r="T20" s="140">
        <v>0</v>
      </c>
      <c r="U20" s="140">
        <v>0</v>
      </c>
      <c r="V20" s="140">
        <v>3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0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192" t="s">
        <v>162</v>
      </c>
      <c r="AX20" s="192"/>
      <c r="AY20" s="192"/>
      <c r="AZ20" s="123" t="s">
        <v>104</v>
      </c>
      <c r="BA20" s="123" t="s">
        <v>159</v>
      </c>
      <c r="BB20" s="123" t="s">
        <v>113</v>
      </c>
      <c r="BC20" s="165" t="s">
        <v>158</v>
      </c>
      <c r="BD20" s="123" t="s">
        <v>112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8" x14ac:dyDescent="0.25">
      <c r="A21" s="107" t="s">
        <v>31</v>
      </c>
      <c r="B21" s="150">
        <f>SUM(C21,C16,R21:AR21,BG6)</f>
        <v>9</v>
      </c>
      <c r="C21" s="162">
        <v>4</v>
      </c>
      <c r="O21" s="43" t="s">
        <v>276</v>
      </c>
      <c r="P21" s="161">
        <v>12</v>
      </c>
      <c r="R21" s="141">
        <v>0</v>
      </c>
      <c r="S21" s="141">
        <v>0</v>
      </c>
      <c r="T21" s="141">
        <v>0</v>
      </c>
      <c r="U21" s="141">
        <v>0</v>
      </c>
      <c r="V21" s="141">
        <v>3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84" t="s">
        <v>149</v>
      </c>
      <c r="AX21" s="184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 s="16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">
      <c r="B22" s="159" t="s">
        <v>129</v>
      </c>
      <c r="C22" s="160" t="s">
        <v>123</v>
      </c>
      <c r="G22" s="185" t="s">
        <v>121</v>
      </c>
      <c r="H22" s="185"/>
      <c r="O22" s="43" t="s">
        <v>277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5" x14ac:dyDescent="0.25">
      <c r="A23" s="151" t="s">
        <v>78</v>
      </c>
      <c r="B23" s="51">
        <f>SUM(C23,B29,R23:AR23)</f>
        <v>12</v>
      </c>
      <c r="C23" s="52">
        <v>12</v>
      </c>
      <c r="G23" s="79" t="s">
        <v>106</v>
      </c>
      <c r="H23" s="82">
        <v>0</v>
      </c>
      <c r="I23" s="50" t="s">
        <v>105</v>
      </c>
      <c r="J23" s="87">
        <v>0</v>
      </c>
      <c r="K23" s="79" t="s">
        <v>117</v>
      </c>
      <c r="L23" s="82">
        <v>0</v>
      </c>
      <c r="O23" s="43" t="s">
        <v>278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8" x14ac:dyDescent="0.25">
      <c r="A24" s="146" t="s">
        <v>53</v>
      </c>
      <c r="B24" s="12">
        <f>SUM(B23,R24:AR24,BG7,BA10)</f>
        <v>12</v>
      </c>
      <c r="C24" s="13"/>
      <c r="G24" s="79" t="s">
        <v>107</v>
      </c>
      <c r="H24" s="82">
        <v>0</v>
      </c>
      <c r="I24" s="11" t="s">
        <v>110</v>
      </c>
      <c r="J24" s="88">
        <v>1</v>
      </c>
      <c r="K24" s="161" t="s">
        <v>283</v>
      </c>
      <c r="L24" s="161">
        <v>1</v>
      </c>
      <c r="O24" s="43" t="s">
        <v>279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83" t="s">
        <v>150</v>
      </c>
      <c r="AX24" s="184"/>
      <c r="AY24" s="12">
        <f>$K$10+1</f>
        <v>1</v>
      </c>
      <c r="AZ24" s="12">
        <f>AZ21*(1+$AY$24)</f>
        <v>0</v>
      </c>
      <c r="BA24" s="12">
        <f t="shared" ref="BA24:BD24" si="2">BA21*(1+$AY$24)</f>
        <v>0</v>
      </c>
      <c r="BB24" s="12">
        <f t="shared" si="2"/>
        <v>0</v>
      </c>
      <c r="BC24" s="12">
        <f t="shared" si="2"/>
        <v>0</v>
      </c>
      <c r="BD24" s="12">
        <f t="shared" si="2"/>
        <v>0</v>
      </c>
      <c r="BE24" s="43"/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5" x14ac:dyDescent="0.25">
      <c r="A25" s="152" t="s">
        <v>77</v>
      </c>
      <c r="B25" s="12">
        <f>SUM(R25:AR25)</f>
        <v>0</v>
      </c>
      <c r="C25" s="13"/>
      <c r="G25" s="79" t="s">
        <v>108</v>
      </c>
      <c r="H25" s="82">
        <v>0</v>
      </c>
      <c r="I25" s="90" t="s">
        <v>111</v>
      </c>
      <c r="J25" s="89">
        <v>0</v>
      </c>
      <c r="K25" s="161" t="s">
        <v>284</v>
      </c>
      <c r="L25" s="161">
        <v>1</v>
      </c>
      <c r="O25" s="43" t="s">
        <v>280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161</v>
      </c>
      <c r="AY25" s="12"/>
      <c r="AZ25" s="12">
        <f>$C$12</f>
        <v>4</v>
      </c>
      <c r="BA25" s="12">
        <f>ROUNDDOWN($C$12*0.5,0)</f>
        <v>2</v>
      </c>
      <c r="BB25" s="12">
        <f>$C$12</f>
        <v>4</v>
      </c>
      <c r="BC25" s="12">
        <f>ROUNDDOWN($C$12*0.5,0)</f>
        <v>2</v>
      </c>
      <c r="BD25" s="12">
        <f>ROUNDDOWN($C$12*1.5,0)</f>
        <v>6</v>
      </c>
      <c r="BE25" s="43"/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">
      <c r="A26" s="147" t="s">
        <v>84</v>
      </c>
      <c r="B26" s="54">
        <f>SUM(B23,C12,BB10,R26:AR26)</f>
        <v>16</v>
      </c>
      <c r="C26" s="55"/>
      <c r="O26" s="43" t="s">
        <v>281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">
      <c r="O27" s="43" t="s">
        <v>282</v>
      </c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5" x14ac:dyDescent="0.25">
      <c r="A28" s="4" t="s">
        <v>93</v>
      </c>
      <c r="B28" s="77">
        <v>0</v>
      </c>
    </row>
    <row r="29" spans="1:66" ht="15" x14ac:dyDescent="0.25">
      <c r="A29" s="4" t="s">
        <v>94</v>
      </c>
      <c r="B29" s="78">
        <v>0</v>
      </c>
      <c r="G29" s="185" t="s">
        <v>152</v>
      </c>
      <c r="H29" s="185"/>
    </row>
    <row r="30" spans="1:66" ht="15" x14ac:dyDescent="0.25">
      <c r="A30" s="4" t="s">
        <v>148</v>
      </c>
      <c r="B30" s="78">
        <v>0</v>
      </c>
      <c r="G30" s="79" t="s">
        <v>153</v>
      </c>
      <c r="H30" s="82">
        <v>0</v>
      </c>
    </row>
    <row r="31" spans="1:66" s="1" customFormat="1" ht="15" x14ac:dyDescent="0.25">
      <c r="G31" s="79" t="s">
        <v>154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">
      <c r="A33" s="3" t="s">
        <v>71</v>
      </c>
      <c r="B33" s="161">
        <f>COUNTA(A35:A81)</f>
        <v>10</v>
      </c>
    </row>
    <row r="34" spans="1:27" x14ac:dyDescent="0.3">
      <c r="A34" s="3" t="s">
        <v>50</v>
      </c>
      <c r="B34" s="19" t="s">
        <v>62</v>
      </c>
      <c r="C34" s="30" t="s">
        <v>76</v>
      </c>
      <c r="D34" s="32" t="s">
        <v>70</v>
      </c>
      <c r="E34" s="21" t="s">
        <v>66</v>
      </c>
      <c r="F34" s="58" t="s">
        <v>51</v>
      </c>
      <c r="G34" s="59" t="s">
        <v>57</v>
      </c>
      <c r="H34" s="60" t="s">
        <v>58</v>
      </c>
      <c r="I34" s="61" t="s">
        <v>65</v>
      </c>
      <c r="J34" s="62" t="s">
        <v>54</v>
      </c>
      <c r="K34" s="59" t="s">
        <v>57</v>
      </c>
      <c r="L34" s="60" t="s">
        <v>58</v>
      </c>
      <c r="M34" s="61" t="s">
        <v>65</v>
      </c>
      <c r="N34" s="63" t="s">
        <v>66</v>
      </c>
      <c r="O34" s="62" t="s">
        <v>54</v>
      </c>
      <c r="P34" s="59" t="s">
        <v>57</v>
      </c>
      <c r="Q34" s="60" t="s">
        <v>58</v>
      </c>
      <c r="R34" s="61" t="s">
        <v>65</v>
      </c>
      <c r="S34" s="63" t="s">
        <v>66</v>
      </c>
      <c r="T34" s="64" t="s">
        <v>73</v>
      </c>
      <c r="W34" s="1"/>
      <c r="X34" s="1"/>
      <c r="Y34" s="1"/>
      <c r="Z34" s="1"/>
      <c r="AA34" s="1"/>
    </row>
    <row r="35" spans="1:27" x14ac:dyDescent="0.3">
      <c r="A35" s="17" t="s">
        <v>97</v>
      </c>
      <c r="B35" s="80">
        <v>5</v>
      </c>
      <c r="C35" s="81">
        <v>9999</v>
      </c>
      <c r="D35" s="31">
        <f>IFERROR(VLOOKUP(A35,BUFFS!$H$5:$AF$195,8,),"")</f>
        <v>0</v>
      </c>
      <c r="E35" s="24">
        <f t="shared" ref="E35:E40" si="3">IFERROR(SUM(H35,ROUNDDOWN(MIN(B35,T$35)*I35,0)),"")</f>
        <v>5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 t="shared" ref="N35:N40" si="4"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 t="shared" ref="S35:S40" si="5">IFERROR(SUM(Q35,ROUNDDOWN(MIN(B35,T$35)*R35,0)),"")</f>
        <v>0</v>
      </c>
      <c r="T35" s="70">
        <f>IFERROR(VLOOKUP(A35,BUFFS!$H$5:$AF$195,20,),"")</f>
        <v>100</v>
      </c>
    </row>
    <row r="36" spans="1:27" x14ac:dyDescent="0.3">
      <c r="A36" s="17" t="s">
        <v>98</v>
      </c>
      <c r="B36" s="80">
        <v>2</v>
      </c>
      <c r="C36" s="81">
        <v>9999</v>
      </c>
      <c r="D36" s="31">
        <f>IFERROR(VLOOKUP(A36,BUFFS!$H$5:$AF$195,8,),"")</f>
        <v>0</v>
      </c>
      <c r="E36" s="24">
        <f t="shared" si="3"/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 t="shared" si="4"/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 t="shared" si="5"/>
        <v>0</v>
      </c>
      <c r="T36" s="70">
        <f>IFERROR(VLOOKUP(A36,BUFFS!$H$5:$AF$195,20,),"")</f>
        <v>100</v>
      </c>
    </row>
    <row r="37" spans="1:27" x14ac:dyDescent="0.3">
      <c r="A37" s="17" t="s">
        <v>165</v>
      </c>
      <c r="B37" s="80">
        <v>3</v>
      </c>
      <c r="C37" s="81">
        <v>9999</v>
      </c>
      <c r="D37" s="31">
        <f>IFERROR(VLOOKUP(A37,BUFFS!$H$5:$AF$195,8,),"")</f>
        <v>0</v>
      </c>
      <c r="E37" s="24">
        <f t="shared" si="3"/>
        <v>3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 t="shared" si="4"/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 t="shared" si="5"/>
        <v>0</v>
      </c>
      <c r="T37" s="70">
        <f>IFERROR(VLOOKUP(A37,BUFFS!$H$5:$AF$195,20,),"")</f>
        <v>100</v>
      </c>
    </row>
    <row r="38" spans="1:27" x14ac:dyDescent="0.3">
      <c r="A38" s="17" t="s">
        <v>99</v>
      </c>
      <c r="B38" s="80">
        <v>3</v>
      </c>
      <c r="C38" s="81">
        <v>9999</v>
      </c>
      <c r="D38" s="31">
        <f>IFERROR(VLOOKUP(A38,BUFFS!$H$5:$AF$195,8,),"")</f>
        <v>0</v>
      </c>
      <c r="E38" s="24">
        <f t="shared" si="3"/>
        <v>3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 t="shared" si="4"/>
        <v>3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 t="shared" si="5"/>
        <v>3</v>
      </c>
      <c r="T38" s="70">
        <f>IFERROR(VLOOKUP(A38,BUFFS!$H$5:$AF$195,20,),"")</f>
        <v>100</v>
      </c>
    </row>
    <row r="39" spans="1:27" x14ac:dyDescent="0.3">
      <c r="A39" s="17" t="s">
        <v>166</v>
      </c>
      <c r="B39" s="80">
        <v>2</v>
      </c>
      <c r="C39" s="81">
        <v>9999</v>
      </c>
      <c r="D39" s="31">
        <f>IFERROR(VLOOKUP(A39,BUFFS!$H$5:$AF$195,8,),"")</f>
        <v>0</v>
      </c>
      <c r="E39" s="24">
        <f t="shared" si="3"/>
        <v>2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 t="shared" si="4"/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 t="shared" si="5"/>
        <v>0</v>
      </c>
      <c r="T39" s="70">
        <f>IFERROR(VLOOKUP(A39,BUFFS!$H$5:$AF$195,20,),"")</f>
        <v>100</v>
      </c>
    </row>
    <row r="40" spans="1:27" x14ac:dyDescent="0.3">
      <c r="A40" s="17" t="s">
        <v>183</v>
      </c>
      <c r="B40" s="80">
        <v>2</v>
      </c>
      <c r="C40" s="81">
        <v>9999</v>
      </c>
      <c r="D40" s="31">
        <f>IFERROR(VLOOKUP(A40,BUFFS!$H$5:$AF$195,8,),"")</f>
        <v>0</v>
      </c>
      <c r="E40" s="24">
        <f t="shared" si="3"/>
        <v>2</v>
      </c>
      <c r="F40" s="65" t="str">
        <f>IFERROR(VLOOKUP(A40,BUFFS!$H$5:$AF$195,5,),"")</f>
        <v>Constitution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 t="shared" si="4"/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 t="shared" si="5"/>
        <v>0</v>
      </c>
      <c r="T40" s="70">
        <f>IFERROR(VLOOKUP(A40,BUFFS!$H$5:$AF$195,20,),"")</f>
        <v>100</v>
      </c>
    </row>
    <row r="41" spans="1:27" x14ac:dyDescent="0.3">
      <c r="A41" s="17" t="s">
        <v>229</v>
      </c>
      <c r="B41" s="80">
        <v>2</v>
      </c>
      <c r="C41" s="81"/>
      <c r="D41" s="31">
        <f>IFERROR(VLOOKUP(A41,BUFFS!$H$5:$AF$195,8,),"")</f>
        <v>0</v>
      </c>
      <c r="E41" s="24">
        <f t="shared" ref="E41:E104" si="6">IFERROR(SUM(H41,ROUNDDOWN(MIN(B41,T$35)*I41,0)),"")</f>
        <v>2</v>
      </c>
      <c r="F41" s="65" t="str">
        <f>IFERROR(VLOOKUP(A41,BUFFS!$H$5:$AF$195,5,),"")</f>
        <v>Dexterity</v>
      </c>
      <c r="G41" s="66" t="str">
        <f>IFERROR(VLOOKUP(A41,BUFFS!$H$5:$AF$195,6,),"")</f>
        <v xml:space="preserve">Insight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 t="shared" ref="N41:N104" si="7"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 t="shared" ref="S41:S104" si="8">IFERROR(SUM(Q41,ROUNDDOWN(MIN(B41,T$35)*R41,0)),"")</f>
        <v>0</v>
      </c>
      <c r="T41" s="70">
        <f>IFERROR(VLOOKUP(A41,BUFFS!$H$5:$AF$195,20,),"")</f>
        <v>100</v>
      </c>
    </row>
    <row r="42" spans="1:27" x14ac:dyDescent="0.3">
      <c r="A42" s="17" t="s">
        <v>201</v>
      </c>
      <c r="B42" s="80">
        <v>3</v>
      </c>
      <c r="C42" s="81"/>
      <c r="D42" s="31">
        <f>IFERROR(VLOOKUP(A42,BUFFS!$H$5:$AF$195,8,),"")</f>
        <v>2</v>
      </c>
      <c r="E42" s="24">
        <f t="shared" si="6"/>
        <v>6</v>
      </c>
      <c r="F42" s="65" t="str">
        <f>IFERROR(VLOOKUP(A42,BUFFS!$H$5:$AF$195,5,),"")</f>
        <v>AC</v>
      </c>
      <c r="G42" s="66" t="str">
        <f>IFERROR(VLOOKUP(A42,BUFFS!$H$5:$AF$195,6,),"")</f>
        <v xml:space="preserve">Natural Armor Bonus </v>
      </c>
      <c r="H42" s="67">
        <f>IFERROR(VLOOKUP(A42,BUFFS!$H$5:$AF$195,7,),"")</f>
        <v>6</v>
      </c>
      <c r="I42" s="66">
        <f>IFERROR(VLOOKUP(A42,BUFFS!$H$5:$AF$195,9,),"")</f>
        <v>0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 t="shared" si="7"/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 t="shared" si="8"/>
        <v>0</v>
      </c>
      <c r="T42" s="70">
        <f>IFERROR(VLOOKUP(A42,BUFFS!$H$5:$AF$195,20,),"")</f>
        <v>100</v>
      </c>
    </row>
    <row r="43" spans="1:27" x14ac:dyDescent="0.3">
      <c r="A43" s="17" t="s">
        <v>209</v>
      </c>
      <c r="B43" s="80"/>
      <c r="C43" s="81"/>
      <c r="D43" s="31" t="str">
        <f>IFERROR(VLOOKUP(#REF!,BUFFS!$H$5:$AF$195,8,),"")</f>
        <v/>
      </c>
      <c r="E43" s="24" t="str">
        <f t="shared" si="6"/>
        <v/>
      </c>
      <c r="F43" s="65" t="str">
        <f>IFERROR(VLOOKUP(#REF!,BUFFS!$H$5:$AF$195,5,),"")</f>
        <v/>
      </c>
      <c r="G43" s="66" t="str">
        <f>IFERROR(VLOOKUP(#REF!,BUFFS!$H$5:$AF$195,6,),"")</f>
        <v/>
      </c>
      <c r="H43" s="67" t="str">
        <f>IFERROR(VLOOKUP(#REF!,BUFFS!$H$5:$AF$195,7,),"")</f>
        <v/>
      </c>
      <c r="I43" s="66" t="str">
        <f>IFERROR(VLOOKUP(#REF!,BUFFS!$H$5:$AF$195,9,),"")</f>
        <v/>
      </c>
      <c r="J43" s="65" t="str">
        <f>IFERROR(VLOOKUP(#REF!,BUFFS!$H$5:$AF$195,10,),"")</f>
        <v/>
      </c>
      <c r="K43" s="66" t="str">
        <f>IFERROR(VLOOKUP(#REF!,BUFFS!$H$5:$AF$195,11,),"")</f>
        <v/>
      </c>
      <c r="L43" s="66" t="str">
        <f>IFERROR(VLOOKUP(#REF!,BUFFS!$H$5:$AF$195,12,),"")</f>
        <v/>
      </c>
      <c r="M43" s="66" t="str">
        <f>IFERROR(VLOOKUP(#REF!,BUFFS!$H$5:$AF$195,14,),"")</f>
        <v/>
      </c>
      <c r="N43" s="68" t="str">
        <f t="shared" si="7"/>
        <v/>
      </c>
      <c r="O43" s="65" t="str">
        <f>IFERROR(VLOOKUP(#REF!,BUFFS!$H$5:$AF$195,15,),"")</f>
        <v/>
      </c>
      <c r="P43" s="66" t="str">
        <f>IFERROR(VLOOKUP(#REF!,BUFFS!$H$5:$AF$195,16,),"")</f>
        <v/>
      </c>
      <c r="Q43" s="66" t="str">
        <f>IFERROR(VLOOKUP(#REF!,BUFFS!$H$5:$AF$195,17,),"")</f>
        <v/>
      </c>
      <c r="R43" s="66" t="str">
        <f>IFERROR(VLOOKUP(#REF!,BUFFS!$H$5:$AF$195,19,),"")</f>
        <v/>
      </c>
      <c r="S43" s="69" t="str">
        <f t="shared" si="8"/>
        <v/>
      </c>
      <c r="T43" s="70" t="str">
        <f>IFERROR(VLOOKUP(#REF!,BUFFS!$H$5:$AF$195,20,),"")</f>
        <v/>
      </c>
    </row>
    <row r="44" spans="1:27" x14ac:dyDescent="0.3">
      <c r="A44" s="17" t="s">
        <v>233</v>
      </c>
      <c r="B44" s="80"/>
      <c r="C44" s="81"/>
      <c r="D44" s="31">
        <f>IFERROR(VLOOKUP(A44,BUFFS!$H$5:$AF$195,8,),"")</f>
        <v>2</v>
      </c>
      <c r="E44" s="24">
        <f t="shared" si="6"/>
        <v>4</v>
      </c>
      <c r="F44" s="65" t="str">
        <f>IFERROR(VLOOKUP(A44,BUFFS!$H$5:$AF$195,5,),"")</f>
        <v>FORT</v>
      </c>
      <c r="G44" s="66" t="str">
        <f>IFERROR(VLOOKUP(A44,BUFFS!$H$5:$AF$195,6,),"")</f>
        <v>Sacred Modifier</v>
      </c>
      <c r="H44" s="67">
        <f>IFERROR(VLOOKUP(A44,BUFFS!$H$5:$AF$195,7,),"")</f>
        <v>4</v>
      </c>
      <c r="I44" s="66">
        <f>IFERROR(VLOOKUP(A44,BUFFS!$H$5:$AF$195,9,),"")</f>
        <v>0</v>
      </c>
      <c r="J44" s="65" t="str">
        <f>IFERROR(VLOOKUP(A44,BUFFS!$H$5:$AF$195,10,),"")</f>
        <v>REF</v>
      </c>
      <c r="K44" s="66" t="str">
        <f>IFERROR(VLOOKUP(A44,BUFFS!$H$5:$AF$195,11,),"")</f>
        <v>Sacred Modifier</v>
      </c>
      <c r="L44" s="66">
        <f>IFERROR(VLOOKUP(A44,BUFFS!$H$5:$AF$195,12,),"")</f>
        <v>4</v>
      </c>
      <c r="M44" s="66">
        <f>IFERROR(VLOOKUP(A44,BUFFS!$H$5:$AF$195,14,),"")</f>
        <v>0</v>
      </c>
      <c r="N44" s="68">
        <f t="shared" si="7"/>
        <v>4</v>
      </c>
      <c r="O44" s="65" t="str">
        <f>IFERROR(VLOOKUP(A44,BUFFS!$H$5:$AF$195,15,),"")</f>
        <v>WILL</v>
      </c>
      <c r="P44" s="66" t="str">
        <f>IFERROR(VLOOKUP(A44,BUFFS!$H$5:$AF$195,16,),"")</f>
        <v>Sacred Modifier</v>
      </c>
      <c r="Q44" s="66">
        <f>IFERROR(VLOOKUP(A44,BUFFS!$H$5:$AF$195,17,),"")</f>
        <v>4</v>
      </c>
      <c r="R44" s="66">
        <f>IFERROR(VLOOKUP(A44,BUFFS!$H$5:$AF$195,19,),"")</f>
        <v>0</v>
      </c>
      <c r="S44" s="69">
        <f t="shared" si="8"/>
        <v>4</v>
      </c>
      <c r="T44" s="70">
        <f>IFERROR(VLOOKUP(A44,BUFFS!$H$5:$AF$195,20,),"")</f>
        <v>100</v>
      </c>
    </row>
    <row r="45" spans="1:27" x14ac:dyDescent="0.3">
      <c r="A45" s="17"/>
      <c r="B45" s="80"/>
      <c r="C45" s="81"/>
      <c r="D45" s="31" t="str">
        <f>IFERROR(VLOOKUP(A45,BUFFS!$H$5:$AF$195,8,),"")</f>
        <v/>
      </c>
      <c r="E45" s="24" t="str">
        <f t="shared" si="6"/>
        <v/>
      </c>
      <c r="F45" s="65" t="str">
        <f>IFERROR(VLOOKUP(A45,BUFFS!$H$5:$AF$195,5,),"")</f>
        <v/>
      </c>
      <c r="G45" s="66" t="str">
        <f>IFERROR(VLOOKUP(A45,BUFFS!$H$5:$AF$195,6,),"")</f>
        <v/>
      </c>
      <c r="H45" s="67" t="str">
        <f>IFERROR(VLOOKUP(A45,BUFFS!$H$5:$AF$195,7,),"")</f>
        <v/>
      </c>
      <c r="I45" s="66" t="str">
        <f>IFERROR(VLOOKUP(A45,BUFFS!$H$5:$AF$195,9,),"")</f>
        <v/>
      </c>
      <c r="J45" s="65" t="str">
        <f>IFERROR(VLOOKUP(A45,BUFFS!$H$5:$AF$195,10,),"")</f>
        <v/>
      </c>
      <c r="K45" s="66" t="str">
        <f>IFERROR(VLOOKUP(A45,BUFFS!$H$5:$AF$195,11,),"")</f>
        <v/>
      </c>
      <c r="L45" s="66" t="str">
        <f>IFERROR(VLOOKUP(A45,BUFFS!$H$5:$AF$195,12,),"")</f>
        <v/>
      </c>
      <c r="M45" s="66" t="str">
        <f>IFERROR(VLOOKUP(A45,BUFFS!$H$5:$AF$195,14,),"")</f>
        <v/>
      </c>
      <c r="N45" s="68" t="str">
        <f t="shared" si="7"/>
        <v/>
      </c>
      <c r="O45" s="65" t="str">
        <f>IFERROR(VLOOKUP(A45,BUFFS!$H$5:$AF$195,15,),"")</f>
        <v/>
      </c>
      <c r="P45" s="66" t="str">
        <f>IFERROR(VLOOKUP(A45,BUFFS!$H$5:$AF$195,16,),"")</f>
        <v/>
      </c>
      <c r="Q45" s="66" t="str">
        <f>IFERROR(VLOOKUP(A45,BUFFS!$H$5:$AF$195,17,),"")</f>
        <v/>
      </c>
      <c r="R45" s="66" t="str">
        <f>IFERROR(VLOOKUP(A45,BUFFS!$H$5:$AF$195,19,),"")</f>
        <v/>
      </c>
      <c r="S45" s="69" t="str">
        <f t="shared" si="8"/>
        <v/>
      </c>
      <c r="T45" s="70" t="str">
        <f>IFERROR(VLOOKUP(A45,BUFFS!$H$5:$AF$195,20,),"")</f>
        <v/>
      </c>
    </row>
    <row r="46" spans="1:27" x14ac:dyDescent="0.3">
      <c r="A46" s="17"/>
      <c r="B46" s="80"/>
      <c r="C46" s="81"/>
      <c r="D46" s="31" t="str">
        <f>IFERROR(VLOOKUP(A46,BUFFS!$H$5:$AF$195,8,),"")</f>
        <v/>
      </c>
      <c r="E46" s="24" t="str">
        <f t="shared" si="6"/>
        <v/>
      </c>
      <c r="F46" s="65" t="str">
        <f>IFERROR(VLOOKUP(A46,BUFFS!$H$5:$AF$195,5,),"")</f>
        <v/>
      </c>
      <c r="G46" s="66" t="str">
        <f>IFERROR(VLOOKUP(A46,BUFFS!$H$5:$AF$195,6,),"")</f>
        <v/>
      </c>
      <c r="H46" s="67" t="str">
        <f>IFERROR(VLOOKUP(A46,BUFFS!$H$5:$AF$195,7,),"")</f>
        <v/>
      </c>
      <c r="I46" s="66" t="str">
        <f>IFERROR(VLOOKUP(A46,BUFFS!$H$5:$AF$195,9,),"")</f>
        <v/>
      </c>
      <c r="J46" s="65" t="str">
        <f>IFERROR(VLOOKUP(A46,BUFFS!$H$5:$AF$195,10,),"")</f>
        <v/>
      </c>
      <c r="K46" s="66" t="str">
        <f>IFERROR(VLOOKUP(A46,BUFFS!$H$5:$AF$195,11,),"")</f>
        <v/>
      </c>
      <c r="L46" s="66" t="str">
        <f>IFERROR(VLOOKUP(A46,BUFFS!$H$5:$AF$195,12,),"")</f>
        <v/>
      </c>
      <c r="M46" s="66" t="str">
        <f>IFERROR(VLOOKUP(A46,BUFFS!$H$5:$AF$195,14,),"")</f>
        <v/>
      </c>
      <c r="N46" s="68" t="str">
        <f t="shared" si="7"/>
        <v/>
      </c>
      <c r="O46" s="65" t="str">
        <f>IFERROR(VLOOKUP(A46,BUFFS!$H$5:$AF$195,15,),"")</f>
        <v/>
      </c>
      <c r="P46" s="66" t="str">
        <f>IFERROR(VLOOKUP(A46,BUFFS!$H$5:$AF$195,16,),"")</f>
        <v/>
      </c>
      <c r="Q46" s="66" t="str">
        <f>IFERROR(VLOOKUP(A46,BUFFS!$H$5:$AF$195,17,),"")</f>
        <v/>
      </c>
      <c r="R46" s="66" t="str">
        <f>IFERROR(VLOOKUP(A46,BUFFS!$H$5:$AF$195,19,),"")</f>
        <v/>
      </c>
      <c r="S46" s="69" t="str">
        <f t="shared" si="8"/>
        <v/>
      </c>
      <c r="T46" s="70" t="str">
        <f>IFERROR(VLOOKUP(A46,BUFFS!$H$5:$AF$195,20,),"")</f>
        <v/>
      </c>
    </row>
    <row r="47" spans="1:27" x14ac:dyDescent="0.3">
      <c r="A47" s="17"/>
      <c r="B47" s="80"/>
      <c r="C47" s="81"/>
      <c r="D47" s="31" t="str">
        <f>IFERROR(VLOOKUP(A47,BUFFS!$H$5:$AF$195,8,),"")</f>
        <v/>
      </c>
      <c r="E47" s="24" t="str">
        <f t="shared" si="6"/>
        <v/>
      </c>
      <c r="F47" s="65" t="str">
        <f>IFERROR(VLOOKUP(A47,BUFFS!$H$5:$AF$195,5,),"")</f>
        <v/>
      </c>
      <c r="G47" s="66" t="str">
        <f>IFERROR(VLOOKUP(A47,BUFFS!$H$5:$AF$195,6,),"")</f>
        <v/>
      </c>
      <c r="H47" s="67" t="str">
        <f>IFERROR(VLOOKUP(A47,BUFFS!$H$5:$AF$195,7,),"")</f>
        <v/>
      </c>
      <c r="I47" s="66" t="str">
        <f>IFERROR(VLOOKUP(A47,BUFFS!$H$5:$AF$195,9,),"")</f>
        <v/>
      </c>
      <c r="J47" s="65" t="str">
        <f>IFERROR(VLOOKUP(A47,BUFFS!$H$5:$AF$195,10,),"")</f>
        <v/>
      </c>
      <c r="K47" s="66" t="str">
        <f>IFERROR(VLOOKUP(A47,BUFFS!$H$5:$AF$195,11,),"")</f>
        <v/>
      </c>
      <c r="L47" s="66" t="str">
        <f>IFERROR(VLOOKUP(A47,BUFFS!$H$5:$AF$195,12,),"")</f>
        <v/>
      </c>
      <c r="M47" s="66" t="str">
        <f>IFERROR(VLOOKUP(A47,BUFFS!$H$5:$AF$195,14,),"")</f>
        <v/>
      </c>
      <c r="N47" s="68" t="str">
        <f t="shared" si="7"/>
        <v/>
      </c>
      <c r="O47" s="65" t="str">
        <f>IFERROR(VLOOKUP(A47,BUFFS!$H$5:$AF$195,15,),"")</f>
        <v/>
      </c>
      <c r="P47" s="66" t="str">
        <f>IFERROR(VLOOKUP(A47,BUFFS!$H$5:$AF$195,16,),"")</f>
        <v/>
      </c>
      <c r="Q47" s="66" t="str">
        <f>IFERROR(VLOOKUP(A47,BUFFS!$H$5:$AF$195,17,),"")</f>
        <v/>
      </c>
      <c r="R47" s="66" t="str">
        <f>IFERROR(VLOOKUP(A47,BUFFS!$H$5:$AF$195,19,),"")</f>
        <v/>
      </c>
      <c r="S47" s="69" t="str">
        <f t="shared" si="8"/>
        <v/>
      </c>
      <c r="T47" s="70" t="str">
        <f>IFERROR(VLOOKUP(A47,BUFFS!$H$5:$AF$195,20,),"")</f>
        <v/>
      </c>
    </row>
    <row r="48" spans="1:27" x14ac:dyDescent="0.3">
      <c r="A48" s="17"/>
      <c r="B48" s="80"/>
      <c r="C48" s="81"/>
      <c r="D48" s="31" t="str">
        <f>IFERROR(VLOOKUP(A48,BUFFS!$H$5:$AF$195,8,),"")</f>
        <v/>
      </c>
      <c r="E48" s="24" t="str">
        <f t="shared" si="6"/>
        <v/>
      </c>
      <c r="F48" s="65" t="str">
        <f>IFERROR(VLOOKUP(A48,BUFFS!$H$5:$AF$195,5,),"")</f>
        <v/>
      </c>
      <c r="G48" s="66" t="str">
        <f>IFERROR(VLOOKUP(A48,BUFFS!$H$5:$AF$195,6,),"")</f>
        <v/>
      </c>
      <c r="H48" s="67" t="str">
        <f>IFERROR(VLOOKUP(A48,BUFFS!$H$5:$AF$195,7,),"")</f>
        <v/>
      </c>
      <c r="I48" s="66" t="str">
        <f>IFERROR(VLOOKUP(A48,BUFFS!$H$5:$AF$195,9,),"")</f>
        <v/>
      </c>
      <c r="J48" s="65" t="str">
        <f>IFERROR(VLOOKUP(A48,BUFFS!$H$5:$AF$195,10,),"")</f>
        <v/>
      </c>
      <c r="K48" s="66" t="str">
        <f>IFERROR(VLOOKUP(A48,BUFFS!$H$5:$AF$195,11,),"")</f>
        <v/>
      </c>
      <c r="L48" s="66" t="str">
        <f>IFERROR(VLOOKUP(A48,BUFFS!$H$5:$AF$195,12,),"")</f>
        <v/>
      </c>
      <c r="M48" s="66" t="str">
        <f>IFERROR(VLOOKUP(A48,BUFFS!$H$5:$AF$195,14,),"")</f>
        <v/>
      </c>
      <c r="N48" s="68" t="str">
        <f t="shared" si="7"/>
        <v/>
      </c>
      <c r="O48" s="65" t="str">
        <f>IFERROR(VLOOKUP(A48,BUFFS!$H$5:$AF$195,15,),"")</f>
        <v/>
      </c>
      <c r="P48" s="66" t="str">
        <f>IFERROR(VLOOKUP(A48,BUFFS!$H$5:$AF$195,16,),"")</f>
        <v/>
      </c>
      <c r="Q48" s="66" t="str">
        <f>IFERROR(VLOOKUP(A48,BUFFS!$H$5:$AF$195,17,),"")</f>
        <v/>
      </c>
      <c r="R48" s="66" t="str">
        <f>IFERROR(VLOOKUP(A48,BUFFS!$H$5:$AF$195,19,),"")</f>
        <v/>
      </c>
      <c r="S48" s="69" t="str">
        <f t="shared" si="8"/>
        <v/>
      </c>
      <c r="T48" s="70" t="str">
        <f>IFERROR(VLOOKUP(A48,BUFFS!$H$5:$AF$195,20,),"")</f>
        <v/>
      </c>
    </row>
    <row r="49" spans="1:20" x14ac:dyDescent="0.3">
      <c r="A49" s="17"/>
      <c r="B49" s="80"/>
      <c r="C49" s="81"/>
      <c r="D49" s="31" t="str">
        <f>IFERROR(VLOOKUP(A49,BUFFS!$H$5:$AF$195,8,),"")</f>
        <v/>
      </c>
      <c r="E49" s="24" t="str">
        <f t="shared" si="6"/>
        <v/>
      </c>
      <c r="F49" s="65" t="str">
        <f>IFERROR(VLOOKUP(A49,BUFFS!$H$5:$AF$195,5,),"")</f>
        <v/>
      </c>
      <c r="G49" s="66" t="str">
        <f>IFERROR(VLOOKUP(A49,BUFFS!$H$5:$AF$195,6,),"")</f>
        <v/>
      </c>
      <c r="H49" s="67" t="str">
        <f>IFERROR(VLOOKUP(A49,BUFFS!$H$5:$AF$195,7,),"")</f>
        <v/>
      </c>
      <c r="I49" s="66" t="str">
        <f>IFERROR(VLOOKUP(A49,BUFFS!$H$5:$AF$195,9,),"")</f>
        <v/>
      </c>
      <c r="J49" s="65" t="str">
        <f>IFERROR(VLOOKUP(A49,BUFFS!$H$5:$AF$195,10,),"")</f>
        <v/>
      </c>
      <c r="K49" s="66" t="str">
        <f>IFERROR(VLOOKUP(A49,BUFFS!$H$5:$AF$195,11,),"")</f>
        <v/>
      </c>
      <c r="L49" s="66" t="str">
        <f>IFERROR(VLOOKUP(A49,BUFFS!$H$5:$AF$195,12,),"")</f>
        <v/>
      </c>
      <c r="M49" s="66" t="str">
        <f>IFERROR(VLOOKUP(A49,BUFFS!$H$5:$AF$195,14,),"")</f>
        <v/>
      </c>
      <c r="N49" s="68" t="str">
        <f t="shared" si="7"/>
        <v/>
      </c>
      <c r="O49" s="65" t="str">
        <f>IFERROR(VLOOKUP(A49,BUFFS!$H$5:$AF$195,15,),"")</f>
        <v/>
      </c>
      <c r="P49" s="66" t="str">
        <f>IFERROR(VLOOKUP(A49,BUFFS!$H$5:$AF$195,16,),"")</f>
        <v/>
      </c>
      <c r="Q49" s="66" t="str">
        <f>IFERROR(VLOOKUP(A49,BUFFS!$H$5:$AF$195,17,),"")</f>
        <v/>
      </c>
      <c r="R49" s="66" t="str">
        <f>IFERROR(VLOOKUP(A49,BUFFS!$H$5:$AF$195,19,),"")</f>
        <v/>
      </c>
      <c r="S49" s="69" t="str">
        <f t="shared" si="8"/>
        <v/>
      </c>
      <c r="T49" s="70" t="str">
        <f>IFERROR(VLOOKUP(A49,BUFFS!$H$5:$AF$195,20,),"")</f>
        <v/>
      </c>
    </row>
    <row r="50" spans="1:20" x14ac:dyDescent="0.3">
      <c r="A50" s="17"/>
      <c r="B50" s="80"/>
      <c r="C50" s="81"/>
      <c r="D50" s="31" t="str">
        <f>IFERROR(VLOOKUP(A50,BUFFS!$H$5:$AF$195,8,),"")</f>
        <v/>
      </c>
      <c r="E50" s="24" t="str">
        <f t="shared" si="6"/>
        <v/>
      </c>
      <c r="F50" s="65" t="str">
        <f>IFERROR(VLOOKUP(A50,BUFFS!$H$5:$AF$195,5,),"")</f>
        <v/>
      </c>
      <c r="G50" s="66" t="str">
        <f>IFERROR(VLOOKUP(A50,BUFFS!$H$5:$AF$195,6,),"")</f>
        <v/>
      </c>
      <c r="H50" s="67" t="str">
        <f>IFERROR(VLOOKUP(A50,BUFFS!$H$5:$AF$195,7,),"")</f>
        <v/>
      </c>
      <c r="I50" s="66" t="str">
        <f>IFERROR(VLOOKUP(A50,BUFFS!$H$5:$AF$195,9,),"")</f>
        <v/>
      </c>
      <c r="J50" s="65" t="str">
        <f>IFERROR(VLOOKUP(A50,BUFFS!$H$5:$AF$195,10,),"")</f>
        <v/>
      </c>
      <c r="K50" s="66" t="str">
        <f>IFERROR(VLOOKUP(A50,BUFFS!$H$5:$AF$195,11,),"")</f>
        <v/>
      </c>
      <c r="L50" s="66" t="str">
        <f>IFERROR(VLOOKUP(A50,BUFFS!$H$5:$AF$195,12,),"")</f>
        <v/>
      </c>
      <c r="M50" s="66" t="str">
        <f>IFERROR(VLOOKUP(A50,BUFFS!$H$5:$AF$195,14,),"")</f>
        <v/>
      </c>
      <c r="N50" s="68" t="str">
        <f t="shared" si="7"/>
        <v/>
      </c>
      <c r="O50" s="65" t="str">
        <f>IFERROR(VLOOKUP(A50,BUFFS!$H$5:$AF$195,15,),"")</f>
        <v/>
      </c>
      <c r="P50" s="66" t="str">
        <f>IFERROR(VLOOKUP(A50,BUFFS!$H$5:$AF$195,16,),"")</f>
        <v/>
      </c>
      <c r="Q50" s="66" t="str">
        <f>IFERROR(VLOOKUP(A50,BUFFS!$H$5:$AF$195,17,),"")</f>
        <v/>
      </c>
      <c r="R50" s="66" t="str">
        <f>IFERROR(VLOOKUP(A50,BUFFS!$H$5:$AF$195,19,),"")</f>
        <v/>
      </c>
      <c r="S50" s="69" t="str">
        <f t="shared" si="8"/>
        <v/>
      </c>
      <c r="T50" s="70" t="str">
        <f>IFERROR(VLOOKUP(A50,BUFFS!$H$5:$AF$195,20,),"")</f>
        <v/>
      </c>
    </row>
    <row r="51" spans="1:20" x14ac:dyDescent="0.3">
      <c r="A51" s="17"/>
      <c r="B51" s="80"/>
      <c r="C51" s="81"/>
      <c r="D51" s="31" t="str">
        <f>IFERROR(VLOOKUP(A51,BUFFS!$H$5:$AF$195,8,),"")</f>
        <v/>
      </c>
      <c r="E51" s="24" t="str">
        <f t="shared" si="6"/>
        <v/>
      </c>
      <c r="F51" s="65" t="str">
        <f>IFERROR(VLOOKUP(A51,BUFFS!$H$5:$AF$195,5,),"")</f>
        <v/>
      </c>
      <c r="G51" s="66" t="str">
        <f>IFERROR(VLOOKUP(A51,BUFFS!$H$5:$AF$195,6,),"")</f>
        <v/>
      </c>
      <c r="H51" s="67" t="str">
        <f>IFERROR(VLOOKUP(A51,BUFFS!$H$5:$AF$195,7,),"")</f>
        <v/>
      </c>
      <c r="I51" s="66" t="str">
        <f>IFERROR(VLOOKUP(A51,BUFFS!$H$5:$AF$195,9,),"")</f>
        <v/>
      </c>
      <c r="J51" s="65" t="str">
        <f>IFERROR(VLOOKUP(A51,BUFFS!$H$5:$AF$195,10,),"")</f>
        <v/>
      </c>
      <c r="K51" s="66" t="str">
        <f>IFERROR(VLOOKUP(A51,BUFFS!$H$5:$AF$195,11,),"")</f>
        <v/>
      </c>
      <c r="L51" s="66" t="str">
        <f>IFERROR(VLOOKUP(A51,BUFFS!$H$5:$AF$195,12,),"")</f>
        <v/>
      </c>
      <c r="M51" s="66" t="str">
        <f>IFERROR(VLOOKUP(A51,BUFFS!$H$5:$AF$195,14,),"")</f>
        <v/>
      </c>
      <c r="N51" s="68" t="str">
        <f t="shared" si="7"/>
        <v/>
      </c>
      <c r="O51" s="65" t="str">
        <f>IFERROR(VLOOKUP(A51,BUFFS!$H$5:$AF$195,15,),"")</f>
        <v/>
      </c>
      <c r="P51" s="66" t="str">
        <f>IFERROR(VLOOKUP(A51,BUFFS!$H$5:$AF$195,16,),"")</f>
        <v/>
      </c>
      <c r="Q51" s="66" t="str">
        <f>IFERROR(VLOOKUP(A51,BUFFS!$H$5:$AF$195,17,),"")</f>
        <v/>
      </c>
      <c r="R51" s="66" t="str">
        <f>IFERROR(VLOOKUP(A51,BUFFS!$H$5:$AF$195,19,),"")</f>
        <v/>
      </c>
      <c r="S51" s="69" t="str">
        <f t="shared" si="8"/>
        <v/>
      </c>
      <c r="T51" s="70" t="str">
        <f>IFERROR(VLOOKUP(A51,BUFFS!$H$5:$AF$195,20,),"")</f>
        <v/>
      </c>
    </row>
    <row r="52" spans="1:20" x14ac:dyDescent="0.3">
      <c r="A52" s="17"/>
      <c r="B52" s="80"/>
      <c r="C52" s="81"/>
      <c r="D52" s="31" t="str">
        <f>IFERROR(VLOOKUP(A52,BUFFS!$H$5:$AF$195,8,),"")</f>
        <v/>
      </c>
      <c r="E52" s="24" t="str">
        <f t="shared" si="6"/>
        <v/>
      </c>
      <c r="F52" s="65" t="str">
        <f>IFERROR(VLOOKUP(A52,BUFFS!$H$5:$AF$195,5,),"")</f>
        <v/>
      </c>
      <c r="G52" s="66" t="str">
        <f>IFERROR(VLOOKUP(A52,BUFFS!$H$5:$AF$195,6,),"")</f>
        <v/>
      </c>
      <c r="H52" s="67" t="str">
        <f>IFERROR(VLOOKUP(A52,BUFFS!$H$5:$AF$195,7,),"")</f>
        <v/>
      </c>
      <c r="I52" s="66" t="str">
        <f>IFERROR(VLOOKUP(A52,BUFFS!$H$5:$AF$195,9,),"")</f>
        <v/>
      </c>
      <c r="J52" s="65" t="str">
        <f>IFERROR(VLOOKUP(A52,BUFFS!$H$5:$AF$195,10,),"")</f>
        <v/>
      </c>
      <c r="K52" s="66" t="str">
        <f>IFERROR(VLOOKUP(A52,BUFFS!$H$5:$AF$195,11,),"")</f>
        <v/>
      </c>
      <c r="L52" s="66" t="str">
        <f>IFERROR(VLOOKUP(A52,BUFFS!$H$5:$AF$195,12,),"")</f>
        <v/>
      </c>
      <c r="M52" s="66" t="str">
        <f>IFERROR(VLOOKUP(A52,BUFFS!$H$5:$AF$195,14,),"")</f>
        <v/>
      </c>
      <c r="N52" s="68" t="str">
        <f t="shared" si="7"/>
        <v/>
      </c>
      <c r="O52" s="65" t="str">
        <f>IFERROR(VLOOKUP(A52,BUFFS!$H$5:$AF$195,15,),"")</f>
        <v/>
      </c>
      <c r="P52" s="66" t="str">
        <f>IFERROR(VLOOKUP(A52,BUFFS!$H$5:$AF$195,16,),"")</f>
        <v/>
      </c>
      <c r="Q52" s="66" t="str">
        <f>IFERROR(VLOOKUP(A52,BUFFS!$H$5:$AF$195,17,),"")</f>
        <v/>
      </c>
      <c r="R52" s="66" t="str">
        <f>IFERROR(VLOOKUP(A52,BUFFS!$H$5:$AF$195,19,),"")</f>
        <v/>
      </c>
      <c r="S52" s="69" t="str">
        <f t="shared" si="8"/>
        <v/>
      </c>
      <c r="T52" s="70" t="str">
        <f>IFERROR(VLOOKUP(A52,BUFFS!$H$5:$AF$195,20,),"")</f>
        <v/>
      </c>
    </row>
    <row r="53" spans="1:20" x14ac:dyDescent="0.3">
      <c r="A53" s="17"/>
      <c r="B53" s="80"/>
      <c r="C53" s="81"/>
      <c r="D53" s="31" t="str">
        <f>IFERROR(VLOOKUP(A53,BUFFS!$H$5:$AF$195,8,),"")</f>
        <v/>
      </c>
      <c r="E53" s="24" t="str">
        <f t="shared" si="6"/>
        <v/>
      </c>
      <c r="F53" s="65" t="str">
        <f>IFERROR(VLOOKUP(A53,BUFFS!$H$5:$AF$195,5,),"")</f>
        <v/>
      </c>
      <c r="G53" s="66" t="str">
        <f>IFERROR(VLOOKUP(A53,BUFFS!$H$5:$AF$195,6,),"")</f>
        <v/>
      </c>
      <c r="H53" s="67" t="str">
        <f>IFERROR(VLOOKUP(A53,BUFFS!$H$5:$AF$195,7,),"")</f>
        <v/>
      </c>
      <c r="I53" s="66" t="str">
        <f>IFERROR(VLOOKUP(A53,BUFFS!$H$5:$AF$195,9,),"")</f>
        <v/>
      </c>
      <c r="J53" s="65" t="str">
        <f>IFERROR(VLOOKUP(A53,BUFFS!$H$5:$AF$195,10,),"")</f>
        <v/>
      </c>
      <c r="K53" s="66" t="str">
        <f>IFERROR(VLOOKUP(A53,BUFFS!$H$5:$AF$195,11,),"")</f>
        <v/>
      </c>
      <c r="L53" s="66" t="str">
        <f>IFERROR(VLOOKUP(A53,BUFFS!$H$5:$AF$195,12,),"")</f>
        <v/>
      </c>
      <c r="M53" s="66" t="str">
        <f>IFERROR(VLOOKUP(A53,BUFFS!$H$5:$AF$195,14,),"")</f>
        <v/>
      </c>
      <c r="N53" s="68" t="str">
        <f t="shared" si="7"/>
        <v/>
      </c>
      <c r="O53" s="65" t="str">
        <f>IFERROR(VLOOKUP(A53,BUFFS!$H$5:$AF$195,15,),"")</f>
        <v/>
      </c>
      <c r="P53" s="66" t="str">
        <f>IFERROR(VLOOKUP(A53,BUFFS!$H$5:$AF$195,16,),"")</f>
        <v/>
      </c>
      <c r="Q53" s="66" t="str">
        <f>IFERROR(VLOOKUP(A53,BUFFS!$H$5:$AF$195,17,),"")</f>
        <v/>
      </c>
      <c r="R53" s="66" t="str">
        <f>IFERROR(VLOOKUP(A53,BUFFS!$H$5:$AF$195,19,),"")</f>
        <v/>
      </c>
      <c r="S53" s="69" t="str">
        <f t="shared" si="8"/>
        <v/>
      </c>
      <c r="T53" s="70" t="str">
        <f>IFERROR(VLOOKUP(A53,BUFFS!$H$5:$AF$195,20,),"")</f>
        <v/>
      </c>
    </row>
    <row r="54" spans="1:20" x14ac:dyDescent="0.3">
      <c r="A54" s="17"/>
      <c r="B54" s="80"/>
      <c r="C54" s="81"/>
      <c r="D54" s="31" t="str">
        <f>IFERROR(VLOOKUP(A54,BUFFS!$H$5:$AF$195,8,),"")</f>
        <v/>
      </c>
      <c r="E54" s="24" t="str">
        <f t="shared" si="6"/>
        <v/>
      </c>
      <c r="F54" s="65" t="str">
        <f>IFERROR(VLOOKUP(A54,BUFFS!$H$5:$AF$195,5,),"")</f>
        <v/>
      </c>
      <c r="G54" s="66" t="str">
        <f>IFERROR(VLOOKUP(A54,BUFFS!$H$5:$AF$195,6,),"")</f>
        <v/>
      </c>
      <c r="H54" s="67" t="str">
        <f>IFERROR(VLOOKUP(A54,BUFFS!$H$5:$AF$195,7,),"")</f>
        <v/>
      </c>
      <c r="I54" s="66" t="str">
        <f>IFERROR(VLOOKUP(A54,BUFFS!$H$5:$AF$195,9,),"")</f>
        <v/>
      </c>
      <c r="J54" s="65" t="str">
        <f>IFERROR(VLOOKUP(A54,BUFFS!$H$5:$AF$195,10,),"")</f>
        <v/>
      </c>
      <c r="K54" s="66" t="str">
        <f>IFERROR(VLOOKUP(A54,BUFFS!$H$5:$AF$195,11,),"")</f>
        <v/>
      </c>
      <c r="L54" s="66" t="str">
        <f>IFERROR(VLOOKUP(A54,BUFFS!$H$5:$AF$195,12,),"")</f>
        <v/>
      </c>
      <c r="M54" s="66" t="str">
        <f>IFERROR(VLOOKUP(A54,BUFFS!$H$5:$AF$195,14,),"")</f>
        <v/>
      </c>
      <c r="N54" s="68" t="str">
        <f t="shared" si="7"/>
        <v/>
      </c>
      <c r="O54" s="65" t="str">
        <f>IFERROR(VLOOKUP(A54,BUFFS!$H$5:$AF$195,15,),"")</f>
        <v/>
      </c>
      <c r="P54" s="66" t="str">
        <f>IFERROR(VLOOKUP(A54,BUFFS!$H$5:$AF$195,16,),"")</f>
        <v/>
      </c>
      <c r="Q54" s="66" t="str">
        <f>IFERROR(VLOOKUP(A54,BUFFS!$H$5:$AF$195,17,),"")</f>
        <v/>
      </c>
      <c r="R54" s="66" t="str">
        <f>IFERROR(VLOOKUP(A54,BUFFS!$H$5:$AF$195,19,),"")</f>
        <v/>
      </c>
      <c r="S54" s="69" t="str">
        <f t="shared" si="8"/>
        <v/>
      </c>
      <c r="T54" s="70" t="str">
        <f>IFERROR(VLOOKUP(A54,BUFFS!$H$5:$AF$195,20,),"")</f>
        <v/>
      </c>
    </row>
    <row r="55" spans="1:20" x14ac:dyDescent="0.3">
      <c r="A55" s="17"/>
      <c r="B55" s="80"/>
      <c r="C55" s="81"/>
      <c r="D55" s="31" t="str">
        <f>IFERROR(VLOOKUP(A55,BUFFS!$H$5:$AF$195,8,),"")</f>
        <v/>
      </c>
      <c r="E55" s="24" t="str">
        <f t="shared" si="6"/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 t="shared" si="7"/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 t="shared" si="8"/>
        <v/>
      </c>
      <c r="T55" s="70" t="str">
        <f>IFERROR(VLOOKUP(A55,BUFFS!$H$5:$AF$195,20,),"")</f>
        <v/>
      </c>
    </row>
    <row r="56" spans="1:20" x14ac:dyDescent="0.3">
      <c r="A56" s="17"/>
      <c r="B56" s="80"/>
      <c r="C56" s="81"/>
      <c r="D56" s="31" t="str">
        <f>IFERROR(VLOOKUP(A56,BUFFS!$H$5:$AF$195,8,),"")</f>
        <v/>
      </c>
      <c r="E56" s="24" t="str">
        <f t="shared" si="6"/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si="7"/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si="8"/>
        <v/>
      </c>
      <c r="T56" s="70" t="str">
        <f>IFERROR(VLOOKUP(A56,BUFFS!$H$5:$AF$195,20,),"")</f>
        <v/>
      </c>
    </row>
    <row r="57" spans="1:20" x14ac:dyDescent="0.3">
      <c r="A57" s="17"/>
      <c r="B57" s="80"/>
      <c r="C57" s="81"/>
      <c r="D57" s="31" t="str">
        <f>IFERROR(VLOOKUP(A57,BUFFS!$H$5:$AF$195,8,),"")</f>
        <v/>
      </c>
      <c r="E57" s="24" t="str">
        <f t="shared" si="6"/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7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8"/>
        <v/>
      </c>
      <c r="T57" s="70" t="str">
        <f>IFERROR(VLOOKUP(A57,BUFFS!$H$5:$AF$195,20,),"")</f>
        <v/>
      </c>
    </row>
    <row r="58" spans="1:20" x14ac:dyDescent="0.3">
      <c r="A58" s="17"/>
      <c r="B58" s="80"/>
      <c r="C58" s="81"/>
      <c r="D58" s="31" t="str">
        <f>IFERROR(VLOOKUP(A58,BUFFS!$H$5:$AF$195,8,),"")</f>
        <v/>
      </c>
      <c r="E58" s="24" t="str">
        <f t="shared" si="6"/>
        <v/>
      </c>
      <c r="F58" s="65" t="str">
        <f>IFERROR(VLOOKUP(A58,BUFFS!$H$5:$AF$195,5,),"")</f>
        <v/>
      </c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7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8"/>
        <v/>
      </c>
      <c r="T58" s="70" t="str">
        <f>IFERROR(VLOOKUP(A58,BUFFS!$H$5:$AF$195,20,),"")</f>
        <v/>
      </c>
    </row>
    <row r="59" spans="1:20" x14ac:dyDescent="0.3">
      <c r="A59" s="17"/>
      <c r="B59" s="80"/>
      <c r="C59" s="81"/>
      <c r="D59" s="31" t="str">
        <f>IFERROR(VLOOKUP(A59,BUFFS!$H$5:$AF$195,8,),"")</f>
        <v/>
      </c>
      <c r="E59" s="24" t="str">
        <f t="shared" si="6"/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7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8"/>
        <v/>
      </c>
      <c r="T59" s="70" t="str">
        <f>IFERROR(VLOOKUP(A59,BUFFS!$H$5:$AF$195,20,),"")</f>
        <v/>
      </c>
    </row>
    <row r="60" spans="1:20" x14ac:dyDescent="0.3">
      <c r="A60" s="17"/>
      <c r="B60" s="80"/>
      <c r="C60" s="81"/>
      <c r="D60" s="31" t="str">
        <f>IFERROR(VLOOKUP(A60,BUFFS!$H$5:$AF$195,8,),"")</f>
        <v/>
      </c>
      <c r="E60" s="24" t="str">
        <f t="shared" si="6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7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8"/>
        <v/>
      </c>
      <c r="T60" s="70" t="str">
        <f>IFERROR(VLOOKUP(A60,BUFFS!$H$5:$AF$195,20,),"")</f>
        <v/>
      </c>
    </row>
    <row r="61" spans="1:20" x14ac:dyDescent="0.3">
      <c r="A61" s="17"/>
      <c r="B61" s="80"/>
      <c r="C61" s="81"/>
      <c r="D61" s="31" t="str">
        <f>IFERROR(VLOOKUP(A61,BUFFS!$H$5:$AF$195,8,),"")</f>
        <v/>
      </c>
      <c r="E61" s="24" t="str">
        <f t="shared" si="6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7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8"/>
        <v/>
      </c>
      <c r="T61" s="70" t="str">
        <f>IFERROR(VLOOKUP(A61,BUFFS!$H$5:$AF$195,20,),"")</f>
        <v/>
      </c>
    </row>
    <row r="62" spans="1:20" x14ac:dyDescent="0.3">
      <c r="A62" s="17"/>
      <c r="B62" s="80"/>
      <c r="C62" s="81"/>
      <c r="D62" s="31" t="str">
        <f>IFERROR(VLOOKUP(A62,BUFFS!$H$5:$AF$195,8,),"")</f>
        <v/>
      </c>
      <c r="E62" s="24" t="str">
        <f t="shared" si="6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7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8"/>
        <v/>
      </c>
      <c r="T62" s="70" t="str">
        <f>IFERROR(VLOOKUP(A62,BUFFS!$H$5:$AF$195,20,),"")</f>
        <v/>
      </c>
    </row>
    <row r="63" spans="1:20" x14ac:dyDescent="0.3">
      <c r="A63" s="17"/>
      <c r="B63" s="80"/>
      <c r="C63" s="81"/>
      <c r="D63" s="31" t="str">
        <f>IFERROR(VLOOKUP(A63,BUFFS!$H$5:$AF$195,8,),"")</f>
        <v/>
      </c>
      <c r="E63" s="24" t="str">
        <f t="shared" si="6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7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8"/>
        <v/>
      </c>
      <c r="T63" s="70" t="str">
        <f>IFERROR(VLOOKUP(A63,BUFFS!$H$5:$AF$195,20,),"")</f>
        <v/>
      </c>
    </row>
    <row r="64" spans="1:20" x14ac:dyDescent="0.3">
      <c r="A64" s="17"/>
      <c r="B64" s="80"/>
      <c r="C64" s="81"/>
      <c r="D64" s="31" t="str">
        <f>IFERROR(VLOOKUP(A64,BUFFS!$H$5:$AF$195,8,),"")</f>
        <v/>
      </c>
      <c r="E64" s="24" t="str">
        <f t="shared" si="6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7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8"/>
        <v/>
      </c>
      <c r="T64" s="70" t="str">
        <f>IFERROR(VLOOKUP(A64,BUFFS!$H$5:$AF$195,20,),"")</f>
        <v/>
      </c>
    </row>
    <row r="65" spans="1:20" x14ac:dyDescent="0.3">
      <c r="A65" s="17"/>
      <c r="B65" s="80"/>
      <c r="C65" s="81"/>
      <c r="D65" s="31" t="str">
        <f>IFERROR(VLOOKUP(A65,BUFFS!$H$5:$AF$195,8,),"")</f>
        <v/>
      </c>
      <c r="E65" s="24" t="str">
        <f t="shared" si="6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7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8"/>
        <v/>
      </c>
      <c r="T65" s="70" t="str">
        <f>IFERROR(VLOOKUP(A65,BUFFS!$H$5:$AF$195,20,),"")</f>
        <v/>
      </c>
    </row>
    <row r="66" spans="1:20" x14ac:dyDescent="0.3">
      <c r="A66" s="17"/>
      <c r="B66" s="80"/>
      <c r="C66" s="81"/>
      <c r="D66" s="31" t="str">
        <f>IFERROR(VLOOKUP(A66,BUFFS!$H$5:$AF$195,8,),"")</f>
        <v/>
      </c>
      <c r="E66" s="24" t="str">
        <f t="shared" si="6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7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8"/>
        <v/>
      </c>
      <c r="T66" s="70" t="str">
        <f>IFERROR(VLOOKUP(A66,BUFFS!$H$5:$AF$195,20,),"")</f>
        <v/>
      </c>
    </row>
    <row r="67" spans="1:20" x14ac:dyDescent="0.3">
      <c r="A67" s="17"/>
      <c r="B67" s="80"/>
      <c r="C67" s="81"/>
      <c r="D67" s="31" t="str">
        <f>IFERROR(VLOOKUP(A67,BUFFS!$H$5:$AF$195,8,),"")</f>
        <v/>
      </c>
      <c r="E67" s="24" t="str">
        <f t="shared" si="6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7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8"/>
        <v/>
      </c>
      <c r="T67" s="70" t="str">
        <f>IFERROR(VLOOKUP(A67,BUFFS!$H$5:$AF$195,20,),"")</f>
        <v/>
      </c>
    </row>
    <row r="68" spans="1:20" x14ac:dyDescent="0.3">
      <c r="A68" s="17"/>
      <c r="B68" s="80"/>
      <c r="C68" s="81"/>
      <c r="D68" s="31" t="str">
        <f>IFERROR(VLOOKUP(A68,BUFFS!$H$5:$AF$195,8,),"")</f>
        <v/>
      </c>
      <c r="E68" s="24" t="str">
        <f t="shared" si="6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7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8"/>
        <v/>
      </c>
      <c r="T68" s="70" t="str">
        <f>IFERROR(VLOOKUP(A68,BUFFS!$H$5:$AF$195,20,),"")</f>
        <v/>
      </c>
    </row>
    <row r="69" spans="1:20" x14ac:dyDescent="0.3">
      <c r="A69" s="17"/>
      <c r="B69" s="80"/>
      <c r="C69" s="81"/>
      <c r="D69" s="31" t="str">
        <f>IFERROR(VLOOKUP(A69,BUFFS!$H$5:$AF$195,8,),"")</f>
        <v/>
      </c>
      <c r="E69" s="24" t="str">
        <f t="shared" si="6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7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8"/>
        <v/>
      </c>
      <c r="T69" s="70" t="str">
        <f>IFERROR(VLOOKUP(A69,BUFFS!$H$5:$AF$195,20,),"")</f>
        <v/>
      </c>
    </row>
    <row r="70" spans="1:20" x14ac:dyDescent="0.3">
      <c r="A70" s="17"/>
      <c r="B70" s="80"/>
      <c r="C70" s="81"/>
      <c r="D70" s="31" t="str">
        <f>IFERROR(VLOOKUP(A70,BUFFS!$H$5:$AF$195,8,),"")</f>
        <v/>
      </c>
      <c r="E70" s="24" t="str">
        <f t="shared" si="6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7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8"/>
        <v/>
      </c>
      <c r="T70" s="70" t="str">
        <f>IFERROR(VLOOKUP(A70,BUFFS!$H$5:$AF$195,20,),"")</f>
        <v/>
      </c>
    </row>
    <row r="71" spans="1:20" x14ac:dyDescent="0.3">
      <c r="A71" s="17"/>
      <c r="B71" s="80"/>
      <c r="C71" s="81"/>
      <c r="D71" s="31" t="str">
        <f>IFERROR(VLOOKUP(A71,BUFFS!$H$5:$AF$195,8,),"")</f>
        <v/>
      </c>
      <c r="E71" s="24" t="str">
        <f t="shared" si="6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7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8"/>
        <v/>
      </c>
      <c r="T71" s="70" t="str">
        <f>IFERROR(VLOOKUP(A71,BUFFS!$H$5:$AF$195,20,),"")</f>
        <v/>
      </c>
    </row>
    <row r="72" spans="1:20" x14ac:dyDescent="0.3">
      <c r="A72" s="17"/>
      <c r="B72" s="80"/>
      <c r="C72" s="81"/>
      <c r="D72" s="31" t="str">
        <f>IFERROR(VLOOKUP(A72,BUFFS!$H$5:$AF$195,8,),"")</f>
        <v/>
      </c>
      <c r="E72" s="24" t="str">
        <f t="shared" si="6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7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8"/>
        <v/>
      </c>
      <c r="T72" s="70" t="str">
        <f>IFERROR(VLOOKUP(A72,BUFFS!$H$5:$AF$195,20,),"")</f>
        <v/>
      </c>
    </row>
    <row r="73" spans="1:20" x14ac:dyDescent="0.3">
      <c r="A73" s="17"/>
      <c r="B73" s="80"/>
      <c r="C73" s="81"/>
      <c r="D73" s="31" t="str">
        <f>IFERROR(VLOOKUP(A73,BUFFS!$H$5:$AF$195,8,),"")</f>
        <v/>
      </c>
      <c r="E73" s="24" t="str">
        <f t="shared" si="6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7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8"/>
        <v/>
      </c>
      <c r="T73" s="70" t="str">
        <f>IFERROR(VLOOKUP(A73,BUFFS!$H$5:$AF$195,20,),"")</f>
        <v/>
      </c>
    </row>
    <row r="74" spans="1:20" x14ac:dyDescent="0.3">
      <c r="A74" s="17"/>
      <c r="B74" s="80"/>
      <c r="C74" s="81"/>
      <c r="D74" s="31" t="str">
        <f>IFERROR(VLOOKUP(A74,BUFFS!$H$5:$AF$195,8,),"")</f>
        <v/>
      </c>
      <c r="E74" s="24" t="str">
        <f t="shared" si="6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7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8"/>
        <v/>
      </c>
      <c r="T74" s="70" t="str">
        <f>IFERROR(VLOOKUP(A74,BUFFS!$H$5:$AF$195,20,),"")</f>
        <v/>
      </c>
    </row>
    <row r="75" spans="1:20" x14ac:dyDescent="0.3">
      <c r="A75" s="17"/>
      <c r="B75" s="80"/>
      <c r="C75" s="81"/>
      <c r="D75" s="31" t="str">
        <f>IFERROR(VLOOKUP(A75,BUFFS!$H$5:$AF$195,8,),"")</f>
        <v/>
      </c>
      <c r="E75" s="24" t="str">
        <f t="shared" si="6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7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8"/>
        <v/>
      </c>
      <c r="T75" s="70" t="str">
        <f>IFERROR(VLOOKUP(A75,BUFFS!$H$5:$AF$195,20,),"")</f>
        <v/>
      </c>
    </row>
    <row r="76" spans="1:20" x14ac:dyDescent="0.3">
      <c r="A76" s="17"/>
      <c r="B76" s="80"/>
      <c r="C76" s="81"/>
      <c r="D76" s="31" t="str">
        <f>IFERROR(VLOOKUP(A76,BUFFS!$H$5:$AF$195,8,),"")</f>
        <v/>
      </c>
      <c r="E76" s="24" t="str">
        <f t="shared" si="6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7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8"/>
        <v/>
      </c>
      <c r="T76" s="70" t="str">
        <f>IFERROR(VLOOKUP(A76,BUFFS!$H$5:$AF$195,20,),"")</f>
        <v/>
      </c>
    </row>
    <row r="77" spans="1:20" x14ac:dyDescent="0.3">
      <c r="A77" s="17"/>
      <c r="B77" s="80"/>
      <c r="C77" s="81"/>
      <c r="D77" s="31" t="str">
        <f>IFERROR(VLOOKUP(A77,BUFFS!$H$5:$AF$195,8,),"")</f>
        <v/>
      </c>
      <c r="E77" s="24" t="str">
        <f t="shared" si="6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7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8"/>
        <v/>
      </c>
      <c r="T77" s="70" t="str">
        <f>IFERROR(VLOOKUP(A77,BUFFS!$H$5:$AF$195,20,),"")</f>
        <v/>
      </c>
    </row>
    <row r="78" spans="1:20" x14ac:dyDescent="0.3">
      <c r="A78" s="17"/>
      <c r="B78" s="80"/>
      <c r="C78" s="81"/>
      <c r="D78" s="31" t="str">
        <f>IFERROR(VLOOKUP(A78,BUFFS!$H$5:$AF$195,8,),"")</f>
        <v/>
      </c>
      <c r="E78" s="24" t="str">
        <f t="shared" si="6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7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8"/>
        <v/>
      </c>
      <c r="T78" s="70" t="str">
        <f>IFERROR(VLOOKUP(A78,BUFFS!$H$5:$AF$195,20,),"")</f>
        <v/>
      </c>
    </row>
    <row r="79" spans="1:20" x14ac:dyDescent="0.3">
      <c r="A79" s="17"/>
      <c r="B79" s="80"/>
      <c r="C79" s="81"/>
      <c r="D79" s="31" t="str">
        <f>IFERROR(VLOOKUP(A79,BUFFS!$H$5:$AF$195,8,),"")</f>
        <v/>
      </c>
      <c r="E79" s="24" t="str">
        <f t="shared" si="6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7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8"/>
        <v/>
      </c>
      <c r="T79" s="70" t="str">
        <f>IFERROR(VLOOKUP(A79,BUFFS!$H$5:$AF$195,20,),"")</f>
        <v/>
      </c>
    </row>
    <row r="80" spans="1:20" x14ac:dyDescent="0.3">
      <c r="A80" s="17"/>
      <c r="B80" s="80"/>
      <c r="C80" s="81"/>
      <c r="D80" s="31" t="str">
        <f>IFERROR(VLOOKUP(A80,BUFFS!$H$5:$AF$195,8,),"")</f>
        <v/>
      </c>
      <c r="E80" s="24" t="str">
        <f t="shared" si="6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7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8"/>
        <v/>
      </c>
      <c r="T80" s="70" t="str">
        <f>IFERROR(VLOOKUP(A80,BUFFS!$H$5:$AF$195,20,),"")</f>
        <v/>
      </c>
    </row>
    <row r="81" spans="1:20" x14ac:dyDescent="0.3">
      <c r="A81" s="17"/>
      <c r="B81" s="80"/>
      <c r="C81" s="81"/>
      <c r="D81" s="31" t="str">
        <f>IFERROR(VLOOKUP(A81,BUFFS!$H$5:$AF$195,8,),"")</f>
        <v/>
      </c>
      <c r="E81" s="24" t="str">
        <f t="shared" si="6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7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8"/>
        <v/>
      </c>
      <c r="T81" s="70" t="str">
        <f>IFERROR(VLOOKUP(A81,BUFFS!$H$5:$AF$195,20,),"")</f>
        <v/>
      </c>
    </row>
    <row r="82" spans="1:20" x14ac:dyDescent="0.3">
      <c r="A82" s="17"/>
      <c r="B82" s="18"/>
      <c r="C82" s="13"/>
      <c r="D82" s="31" t="str">
        <f>IFERROR(VLOOKUP(A82,BUFFS!$H$5:$AF$195,8,),"")</f>
        <v/>
      </c>
      <c r="E82" s="24" t="str">
        <f t="shared" si="6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7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8"/>
        <v/>
      </c>
      <c r="T82" s="70" t="str">
        <f>IFERROR(VLOOKUP(A82,BUFFS!$H$5:$AF$195,20,),"")</f>
        <v/>
      </c>
    </row>
    <row r="83" spans="1:20" x14ac:dyDescent="0.3">
      <c r="A83" s="17"/>
      <c r="B83" s="18"/>
      <c r="C83" s="13"/>
      <c r="D83" s="31" t="str">
        <f>IFERROR(VLOOKUP(A83,BUFFS!$H$5:$AF$195,8,),"")</f>
        <v/>
      </c>
      <c r="E83" s="24" t="str">
        <f t="shared" si="6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7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8"/>
        <v/>
      </c>
      <c r="T83" s="70" t="str">
        <f>IFERROR(VLOOKUP(A83,BUFFS!$H$5:$AF$195,20,),"")</f>
        <v/>
      </c>
    </row>
    <row r="84" spans="1:20" x14ac:dyDescent="0.3">
      <c r="A84" s="17"/>
      <c r="B84" s="18"/>
      <c r="C84" s="13"/>
      <c r="D84" s="31" t="str">
        <f>IFERROR(VLOOKUP(A84,BUFFS!$H$5:$AF$195,8,),"")</f>
        <v/>
      </c>
      <c r="E84" s="24" t="str">
        <f t="shared" si="6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7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8"/>
        <v/>
      </c>
      <c r="T84" s="70" t="str">
        <f>IFERROR(VLOOKUP(A84,BUFFS!$H$5:$AF$195,20,),"")</f>
        <v/>
      </c>
    </row>
    <row r="85" spans="1:20" x14ac:dyDescent="0.3">
      <c r="A85" s="17"/>
      <c r="B85" s="18"/>
      <c r="C85" s="13"/>
      <c r="D85" s="31" t="str">
        <f>IFERROR(VLOOKUP(A85,BUFFS!$H$5:$AF$195,8,),"")</f>
        <v/>
      </c>
      <c r="E85" s="24" t="str">
        <f t="shared" si="6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7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8"/>
        <v/>
      </c>
      <c r="T85" s="70" t="str">
        <f>IFERROR(VLOOKUP(A85,BUFFS!$H$5:$AF$195,20,),"")</f>
        <v/>
      </c>
    </row>
    <row r="86" spans="1:20" x14ac:dyDescent="0.3">
      <c r="A86" s="17"/>
      <c r="B86" s="18"/>
      <c r="C86" s="13"/>
      <c r="D86" s="31" t="str">
        <f>IFERROR(VLOOKUP(A86,BUFFS!$H$5:$AF$195,8,),"")</f>
        <v/>
      </c>
      <c r="E86" s="24" t="str">
        <f t="shared" si="6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7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8"/>
        <v/>
      </c>
      <c r="T86" s="70" t="str">
        <f>IFERROR(VLOOKUP(A86,BUFFS!$H$5:$AF$195,20,),"")</f>
        <v/>
      </c>
    </row>
    <row r="87" spans="1:20" x14ac:dyDescent="0.3">
      <c r="A87" s="17"/>
      <c r="B87" s="18"/>
      <c r="C87" s="13"/>
      <c r="D87" s="31" t="str">
        <f>IFERROR(VLOOKUP(A87,BUFFS!$H$5:$AF$195,8,),"")</f>
        <v/>
      </c>
      <c r="E87" s="24" t="str">
        <f t="shared" si="6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7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8"/>
        <v/>
      </c>
      <c r="T87" s="70" t="str">
        <f>IFERROR(VLOOKUP(A87,BUFFS!$H$5:$AF$195,20,),"")</f>
        <v/>
      </c>
    </row>
    <row r="88" spans="1:20" x14ac:dyDescent="0.3">
      <c r="A88" s="17"/>
      <c r="B88" s="18"/>
      <c r="C88" s="13"/>
      <c r="D88" s="31" t="str">
        <f>IFERROR(VLOOKUP(A88,BUFFS!$H$5:$AF$195,8,),"")</f>
        <v/>
      </c>
      <c r="E88" s="24" t="str">
        <f t="shared" si="6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7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8"/>
        <v/>
      </c>
      <c r="T88" s="70" t="str">
        <f>IFERROR(VLOOKUP(A88,BUFFS!$H$5:$AF$195,20,),"")</f>
        <v/>
      </c>
    </row>
    <row r="89" spans="1:20" x14ac:dyDescent="0.3">
      <c r="A89" s="17"/>
      <c r="B89" s="18"/>
      <c r="C89" s="13"/>
      <c r="D89" s="31" t="str">
        <f>IFERROR(VLOOKUP(A89,BUFFS!$H$5:$AF$195,8,),"")</f>
        <v/>
      </c>
      <c r="E89" s="24" t="str">
        <f t="shared" si="6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7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8"/>
        <v/>
      </c>
      <c r="T89" s="70" t="str">
        <f>IFERROR(VLOOKUP(A89,BUFFS!$H$5:$AF$195,20,),"")</f>
        <v/>
      </c>
    </row>
    <row r="90" spans="1:20" x14ac:dyDescent="0.3">
      <c r="A90" s="17"/>
      <c r="B90" s="18"/>
      <c r="C90" s="13"/>
      <c r="D90" s="31" t="str">
        <f>IFERROR(VLOOKUP(A90,BUFFS!$H$5:$AF$195,8,),"")</f>
        <v/>
      </c>
      <c r="E90" s="24" t="str">
        <f t="shared" si="6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7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8"/>
        <v/>
      </c>
      <c r="T90" s="70" t="str">
        <f>IFERROR(VLOOKUP(A90,BUFFS!$H$5:$AF$195,20,),"")</f>
        <v/>
      </c>
    </row>
    <row r="91" spans="1:20" x14ac:dyDescent="0.3">
      <c r="A91" s="17"/>
      <c r="B91" s="18"/>
      <c r="C91" s="13"/>
      <c r="D91" s="31" t="str">
        <f>IFERROR(VLOOKUP(A91,BUFFS!$H$5:$AF$195,8,),"")</f>
        <v/>
      </c>
      <c r="E91" s="24" t="str">
        <f t="shared" si="6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7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8"/>
        <v/>
      </c>
      <c r="T91" s="70" t="str">
        <f>IFERROR(VLOOKUP(A91,BUFFS!$H$5:$AF$195,20,),"")</f>
        <v/>
      </c>
    </row>
    <row r="92" spans="1:20" x14ac:dyDescent="0.3">
      <c r="A92" s="17"/>
      <c r="B92" s="18"/>
      <c r="C92" s="13"/>
      <c r="D92" s="31" t="str">
        <f>IFERROR(VLOOKUP(A92,BUFFS!$H$5:$AF$195,8,),"")</f>
        <v/>
      </c>
      <c r="E92" s="24" t="str">
        <f t="shared" si="6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7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8"/>
        <v/>
      </c>
      <c r="T92" s="70" t="str">
        <f>IFERROR(VLOOKUP(A92,BUFFS!$H$5:$AF$195,20,),"")</f>
        <v/>
      </c>
    </row>
    <row r="93" spans="1:20" x14ac:dyDescent="0.3">
      <c r="A93" s="17"/>
      <c r="B93" s="18"/>
      <c r="C93" s="13"/>
      <c r="D93" s="31" t="str">
        <f>IFERROR(VLOOKUP(A93,BUFFS!$H$5:$AF$195,8,),"")</f>
        <v/>
      </c>
      <c r="E93" s="24" t="str">
        <f t="shared" si="6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7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8"/>
        <v/>
      </c>
      <c r="T93" s="70" t="str">
        <f>IFERROR(VLOOKUP(A93,BUFFS!$H$5:$AF$195,20,),"")</f>
        <v/>
      </c>
    </row>
    <row r="94" spans="1:20" x14ac:dyDescent="0.3">
      <c r="A94" s="17"/>
      <c r="B94" s="18"/>
      <c r="C94" s="13"/>
      <c r="D94" s="31" t="str">
        <f>IFERROR(VLOOKUP(A94,BUFFS!$H$5:$AF$195,8,),"")</f>
        <v/>
      </c>
      <c r="E94" s="24" t="str">
        <f t="shared" si="6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7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8"/>
        <v/>
      </c>
      <c r="T94" s="70" t="str">
        <f>IFERROR(VLOOKUP(A94,BUFFS!$H$5:$AF$195,20,),"")</f>
        <v/>
      </c>
    </row>
    <row r="95" spans="1:20" x14ac:dyDescent="0.3">
      <c r="A95" s="17"/>
      <c r="B95" s="18"/>
      <c r="C95" s="13"/>
      <c r="D95" s="31" t="str">
        <f>IFERROR(VLOOKUP(A95,BUFFS!$H$5:$AF$195,8,),"")</f>
        <v/>
      </c>
      <c r="E95" s="24" t="str">
        <f t="shared" si="6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7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8"/>
        <v/>
      </c>
      <c r="T95" s="70" t="str">
        <f>IFERROR(VLOOKUP(A95,BUFFS!$H$5:$AF$195,20,),"")</f>
        <v/>
      </c>
    </row>
    <row r="96" spans="1:20" x14ac:dyDescent="0.3">
      <c r="A96" s="17"/>
      <c r="B96" s="18"/>
      <c r="C96" s="13"/>
      <c r="D96" s="31" t="str">
        <f>IFERROR(VLOOKUP(A96,BUFFS!$H$5:$AF$195,8,),"")</f>
        <v/>
      </c>
      <c r="E96" s="24" t="str">
        <f t="shared" si="6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7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8"/>
        <v/>
      </c>
      <c r="T96" s="70" t="str">
        <f>IFERROR(VLOOKUP(A96,BUFFS!$H$5:$AF$195,20,),"")</f>
        <v/>
      </c>
    </row>
    <row r="97" spans="1:20" x14ac:dyDescent="0.3">
      <c r="A97" s="17"/>
      <c r="B97" s="18"/>
      <c r="C97" s="13"/>
      <c r="D97" s="31" t="str">
        <f>IFERROR(VLOOKUP(A97,BUFFS!$H$5:$AF$195,8,),"")</f>
        <v/>
      </c>
      <c r="E97" s="24" t="str">
        <f t="shared" si="6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7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8"/>
        <v/>
      </c>
      <c r="T97" s="70" t="str">
        <f>IFERROR(VLOOKUP(A97,BUFFS!$H$5:$AF$195,20,),"")</f>
        <v/>
      </c>
    </row>
    <row r="98" spans="1:20" x14ac:dyDescent="0.3">
      <c r="A98" s="17"/>
      <c r="B98" s="18"/>
      <c r="C98" s="13"/>
      <c r="D98" s="31" t="str">
        <f>IFERROR(VLOOKUP(A98,BUFFS!$H$5:$AF$195,8,),"")</f>
        <v/>
      </c>
      <c r="E98" s="24" t="str">
        <f t="shared" si="6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7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8"/>
        <v/>
      </c>
      <c r="T98" s="70" t="str">
        <f>IFERROR(VLOOKUP(A98,BUFFS!$H$5:$AF$195,20,),"")</f>
        <v/>
      </c>
    </row>
    <row r="99" spans="1:20" x14ac:dyDescent="0.3">
      <c r="A99" s="17"/>
      <c r="B99" s="18"/>
      <c r="C99" s="13"/>
      <c r="D99" s="31" t="str">
        <f>IFERROR(VLOOKUP(A99,BUFFS!$H$5:$AF$195,8,),"")</f>
        <v/>
      </c>
      <c r="E99" s="24" t="str">
        <f t="shared" si="6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7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8"/>
        <v/>
      </c>
      <c r="T99" s="70" t="str">
        <f>IFERROR(VLOOKUP(A99,BUFFS!$H$5:$AF$195,20,),"")</f>
        <v/>
      </c>
    </row>
    <row r="100" spans="1:20" x14ac:dyDescent="0.3">
      <c r="A100" s="17"/>
      <c r="B100" s="18"/>
      <c r="C100" s="13"/>
      <c r="D100" s="31" t="str">
        <f>IFERROR(VLOOKUP(A100,BUFFS!$H$5:$AF$195,8,),"")</f>
        <v/>
      </c>
      <c r="E100" s="24" t="str">
        <f t="shared" si="6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7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8"/>
        <v/>
      </c>
      <c r="T100" s="70" t="str">
        <f>IFERROR(VLOOKUP(A100,BUFFS!$H$5:$AF$195,20,),"")</f>
        <v/>
      </c>
    </row>
    <row r="101" spans="1:20" x14ac:dyDescent="0.3">
      <c r="A101" s="17"/>
      <c r="B101" s="18"/>
      <c r="C101" s="13"/>
      <c r="D101" s="31" t="str">
        <f>IFERROR(VLOOKUP(A101,BUFFS!$H$5:$AF$195,8,),"")</f>
        <v/>
      </c>
      <c r="E101" s="24" t="str">
        <f t="shared" si="6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7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8"/>
        <v/>
      </c>
      <c r="T101" s="70" t="str">
        <f>IFERROR(VLOOKUP(A101,BUFFS!$H$5:$AF$195,20,),"")</f>
        <v/>
      </c>
    </row>
    <row r="102" spans="1:20" x14ac:dyDescent="0.3">
      <c r="A102" s="17"/>
      <c r="B102" s="18"/>
      <c r="C102" s="13"/>
      <c r="D102" s="31" t="str">
        <f>IFERROR(VLOOKUP(A102,BUFFS!$H$5:$AF$195,8,),"")</f>
        <v/>
      </c>
      <c r="E102" s="24" t="str">
        <f t="shared" si="6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7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8"/>
        <v/>
      </c>
      <c r="T102" s="70" t="str">
        <f>IFERROR(VLOOKUP(A102,BUFFS!$H$5:$AF$195,20,),"")</f>
        <v/>
      </c>
    </row>
    <row r="103" spans="1:20" x14ac:dyDescent="0.3">
      <c r="A103" s="17"/>
      <c r="B103" s="18"/>
      <c r="C103" s="13"/>
      <c r="D103" s="31" t="str">
        <f>IFERROR(VLOOKUP(A103,BUFFS!$H$5:$AF$195,8,),"")</f>
        <v/>
      </c>
      <c r="E103" s="24" t="str">
        <f t="shared" si="6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7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8"/>
        <v/>
      </c>
      <c r="T103" s="70" t="str">
        <f>IFERROR(VLOOKUP(A103,BUFFS!$H$5:$AF$195,20,),"")</f>
        <v/>
      </c>
    </row>
    <row r="104" spans="1:20" x14ac:dyDescent="0.3">
      <c r="A104" s="17"/>
      <c r="B104" s="18"/>
      <c r="C104" s="13"/>
      <c r="D104" s="31" t="str">
        <f>IFERROR(VLOOKUP(A104,BUFFS!$H$5:$AF$195,8,),"")</f>
        <v/>
      </c>
      <c r="E104" s="24" t="str">
        <f t="shared" si="6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7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8"/>
        <v/>
      </c>
      <c r="T104" s="70" t="str">
        <f>IFERROR(VLOOKUP(A104,BUFFS!$H$5:$AF$195,20,),"")</f>
        <v/>
      </c>
    </row>
    <row r="105" spans="1:20" x14ac:dyDescent="0.3">
      <c r="A105" s="17"/>
      <c r="B105" s="18"/>
      <c r="C105" s="13"/>
      <c r="D105" s="31" t="str">
        <f>IFERROR(VLOOKUP(A105,BUFFS!$H$5:$AF$195,8,),"")</f>
        <v/>
      </c>
      <c r="E105" s="24" t="str">
        <f t="shared" ref="E105:E154" si="9">IFERROR(SUM(H105,ROUNDDOWN(MIN(B105,T$35)*I105,0)),"")</f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ref="N105:N154" si="10">IFERROR(SUM(L105,ROUNDDOWN(MIN(B105,T$35)*M105,0)),"")</f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ref="S105:S154" si="11">IFERROR(SUM(Q105,ROUNDDOWN(MIN(B105,T$35)*R105,0)),"")</f>
        <v/>
      </c>
      <c r="T105" s="70" t="str">
        <f>IFERROR(VLOOKUP(A105,BUFFS!$H$5:$AF$195,20,),"")</f>
        <v/>
      </c>
    </row>
    <row r="106" spans="1:20" x14ac:dyDescent="0.3">
      <c r="A106" s="17"/>
      <c r="B106" s="18"/>
      <c r="C106" s="13"/>
      <c r="D106" s="31" t="str">
        <f>IFERROR(VLOOKUP(A106,BUFFS!$H$5:$AF$195,8,),"")</f>
        <v/>
      </c>
      <c r="E106" s="24" t="str">
        <f t="shared" si="9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10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11"/>
        <v/>
      </c>
      <c r="T106" s="70" t="str">
        <f>IFERROR(VLOOKUP(A106,BUFFS!$H$5:$AF$195,20,),"")</f>
        <v/>
      </c>
    </row>
    <row r="107" spans="1:20" x14ac:dyDescent="0.3">
      <c r="A107" s="17"/>
      <c r="B107" s="18"/>
      <c r="C107" s="13"/>
      <c r="D107" s="31" t="str">
        <f>IFERROR(VLOOKUP(A107,BUFFS!$H$5:$AF$195,8,),"")</f>
        <v/>
      </c>
      <c r="E107" s="24" t="str">
        <f t="shared" si="9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10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11"/>
        <v/>
      </c>
      <c r="T107" s="70" t="str">
        <f>IFERROR(VLOOKUP(A107,BUFFS!$H$5:$AF$195,20,),"")</f>
        <v/>
      </c>
    </row>
    <row r="108" spans="1:20" x14ac:dyDescent="0.3">
      <c r="A108" s="17"/>
      <c r="B108" s="18"/>
      <c r="C108" s="13"/>
      <c r="D108" s="31" t="str">
        <f>IFERROR(VLOOKUP(A108,BUFFS!$H$5:$AF$195,8,),"")</f>
        <v/>
      </c>
      <c r="E108" s="24" t="str">
        <f t="shared" si="9"/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si="10"/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11"/>
        <v/>
      </c>
      <c r="T108" s="70" t="str">
        <f>IFERROR(VLOOKUP(A108,BUFFS!$H$5:$AF$195,20,),"")</f>
        <v/>
      </c>
    </row>
    <row r="109" spans="1:20" x14ac:dyDescent="0.3">
      <c r="A109" s="17"/>
      <c r="B109" s="18"/>
      <c r="C109" s="13"/>
      <c r="D109" s="31" t="str">
        <f>IFERROR(VLOOKUP(A109,BUFFS!$H$5:$AF$195,8,),"")</f>
        <v/>
      </c>
      <c r="E109" s="24" t="str">
        <f t="shared" si="9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10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1"/>
        <v/>
      </c>
      <c r="T109" s="70" t="str">
        <f>IFERROR(VLOOKUP(A109,BUFFS!$H$5:$AF$195,20,),"")</f>
        <v/>
      </c>
    </row>
    <row r="110" spans="1:20" x14ac:dyDescent="0.3">
      <c r="A110" s="17"/>
      <c r="B110" s="18"/>
      <c r="C110" s="13"/>
      <c r="D110" s="31" t="str">
        <f>IFERROR(VLOOKUP(A110,BUFFS!$H$5:$AF$195,8,),"")</f>
        <v/>
      </c>
      <c r="E110" s="24" t="str">
        <f t="shared" si="9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10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1"/>
        <v/>
      </c>
      <c r="T110" s="70" t="str">
        <f>IFERROR(VLOOKUP(A110,BUFFS!$H$5:$AF$195,20,),"")</f>
        <v/>
      </c>
    </row>
    <row r="111" spans="1:20" x14ac:dyDescent="0.3">
      <c r="A111" s="17"/>
      <c r="B111" s="18"/>
      <c r="C111" s="13"/>
      <c r="D111" s="31" t="str">
        <f>IFERROR(VLOOKUP(A111,BUFFS!$H$5:$AF$195,8,),"")</f>
        <v/>
      </c>
      <c r="E111" s="24" t="str">
        <f t="shared" si="9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10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1"/>
        <v/>
      </c>
      <c r="T111" s="70" t="str">
        <f>IFERROR(VLOOKUP(A111,BUFFS!$H$5:$AF$195,20,),"")</f>
        <v/>
      </c>
    </row>
    <row r="112" spans="1:20" x14ac:dyDescent="0.3">
      <c r="A112" s="17"/>
      <c r="B112" s="18"/>
      <c r="C112" s="13"/>
      <c r="D112" s="31" t="str">
        <f>IFERROR(VLOOKUP(A112,BUFFS!$H$5:$AF$195,8,),"")</f>
        <v/>
      </c>
      <c r="E112" s="24" t="str">
        <f t="shared" si="9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10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1"/>
        <v/>
      </c>
      <c r="T112" s="70" t="str">
        <f>IFERROR(VLOOKUP(A112,BUFFS!$H$5:$AF$195,20,),"")</f>
        <v/>
      </c>
    </row>
    <row r="113" spans="1:20" x14ac:dyDescent="0.3">
      <c r="A113" s="17"/>
      <c r="B113" s="18"/>
      <c r="C113" s="13"/>
      <c r="D113" s="31" t="str">
        <f>IFERROR(VLOOKUP(A113,BUFFS!$H$5:$AF$195,8,),"")</f>
        <v/>
      </c>
      <c r="E113" s="24" t="str">
        <f t="shared" si="9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10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1"/>
        <v/>
      </c>
      <c r="T113" s="70" t="str">
        <f>IFERROR(VLOOKUP(A113,BUFFS!$H$5:$AF$195,20,),"")</f>
        <v/>
      </c>
    </row>
    <row r="114" spans="1:20" x14ac:dyDescent="0.3">
      <c r="A114" s="17"/>
      <c r="B114" s="18"/>
      <c r="C114" s="13"/>
      <c r="D114" s="31" t="str">
        <f>IFERROR(VLOOKUP(A114,BUFFS!$H$5:$AF$195,8,),"")</f>
        <v/>
      </c>
      <c r="E114" s="24" t="str">
        <f t="shared" si="9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10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1"/>
        <v/>
      </c>
      <c r="T114" s="70" t="str">
        <f>IFERROR(VLOOKUP(A114,BUFFS!$H$5:$AF$195,20,),"")</f>
        <v/>
      </c>
    </row>
    <row r="115" spans="1:20" x14ac:dyDescent="0.3">
      <c r="A115" s="17"/>
      <c r="B115" s="18"/>
      <c r="C115" s="13"/>
      <c r="D115" s="31" t="str">
        <f>IFERROR(VLOOKUP(A115,BUFFS!$H$5:$AF$195,8,),"")</f>
        <v/>
      </c>
      <c r="E115" s="24" t="str">
        <f t="shared" si="9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10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1"/>
        <v/>
      </c>
      <c r="T115" s="70" t="str">
        <f>IFERROR(VLOOKUP(A115,BUFFS!$H$5:$AF$195,20,),"")</f>
        <v/>
      </c>
    </row>
    <row r="116" spans="1:20" x14ac:dyDescent="0.3">
      <c r="A116" s="17"/>
      <c r="B116" s="18"/>
      <c r="C116" s="13"/>
      <c r="D116" s="31" t="str">
        <f>IFERROR(VLOOKUP(A116,BUFFS!$H$5:$AF$195,8,),"")</f>
        <v/>
      </c>
      <c r="E116" s="24" t="str">
        <f t="shared" si="9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10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1"/>
        <v/>
      </c>
      <c r="T116" s="70" t="str">
        <f>IFERROR(VLOOKUP(A116,BUFFS!$H$5:$AF$195,20,),"")</f>
        <v/>
      </c>
    </row>
    <row r="117" spans="1:20" x14ac:dyDescent="0.3">
      <c r="A117" s="17"/>
      <c r="B117" s="18"/>
      <c r="C117" s="13"/>
      <c r="D117" s="31" t="str">
        <f>IFERROR(VLOOKUP(A117,BUFFS!$H$5:$AF$195,8,),"")</f>
        <v/>
      </c>
      <c r="E117" s="24" t="str">
        <f t="shared" si="9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10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1"/>
        <v/>
      </c>
      <c r="T117" s="70" t="str">
        <f>IFERROR(VLOOKUP(A117,BUFFS!$H$5:$AF$195,20,),"")</f>
        <v/>
      </c>
    </row>
    <row r="118" spans="1:20" x14ac:dyDescent="0.3">
      <c r="A118" s="17"/>
      <c r="B118" s="18"/>
      <c r="C118" s="13"/>
      <c r="D118" s="31" t="str">
        <f>IFERROR(VLOOKUP(A118,BUFFS!$H$5:$AF$195,8,),"")</f>
        <v/>
      </c>
      <c r="E118" s="24" t="str">
        <f t="shared" si="9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10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1"/>
        <v/>
      </c>
      <c r="T118" s="70" t="str">
        <f>IFERROR(VLOOKUP(A118,BUFFS!$H$5:$AF$195,20,),"")</f>
        <v/>
      </c>
    </row>
    <row r="119" spans="1:20" x14ac:dyDescent="0.3">
      <c r="A119" s="17"/>
      <c r="B119" s="18"/>
      <c r="C119" s="13"/>
      <c r="D119" s="31" t="str">
        <f>IFERROR(VLOOKUP(A119,BUFFS!$H$5:$AF$195,8,),"")</f>
        <v/>
      </c>
      <c r="E119" s="24" t="str">
        <f t="shared" si="9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10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1"/>
        <v/>
      </c>
      <c r="T119" s="70" t="str">
        <f>IFERROR(VLOOKUP(A119,BUFFS!$H$5:$AF$195,20,),"")</f>
        <v/>
      </c>
    </row>
    <row r="120" spans="1:20" x14ac:dyDescent="0.3">
      <c r="A120" s="17"/>
      <c r="B120" s="18"/>
      <c r="C120" s="13"/>
      <c r="D120" s="31" t="str">
        <f>IFERROR(VLOOKUP(A120,BUFFS!$H$5:$AF$195,8,),"")</f>
        <v/>
      </c>
      <c r="E120" s="24" t="str">
        <f t="shared" si="9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10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1"/>
        <v/>
      </c>
      <c r="T120" s="70" t="str">
        <f>IFERROR(VLOOKUP(A120,BUFFS!$H$5:$AF$195,20,),"")</f>
        <v/>
      </c>
    </row>
    <row r="121" spans="1:20" x14ac:dyDescent="0.3">
      <c r="A121" s="17"/>
      <c r="B121" s="18"/>
      <c r="C121" s="13"/>
      <c r="D121" s="31" t="str">
        <f>IFERROR(VLOOKUP(A121,BUFFS!$H$5:$AF$195,8,),"")</f>
        <v/>
      </c>
      <c r="E121" s="24" t="str">
        <f t="shared" si="9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10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1"/>
        <v/>
      </c>
      <c r="T121" s="70" t="str">
        <f>IFERROR(VLOOKUP(A121,BUFFS!$H$5:$AF$195,20,),"")</f>
        <v/>
      </c>
    </row>
    <row r="122" spans="1:20" x14ac:dyDescent="0.3">
      <c r="A122" s="17"/>
      <c r="B122" s="18"/>
      <c r="C122" s="13"/>
      <c r="D122" s="31" t="str">
        <f>IFERROR(VLOOKUP(A122,BUFFS!$H$5:$AF$195,8,),"")</f>
        <v/>
      </c>
      <c r="E122" s="24" t="str">
        <f t="shared" si="9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10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1"/>
        <v/>
      </c>
      <c r="T122" s="70" t="str">
        <f>IFERROR(VLOOKUP(A122,BUFFS!$H$5:$AF$195,20,),"")</f>
        <v/>
      </c>
    </row>
    <row r="123" spans="1:20" x14ac:dyDescent="0.3">
      <c r="A123" s="17"/>
      <c r="B123" s="18"/>
      <c r="C123" s="13"/>
      <c r="D123" s="31" t="str">
        <f>IFERROR(VLOOKUP(A123,BUFFS!$H$5:$AF$195,8,),"")</f>
        <v/>
      </c>
      <c r="E123" s="24" t="str">
        <f t="shared" si="9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10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1"/>
        <v/>
      </c>
      <c r="T123" s="70" t="str">
        <f>IFERROR(VLOOKUP(A123,BUFFS!$H$5:$AF$195,20,),"")</f>
        <v/>
      </c>
    </row>
    <row r="124" spans="1:20" x14ac:dyDescent="0.3">
      <c r="A124" s="17"/>
      <c r="B124" s="18"/>
      <c r="C124" s="13"/>
      <c r="D124" s="31" t="str">
        <f>IFERROR(VLOOKUP(A124,BUFFS!$H$5:$AF$195,8,),"")</f>
        <v/>
      </c>
      <c r="E124" s="24" t="str">
        <f t="shared" si="9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10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1"/>
        <v/>
      </c>
      <c r="T124" s="70" t="str">
        <f>IFERROR(VLOOKUP(A124,BUFFS!$H$5:$AF$195,20,),"")</f>
        <v/>
      </c>
    </row>
    <row r="125" spans="1:20" x14ac:dyDescent="0.3">
      <c r="A125" s="17"/>
      <c r="B125" s="18"/>
      <c r="C125" s="13"/>
      <c r="D125" s="31" t="str">
        <f>IFERROR(VLOOKUP(A125,BUFFS!$H$5:$AF$195,8,),"")</f>
        <v/>
      </c>
      <c r="E125" s="24" t="str">
        <f t="shared" si="9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10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1"/>
        <v/>
      </c>
      <c r="T125" s="70" t="str">
        <f>IFERROR(VLOOKUP(A125,BUFFS!$H$5:$AF$195,20,),"")</f>
        <v/>
      </c>
    </row>
    <row r="126" spans="1:20" x14ac:dyDescent="0.3">
      <c r="A126" s="17"/>
      <c r="B126" s="18"/>
      <c r="C126" s="13"/>
      <c r="D126" s="31" t="str">
        <f>IFERROR(VLOOKUP(A126,BUFFS!$H$5:$AF$195,8,),"")</f>
        <v/>
      </c>
      <c r="E126" s="24" t="str">
        <f t="shared" si="9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10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1"/>
        <v/>
      </c>
      <c r="T126" s="70" t="str">
        <f>IFERROR(VLOOKUP(A126,BUFFS!$H$5:$AF$195,20,),"")</f>
        <v/>
      </c>
    </row>
    <row r="127" spans="1:20" x14ac:dyDescent="0.3">
      <c r="A127" s="17"/>
      <c r="B127" s="18"/>
      <c r="C127" s="13"/>
      <c r="D127" s="31" t="str">
        <f>IFERROR(VLOOKUP(A127,BUFFS!$H$5:$AF$195,8,),"")</f>
        <v/>
      </c>
      <c r="E127" s="24" t="str">
        <f t="shared" si="9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10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1"/>
        <v/>
      </c>
      <c r="T127" s="70" t="str">
        <f>IFERROR(VLOOKUP(A127,BUFFS!$H$5:$AF$195,20,),"")</f>
        <v/>
      </c>
    </row>
    <row r="128" spans="1:20" x14ac:dyDescent="0.3">
      <c r="A128" s="17"/>
      <c r="B128" s="18"/>
      <c r="C128" s="13"/>
      <c r="D128" s="31" t="str">
        <f>IFERROR(VLOOKUP(A128,BUFFS!$H$5:$AF$195,8,),"")</f>
        <v/>
      </c>
      <c r="E128" s="24" t="str">
        <f t="shared" si="9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10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1"/>
        <v/>
      </c>
      <c r="T128" s="70" t="str">
        <f>IFERROR(VLOOKUP(A128,BUFFS!$H$5:$AF$195,20,),"")</f>
        <v/>
      </c>
    </row>
    <row r="129" spans="1:20" x14ac:dyDescent="0.3">
      <c r="A129" s="17"/>
      <c r="B129" s="18"/>
      <c r="C129" s="13"/>
      <c r="D129" s="31" t="str">
        <f>IFERROR(VLOOKUP(A129,BUFFS!$H$5:$AF$195,8,),"")</f>
        <v/>
      </c>
      <c r="E129" s="24" t="str">
        <f t="shared" si="9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10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1"/>
        <v/>
      </c>
      <c r="T129" s="70" t="str">
        <f>IFERROR(VLOOKUP(A129,BUFFS!$H$5:$AF$195,20,),"")</f>
        <v/>
      </c>
    </row>
    <row r="130" spans="1:20" x14ac:dyDescent="0.3">
      <c r="A130" s="17"/>
      <c r="B130" s="18"/>
      <c r="C130" s="13"/>
      <c r="D130" s="31" t="str">
        <f>IFERROR(VLOOKUP(A130,BUFFS!$H$5:$AF$195,8,),"")</f>
        <v/>
      </c>
      <c r="E130" s="24" t="str">
        <f t="shared" si="9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10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1"/>
        <v/>
      </c>
      <c r="T130" s="70" t="str">
        <f>IFERROR(VLOOKUP(A130,BUFFS!$H$5:$AF$195,20,),"")</f>
        <v/>
      </c>
    </row>
    <row r="131" spans="1:20" x14ac:dyDescent="0.3">
      <c r="A131" s="17"/>
      <c r="B131" s="18"/>
      <c r="C131" s="13"/>
      <c r="D131" s="31" t="str">
        <f>IFERROR(VLOOKUP(A131,BUFFS!$H$5:$AF$195,8,),"")</f>
        <v/>
      </c>
      <c r="E131" s="24" t="str">
        <f t="shared" si="9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10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1"/>
        <v/>
      </c>
      <c r="T131" s="70" t="str">
        <f>IFERROR(VLOOKUP(A131,BUFFS!$H$5:$AF$195,20,),"")</f>
        <v/>
      </c>
    </row>
    <row r="132" spans="1:20" x14ac:dyDescent="0.3">
      <c r="A132" s="17"/>
      <c r="B132" s="18"/>
      <c r="C132" s="13"/>
      <c r="D132" s="31" t="str">
        <f>IFERROR(VLOOKUP(A132,BUFFS!$H$5:$AF$195,8,),"")</f>
        <v/>
      </c>
      <c r="E132" s="24" t="str">
        <f t="shared" si="9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10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1"/>
        <v/>
      </c>
      <c r="T132" s="70" t="str">
        <f>IFERROR(VLOOKUP(A132,BUFFS!$H$5:$AF$195,20,),"")</f>
        <v/>
      </c>
    </row>
    <row r="133" spans="1:20" x14ac:dyDescent="0.3">
      <c r="A133" s="17"/>
      <c r="B133" s="18"/>
      <c r="C133" s="13"/>
      <c r="D133" s="31" t="str">
        <f>IFERROR(VLOOKUP(A133,BUFFS!$H$5:$AF$195,8,),"")</f>
        <v/>
      </c>
      <c r="E133" s="24" t="str">
        <f t="shared" si="9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10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1"/>
        <v/>
      </c>
      <c r="T133" s="70" t="str">
        <f>IFERROR(VLOOKUP(A133,BUFFS!$H$5:$AF$195,20,),"")</f>
        <v/>
      </c>
    </row>
    <row r="134" spans="1:20" x14ac:dyDescent="0.3">
      <c r="A134" s="17"/>
      <c r="B134" s="18"/>
      <c r="C134" s="13"/>
      <c r="D134" s="31" t="str">
        <f>IFERROR(VLOOKUP(A134,BUFFS!$H$5:$AF$195,8,),"")</f>
        <v/>
      </c>
      <c r="E134" s="24" t="str">
        <f t="shared" si="9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10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1"/>
        <v/>
      </c>
      <c r="T134" s="70" t="str">
        <f>IFERROR(VLOOKUP(A134,BUFFS!$H$5:$AF$195,20,),"")</f>
        <v/>
      </c>
    </row>
    <row r="135" spans="1:20" x14ac:dyDescent="0.3">
      <c r="A135" s="17"/>
      <c r="B135" s="18"/>
      <c r="C135" s="13"/>
      <c r="D135" s="31" t="str">
        <f>IFERROR(VLOOKUP(A135,BUFFS!$H$5:$AF$195,8,),"")</f>
        <v/>
      </c>
      <c r="E135" s="24" t="str">
        <f t="shared" si="9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10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1"/>
        <v/>
      </c>
      <c r="T135" s="70" t="str">
        <f>IFERROR(VLOOKUP(A135,BUFFS!$H$5:$AF$195,20,),"")</f>
        <v/>
      </c>
    </row>
    <row r="136" spans="1:20" x14ac:dyDescent="0.3">
      <c r="A136" s="17"/>
      <c r="B136" s="18"/>
      <c r="C136" s="13"/>
      <c r="D136" s="31" t="str">
        <f>IFERROR(VLOOKUP(A136,BUFFS!$H$5:$AF$195,8,),"")</f>
        <v/>
      </c>
      <c r="E136" s="24" t="str">
        <f t="shared" si="9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10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1"/>
        <v/>
      </c>
      <c r="T136" s="70" t="str">
        <f>IFERROR(VLOOKUP(A136,BUFFS!$H$5:$AF$195,20,),"")</f>
        <v/>
      </c>
    </row>
    <row r="137" spans="1:20" x14ac:dyDescent="0.3">
      <c r="A137" s="17"/>
      <c r="B137" s="18"/>
      <c r="C137" s="13"/>
      <c r="D137" s="31" t="str">
        <f>IFERROR(VLOOKUP(A137,BUFFS!$H$5:$AF$195,8,),"")</f>
        <v/>
      </c>
      <c r="E137" s="24" t="str">
        <f t="shared" si="9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10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1"/>
        <v/>
      </c>
      <c r="T137" s="70" t="str">
        <f>IFERROR(VLOOKUP(A137,BUFFS!$H$5:$AF$195,20,),"")</f>
        <v/>
      </c>
    </row>
    <row r="138" spans="1:20" x14ac:dyDescent="0.3">
      <c r="A138" s="17"/>
      <c r="B138" s="18"/>
      <c r="C138" s="13"/>
      <c r="D138" s="31" t="str">
        <f>IFERROR(VLOOKUP(A138,BUFFS!$H$5:$AF$195,8,),"")</f>
        <v/>
      </c>
      <c r="E138" s="24" t="str">
        <f t="shared" si="9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10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1"/>
        <v/>
      </c>
      <c r="T138" s="70" t="str">
        <f>IFERROR(VLOOKUP(A138,BUFFS!$H$5:$AF$195,20,),"")</f>
        <v/>
      </c>
    </row>
    <row r="139" spans="1:20" x14ac:dyDescent="0.3">
      <c r="A139" s="17"/>
      <c r="B139" s="18"/>
      <c r="C139" s="13"/>
      <c r="D139" s="31" t="str">
        <f>IFERROR(VLOOKUP(A139,BUFFS!$H$5:$AF$195,8,),"")</f>
        <v/>
      </c>
      <c r="E139" s="24" t="str">
        <f t="shared" si="9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10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1"/>
        <v/>
      </c>
      <c r="T139" s="70" t="str">
        <f>IFERROR(VLOOKUP(A139,BUFFS!$H$5:$AF$195,20,),"")</f>
        <v/>
      </c>
    </row>
    <row r="140" spans="1:20" x14ac:dyDescent="0.3">
      <c r="A140" s="17"/>
      <c r="B140" s="18"/>
      <c r="C140" s="13"/>
      <c r="D140" s="31" t="str">
        <f>IFERROR(VLOOKUP(A140,BUFFS!$H$5:$AF$195,8,),"")</f>
        <v/>
      </c>
      <c r="E140" s="24" t="str">
        <f t="shared" si="9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10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1"/>
        <v/>
      </c>
      <c r="T140" s="70" t="str">
        <f>IFERROR(VLOOKUP(A140,BUFFS!$H$5:$AF$195,20,),"")</f>
        <v/>
      </c>
    </row>
    <row r="141" spans="1:20" x14ac:dyDescent="0.3">
      <c r="A141" s="17"/>
      <c r="B141" s="18"/>
      <c r="C141" s="13"/>
      <c r="D141" s="31" t="str">
        <f>IFERROR(VLOOKUP(A141,BUFFS!$H$5:$AF$195,8,),"")</f>
        <v/>
      </c>
      <c r="E141" s="24" t="str">
        <f t="shared" si="9"/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si="10"/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11"/>
        <v/>
      </c>
      <c r="T141" s="70" t="str">
        <f>IFERROR(VLOOKUP(A141,BUFFS!$H$5:$AF$195,20,),"")</f>
        <v/>
      </c>
    </row>
    <row r="142" spans="1:20" x14ac:dyDescent="0.3">
      <c r="A142" s="17"/>
      <c r="B142" s="18"/>
      <c r="C142" s="13"/>
      <c r="D142" s="31" t="str">
        <f>IFERROR(VLOOKUP(A142,BUFFS!$H$5:$AF$195,8,),"")</f>
        <v/>
      </c>
      <c r="E142" s="24" t="str">
        <f t="shared" si="9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10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1"/>
        <v/>
      </c>
      <c r="T142" s="70" t="str">
        <f>IFERROR(VLOOKUP(A142,BUFFS!$H$5:$AF$195,20,),"")</f>
        <v/>
      </c>
    </row>
    <row r="143" spans="1:20" x14ac:dyDescent="0.3">
      <c r="A143" s="17"/>
      <c r="B143" s="18"/>
      <c r="C143" s="13"/>
      <c r="D143" s="31" t="str">
        <f>IFERROR(VLOOKUP(A143,BUFFS!$H$5:$AF$195,8,),"")</f>
        <v/>
      </c>
      <c r="E143" s="24" t="str">
        <f t="shared" si="9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10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1"/>
        <v/>
      </c>
      <c r="T143" s="70" t="str">
        <f>IFERROR(VLOOKUP(A143,BUFFS!$H$5:$AF$195,20,),"")</f>
        <v/>
      </c>
    </row>
    <row r="144" spans="1:20" x14ac:dyDescent="0.3">
      <c r="A144" s="17"/>
      <c r="B144" s="18"/>
      <c r="C144" s="13"/>
      <c r="D144" s="31" t="str">
        <f>IFERROR(VLOOKUP(A144,BUFFS!$H$5:$AF$195,8,),"")</f>
        <v/>
      </c>
      <c r="E144" s="24" t="str">
        <f t="shared" si="9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10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1"/>
        <v/>
      </c>
      <c r="T144" s="70" t="str">
        <f>IFERROR(VLOOKUP(A144,BUFFS!$H$5:$AF$195,20,),"")</f>
        <v/>
      </c>
    </row>
    <row r="145" spans="1:20" x14ac:dyDescent="0.3">
      <c r="A145" s="17"/>
      <c r="B145" s="18"/>
      <c r="C145" s="13"/>
      <c r="D145" s="31" t="str">
        <f>IFERROR(VLOOKUP(A145,BUFFS!$H$5:$AF$195,8,),"")</f>
        <v/>
      </c>
      <c r="E145" s="24" t="str">
        <f t="shared" si="9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10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1"/>
        <v/>
      </c>
      <c r="T145" s="70" t="str">
        <f>IFERROR(VLOOKUP(A145,BUFFS!$H$5:$AF$195,20,),"")</f>
        <v/>
      </c>
    </row>
    <row r="146" spans="1:20" x14ac:dyDescent="0.3">
      <c r="A146" s="17"/>
      <c r="B146" s="18"/>
      <c r="C146" s="13"/>
      <c r="D146" s="31" t="str">
        <f>IFERROR(VLOOKUP(A146,BUFFS!$H$5:$AF$195,8,),"")</f>
        <v/>
      </c>
      <c r="E146" s="24" t="str">
        <f t="shared" si="9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10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1"/>
        <v/>
      </c>
      <c r="T146" s="70" t="str">
        <f>IFERROR(VLOOKUP(A146,BUFFS!$H$5:$AF$195,20,),"")</f>
        <v/>
      </c>
    </row>
    <row r="147" spans="1:20" x14ac:dyDescent="0.3">
      <c r="A147" s="17"/>
      <c r="B147" s="18"/>
      <c r="C147" s="13"/>
      <c r="D147" s="31" t="str">
        <f>IFERROR(VLOOKUP(A147,BUFFS!$H$5:$AF$195,8,),"")</f>
        <v/>
      </c>
      <c r="E147" s="24" t="str">
        <f t="shared" si="9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10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1"/>
        <v/>
      </c>
      <c r="T147" s="70" t="str">
        <f>IFERROR(VLOOKUP(A147,BUFFS!$H$5:$AF$195,20,),"")</f>
        <v/>
      </c>
    </row>
    <row r="148" spans="1:20" x14ac:dyDescent="0.3">
      <c r="A148" s="17"/>
      <c r="B148" s="18"/>
      <c r="C148" s="13"/>
      <c r="D148" s="31" t="str">
        <f>IFERROR(VLOOKUP(A148,BUFFS!$H$5:$AF$195,8,),"")</f>
        <v/>
      </c>
      <c r="E148" s="24" t="str">
        <f t="shared" si="9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10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1"/>
        <v/>
      </c>
      <c r="T148" s="70" t="str">
        <f>IFERROR(VLOOKUP(A148,BUFFS!$H$5:$AF$195,20,),"")</f>
        <v/>
      </c>
    </row>
    <row r="149" spans="1:20" x14ac:dyDescent="0.3">
      <c r="A149" s="17"/>
      <c r="B149" s="18"/>
      <c r="C149" s="13"/>
      <c r="D149" s="31" t="str">
        <f>IFERROR(VLOOKUP(A149,BUFFS!$H$5:$AF$195,8,),"")</f>
        <v/>
      </c>
      <c r="E149" s="24" t="str">
        <f t="shared" si="9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10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1"/>
        <v/>
      </c>
      <c r="T149" s="70" t="str">
        <f>IFERROR(VLOOKUP(A149,BUFFS!$H$5:$AF$195,20,),"")</f>
        <v/>
      </c>
    </row>
    <row r="150" spans="1:20" x14ac:dyDescent="0.3">
      <c r="A150" s="17"/>
      <c r="B150" s="18"/>
      <c r="C150" s="13"/>
      <c r="D150" s="31" t="str">
        <f>IFERROR(VLOOKUP(A150,BUFFS!$H$5:$AF$195,8,),"")</f>
        <v/>
      </c>
      <c r="E150" s="24" t="str">
        <f t="shared" si="9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10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1"/>
        <v/>
      </c>
      <c r="T150" s="70" t="str">
        <f>IFERROR(VLOOKUP(A150,BUFFS!$H$5:$AF$195,20,),"")</f>
        <v/>
      </c>
    </row>
    <row r="151" spans="1:20" x14ac:dyDescent="0.3">
      <c r="A151" s="17"/>
      <c r="B151" s="18"/>
      <c r="C151" s="13"/>
      <c r="D151" s="31" t="str">
        <f>IFERROR(VLOOKUP(A151,BUFFS!$H$5:$AF$195,8,),"")</f>
        <v/>
      </c>
      <c r="E151" s="24" t="str">
        <f t="shared" si="9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10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1"/>
        <v/>
      </c>
      <c r="T151" s="70" t="str">
        <f>IFERROR(VLOOKUP(A151,BUFFS!$H$5:$AF$195,20,),"")</f>
        <v/>
      </c>
    </row>
    <row r="152" spans="1:20" x14ac:dyDescent="0.3">
      <c r="A152" s="17"/>
      <c r="B152" s="18"/>
      <c r="C152" s="13"/>
      <c r="D152" s="31" t="str">
        <f>IFERROR(VLOOKUP(A152,BUFFS!$H$5:$AF$195,8,),"")</f>
        <v/>
      </c>
      <c r="E152" s="24" t="str">
        <f t="shared" si="9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10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1"/>
        <v/>
      </c>
      <c r="T152" s="70" t="str">
        <f>IFERROR(VLOOKUP(A152,BUFFS!$H$5:$AF$195,20,),"")</f>
        <v/>
      </c>
    </row>
    <row r="153" spans="1:20" x14ac:dyDescent="0.3">
      <c r="A153" s="17"/>
      <c r="B153" s="18"/>
      <c r="C153" s="13"/>
      <c r="D153" s="31" t="str">
        <f>IFERROR(VLOOKUP(A153,BUFFS!$H$5:$AF$195,8,),"")</f>
        <v/>
      </c>
      <c r="E153" s="24" t="str">
        <f t="shared" si="9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10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1"/>
        <v/>
      </c>
      <c r="T153" s="70" t="str">
        <f>IFERROR(VLOOKUP(A153,BUFFS!$H$5:$AF$195,20,),"")</f>
        <v/>
      </c>
    </row>
    <row r="154" spans="1:20" x14ac:dyDescent="0.3">
      <c r="A154" s="17"/>
      <c r="B154" s="18"/>
      <c r="C154" s="13"/>
      <c r="D154" s="31" t="str">
        <f>IFERROR(VLOOKUP(A154,BUFFS!$H$5:$AF$195,8,),"")</f>
        <v/>
      </c>
      <c r="E154" s="24" t="str">
        <f t="shared" si="9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10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1"/>
        <v/>
      </c>
      <c r="T154" s="70" t="str">
        <f>IFERROR(VLOOKUP(A154,BUFFS!$H$5:$AF$195,20,),"")</f>
        <v/>
      </c>
    </row>
    <row r="155" spans="1:20" x14ac:dyDescent="0.3">
      <c r="A155" s="17"/>
      <c r="B155" s="18"/>
      <c r="C155" s="13"/>
      <c r="D155" s="31" t="str">
        <f>IFERROR(VLOOKUP(A155,BUFFS!$H$5:$AF$195,8,),"")</f>
        <v/>
      </c>
      <c r="E155" s="24" t="str">
        <f t="shared" ref="E155:E163" si="12">IFERROR(SUM(H155,ROUNDDOWN(MIN(B155,T$35)*I155,0)),"")</f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ref="N155:N163" si="13">IFERROR(SUM(L155,ROUNDDOWN(MIN(B155,T$35)*M155,0)),"")</f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ref="S155:S163" si="14">IFERROR(SUM(Q155,ROUNDDOWN(MIN(B155,T$35)*R155,0)),"")</f>
        <v/>
      </c>
      <c r="T155" s="70" t="str">
        <f>IFERROR(VLOOKUP(A155,BUFFS!$H$5:$AF$195,20,),"")</f>
        <v/>
      </c>
    </row>
    <row r="156" spans="1:20" x14ac:dyDescent="0.3">
      <c r="A156" s="17"/>
      <c r="B156" s="18"/>
      <c r="C156" s="13"/>
      <c r="D156" s="31" t="str">
        <f>IFERROR(VLOOKUP(A156,BUFFS!$H$5:$AF$195,8,),"")</f>
        <v/>
      </c>
      <c r="E156" s="24" t="str">
        <f t="shared" si="12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13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4"/>
        <v/>
      </c>
      <c r="T156" s="70" t="str">
        <f>IFERROR(VLOOKUP(A156,BUFFS!$H$5:$AF$195,20,),"")</f>
        <v/>
      </c>
    </row>
    <row r="157" spans="1:20" x14ac:dyDescent="0.3">
      <c r="A157" s="17"/>
      <c r="B157" s="18"/>
      <c r="C157" s="13"/>
      <c r="D157" s="31" t="str">
        <f>IFERROR(VLOOKUP(A157,BUFFS!$H$5:$AF$195,8,),"")</f>
        <v/>
      </c>
      <c r="E157" s="24" t="str">
        <f t="shared" si="12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13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4"/>
        <v/>
      </c>
      <c r="T157" s="70" t="str">
        <f>IFERROR(VLOOKUP(A157,BUFFS!$H$5:$AF$195,20,),"")</f>
        <v/>
      </c>
    </row>
    <row r="158" spans="1:20" x14ac:dyDescent="0.3">
      <c r="A158" s="17"/>
      <c r="B158" s="18"/>
      <c r="C158" s="13"/>
      <c r="D158" s="31" t="str">
        <f>IFERROR(VLOOKUP(A158,BUFFS!$H$5:$AF$195,8,),"")</f>
        <v/>
      </c>
      <c r="E158" s="24" t="str">
        <f t="shared" si="12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13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4"/>
        <v/>
      </c>
      <c r="T158" s="70" t="str">
        <f>IFERROR(VLOOKUP(A158,BUFFS!$H$5:$AF$195,20,),"")</f>
        <v/>
      </c>
    </row>
    <row r="159" spans="1:20" x14ac:dyDescent="0.3">
      <c r="A159" s="17"/>
      <c r="B159" s="18"/>
      <c r="C159" s="13"/>
      <c r="D159" s="31" t="str">
        <f>IFERROR(VLOOKUP(A159,BUFFS!$H$5:$AF$195,8,),"")</f>
        <v/>
      </c>
      <c r="E159" s="24" t="str">
        <f t="shared" si="12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13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4"/>
        <v/>
      </c>
      <c r="T159" s="70" t="str">
        <f>IFERROR(VLOOKUP(A159,BUFFS!$H$5:$AF$195,20,),"")</f>
        <v/>
      </c>
    </row>
    <row r="160" spans="1:20" x14ac:dyDescent="0.3">
      <c r="A160" s="17"/>
      <c r="B160" s="18"/>
      <c r="C160" s="13"/>
      <c r="D160" s="31" t="str">
        <f>IFERROR(VLOOKUP(A160,BUFFS!$H$5:$AF$195,8,),"")</f>
        <v/>
      </c>
      <c r="E160" s="24" t="str">
        <f t="shared" si="12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13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4"/>
        <v/>
      </c>
      <c r="T160" s="70" t="str">
        <f>IFERROR(VLOOKUP(A160,BUFFS!$H$5:$AF$195,20,),"")</f>
        <v/>
      </c>
    </row>
    <row r="161" spans="1:20" x14ac:dyDescent="0.3">
      <c r="A161" s="17"/>
      <c r="B161" s="18"/>
      <c r="C161" s="13"/>
      <c r="D161" s="31" t="str">
        <f>IFERROR(VLOOKUP(A161,BUFFS!$H$5:$AF$195,8,),"")</f>
        <v/>
      </c>
      <c r="E161" s="24" t="str">
        <f t="shared" si="12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13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4"/>
        <v/>
      </c>
      <c r="T161" s="70" t="str">
        <f>IFERROR(VLOOKUP(A161,BUFFS!$H$5:$AF$195,20,),"")</f>
        <v/>
      </c>
    </row>
    <row r="162" spans="1:20" x14ac:dyDescent="0.3">
      <c r="A162" s="17"/>
      <c r="B162" s="18"/>
      <c r="C162" s="13"/>
      <c r="D162" s="31" t="str">
        <f>IFERROR(VLOOKUP(A162,BUFFS!$H$5:$AF$195,8,),"")</f>
        <v/>
      </c>
      <c r="E162" s="24" t="str">
        <f t="shared" si="12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13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4"/>
        <v/>
      </c>
      <c r="T162" s="70" t="str">
        <f>IFERROR(VLOOKUP(A162,BUFFS!$H$5:$AF$195,20,),"")</f>
        <v/>
      </c>
    </row>
    <row r="163" spans="1:20" x14ac:dyDescent="0.3">
      <c r="A163" s="17"/>
      <c r="B163" s="18"/>
      <c r="C163" s="13"/>
      <c r="D163" s="31" t="str">
        <f>IFERROR(VLOOKUP(A163,BUFFS!$H$5:$AF$195,8,),"")</f>
        <v/>
      </c>
      <c r="E163" s="24" t="str">
        <f t="shared" si="12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13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4"/>
        <v/>
      </c>
      <c r="T163" s="70" t="str">
        <f>IFERROR(VLOOKUP(A163,BUFFS!$H$5:$AF$195,20,),"")</f>
        <v/>
      </c>
    </row>
    <row r="164" spans="1:20" x14ac:dyDescent="0.3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mergeCells count="16">
    <mergeCell ref="G22:H22"/>
    <mergeCell ref="AW24:AX24"/>
    <mergeCell ref="G29:H29"/>
    <mergeCell ref="AW4:AY4"/>
    <mergeCell ref="I10:J10"/>
    <mergeCell ref="G13:I13"/>
    <mergeCell ref="J13:L13"/>
    <mergeCell ref="AW20:AY20"/>
    <mergeCell ref="G15:I15"/>
    <mergeCell ref="G17:I17"/>
    <mergeCell ref="J17:L17"/>
    <mergeCell ref="L1:M1"/>
    <mergeCell ref="L2:M2"/>
    <mergeCell ref="I3:J3"/>
    <mergeCell ref="L3:M3"/>
    <mergeCell ref="AW21:AX21"/>
  </mergeCells>
  <dataValidations count="5">
    <dataValidation type="list" allowBlank="1" showInputMessage="1" showErrorMessage="1" sqref="W4 R4:U4 Y4:AP4 AR4">
      <formula1>$A$5:$A$37</formula1>
    </dataValidation>
    <dataValidation type="list" allowBlank="1" showInputMessage="1" showErrorMessage="1" sqref="A35:A472">
      <formula1>BUFFS</formula1>
    </dataValidation>
    <dataValidation type="list" allowBlank="1" showInputMessage="1" showErrorMessage="1" sqref="K12 K14 K16">
      <formula1>$AZ$20:$BD$20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L12 L14 L16">
      <formula1>$A$12:$A$13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472"/>
  <sheetViews>
    <sheetView topLeftCell="A31" workbookViewId="0">
      <selection activeCell="A42" sqref="A42"/>
    </sheetView>
  </sheetViews>
  <sheetFormatPr defaultRowHeight="18.75" x14ac:dyDescent="0.3"/>
  <cols>
    <col min="1" max="1" width="25.28515625" style="3" bestFit="1" customWidth="1"/>
    <col min="2" max="2" width="11.42578125" style="161" bestFit="1" customWidth="1"/>
    <col min="3" max="3" width="15" style="161" bestFit="1" customWidth="1"/>
    <col min="4" max="4" width="18.5703125" style="161" customWidth="1"/>
    <col min="5" max="5" width="12.85546875" style="161" bestFit="1" customWidth="1"/>
    <col min="6" max="6" width="20.28515625" style="161" bestFit="1" customWidth="1"/>
    <col min="7" max="7" width="28.140625" style="161" bestFit="1" customWidth="1"/>
    <col min="8" max="8" width="11" style="161" bestFit="1" customWidth="1"/>
    <col min="9" max="9" width="15" style="161" customWidth="1"/>
    <col min="10" max="10" width="20.85546875" style="161" customWidth="1"/>
    <col min="11" max="11" width="15.5703125" style="161" customWidth="1"/>
    <col min="12" max="12" width="17.5703125" style="161" customWidth="1"/>
    <col min="13" max="13" width="13.5703125" style="161" bestFit="1" customWidth="1"/>
    <col min="14" max="14" width="12.85546875" style="161" bestFit="1" customWidth="1"/>
    <col min="15" max="15" width="20.140625" style="161" bestFit="1" customWidth="1"/>
    <col min="16" max="16" width="14.140625" style="161" bestFit="1" customWidth="1"/>
    <col min="17" max="17" width="26.85546875" style="161" customWidth="1"/>
    <col min="18" max="18" width="26.85546875" style="161" bestFit="1" customWidth="1"/>
    <col min="19" max="19" width="18.85546875" style="161" bestFit="1" customWidth="1"/>
    <col min="20" max="20" width="18" style="161" bestFit="1" customWidth="1"/>
    <col min="21" max="21" width="22.140625" style="161" bestFit="1" customWidth="1"/>
    <col min="22" max="22" width="12.5703125" style="161" customWidth="1"/>
    <col min="23" max="23" width="25.7109375" style="161" customWidth="1"/>
    <col min="24" max="24" width="22.140625" style="161" bestFit="1" customWidth="1"/>
    <col min="25" max="25" width="26.85546875" style="161" bestFit="1" customWidth="1"/>
    <col min="26" max="26" width="28.140625" style="161" bestFit="1" customWidth="1"/>
    <col min="27" max="27" width="14.42578125" style="161" bestFit="1" customWidth="1"/>
    <col min="28" max="28" width="14.28515625" style="161" bestFit="1" customWidth="1"/>
    <col min="29" max="29" width="16" style="161" bestFit="1" customWidth="1"/>
    <col min="30" max="30" width="21.42578125" style="161" bestFit="1" customWidth="1"/>
    <col min="31" max="31" width="37.42578125" style="161" customWidth="1"/>
    <col min="32" max="32" width="17.28515625" style="161" bestFit="1" customWidth="1"/>
    <col min="33" max="33" width="14.28515625" style="161" bestFit="1" customWidth="1"/>
    <col min="34" max="34" width="19.140625" style="161" bestFit="1" customWidth="1"/>
    <col min="35" max="35" width="16.28515625" style="161" bestFit="1" customWidth="1"/>
    <col min="36" max="36" width="14.28515625" style="161" bestFit="1" customWidth="1"/>
    <col min="37" max="37" width="13.5703125" style="161" bestFit="1" customWidth="1"/>
    <col min="38" max="38" width="12" style="161" bestFit="1" customWidth="1"/>
    <col min="39" max="40" width="13.5703125" style="161" bestFit="1" customWidth="1"/>
    <col min="41" max="41" width="18.7109375" style="161" customWidth="1"/>
    <col min="42" max="42" width="9.28515625" style="161" bestFit="1" customWidth="1"/>
    <col min="43" max="43" width="14.5703125" style="161" bestFit="1" customWidth="1"/>
    <col min="44" max="44" width="23" style="161" bestFit="1" customWidth="1"/>
    <col min="45" max="51" width="9.140625" style="161"/>
    <col min="52" max="52" width="14.140625" style="161" bestFit="1" customWidth="1"/>
    <col min="53" max="53" width="15.7109375" style="161" bestFit="1" customWidth="1"/>
    <col min="54" max="54" width="15.28515625" style="161" bestFit="1" customWidth="1"/>
    <col min="55" max="55" width="26" style="161" bestFit="1" customWidth="1"/>
    <col min="56" max="56" width="16.140625" style="161" bestFit="1" customWidth="1"/>
    <col min="57" max="16384" width="9.140625" style="161"/>
  </cols>
  <sheetData>
    <row r="1" spans="1:66" ht="23.25" x14ac:dyDescent="0.35">
      <c r="A1" s="3" t="s">
        <v>46</v>
      </c>
      <c r="B1" s="157" t="s">
        <v>223</v>
      </c>
      <c r="C1" s="161" t="s">
        <v>95</v>
      </c>
      <c r="D1" s="86" t="s">
        <v>135</v>
      </c>
      <c r="H1" s="164">
        <f>F1-G1</f>
        <v>0</v>
      </c>
      <c r="L1" s="180"/>
      <c r="M1" s="180"/>
    </row>
    <row r="2" spans="1:66" x14ac:dyDescent="0.3">
      <c r="L2" s="180"/>
      <c r="M2" s="180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118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">
      <c r="A3" s="3" t="s">
        <v>127</v>
      </c>
      <c r="B3" s="161">
        <v>109500</v>
      </c>
      <c r="I3" s="180"/>
      <c r="J3" s="180"/>
      <c r="L3" s="180"/>
      <c r="M3" s="180"/>
      <c r="AW3" s="11" t="s">
        <v>88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">
      <c r="A4" s="3" t="s">
        <v>155</v>
      </c>
      <c r="B4" s="16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96</v>
      </c>
      <c r="W4" s="95" t="s">
        <v>6</v>
      </c>
      <c r="X4" s="95" t="s">
        <v>64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83" t="s">
        <v>114</v>
      </c>
      <c r="AX4" s="184"/>
      <c r="AY4" s="184"/>
      <c r="AZ4" s="12">
        <v>0</v>
      </c>
      <c r="BA4" s="12" t="s">
        <v>115</v>
      </c>
      <c r="BB4" s="12"/>
      <c r="BC4" s="12"/>
      <c r="BE4" s="12"/>
      <c r="BF4" s="12" t="s">
        <v>130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">
      <c r="C5" s="148" t="s">
        <v>124</v>
      </c>
      <c r="D5" s="98" t="s">
        <v>123</v>
      </c>
      <c r="F5" s="123" t="s">
        <v>125</v>
      </c>
      <c r="G5" s="124" t="s">
        <v>109</v>
      </c>
      <c r="H5" s="125" t="s">
        <v>119</v>
      </c>
      <c r="I5" s="122" t="s">
        <v>120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116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75" x14ac:dyDescent="0.5">
      <c r="A6" s="116" t="s">
        <v>26</v>
      </c>
      <c r="B6" s="117">
        <f>SUM(C6:D6,R6:AR6,BG3)</f>
        <v>137</v>
      </c>
      <c r="C6" s="163">
        <f>C14*1*B4</f>
        <v>60</v>
      </c>
      <c r="D6" s="163">
        <v>77</v>
      </c>
      <c r="F6" s="86"/>
      <c r="G6" s="120">
        <v>0</v>
      </c>
      <c r="H6" s="121">
        <v>0</v>
      </c>
      <c r="I6" s="126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5" x14ac:dyDescent="0.5">
      <c r="A7" s="118" t="s">
        <v>28</v>
      </c>
      <c r="B7" s="119">
        <f>SUM(MIN(C13,G7),D7,R7:AR7,BA10,H30*6)</f>
        <v>24</v>
      </c>
      <c r="D7" s="163">
        <v>10</v>
      </c>
      <c r="F7" s="161" t="s">
        <v>126</v>
      </c>
      <c r="G7" s="163">
        <v>100</v>
      </c>
      <c r="R7" s="142">
        <v>0</v>
      </c>
      <c r="S7" s="142">
        <v>0</v>
      </c>
      <c r="T7" s="142">
        <v>8</v>
      </c>
      <c r="U7" s="142">
        <v>0</v>
      </c>
      <c r="V7" s="142">
        <v>0</v>
      </c>
      <c r="W7" s="142">
        <v>2</v>
      </c>
      <c r="X7" s="142">
        <v>0</v>
      </c>
      <c r="Y7" s="142">
        <v>1</v>
      </c>
      <c r="Z7" s="142">
        <v>1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2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131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">
      <c r="A8" s="3" t="s">
        <v>85</v>
      </c>
      <c r="B8" s="161">
        <f>B7-T7-Y7-Z7-AD7-AE7-AJ7</f>
        <v>12</v>
      </c>
      <c r="O8" s="161" t="s">
        <v>187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">
      <c r="A9" s="3" t="s">
        <v>86</v>
      </c>
      <c r="B9" s="161">
        <f>B7-C13</f>
        <v>24</v>
      </c>
      <c r="O9" s="161" t="s">
        <v>287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144</v>
      </c>
      <c r="AY9" s="158" t="s">
        <v>145</v>
      </c>
      <c r="AZ9" s="158" t="s">
        <v>146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">
      <c r="A10" s="3" t="s">
        <v>47</v>
      </c>
      <c r="B10" s="161">
        <f>SUM(C13,R10:AR10,C10)</f>
        <v>0</v>
      </c>
      <c r="C10" s="86"/>
      <c r="F10" s="170"/>
      <c r="G10" s="91" t="s">
        <v>88</v>
      </c>
      <c r="H10" s="83">
        <v>0</v>
      </c>
      <c r="I10" s="181" t="s">
        <v>114</v>
      </c>
      <c r="J10" s="182"/>
      <c r="K10" s="84">
        <v>0</v>
      </c>
      <c r="L10" s="170"/>
      <c r="M10" s="170"/>
      <c r="N10" s="170"/>
      <c r="O10" s="161" t="s">
        <v>288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143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">
      <c r="B11" s="98" t="s">
        <v>129</v>
      </c>
      <c r="C11" s="98" t="s">
        <v>128</v>
      </c>
      <c r="D11" s="98" t="s">
        <v>123</v>
      </c>
      <c r="F11" s="170"/>
      <c r="G11" s="166" t="s">
        <v>89</v>
      </c>
      <c r="H11" s="45" t="s">
        <v>91</v>
      </c>
      <c r="I11" s="4" t="s">
        <v>90</v>
      </c>
      <c r="J11" s="4" t="s">
        <v>100</v>
      </c>
      <c r="K11" s="44" t="s">
        <v>102</v>
      </c>
      <c r="L11" s="44" t="s">
        <v>101</v>
      </c>
      <c r="M11" s="44" t="s">
        <v>131</v>
      </c>
      <c r="N11" s="44" t="s">
        <v>160</v>
      </c>
      <c r="O11" s="167" t="s">
        <v>289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132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25" x14ac:dyDescent="0.3">
      <c r="A12" s="105" t="s">
        <v>79</v>
      </c>
      <c r="B12" s="129">
        <f t="shared" ref="B12:B17" si="0">SUM(D12,R12:AR12)</f>
        <v>26</v>
      </c>
      <c r="C12" s="130">
        <f t="shared" ref="C12:C17" si="1">ROUNDDOWN(B12/2,0)-5</f>
        <v>8</v>
      </c>
      <c r="D12" s="131">
        <v>20</v>
      </c>
      <c r="F12" s="3" t="s">
        <v>74</v>
      </c>
      <c r="G12" s="45">
        <f>SUM($B$23:$B$24,IF(L12="Strength",$C$12,$C$13),M12,$H$10*(-1))</f>
        <v>35</v>
      </c>
      <c r="H12" s="45" t="s">
        <v>285</v>
      </c>
      <c r="I12" s="45">
        <f>SUM(N13,$B$25)</f>
        <v>8</v>
      </c>
      <c r="J12" s="45" t="s">
        <v>116</v>
      </c>
      <c r="K12" s="154" t="s">
        <v>113</v>
      </c>
      <c r="L12" s="85" t="s">
        <v>79</v>
      </c>
      <c r="M12" s="4">
        <f>SUM($H$23*2,$H$24*(-2),$H$25*(2),$J$23*2,$J$24,$J$25,$L$23*2,$H$31*(-2),$L$24)</f>
        <v>1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8</v>
      </c>
      <c r="O12" s="43" t="s">
        <v>290</v>
      </c>
      <c r="R12" s="134">
        <v>0</v>
      </c>
      <c r="S12" s="134">
        <v>0</v>
      </c>
      <c r="T12" s="134">
        <v>0</v>
      </c>
      <c r="U12" s="134">
        <v>0</v>
      </c>
      <c r="V12" s="134">
        <v>6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133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25" x14ac:dyDescent="0.3">
      <c r="A13" s="106" t="s">
        <v>83</v>
      </c>
      <c r="B13" s="99">
        <f t="shared" si="0"/>
        <v>11</v>
      </c>
      <c r="C13" s="99">
        <f t="shared" si="1"/>
        <v>0</v>
      </c>
      <c r="D13" s="108">
        <v>11</v>
      </c>
      <c r="F13" s="170"/>
      <c r="G13" s="186" t="str">
        <f>CONCATENATE("kukri   ","+",G12,"    "," Dmg: ",I12,"  +",H12, "    crit :  ",J12,)</f>
        <v>kukri   +35     Dmg: 8  +1d4    crit :  x2</v>
      </c>
      <c r="H13" s="187"/>
      <c r="I13" s="188"/>
      <c r="J13" s="189"/>
      <c r="K13" s="190"/>
      <c r="L13" s="191"/>
      <c r="M13" s="4"/>
      <c r="N13" s="4">
        <f>SUM(N12,$L$24,$L$25*($B$4))</f>
        <v>8</v>
      </c>
      <c r="O13" s="43" t="s">
        <v>291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134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25" x14ac:dyDescent="0.3">
      <c r="A14" s="127" t="s">
        <v>82</v>
      </c>
      <c r="B14" s="103">
        <f t="shared" si="0"/>
        <v>18</v>
      </c>
      <c r="C14" s="103">
        <f t="shared" si="1"/>
        <v>4</v>
      </c>
      <c r="D14" s="128">
        <v>18</v>
      </c>
      <c r="F14" s="3" t="s">
        <v>75</v>
      </c>
      <c r="G14" s="45">
        <f>SUM($B$23:$B$24,IF(L14="Strength",$C$12,$C$13),M14,$H$10*(-1))</f>
        <v>35</v>
      </c>
      <c r="H14" s="45" t="s">
        <v>286</v>
      </c>
      <c r="I14" s="45">
        <f>SUM(N15,$B$25)</f>
        <v>8</v>
      </c>
      <c r="J14" s="45" t="s">
        <v>116</v>
      </c>
      <c r="K14" s="154" t="s">
        <v>113</v>
      </c>
      <c r="L14" s="85" t="s">
        <v>79</v>
      </c>
      <c r="M14" s="4">
        <f>SUM($H$23*2,$H$24*(-2),$H$25*(2),$J$23*2,$J$24,$J$25,$L$23*2,$H$31*(-2),$L$24)</f>
        <v>1</v>
      </c>
      <c r="N14" s="4">
        <f>SUM(IF(K14=$AZ$20,$AZ$25,IF(K14=$BA$20,$BA$25,IF(K14=$BB$20,$BB$25,IF(K14=$BC$20,$BC$25,IF(K14=$BD$20,$BD$25,0))))),IF(L14=$AZ$20,$AZ$24,IF(K14=$BA$20,$BA$24,IF(K14=$BB$20,$BB$24,IF(K14=$BC$20,$BC$24,IF(K14=$BD$20,$BD$24,0))))))</f>
        <v>8</v>
      </c>
      <c r="O14" s="43"/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135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25" x14ac:dyDescent="0.3">
      <c r="A15" s="109" t="s">
        <v>122</v>
      </c>
      <c r="B15" s="100">
        <f t="shared" si="0"/>
        <v>11</v>
      </c>
      <c r="C15" s="100">
        <f t="shared" si="1"/>
        <v>0</v>
      </c>
      <c r="D15" s="110">
        <v>11</v>
      </c>
      <c r="F15" s="170"/>
      <c r="G15" s="186" t="str">
        <f>CONCATENATE("Sword Sword   ","+",G14,"    "," Dmg: ",I14,"  +",H14, "    crit :  ",J14,)</f>
        <v>Sword Sword   +35     Dmg: 8  +1d6    crit :  x2</v>
      </c>
      <c r="H15" s="187"/>
      <c r="I15" s="188"/>
      <c r="J15" s="45"/>
      <c r="K15" s="4"/>
      <c r="L15" s="46"/>
      <c r="M15" s="4"/>
      <c r="N15" s="4">
        <f>SUM(N14,$L$24,$L$25*($B$4))</f>
        <v>8</v>
      </c>
      <c r="O15" s="43"/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136</v>
      </c>
      <c r="AY15" s="163" t="s">
        <v>137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25" x14ac:dyDescent="0.3">
      <c r="A16" s="111" t="s">
        <v>80</v>
      </c>
      <c r="B16" s="101">
        <f t="shared" si="0"/>
        <v>14</v>
      </c>
      <c r="C16" s="101">
        <f t="shared" si="1"/>
        <v>2</v>
      </c>
      <c r="D16" s="112">
        <v>14</v>
      </c>
      <c r="F16" s="3" t="s">
        <v>295</v>
      </c>
      <c r="G16" s="45">
        <f>SUM($B$23:$B$24,IF(L16="Strength",$C$12,$C$13),M16,$H$10*(-1))</f>
        <v>35</v>
      </c>
      <c r="H16" s="45" t="s">
        <v>285</v>
      </c>
      <c r="I16" s="45">
        <f>SUM(N17,$B$25)</f>
        <v>8</v>
      </c>
      <c r="J16" s="45" t="s">
        <v>116</v>
      </c>
      <c r="K16" s="154" t="s">
        <v>113</v>
      </c>
      <c r="L16" s="85" t="s">
        <v>79</v>
      </c>
      <c r="M16" s="4">
        <f>SUM($H$23*2,$H$24*(-2),$H$25*(2),$J$23*2,$J$24,$J$25,$L$23*2,$H$31*(-2),$L$24)</f>
        <v>1</v>
      </c>
      <c r="N16" s="4">
        <f>SUM(IF(K16=$AZ$20,$AZ$25,IF(K16=$BA$20,$BA$25,IF(K16=$BB$20,$BB$25,IF(K16=$BC$20,$BC$25,IF(K16=$BD$20,$BD$25,0))))),IF(L16=$AZ$20,$AZ$24,IF(K16=$BA$20,$BA$24,IF(K16=$BB$20,$BB$24,IF(K16=$BC$20,$BC$24,IF(K16=$BD$20,$BD$24,0))))))</f>
        <v>8</v>
      </c>
      <c r="O16" s="43"/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138</v>
      </c>
      <c r="AY16" s="163" t="s">
        <v>139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25" x14ac:dyDescent="0.3">
      <c r="A17" s="113" t="s">
        <v>81</v>
      </c>
      <c r="B17" s="114">
        <f t="shared" si="0"/>
        <v>16</v>
      </c>
      <c r="C17" s="114">
        <f t="shared" si="1"/>
        <v>3</v>
      </c>
      <c r="D17" s="115">
        <v>16</v>
      </c>
      <c r="F17" s="170"/>
      <c r="G17" s="193" t="str">
        <f>CONCATENATE("kukri   ","+",G16,"    "," Dmg: ",I16,"  +",H16, "    crit :  ",J16,)</f>
        <v>kukri   +35     Dmg: 8  +1d4    crit :  x2</v>
      </c>
      <c r="H17" s="194"/>
      <c r="I17" s="195"/>
      <c r="J17" s="189"/>
      <c r="K17" s="190"/>
      <c r="L17" s="191"/>
      <c r="M17" s="4"/>
      <c r="N17" s="4">
        <f>SUM(N16,$L$24,$L$25*($B$4))</f>
        <v>8</v>
      </c>
      <c r="O17" s="43"/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140</v>
      </c>
      <c r="AY17" s="163" t="s">
        <v>141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">
      <c r="B18" s="45" t="s">
        <v>129</v>
      </c>
      <c r="C18" s="45" t="s">
        <v>123</v>
      </c>
      <c r="F18" s="170"/>
      <c r="G18" s="170"/>
      <c r="H18" s="170"/>
      <c r="I18" s="170"/>
      <c r="J18" s="170"/>
      <c r="K18" s="170"/>
      <c r="L18" s="170"/>
      <c r="M18" s="170"/>
      <c r="N18" s="170"/>
      <c r="O18" s="43"/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147</v>
      </c>
      <c r="AY18" s="163" t="s">
        <v>142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8" x14ac:dyDescent="0.25">
      <c r="A19" s="132" t="s">
        <v>29</v>
      </c>
      <c r="B19" s="149">
        <f>SUM(C14,C19,R19:AR19,BG4)</f>
        <v>19</v>
      </c>
      <c r="C19" s="94">
        <v>11</v>
      </c>
      <c r="F19" s="170"/>
      <c r="G19" s="170"/>
      <c r="H19" s="170"/>
      <c r="I19" s="170"/>
      <c r="J19" s="170"/>
      <c r="K19" s="170"/>
      <c r="L19" s="170"/>
      <c r="M19" s="170"/>
      <c r="N19" s="170"/>
      <c r="O19" s="43"/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8" x14ac:dyDescent="0.25">
      <c r="A20" s="106" t="s">
        <v>30</v>
      </c>
      <c r="B20" s="104">
        <f>SUM(C13,C20,R20:AR20,BG5)</f>
        <v>6</v>
      </c>
      <c r="C20" s="156">
        <v>2</v>
      </c>
      <c r="F20" s="170"/>
      <c r="G20" s="170"/>
      <c r="H20" s="49"/>
      <c r="I20" s="170"/>
      <c r="J20" s="170"/>
      <c r="K20" s="170"/>
      <c r="L20" s="170"/>
      <c r="M20" s="170"/>
      <c r="N20" s="170"/>
      <c r="O20" s="43"/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0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192" t="s">
        <v>162</v>
      </c>
      <c r="AX20" s="192"/>
      <c r="AY20" s="192"/>
      <c r="AZ20" s="123" t="s">
        <v>104</v>
      </c>
      <c r="BA20" s="123" t="s">
        <v>159</v>
      </c>
      <c r="BB20" s="123" t="s">
        <v>113</v>
      </c>
      <c r="BC20" s="165" t="s">
        <v>158</v>
      </c>
      <c r="BD20" s="123" t="s">
        <v>112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8" x14ac:dyDescent="0.25">
      <c r="A21" s="107" t="s">
        <v>31</v>
      </c>
      <c r="B21" s="150">
        <f>SUM(C21,C16,R21:AR21,BG6)</f>
        <v>11</v>
      </c>
      <c r="C21" s="162">
        <v>5</v>
      </c>
      <c r="F21" s="170"/>
      <c r="G21" s="170"/>
      <c r="H21" s="170"/>
      <c r="I21" s="170"/>
      <c r="J21" s="170"/>
      <c r="K21" s="170"/>
      <c r="L21" s="170"/>
      <c r="M21" s="170"/>
      <c r="N21" s="170"/>
      <c r="O21" s="43"/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84" t="s">
        <v>149</v>
      </c>
      <c r="AX21" s="184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 s="16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">
      <c r="B22" s="159" t="s">
        <v>129</v>
      </c>
      <c r="C22" s="160" t="s">
        <v>123</v>
      </c>
      <c r="F22" s="170"/>
      <c r="G22" s="185" t="s">
        <v>121</v>
      </c>
      <c r="H22" s="185"/>
      <c r="I22" s="170"/>
      <c r="J22" s="170"/>
      <c r="K22" s="170"/>
      <c r="L22" s="170"/>
      <c r="M22" s="170"/>
      <c r="N22" s="170"/>
      <c r="O22" s="43"/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5" x14ac:dyDescent="0.25">
      <c r="A23" s="151" t="s">
        <v>78</v>
      </c>
      <c r="B23" s="51">
        <f>SUM(C23,B29,R23:AR23)</f>
        <v>13</v>
      </c>
      <c r="C23" s="52">
        <v>13</v>
      </c>
      <c r="F23" s="170"/>
      <c r="G23" s="79" t="s">
        <v>106</v>
      </c>
      <c r="H23" s="82">
        <v>0</v>
      </c>
      <c r="I23" s="50" t="s">
        <v>105</v>
      </c>
      <c r="J23" s="87">
        <v>0</v>
      </c>
      <c r="K23" s="79" t="s">
        <v>117</v>
      </c>
      <c r="L23" s="82">
        <v>0</v>
      </c>
      <c r="M23" s="170"/>
      <c r="N23" s="170"/>
      <c r="O23" s="43"/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8" x14ac:dyDescent="0.25">
      <c r="A24" s="146" t="s">
        <v>53</v>
      </c>
      <c r="B24" s="12">
        <f>SUM(B23,R24:AR24,BG7,BA10)</f>
        <v>13</v>
      </c>
      <c r="C24" s="13"/>
      <c r="F24" s="170"/>
      <c r="G24" s="79" t="s">
        <v>107</v>
      </c>
      <c r="H24" s="82">
        <v>0</v>
      </c>
      <c r="I24" s="11" t="s">
        <v>110</v>
      </c>
      <c r="J24" s="88">
        <v>1</v>
      </c>
      <c r="K24" s="170" t="s">
        <v>283</v>
      </c>
      <c r="L24" s="170">
        <v>0</v>
      </c>
      <c r="M24" s="170"/>
      <c r="N24" s="170"/>
      <c r="O24" s="43"/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83" t="s">
        <v>150</v>
      </c>
      <c r="AX24" s="184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0</v>
      </c>
      <c r="BC24" s="12">
        <f>BC21*$AY$24</f>
        <v>0</v>
      </c>
      <c r="BD24" s="12">
        <f>BD21*$AY$24</f>
        <v>0</v>
      </c>
      <c r="BE24" s="43">
        <f>IF($K$12=$AZ$20,AZ24,IF($K$12=$BA$20,BA24,IF($K$12=$BB$20,BB24,IF($K$12=$BC$20,BC24,IF($K$12=$BD$20,BD24,0)))))</f>
        <v>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5" x14ac:dyDescent="0.25">
      <c r="A25" s="152" t="s">
        <v>77</v>
      </c>
      <c r="B25" s="12">
        <f>SUM(R25:AR25)</f>
        <v>0</v>
      </c>
      <c r="C25" s="13"/>
      <c r="F25" s="170"/>
      <c r="G25" s="79" t="s">
        <v>108</v>
      </c>
      <c r="H25" s="82">
        <v>0</v>
      </c>
      <c r="I25" s="90" t="s">
        <v>111</v>
      </c>
      <c r="J25" s="89">
        <v>0</v>
      </c>
      <c r="K25" s="170" t="s">
        <v>284</v>
      </c>
      <c r="L25" s="170">
        <v>0</v>
      </c>
      <c r="M25" s="170"/>
      <c r="N25" s="170"/>
      <c r="O25" s="43"/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161</v>
      </c>
      <c r="AY25" s="12"/>
      <c r="AZ25" s="12">
        <f>$C$12</f>
        <v>8</v>
      </c>
      <c r="BA25" s="12">
        <f>ROUNDDOWN($C$12*0.5,0)</f>
        <v>4</v>
      </c>
      <c r="BB25" s="12">
        <f>$C$12</f>
        <v>8</v>
      </c>
      <c r="BC25" s="12">
        <f>ROUNDDOWN($C$12*0.5,0)</f>
        <v>4</v>
      </c>
      <c r="BD25" s="12">
        <f>ROUNDDOWN($C$12*1.5,0)</f>
        <v>12</v>
      </c>
      <c r="BE25" s="43">
        <f>IF(L12=A12,IF($K$12=$AZ$20,AZ25,IF($K$12=$BA$20,BA25,IF($K$12=$BB$20,BB25,IF($K$12=$BC$20,BC25,IF($K$12=$BD$20,BD25,0))))),0)</f>
        <v>8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">
      <c r="A26" s="147" t="s">
        <v>84</v>
      </c>
      <c r="B26" s="54">
        <f>SUM(B23,C12,BB10,R26:AR26)</f>
        <v>21</v>
      </c>
      <c r="C26" s="55"/>
      <c r="O26" s="43"/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">
      <c r="O27" s="43"/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5" x14ac:dyDescent="0.25">
      <c r="A28" s="4" t="s">
        <v>93</v>
      </c>
      <c r="B28" s="77">
        <v>0</v>
      </c>
    </row>
    <row r="29" spans="1:66" ht="15" x14ac:dyDescent="0.25">
      <c r="A29" s="4" t="s">
        <v>94</v>
      </c>
      <c r="B29" s="78">
        <v>0</v>
      </c>
      <c r="G29" s="185" t="s">
        <v>152</v>
      </c>
      <c r="H29" s="185"/>
    </row>
    <row r="30" spans="1:66" ht="15" x14ac:dyDescent="0.25">
      <c r="A30" s="4" t="s">
        <v>148</v>
      </c>
      <c r="B30" s="78">
        <v>0</v>
      </c>
      <c r="G30" s="79" t="s">
        <v>153</v>
      </c>
      <c r="H30" s="82">
        <v>0</v>
      </c>
    </row>
    <row r="31" spans="1:66" s="1" customFormat="1" ht="15" x14ac:dyDescent="0.25">
      <c r="G31" s="79" t="s">
        <v>154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">
      <c r="A33" s="3" t="s">
        <v>71</v>
      </c>
      <c r="B33" s="161">
        <f>COUNTA(A35:A81)</f>
        <v>8</v>
      </c>
    </row>
    <row r="34" spans="1:27" x14ac:dyDescent="0.3">
      <c r="A34" s="3" t="s">
        <v>50</v>
      </c>
      <c r="B34" s="19" t="s">
        <v>62</v>
      </c>
      <c r="C34" s="30" t="s">
        <v>76</v>
      </c>
      <c r="D34" s="32" t="s">
        <v>70</v>
      </c>
      <c r="E34" s="21" t="s">
        <v>66</v>
      </c>
      <c r="F34" s="58" t="s">
        <v>51</v>
      </c>
      <c r="G34" s="59" t="s">
        <v>57</v>
      </c>
      <c r="H34" s="60" t="s">
        <v>58</v>
      </c>
      <c r="I34" s="61" t="s">
        <v>65</v>
      </c>
      <c r="J34" s="62" t="s">
        <v>54</v>
      </c>
      <c r="K34" s="59" t="s">
        <v>57</v>
      </c>
      <c r="L34" s="60" t="s">
        <v>58</v>
      </c>
      <c r="M34" s="61" t="s">
        <v>65</v>
      </c>
      <c r="N34" s="63" t="s">
        <v>66</v>
      </c>
      <c r="O34" s="62" t="s">
        <v>54</v>
      </c>
      <c r="P34" s="59" t="s">
        <v>57</v>
      </c>
      <c r="Q34" s="60" t="s">
        <v>58</v>
      </c>
      <c r="R34" s="61" t="s">
        <v>65</v>
      </c>
      <c r="S34" s="63" t="s">
        <v>66</v>
      </c>
      <c r="T34" s="64" t="s">
        <v>73</v>
      </c>
      <c r="W34" s="1"/>
      <c r="X34" s="1"/>
      <c r="Y34" s="1"/>
      <c r="Z34" s="1"/>
      <c r="AA34" s="1"/>
    </row>
    <row r="35" spans="1:27" x14ac:dyDescent="0.3">
      <c r="A35" s="17" t="s">
        <v>97</v>
      </c>
      <c r="B35" s="80">
        <v>8</v>
      </c>
      <c r="C35" s="81">
        <v>9999</v>
      </c>
      <c r="D35" s="31">
        <f>IFERROR(VLOOKUP(A35,BUFFS!$H$5:$AF$195,8,),"")</f>
        <v>0</v>
      </c>
      <c r="E35" s="24">
        <f t="shared" ref="E35:E40" si="2">IFERROR(SUM(H35,ROUNDDOWN(MIN(B35,T$35)*I35,0)),"")</f>
        <v>8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 t="shared" ref="N35:N40" si="3"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 t="shared" ref="S35:S40" si="4">IFERROR(SUM(Q35,ROUNDDOWN(MIN(B35,T$35)*R35,0)),"")</f>
        <v>0</v>
      </c>
      <c r="T35" s="70">
        <f>IFERROR(VLOOKUP(A35,BUFFS!$H$5:$AF$195,20,),"")</f>
        <v>100</v>
      </c>
    </row>
    <row r="36" spans="1:27" x14ac:dyDescent="0.3">
      <c r="A36" s="17" t="s">
        <v>98</v>
      </c>
      <c r="B36" s="80">
        <v>2</v>
      </c>
      <c r="C36" s="81">
        <v>9999</v>
      </c>
      <c r="D36" s="31">
        <f>IFERROR(VLOOKUP(A36,BUFFS!$H$5:$AF$195,8,),"")</f>
        <v>0</v>
      </c>
      <c r="E36" s="24">
        <f t="shared" si="2"/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 t="shared" si="3"/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 t="shared" si="4"/>
        <v>0</v>
      </c>
      <c r="T36" s="70">
        <f>IFERROR(VLOOKUP(A36,BUFFS!$H$5:$AF$195,20,),"")</f>
        <v>100</v>
      </c>
    </row>
    <row r="37" spans="1:27" x14ac:dyDescent="0.3">
      <c r="A37" s="17" t="s">
        <v>165</v>
      </c>
      <c r="B37" s="80">
        <v>1</v>
      </c>
      <c r="C37" s="81">
        <v>9999</v>
      </c>
      <c r="D37" s="31">
        <f>IFERROR(VLOOKUP(A37,BUFFS!$H$5:$AF$195,8,),"")</f>
        <v>0</v>
      </c>
      <c r="E37" s="24">
        <f t="shared" si="2"/>
        <v>1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 t="shared" si="3"/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 t="shared" si="4"/>
        <v>0</v>
      </c>
      <c r="T37" s="70">
        <f>IFERROR(VLOOKUP(A37,BUFFS!$H$5:$AF$195,20,),"")</f>
        <v>100</v>
      </c>
    </row>
    <row r="38" spans="1:27" x14ac:dyDescent="0.3">
      <c r="A38" s="17" t="s">
        <v>99</v>
      </c>
      <c r="B38" s="80">
        <v>4</v>
      </c>
      <c r="C38" s="81">
        <v>9999</v>
      </c>
      <c r="D38" s="31">
        <f>IFERROR(VLOOKUP(A38,BUFFS!$H$5:$AF$195,8,),"")</f>
        <v>0</v>
      </c>
      <c r="E38" s="24">
        <f t="shared" si="2"/>
        <v>4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 t="shared" si="3"/>
        <v>4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 t="shared" si="4"/>
        <v>4</v>
      </c>
      <c r="T38" s="70">
        <f>IFERROR(VLOOKUP(A38,BUFFS!$H$5:$AF$195,20,),"")</f>
        <v>100</v>
      </c>
    </row>
    <row r="39" spans="1:27" x14ac:dyDescent="0.3">
      <c r="A39" s="17" t="s">
        <v>166</v>
      </c>
      <c r="B39" s="80">
        <v>1</v>
      </c>
      <c r="C39" s="81">
        <v>9999</v>
      </c>
      <c r="D39" s="31">
        <f>IFERROR(VLOOKUP(A39,BUFFS!$H$5:$AF$195,8,),"")</f>
        <v>0</v>
      </c>
      <c r="E39" s="24">
        <f t="shared" si="2"/>
        <v>1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 t="shared" si="3"/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 t="shared" si="4"/>
        <v>0</v>
      </c>
      <c r="T39" s="70">
        <f>IFERROR(VLOOKUP(A39,BUFFS!$H$5:$AF$195,20,),"")</f>
        <v>100</v>
      </c>
    </row>
    <row r="40" spans="1:27" x14ac:dyDescent="0.3">
      <c r="A40" s="17" t="s">
        <v>226</v>
      </c>
      <c r="B40" s="80">
        <v>6</v>
      </c>
      <c r="C40" s="81">
        <v>9999</v>
      </c>
      <c r="D40" s="31">
        <f>IFERROR(VLOOKUP(A40,BUFFS!$H$5:$AF$195,8,),"")</f>
        <v>0</v>
      </c>
      <c r="E40" s="24">
        <f t="shared" si="2"/>
        <v>6</v>
      </c>
      <c r="F40" s="65" t="str">
        <f>IFERROR(VLOOKUP(A40,BUFFS!$H$5:$AF$195,5,),"")</f>
        <v>Strength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 t="shared" si="3"/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 t="shared" si="4"/>
        <v>0</v>
      </c>
      <c r="T40" s="70">
        <f>IFERROR(VLOOKUP(A40,BUFFS!$H$5:$AF$195,20,),"")</f>
        <v>100</v>
      </c>
    </row>
    <row r="41" spans="1:27" x14ac:dyDescent="0.3">
      <c r="A41" s="17" t="s">
        <v>196</v>
      </c>
      <c r="B41" s="80">
        <v>2</v>
      </c>
      <c r="C41" s="81"/>
      <c r="D41" s="31">
        <f>IFERROR(VLOOKUP(A41,BUFFS!$H$5:$AF$195,8,),"")</f>
        <v>0</v>
      </c>
      <c r="E41" s="24">
        <f t="shared" ref="E41:E104" si="5">IFERROR(SUM(H41,ROUNDDOWN(MIN(B41,T$35)*I41,0)),"")</f>
        <v>2</v>
      </c>
      <c r="F41" s="65" t="str">
        <f>IFERROR(VLOOKUP(A41,BUFFS!$H$5:$AF$195,5,),"")</f>
        <v>AC</v>
      </c>
      <c r="G41" s="66" t="str">
        <f>IFERROR(VLOOKUP(A41,BUFFS!$H$5:$AF$195,6,),"")</f>
        <v xml:space="preserve">Deflection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 t="shared" ref="N41:N104" si="6"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 t="shared" ref="S41:S104" si="7">IFERROR(SUM(Q41,ROUNDDOWN(MIN(B41,T$35)*R41,0)),"")</f>
        <v>0</v>
      </c>
      <c r="T41" s="70">
        <f>IFERROR(VLOOKUP(A41,BUFFS!$H$5:$AF$195,20,),"")</f>
        <v>100</v>
      </c>
    </row>
    <row r="42" spans="1:27" x14ac:dyDescent="0.3">
      <c r="A42" s="17" t="s">
        <v>233</v>
      </c>
      <c r="B42" s="80"/>
      <c r="C42" s="81"/>
      <c r="D42" s="31">
        <f>IFERROR(VLOOKUP(A42,BUFFS!$H$5:$AF$195,8,),"")</f>
        <v>2</v>
      </c>
      <c r="E42" s="24">
        <f t="shared" si="5"/>
        <v>4</v>
      </c>
      <c r="F42" s="65" t="str">
        <f>IFERROR(VLOOKUP(A42,BUFFS!$H$5:$AF$195,5,),"")</f>
        <v>FORT</v>
      </c>
      <c r="G42" s="66" t="str">
        <f>IFERROR(VLOOKUP(A42,BUFFS!$H$5:$AF$195,6,),"")</f>
        <v>Sacred Modifier</v>
      </c>
      <c r="H42" s="67">
        <f>IFERROR(VLOOKUP(A42,BUFFS!$H$5:$AF$195,7,),"")</f>
        <v>4</v>
      </c>
      <c r="I42" s="66">
        <f>IFERROR(VLOOKUP(A42,BUFFS!$H$5:$AF$195,9,),"")</f>
        <v>0</v>
      </c>
      <c r="J42" s="65" t="str">
        <f>IFERROR(VLOOKUP(A42,BUFFS!$H$5:$AF$195,10,),"")</f>
        <v>REF</v>
      </c>
      <c r="K42" s="66" t="str">
        <f>IFERROR(VLOOKUP(A42,BUFFS!$H$5:$AF$195,11,),"")</f>
        <v>Sacred Modifier</v>
      </c>
      <c r="L42" s="66">
        <f>IFERROR(VLOOKUP(A42,BUFFS!$H$5:$AF$195,12,),"")</f>
        <v>4</v>
      </c>
      <c r="M42" s="66">
        <f>IFERROR(VLOOKUP(A42,BUFFS!$H$5:$AF$195,14,),"")</f>
        <v>0</v>
      </c>
      <c r="N42" s="68">
        <f t="shared" si="6"/>
        <v>4</v>
      </c>
      <c r="O42" s="65" t="str">
        <f>IFERROR(VLOOKUP(A42,BUFFS!$H$5:$AF$195,15,),"")</f>
        <v>WILL</v>
      </c>
      <c r="P42" s="66" t="str">
        <f>IFERROR(VLOOKUP(A42,BUFFS!$H$5:$AF$195,16,),"")</f>
        <v>Sacred Modifier</v>
      </c>
      <c r="Q42" s="66">
        <f>IFERROR(VLOOKUP(A42,BUFFS!$H$5:$AF$195,17,),"")</f>
        <v>4</v>
      </c>
      <c r="R42" s="66">
        <f>IFERROR(VLOOKUP(A42,BUFFS!$H$5:$AF$195,19,),"")</f>
        <v>0</v>
      </c>
      <c r="S42" s="69">
        <f t="shared" si="7"/>
        <v>4</v>
      </c>
      <c r="T42" s="70">
        <f>IFERROR(VLOOKUP(A42,BUFFS!$H$5:$AF$195,20,),"")</f>
        <v>100</v>
      </c>
    </row>
    <row r="43" spans="1:27" x14ac:dyDescent="0.3">
      <c r="A43" s="17"/>
      <c r="B43" s="80"/>
      <c r="C43" s="81"/>
      <c r="D43" s="31" t="str">
        <f>IFERROR(VLOOKUP(A43,BUFFS!$H$5:$AF$195,8,),"")</f>
        <v/>
      </c>
      <c r="E43" s="24" t="str">
        <f t="shared" si="5"/>
        <v/>
      </c>
      <c r="F43" s="65" t="str">
        <f>IFERROR(VLOOKUP(A43,BUFFS!$H$5:$AF$195,5,),"")</f>
        <v/>
      </c>
      <c r="G43" s="66" t="str">
        <f>IFERROR(VLOOKUP(A43,BUFFS!$H$5:$AF$195,6,),"")</f>
        <v/>
      </c>
      <c r="H43" s="67" t="str">
        <f>IFERROR(VLOOKUP(A43,BUFFS!$H$5:$AF$195,7,),"")</f>
        <v/>
      </c>
      <c r="I43" s="66" t="str">
        <f>IFERROR(VLOOKUP(A43,BUFFS!$H$5:$AF$195,9,),"")</f>
        <v/>
      </c>
      <c r="J43" s="65" t="str">
        <f>IFERROR(VLOOKUP(A43,BUFFS!$H$5:$AF$195,10,),"")</f>
        <v/>
      </c>
      <c r="K43" s="66" t="str">
        <f>IFERROR(VLOOKUP(A43,BUFFS!$H$5:$AF$195,11,),"")</f>
        <v/>
      </c>
      <c r="L43" s="66" t="str">
        <f>IFERROR(VLOOKUP(A43,BUFFS!$H$5:$AF$195,12,),"")</f>
        <v/>
      </c>
      <c r="M43" s="66" t="str">
        <f>IFERROR(VLOOKUP(A43,BUFFS!$H$5:$AF$195,14,),"")</f>
        <v/>
      </c>
      <c r="N43" s="68" t="str">
        <f t="shared" si="6"/>
        <v/>
      </c>
      <c r="O43" s="65" t="str">
        <f>IFERROR(VLOOKUP(A43,BUFFS!$H$5:$AF$195,15,),"")</f>
        <v/>
      </c>
      <c r="P43" s="66" t="str">
        <f>IFERROR(VLOOKUP(A43,BUFFS!$H$5:$AF$195,16,),"")</f>
        <v/>
      </c>
      <c r="Q43" s="66" t="str">
        <f>IFERROR(VLOOKUP(A43,BUFFS!$H$5:$AF$195,17,),"")</f>
        <v/>
      </c>
      <c r="R43" s="66" t="str">
        <f>IFERROR(VLOOKUP(A43,BUFFS!$H$5:$AF$195,19,),"")</f>
        <v/>
      </c>
      <c r="S43" s="69" t="str">
        <f t="shared" si="7"/>
        <v/>
      </c>
      <c r="T43" s="70" t="str">
        <f>IFERROR(VLOOKUP(A43,BUFFS!$H$5:$AF$195,20,),"")</f>
        <v/>
      </c>
    </row>
    <row r="44" spans="1:27" x14ac:dyDescent="0.3">
      <c r="A44" s="17"/>
      <c r="B44" s="80"/>
      <c r="C44" s="81"/>
      <c r="D44" s="31" t="str">
        <f>IFERROR(VLOOKUP(A44,BUFFS!$H$5:$AF$195,8,),"")</f>
        <v/>
      </c>
      <c r="E44" s="24" t="str">
        <f t="shared" si="5"/>
        <v/>
      </c>
      <c r="F44" s="65" t="str">
        <f>IFERROR(VLOOKUP(A44,BUFFS!$H$5:$AF$195,5,),"")</f>
        <v/>
      </c>
      <c r="G44" s="66" t="str">
        <f>IFERROR(VLOOKUP(A44,BUFFS!$H$5:$AF$195,6,),"")</f>
        <v/>
      </c>
      <c r="H44" s="67" t="str">
        <f>IFERROR(VLOOKUP(A44,BUFFS!$H$5:$AF$195,7,),"")</f>
        <v/>
      </c>
      <c r="I44" s="66" t="str">
        <f>IFERROR(VLOOKUP(A44,BUFFS!$H$5:$AF$195,9,),"")</f>
        <v/>
      </c>
      <c r="J44" s="65" t="str">
        <f>IFERROR(VLOOKUP(A44,BUFFS!$H$5:$AF$195,10,),"")</f>
        <v/>
      </c>
      <c r="K44" s="66" t="str">
        <f>IFERROR(VLOOKUP(A44,BUFFS!$H$5:$AF$195,11,),"")</f>
        <v/>
      </c>
      <c r="L44" s="66" t="str">
        <f>IFERROR(VLOOKUP(A44,BUFFS!$H$5:$AF$195,12,),"")</f>
        <v/>
      </c>
      <c r="M44" s="66" t="str">
        <f>IFERROR(VLOOKUP(A44,BUFFS!$H$5:$AF$195,14,),"")</f>
        <v/>
      </c>
      <c r="N44" s="68" t="str">
        <f t="shared" si="6"/>
        <v/>
      </c>
      <c r="O44" s="65" t="str">
        <f>IFERROR(VLOOKUP(A44,BUFFS!$H$5:$AF$195,15,),"")</f>
        <v/>
      </c>
      <c r="P44" s="66" t="str">
        <f>IFERROR(VLOOKUP(A44,BUFFS!$H$5:$AF$195,16,),"")</f>
        <v/>
      </c>
      <c r="Q44" s="66" t="str">
        <f>IFERROR(VLOOKUP(A44,BUFFS!$H$5:$AF$195,17,),"")</f>
        <v/>
      </c>
      <c r="R44" s="66" t="str">
        <f>IFERROR(VLOOKUP(A44,BUFFS!$H$5:$AF$195,19,),"")</f>
        <v/>
      </c>
      <c r="S44" s="69" t="str">
        <f t="shared" si="7"/>
        <v/>
      </c>
      <c r="T44" s="70" t="str">
        <f>IFERROR(VLOOKUP(A44,BUFFS!$H$5:$AF$195,20,),"")</f>
        <v/>
      </c>
    </row>
    <row r="45" spans="1:27" x14ac:dyDescent="0.3">
      <c r="A45" s="17"/>
      <c r="B45" s="80"/>
      <c r="C45" s="81"/>
      <c r="D45" s="31" t="str">
        <f>IFERROR(VLOOKUP(A45,BUFFS!$H$5:$AF$195,8,),"")</f>
        <v/>
      </c>
      <c r="E45" s="24" t="str">
        <f t="shared" si="5"/>
        <v/>
      </c>
      <c r="F45" s="65" t="str">
        <f>IFERROR(VLOOKUP(A45,BUFFS!$H$5:$AF$195,5,),"")</f>
        <v/>
      </c>
      <c r="G45" s="66" t="str">
        <f>IFERROR(VLOOKUP(A45,BUFFS!$H$5:$AF$195,6,),"")</f>
        <v/>
      </c>
      <c r="H45" s="67" t="str">
        <f>IFERROR(VLOOKUP(A45,BUFFS!$H$5:$AF$195,7,),"")</f>
        <v/>
      </c>
      <c r="I45" s="66" t="str">
        <f>IFERROR(VLOOKUP(A45,BUFFS!$H$5:$AF$195,9,),"")</f>
        <v/>
      </c>
      <c r="J45" s="65" t="str">
        <f>IFERROR(VLOOKUP(A45,BUFFS!$H$5:$AF$195,10,),"")</f>
        <v/>
      </c>
      <c r="K45" s="66" t="str">
        <f>IFERROR(VLOOKUP(A45,BUFFS!$H$5:$AF$195,11,),"")</f>
        <v/>
      </c>
      <c r="L45" s="66" t="str">
        <f>IFERROR(VLOOKUP(A45,BUFFS!$H$5:$AF$195,12,),"")</f>
        <v/>
      </c>
      <c r="M45" s="66" t="str">
        <f>IFERROR(VLOOKUP(A45,BUFFS!$H$5:$AF$195,14,),"")</f>
        <v/>
      </c>
      <c r="N45" s="68" t="str">
        <f t="shared" si="6"/>
        <v/>
      </c>
      <c r="O45" s="65" t="str">
        <f>IFERROR(VLOOKUP(A45,BUFFS!$H$5:$AF$195,15,),"")</f>
        <v/>
      </c>
      <c r="P45" s="66" t="str">
        <f>IFERROR(VLOOKUP(A45,BUFFS!$H$5:$AF$195,16,),"")</f>
        <v/>
      </c>
      <c r="Q45" s="66" t="str">
        <f>IFERROR(VLOOKUP(A45,BUFFS!$H$5:$AF$195,17,),"")</f>
        <v/>
      </c>
      <c r="R45" s="66" t="str">
        <f>IFERROR(VLOOKUP(A45,BUFFS!$H$5:$AF$195,19,),"")</f>
        <v/>
      </c>
      <c r="S45" s="69" t="str">
        <f t="shared" si="7"/>
        <v/>
      </c>
      <c r="T45" s="70" t="str">
        <f>IFERROR(VLOOKUP(A45,BUFFS!$H$5:$AF$195,20,),"")</f>
        <v/>
      </c>
    </row>
    <row r="46" spans="1:27" x14ac:dyDescent="0.3">
      <c r="A46" s="17"/>
      <c r="B46" s="80"/>
      <c r="C46" s="81"/>
      <c r="D46" s="31" t="str">
        <f>IFERROR(VLOOKUP(A46,BUFFS!$H$5:$AF$195,8,),"")</f>
        <v/>
      </c>
      <c r="E46" s="24" t="str">
        <f t="shared" si="5"/>
        <v/>
      </c>
      <c r="F46" s="65" t="str">
        <f>IFERROR(VLOOKUP(A46,BUFFS!$H$5:$AF$195,5,),"")</f>
        <v/>
      </c>
      <c r="G46" s="66" t="str">
        <f>IFERROR(VLOOKUP(A46,BUFFS!$H$5:$AF$195,6,),"")</f>
        <v/>
      </c>
      <c r="H46" s="67" t="str">
        <f>IFERROR(VLOOKUP(A46,BUFFS!$H$5:$AF$195,7,),"")</f>
        <v/>
      </c>
      <c r="I46" s="66" t="str">
        <f>IFERROR(VLOOKUP(A46,BUFFS!$H$5:$AF$195,9,),"")</f>
        <v/>
      </c>
      <c r="J46" s="65" t="str">
        <f>IFERROR(VLOOKUP(A46,BUFFS!$H$5:$AF$195,10,),"")</f>
        <v/>
      </c>
      <c r="K46" s="66" t="str">
        <f>IFERROR(VLOOKUP(A46,BUFFS!$H$5:$AF$195,11,),"")</f>
        <v/>
      </c>
      <c r="L46" s="66" t="str">
        <f>IFERROR(VLOOKUP(A46,BUFFS!$H$5:$AF$195,12,),"")</f>
        <v/>
      </c>
      <c r="M46" s="66" t="str">
        <f>IFERROR(VLOOKUP(A46,BUFFS!$H$5:$AF$195,14,),"")</f>
        <v/>
      </c>
      <c r="N46" s="68" t="str">
        <f t="shared" si="6"/>
        <v/>
      </c>
      <c r="O46" s="65" t="str">
        <f>IFERROR(VLOOKUP(A46,BUFFS!$H$5:$AF$195,15,),"")</f>
        <v/>
      </c>
      <c r="P46" s="66" t="str">
        <f>IFERROR(VLOOKUP(A46,BUFFS!$H$5:$AF$195,16,),"")</f>
        <v/>
      </c>
      <c r="Q46" s="66" t="str">
        <f>IFERROR(VLOOKUP(A46,BUFFS!$H$5:$AF$195,17,),"")</f>
        <v/>
      </c>
      <c r="R46" s="66" t="str">
        <f>IFERROR(VLOOKUP(A46,BUFFS!$H$5:$AF$195,19,),"")</f>
        <v/>
      </c>
      <c r="S46" s="69" t="str">
        <f t="shared" si="7"/>
        <v/>
      </c>
      <c r="T46" s="70" t="str">
        <f>IFERROR(VLOOKUP(A46,BUFFS!$H$5:$AF$195,20,),"")</f>
        <v/>
      </c>
    </row>
    <row r="47" spans="1:27" x14ac:dyDescent="0.3">
      <c r="A47" s="17"/>
      <c r="B47" s="80"/>
      <c r="C47" s="81"/>
      <c r="D47" s="31" t="str">
        <f>IFERROR(VLOOKUP(A47,BUFFS!$H$5:$AF$195,8,),"")</f>
        <v/>
      </c>
      <c r="E47" s="24" t="str">
        <f t="shared" si="5"/>
        <v/>
      </c>
      <c r="F47" s="65" t="str">
        <f>IFERROR(VLOOKUP(A47,BUFFS!$H$5:$AF$195,5,),"")</f>
        <v/>
      </c>
      <c r="G47" s="66" t="str">
        <f>IFERROR(VLOOKUP(A47,BUFFS!$H$5:$AF$195,6,),"")</f>
        <v/>
      </c>
      <c r="H47" s="67" t="str">
        <f>IFERROR(VLOOKUP(A47,BUFFS!$H$5:$AF$195,7,),"")</f>
        <v/>
      </c>
      <c r="I47" s="66" t="str">
        <f>IFERROR(VLOOKUP(A47,BUFFS!$H$5:$AF$195,9,),"")</f>
        <v/>
      </c>
      <c r="J47" s="65" t="str">
        <f>IFERROR(VLOOKUP(A47,BUFFS!$H$5:$AF$195,10,),"")</f>
        <v/>
      </c>
      <c r="K47" s="66" t="str">
        <f>IFERROR(VLOOKUP(A47,BUFFS!$H$5:$AF$195,11,),"")</f>
        <v/>
      </c>
      <c r="L47" s="66" t="str">
        <f>IFERROR(VLOOKUP(A47,BUFFS!$H$5:$AF$195,12,),"")</f>
        <v/>
      </c>
      <c r="M47" s="66" t="str">
        <f>IFERROR(VLOOKUP(A47,BUFFS!$H$5:$AF$195,14,),"")</f>
        <v/>
      </c>
      <c r="N47" s="68" t="str">
        <f t="shared" si="6"/>
        <v/>
      </c>
      <c r="O47" s="65" t="str">
        <f>IFERROR(VLOOKUP(A47,BUFFS!$H$5:$AF$195,15,),"")</f>
        <v/>
      </c>
      <c r="P47" s="66" t="str">
        <f>IFERROR(VLOOKUP(A47,BUFFS!$H$5:$AF$195,16,),"")</f>
        <v/>
      </c>
      <c r="Q47" s="66" t="str">
        <f>IFERROR(VLOOKUP(A47,BUFFS!$H$5:$AF$195,17,),"")</f>
        <v/>
      </c>
      <c r="R47" s="66" t="str">
        <f>IFERROR(VLOOKUP(A47,BUFFS!$H$5:$AF$195,19,),"")</f>
        <v/>
      </c>
      <c r="S47" s="69" t="str">
        <f t="shared" si="7"/>
        <v/>
      </c>
      <c r="T47" s="70" t="str">
        <f>IFERROR(VLOOKUP(A47,BUFFS!$H$5:$AF$195,20,),"")</f>
        <v/>
      </c>
    </row>
    <row r="48" spans="1:27" x14ac:dyDescent="0.3">
      <c r="A48" s="17"/>
      <c r="B48" s="80"/>
      <c r="C48" s="81"/>
      <c r="D48" s="31" t="str">
        <f>IFERROR(VLOOKUP(A48,BUFFS!$H$5:$AF$195,8,),"")</f>
        <v/>
      </c>
      <c r="E48" s="24" t="str">
        <f t="shared" si="5"/>
        <v/>
      </c>
      <c r="F48" s="65" t="str">
        <f>IFERROR(VLOOKUP(A48,BUFFS!$H$5:$AF$195,5,),"")</f>
        <v/>
      </c>
      <c r="G48" s="66" t="str">
        <f>IFERROR(VLOOKUP(A48,BUFFS!$H$5:$AF$195,6,),"")</f>
        <v/>
      </c>
      <c r="H48" s="67" t="str">
        <f>IFERROR(VLOOKUP(A48,BUFFS!$H$5:$AF$195,7,),"")</f>
        <v/>
      </c>
      <c r="I48" s="66" t="str">
        <f>IFERROR(VLOOKUP(A48,BUFFS!$H$5:$AF$195,9,),"")</f>
        <v/>
      </c>
      <c r="J48" s="65" t="str">
        <f>IFERROR(VLOOKUP(A48,BUFFS!$H$5:$AF$195,10,),"")</f>
        <v/>
      </c>
      <c r="K48" s="66" t="str">
        <f>IFERROR(VLOOKUP(A48,BUFFS!$H$5:$AF$195,11,),"")</f>
        <v/>
      </c>
      <c r="L48" s="66" t="str">
        <f>IFERROR(VLOOKUP(A48,BUFFS!$H$5:$AF$195,12,),"")</f>
        <v/>
      </c>
      <c r="M48" s="66" t="str">
        <f>IFERROR(VLOOKUP(A48,BUFFS!$H$5:$AF$195,14,),"")</f>
        <v/>
      </c>
      <c r="N48" s="68" t="str">
        <f t="shared" si="6"/>
        <v/>
      </c>
      <c r="O48" s="65" t="str">
        <f>IFERROR(VLOOKUP(A48,BUFFS!$H$5:$AF$195,15,),"")</f>
        <v/>
      </c>
      <c r="P48" s="66" t="str">
        <f>IFERROR(VLOOKUP(A48,BUFFS!$H$5:$AF$195,16,),"")</f>
        <v/>
      </c>
      <c r="Q48" s="66" t="str">
        <f>IFERROR(VLOOKUP(A48,BUFFS!$H$5:$AF$195,17,),"")</f>
        <v/>
      </c>
      <c r="R48" s="66" t="str">
        <f>IFERROR(VLOOKUP(A48,BUFFS!$H$5:$AF$195,19,),"")</f>
        <v/>
      </c>
      <c r="S48" s="69" t="str">
        <f t="shared" si="7"/>
        <v/>
      </c>
      <c r="T48" s="70" t="str">
        <f>IFERROR(VLOOKUP(A48,BUFFS!$H$5:$AF$195,20,),"")</f>
        <v/>
      </c>
    </row>
    <row r="49" spans="1:20" x14ac:dyDescent="0.3">
      <c r="A49" s="17"/>
      <c r="B49" s="80"/>
      <c r="C49" s="81"/>
      <c r="D49" s="31" t="str">
        <f>IFERROR(VLOOKUP(A49,BUFFS!$H$5:$AF$195,8,),"")</f>
        <v/>
      </c>
      <c r="E49" s="24" t="str">
        <f t="shared" si="5"/>
        <v/>
      </c>
      <c r="F49" s="65" t="str">
        <f>IFERROR(VLOOKUP(A49,BUFFS!$H$5:$AF$195,5,),"")</f>
        <v/>
      </c>
      <c r="G49" s="66" t="str">
        <f>IFERROR(VLOOKUP(A49,BUFFS!$H$5:$AF$195,6,),"")</f>
        <v/>
      </c>
      <c r="H49" s="67" t="str">
        <f>IFERROR(VLOOKUP(A49,BUFFS!$H$5:$AF$195,7,),"")</f>
        <v/>
      </c>
      <c r="I49" s="66" t="str">
        <f>IFERROR(VLOOKUP(A49,BUFFS!$H$5:$AF$195,9,),"")</f>
        <v/>
      </c>
      <c r="J49" s="65" t="str">
        <f>IFERROR(VLOOKUP(A49,BUFFS!$H$5:$AF$195,10,),"")</f>
        <v/>
      </c>
      <c r="K49" s="66" t="str">
        <f>IFERROR(VLOOKUP(A49,BUFFS!$H$5:$AF$195,11,),"")</f>
        <v/>
      </c>
      <c r="L49" s="66" t="str">
        <f>IFERROR(VLOOKUP(A49,BUFFS!$H$5:$AF$195,12,),"")</f>
        <v/>
      </c>
      <c r="M49" s="66" t="str">
        <f>IFERROR(VLOOKUP(A49,BUFFS!$H$5:$AF$195,14,),"")</f>
        <v/>
      </c>
      <c r="N49" s="68" t="str">
        <f t="shared" si="6"/>
        <v/>
      </c>
      <c r="O49" s="65" t="str">
        <f>IFERROR(VLOOKUP(A49,BUFFS!$H$5:$AF$195,15,),"")</f>
        <v/>
      </c>
      <c r="P49" s="66" t="str">
        <f>IFERROR(VLOOKUP(A49,BUFFS!$H$5:$AF$195,16,),"")</f>
        <v/>
      </c>
      <c r="Q49" s="66" t="str">
        <f>IFERROR(VLOOKUP(A49,BUFFS!$H$5:$AF$195,17,),"")</f>
        <v/>
      </c>
      <c r="R49" s="66" t="str">
        <f>IFERROR(VLOOKUP(A49,BUFFS!$H$5:$AF$195,19,),"")</f>
        <v/>
      </c>
      <c r="S49" s="69" t="str">
        <f t="shared" si="7"/>
        <v/>
      </c>
      <c r="T49" s="70" t="str">
        <f>IFERROR(VLOOKUP(A49,BUFFS!$H$5:$AF$195,20,),"")</f>
        <v/>
      </c>
    </row>
    <row r="50" spans="1:20" x14ac:dyDescent="0.3">
      <c r="A50" s="17"/>
      <c r="B50" s="80"/>
      <c r="C50" s="81"/>
      <c r="D50" s="31" t="str">
        <f>IFERROR(VLOOKUP(A50,BUFFS!$H$5:$AF$195,8,),"")</f>
        <v/>
      </c>
      <c r="E50" s="24" t="str">
        <f t="shared" si="5"/>
        <v/>
      </c>
      <c r="F50" s="65" t="str">
        <f>IFERROR(VLOOKUP(A50,BUFFS!$H$5:$AF$195,5,),"")</f>
        <v/>
      </c>
      <c r="G50" s="66" t="str">
        <f>IFERROR(VLOOKUP(A50,BUFFS!$H$5:$AF$195,6,),"")</f>
        <v/>
      </c>
      <c r="H50" s="67" t="str">
        <f>IFERROR(VLOOKUP(A50,BUFFS!$H$5:$AF$195,7,),"")</f>
        <v/>
      </c>
      <c r="I50" s="66" t="str">
        <f>IFERROR(VLOOKUP(A50,BUFFS!$H$5:$AF$195,9,),"")</f>
        <v/>
      </c>
      <c r="J50" s="65" t="str">
        <f>IFERROR(VLOOKUP(A50,BUFFS!$H$5:$AF$195,10,),"")</f>
        <v/>
      </c>
      <c r="K50" s="66" t="str">
        <f>IFERROR(VLOOKUP(A50,BUFFS!$H$5:$AF$195,11,),"")</f>
        <v/>
      </c>
      <c r="L50" s="66" t="str">
        <f>IFERROR(VLOOKUP(A50,BUFFS!$H$5:$AF$195,12,),"")</f>
        <v/>
      </c>
      <c r="M50" s="66" t="str">
        <f>IFERROR(VLOOKUP(A50,BUFFS!$H$5:$AF$195,14,),"")</f>
        <v/>
      </c>
      <c r="N50" s="68" t="str">
        <f t="shared" si="6"/>
        <v/>
      </c>
      <c r="O50" s="65" t="str">
        <f>IFERROR(VLOOKUP(A50,BUFFS!$H$5:$AF$195,15,),"")</f>
        <v/>
      </c>
      <c r="P50" s="66" t="str">
        <f>IFERROR(VLOOKUP(A50,BUFFS!$H$5:$AF$195,16,),"")</f>
        <v/>
      </c>
      <c r="Q50" s="66" t="str">
        <f>IFERROR(VLOOKUP(A50,BUFFS!$H$5:$AF$195,17,),"")</f>
        <v/>
      </c>
      <c r="R50" s="66" t="str">
        <f>IFERROR(VLOOKUP(A50,BUFFS!$H$5:$AF$195,19,),"")</f>
        <v/>
      </c>
      <c r="S50" s="69" t="str">
        <f t="shared" si="7"/>
        <v/>
      </c>
      <c r="T50" s="70" t="str">
        <f>IFERROR(VLOOKUP(A50,BUFFS!$H$5:$AF$195,20,),"")</f>
        <v/>
      </c>
    </row>
    <row r="51" spans="1:20" x14ac:dyDescent="0.3">
      <c r="A51" s="17"/>
      <c r="B51" s="80"/>
      <c r="C51" s="81"/>
      <c r="D51" s="31" t="str">
        <f>IFERROR(VLOOKUP(A51,BUFFS!$H$5:$AF$195,8,),"")</f>
        <v/>
      </c>
      <c r="E51" s="24" t="str">
        <f t="shared" si="5"/>
        <v/>
      </c>
      <c r="F51" s="65" t="str">
        <f>IFERROR(VLOOKUP(A51,BUFFS!$H$5:$AF$195,5,),"")</f>
        <v/>
      </c>
      <c r="G51" s="66" t="str">
        <f>IFERROR(VLOOKUP(A51,BUFFS!$H$5:$AF$195,6,),"")</f>
        <v/>
      </c>
      <c r="H51" s="67" t="str">
        <f>IFERROR(VLOOKUP(A51,BUFFS!$H$5:$AF$195,7,),"")</f>
        <v/>
      </c>
      <c r="I51" s="66" t="str">
        <f>IFERROR(VLOOKUP(A51,BUFFS!$H$5:$AF$195,9,),"")</f>
        <v/>
      </c>
      <c r="J51" s="65" t="str">
        <f>IFERROR(VLOOKUP(A51,BUFFS!$H$5:$AF$195,10,),"")</f>
        <v/>
      </c>
      <c r="K51" s="66" t="str">
        <f>IFERROR(VLOOKUP(A51,BUFFS!$H$5:$AF$195,11,),"")</f>
        <v/>
      </c>
      <c r="L51" s="66" t="str">
        <f>IFERROR(VLOOKUP(A51,BUFFS!$H$5:$AF$195,12,),"")</f>
        <v/>
      </c>
      <c r="M51" s="66" t="str">
        <f>IFERROR(VLOOKUP(A51,BUFFS!$H$5:$AF$195,14,),"")</f>
        <v/>
      </c>
      <c r="N51" s="68" t="str">
        <f t="shared" si="6"/>
        <v/>
      </c>
      <c r="O51" s="65" t="str">
        <f>IFERROR(VLOOKUP(A51,BUFFS!$H$5:$AF$195,15,),"")</f>
        <v/>
      </c>
      <c r="P51" s="66" t="str">
        <f>IFERROR(VLOOKUP(A51,BUFFS!$H$5:$AF$195,16,),"")</f>
        <v/>
      </c>
      <c r="Q51" s="66" t="str">
        <f>IFERROR(VLOOKUP(A51,BUFFS!$H$5:$AF$195,17,),"")</f>
        <v/>
      </c>
      <c r="R51" s="66" t="str">
        <f>IFERROR(VLOOKUP(A51,BUFFS!$H$5:$AF$195,19,),"")</f>
        <v/>
      </c>
      <c r="S51" s="69" t="str">
        <f t="shared" si="7"/>
        <v/>
      </c>
      <c r="T51" s="70" t="str">
        <f>IFERROR(VLOOKUP(A51,BUFFS!$H$5:$AF$195,20,),"")</f>
        <v/>
      </c>
    </row>
    <row r="52" spans="1:20" x14ac:dyDescent="0.3">
      <c r="A52" s="17"/>
      <c r="B52" s="80"/>
      <c r="C52" s="81"/>
      <c r="D52" s="31" t="str">
        <f>IFERROR(VLOOKUP(A52,BUFFS!$H$5:$AF$195,8,),"")</f>
        <v/>
      </c>
      <c r="E52" s="24" t="str">
        <f t="shared" si="5"/>
        <v/>
      </c>
      <c r="F52" s="65" t="str">
        <f>IFERROR(VLOOKUP(A52,BUFFS!$H$5:$AF$195,5,),"")</f>
        <v/>
      </c>
      <c r="G52" s="66" t="str">
        <f>IFERROR(VLOOKUP(A52,BUFFS!$H$5:$AF$195,6,),"")</f>
        <v/>
      </c>
      <c r="H52" s="67" t="str">
        <f>IFERROR(VLOOKUP(A52,BUFFS!$H$5:$AF$195,7,),"")</f>
        <v/>
      </c>
      <c r="I52" s="66" t="str">
        <f>IFERROR(VLOOKUP(A52,BUFFS!$H$5:$AF$195,9,),"")</f>
        <v/>
      </c>
      <c r="J52" s="65" t="str">
        <f>IFERROR(VLOOKUP(A52,BUFFS!$H$5:$AF$195,10,),"")</f>
        <v/>
      </c>
      <c r="K52" s="66" t="str">
        <f>IFERROR(VLOOKUP(A52,BUFFS!$H$5:$AF$195,11,),"")</f>
        <v/>
      </c>
      <c r="L52" s="66" t="str">
        <f>IFERROR(VLOOKUP(A52,BUFFS!$H$5:$AF$195,12,),"")</f>
        <v/>
      </c>
      <c r="M52" s="66" t="str">
        <f>IFERROR(VLOOKUP(A52,BUFFS!$H$5:$AF$195,14,),"")</f>
        <v/>
      </c>
      <c r="N52" s="68" t="str">
        <f t="shared" si="6"/>
        <v/>
      </c>
      <c r="O52" s="65" t="str">
        <f>IFERROR(VLOOKUP(A52,BUFFS!$H$5:$AF$195,15,),"")</f>
        <v/>
      </c>
      <c r="P52" s="66" t="str">
        <f>IFERROR(VLOOKUP(A52,BUFFS!$H$5:$AF$195,16,),"")</f>
        <v/>
      </c>
      <c r="Q52" s="66" t="str">
        <f>IFERROR(VLOOKUP(A52,BUFFS!$H$5:$AF$195,17,),"")</f>
        <v/>
      </c>
      <c r="R52" s="66" t="str">
        <f>IFERROR(VLOOKUP(A52,BUFFS!$H$5:$AF$195,19,),"")</f>
        <v/>
      </c>
      <c r="S52" s="69" t="str">
        <f t="shared" si="7"/>
        <v/>
      </c>
      <c r="T52" s="70" t="str">
        <f>IFERROR(VLOOKUP(A52,BUFFS!$H$5:$AF$195,20,),"")</f>
        <v/>
      </c>
    </row>
    <row r="53" spans="1:20" x14ac:dyDescent="0.3">
      <c r="A53" s="17"/>
      <c r="B53" s="80"/>
      <c r="C53" s="81"/>
      <c r="D53" s="31" t="str">
        <f>IFERROR(VLOOKUP(A53,BUFFS!$H$5:$AF$195,8,),"")</f>
        <v/>
      </c>
      <c r="E53" s="24" t="str">
        <f t="shared" si="5"/>
        <v/>
      </c>
      <c r="F53" s="65" t="str">
        <f>IFERROR(VLOOKUP(A53,BUFFS!$H$5:$AF$195,5,),"")</f>
        <v/>
      </c>
      <c r="G53" s="66" t="str">
        <f>IFERROR(VLOOKUP(A53,BUFFS!$H$5:$AF$195,6,),"")</f>
        <v/>
      </c>
      <c r="H53" s="67" t="str">
        <f>IFERROR(VLOOKUP(A53,BUFFS!$H$5:$AF$195,7,),"")</f>
        <v/>
      </c>
      <c r="I53" s="66" t="str">
        <f>IFERROR(VLOOKUP(A53,BUFFS!$H$5:$AF$195,9,),"")</f>
        <v/>
      </c>
      <c r="J53" s="65" t="str">
        <f>IFERROR(VLOOKUP(A53,BUFFS!$H$5:$AF$195,10,),"")</f>
        <v/>
      </c>
      <c r="K53" s="66" t="str">
        <f>IFERROR(VLOOKUP(A53,BUFFS!$H$5:$AF$195,11,),"")</f>
        <v/>
      </c>
      <c r="L53" s="66" t="str">
        <f>IFERROR(VLOOKUP(A53,BUFFS!$H$5:$AF$195,12,),"")</f>
        <v/>
      </c>
      <c r="M53" s="66" t="str">
        <f>IFERROR(VLOOKUP(A53,BUFFS!$H$5:$AF$195,14,),"")</f>
        <v/>
      </c>
      <c r="N53" s="68" t="str">
        <f t="shared" si="6"/>
        <v/>
      </c>
      <c r="O53" s="65" t="str">
        <f>IFERROR(VLOOKUP(A53,BUFFS!$H$5:$AF$195,15,),"")</f>
        <v/>
      </c>
      <c r="P53" s="66" t="str">
        <f>IFERROR(VLOOKUP(A53,BUFFS!$H$5:$AF$195,16,),"")</f>
        <v/>
      </c>
      <c r="Q53" s="66" t="str">
        <f>IFERROR(VLOOKUP(A53,BUFFS!$H$5:$AF$195,17,),"")</f>
        <v/>
      </c>
      <c r="R53" s="66" t="str">
        <f>IFERROR(VLOOKUP(A53,BUFFS!$H$5:$AF$195,19,),"")</f>
        <v/>
      </c>
      <c r="S53" s="69" t="str">
        <f t="shared" si="7"/>
        <v/>
      </c>
      <c r="T53" s="70" t="str">
        <f>IFERROR(VLOOKUP(A53,BUFFS!$H$5:$AF$195,20,),"")</f>
        <v/>
      </c>
    </row>
    <row r="54" spans="1:20" x14ac:dyDescent="0.3">
      <c r="A54" s="17"/>
      <c r="B54" s="80"/>
      <c r="C54" s="81"/>
      <c r="D54" s="31" t="str">
        <f>IFERROR(VLOOKUP(A54,BUFFS!$H$5:$AF$195,8,),"")</f>
        <v/>
      </c>
      <c r="E54" s="24" t="str">
        <f t="shared" si="5"/>
        <v/>
      </c>
      <c r="F54" s="65" t="str">
        <f>IFERROR(VLOOKUP(A54,BUFFS!$H$5:$AF$195,5,),"")</f>
        <v/>
      </c>
      <c r="G54" s="66" t="str">
        <f>IFERROR(VLOOKUP(A54,BUFFS!$H$5:$AF$195,6,),"")</f>
        <v/>
      </c>
      <c r="H54" s="67" t="str">
        <f>IFERROR(VLOOKUP(A54,BUFFS!$H$5:$AF$195,7,),"")</f>
        <v/>
      </c>
      <c r="I54" s="66" t="str">
        <f>IFERROR(VLOOKUP(A54,BUFFS!$H$5:$AF$195,9,),"")</f>
        <v/>
      </c>
      <c r="J54" s="65" t="str">
        <f>IFERROR(VLOOKUP(A54,BUFFS!$H$5:$AF$195,10,),"")</f>
        <v/>
      </c>
      <c r="K54" s="66" t="str">
        <f>IFERROR(VLOOKUP(A54,BUFFS!$H$5:$AF$195,11,),"")</f>
        <v/>
      </c>
      <c r="L54" s="66" t="str">
        <f>IFERROR(VLOOKUP(A54,BUFFS!$H$5:$AF$195,12,),"")</f>
        <v/>
      </c>
      <c r="M54" s="66" t="str">
        <f>IFERROR(VLOOKUP(A54,BUFFS!$H$5:$AF$195,14,),"")</f>
        <v/>
      </c>
      <c r="N54" s="68" t="str">
        <f t="shared" si="6"/>
        <v/>
      </c>
      <c r="O54" s="65" t="str">
        <f>IFERROR(VLOOKUP(A54,BUFFS!$H$5:$AF$195,15,),"")</f>
        <v/>
      </c>
      <c r="P54" s="66" t="str">
        <f>IFERROR(VLOOKUP(A54,BUFFS!$H$5:$AF$195,16,),"")</f>
        <v/>
      </c>
      <c r="Q54" s="66" t="str">
        <f>IFERROR(VLOOKUP(A54,BUFFS!$H$5:$AF$195,17,),"")</f>
        <v/>
      </c>
      <c r="R54" s="66" t="str">
        <f>IFERROR(VLOOKUP(A54,BUFFS!$H$5:$AF$195,19,),"")</f>
        <v/>
      </c>
      <c r="S54" s="69" t="str">
        <f t="shared" si="7"/>
        <v/>
      </c>
      <c r="T54" s="70" t="str">
        <f>IFERROR(VLOOKUP(A54,BUFFS!$H$5:$AF$195,20,),"")</f>
        <v/>
      </c>
    </row>
    <row r="55" spans="1:20" x14ac:dyDescent="0.3">
      <c r="A55" s="17"/>
      <c r="B55" s="80"/>
      <c r="C55" s="81"/>
      <c r="D55" s="31" t="str">
        <f>IFERROR(VLOOKUP(A55,BUFFS!$H$5:$AF$195,8,),"")</f>
        <v/>
      </c>
      <c r="E55" s="24" t="str">
        <f t="shared" si="5"/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 t="shared" si="6"/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 t="shared" si="7"/>
        <v/>
      </c>
      <c r="T55" s="70" t="str">
        <f>IFERROR(VLOOKUP(A55,BUFFS!$H$5:$AF$195,20,),"")</f>
        <v/>
      </c>
    </row>
    <row r="56" spans="1:20" x14ac:dyDescent="0.3">
      <c r="A56" s="17"/>
      <c r="B56" s="80"/>
      <c r="C56" s="81"/>
      <c r="D56" s="31" t="str">
        <f>IFERROR(VLOOKUP(A56,BUFFS!$H$5:$AF$195,8,),"")</f>
        <v/>
      </c>
      <c r="E56" s="24" t="str">
        <f t="shared" si="5"/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si="6"/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si="7"/>
        <v/>
      </c>
      <c r="T56" s="70" t="str">
        <f>IFERROR(VLOOKUP(A56,BUFFS!$H$5:$AF$195,20,),"")</f>
        <v/>
      </c>
    </row>
    <row r="57" spans="1:20" x14ac:dyDescent="0.3">
      <c r="A57" s="17"/>
      <c r="B57" s="80"/>
      <c r="C57" s="81"/>
      <c r="D57" s="31" t="str">
        <f>IFERROR(VLOOKUP(A57,BUFFS!$H$5:$AF$195,8,),"")</f>
        <v/>
      </c>
      <c r="E57" s="24" t="str">
        <f t="shared" si="5"/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6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7"/>
        <v/>
      </c>
      <c r="T57" s="70" t="str">
        <f>IFERROR(VLOOKUP(A57,BUFFS!$H$5:$AF$195,20,),"")</f>
        <v/>
      </c>
    </row>
    <row r="58" spans="1:20" x14ac:dyDescent="0.3">
      <c r="A58" s="17"/>
      <c r="B58" s="80"/>
      <c r="C58" s="81"/>
      <c r="D58" s="31" t="str">
        <f>IFERROR(VLOOKUP(A58,BUFFS!$H$5:$AF$195,8,),"")</f>
        <v/>
      </c>
      <c r="E58" s="24" t="str">
        <f t="shared" si="5"/>
        <v/>
      </c>
      <c r="F58" s="65" t="str">
        <f>IFERROR(VLOOKUP(A58,BUFFS!$H$5:$AF$195,5,),"")</f>
        <v/>
      </c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6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7"/>
        <v/>
      </c>
      <c r="T58" s="70" t="str">
        <f>IFERROR(VLOOKUP(A58,BUFFS!$H$5:$AF$195,20,),"")</f>
        <v/>
      </c>
    </row>
    <row r="59" spans="1:20" x14ac:dyDescent="0.3">
      <c r="A59" s="17"/>
      <c r="B59" s="80"/>
      <c r="C59" s="81"/>
      <c r="D59" s="31" t="str">
        <f>IFERROR(VLOOKUP(A59,BUFFS!$H$5:$AF$195,8,),"")</f>
        <v/>
      </c>
      <c r="E59" s="24" t="str">
        <f t="shared" si="5"/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6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7"/>
        <v/>
      </c>
      <c r="T59" s="70" t="str">
        <f>IFERROR(VLOOKUP(A59,BUFFS!$H$5:$AF$195,20,),"")</f>
        <v/>
      </c>
    </row>
    <row r="60" spans="1:20" x14ac:dyDescent="0.3">
      <c r="A60" s="17"/>
      <c r="B60" s="80"/>
      <c r="C60" s="81"/>
      <c r="D60" s="31" t="str">
        <f>IFERROR(VLOOKUP(A60,BUFFS!$H$5:$AF$195,8,),"")</f>
        <v/>
      </c>
      <c r="E60" s="24" t="str">
        <f t="shared" si="5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6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7"/>
        <v/>
      </c>
      <c r="T60" s="70" t="str">
        <f>IFERROR(VLOOKUP(A60,BUFFS!$H$5:$AF$195,20,),"")</f>
        <v/>
      </c>
    </row>
    <row r="61" spans="1:20" x14ac:dyDescent="0.3">
      <c r="A61" s="17"/>
      <c r="B61" s="80"/>
      <c r="C61" s="81"/>
      <c r="D61" s="31" t="str">
        <f>IFERROR(VLOOKUP(A61,BUFFS!$H$5:$AF$195,8,),"")</f>
        <v/>
      </c>
      <c r="E61" s="24" t="str">
        <f t="shared" si="5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6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7"/>
        <v/>
      </c>
      <c r="T61" s="70" t="str">
        <f>IFERROR(VLOOKUP(A61,BUFFS!$H$5:$AF$195,20,),"")</f>
        <v/>
      </c>
    </row>
    <row r="62" spans="1:20" x14ac:dyDescent="0.3">
      <c r="A62" s="17"/>
      <c r="B62" s="80"/>
      <c r="C62" s="81"/>
      <c r="D62" s="31" t="str">
        <f>IFERROR(VLOOKUP(A62,BUFFS!$H$5:$AF$195,8,),"")</f>
        <v/>
      </c>
      <c r="E62" s="24" t="str">
        <f t="shared" si="5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6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7"/>
        <v/>
      </c>
      <c r="T62" s="70" t="str">
        <f>IFERROR(VLOOKUP(A62,BUFFS!$H$5:$AF$195,20,),"")</f>
        <v/>
      </c>
    </row>
    <row r="63" spans="1:20" x14ac:dyDescent="0.3">
      <c r="A63" s="17"/>
      <c r="B63" s="80"/>
      <c r="C63" s="81"/>
      <c r="D63" s="31" t="str">
        <f>IFERROR(VLOOKUP(A63,BUFFS!$H$5:$AF$195,8,),"")</f>
        <v/>
      </c>
      <c r="E63" s="24" t="str">
        <f t="shared" si="5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6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7"/>
        <v/>
      </c>
      <c r="T63" s="70" t="str">
        <f>IFERROR(VLOOKUP(A63,BUFFS!$H$5:$AF$195,20,),"")</f>
        <v/>
      </c>
    </row>
    <row r="64" spans="1:20" x14ac:dyDescent="0.3">
      <c r="A64" s="17"/>
      <c r="B64" s="80"/>
      <c r="C64" s="81"/>
      <c r="D64" s="31" t="str">
        <f>IFERROR(VLOOKUP(A64,BUFFS!$H$5:$AF$195,8,),"")</f>
        <v/>
      </c>
      <c r="E64" s="24" t="str">
        <f t="shared" si="5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6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7"/>
        <v/>
      </c>
      <c r="T64" s="70" t="str">
        <f>IFERROR(VLOOKUP(A64,BUFFS!$H$5:$AF$195,20,),"")</f>
        <v/>
      </c>
    </row>
    <row r="65" spans="1:20" x14ac:dyDescent="0.3">
      <c r="A65" s="17"/>
      <c r="B65" s="80"/>
      <c r="C65" s="81"/>
      <c r="D65" s="31" t="str">
        <f>IFERROR(VLOOKUP(A65,BUFFS!$H$5:$AF$195,8,),"")</f>
        <v/>
      </c>
      <c r="E65" s="24" t="str">
        <f t="shared" si="5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6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7"/>
        <v/>
      </c>
      <c r="T65" s="70" t="str">
        <f>IFERROR(VLOOKUP(A65,BUFFS!$H$5:$AF$195,20,),"")</f>
        <v/>
      </c>
    </row>
    <row r="66" spans="1:20" x14ac:dyDescent="0.3">
      <c r="A66" s="17"/>
      <c r="B66" s="80"/>
      <c r="C66" s="81"/>
      <c r="D66" s="31" t="str">
        <f>IFERROR(VLOOKUP(A66,BUFFS!$H$5:$AF$195,8,),"")</f>
        <v/>
      </c>
      <c r="E66" s="24" t="str">
        <f t="shared" si="5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6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7"/>
        <v/>
      </c>
      <c r="T66" s="70" t="str">
        <f>IFERROR(VLOOKUP(A66,BUFFS!$H$5:$AF$195,20,),"")</f>
        <v/>
      </c>
    </row>
    <row r="67" spans="1:20" x14ac:dyDescent="0.3">
      <c r="A67" s="17"/>
      <c r="B67" s="80"/>
      <c r="C67" s="81"/>
      <c r="D67" s="31" t="str">
        <f>IFERROR(VLOOKUP(A67,BUFFS!$H$5:$AF$195,8,),"")</f>
        <v/>
      </c>
      <c r="E67" s="24" t="str">
        <f t="shared" si="5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6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7"/>
        <v/>
      </c>
      <c r="T67" s="70" t="str">
        <f>IFERROR(VLOOKUP(A67,BUFFS!$H$5:$AF$195,20,),"")</f>
        <v/>
      </c>
    </row>
    <row r="68" spans="1:20" x14ac:dyDescent="0.3">
      <c r="A68" s="17"/>
      <c r="B68" s="80"/>
      <c r="C68" s="81"/>
      <c r="D68" s="31" t="str">
        <f>IFERROR(VLOOKUP(A68,BUFFS!$H$5:$AF$195,8,),"")</f>
        <v/>
      </c>
      <c r="E68" s="24" t="str">
        <f t="shared" si="5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6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7"/>
        <v/>
      </c>
      <c r="T68" s="70" t="str">
        <f>IFERROR(VLOOKUP(A68,BUFFS!$H$5:$AF$195,20,),"")</f>
        <v/>
      </c>
    </row>
    <row r="69" spans="1:20" x14ac:dyDescent="0.3">
      <c r="A69" s="17"/>
      <c r="B69" s="80"/>
      <c r="C69" s="81"/>
      <c r="D69" s="31" t="str">
        <f>IFERROR(VLOOKUP(A69,BUFFS!$H$5:$AF$195,8,),"")</f>
        <v/>
      </c>
      <c r="E69" s="24" t="str">
        <f t="shared" si="5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6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7"/>
        <v/>
      </c>
      <c r="T69" s="70" t="str">
        <f>IFERROR(VLOOKUP(A69,BUFFS!$H$5:$AF$195,20,),"")</f>
        <v/>
      </c>
    </row>
    <row r="70" spans="1:20" x14ac:dyDescent="0.3">
      <c r="A70" s="17"/>
      <c r="B70" s="80"/>
      <c r="C70" s="81"/>
      <c r="D70" s="31" t="str">
        <f>IFERROR(VLOOKUP(A70,BUFFS!$H$5:$AF$195,8,),"")</f>
        <v/>
      </c>
      <c r="E70" s="24" t="str">
        <f t="shared" si="5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6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7"/>
        <v/>
      </c>
      <c r="T70" s="70" t="str">
        <f>IFERROR(VLOOKUP(A70,BUFFS!$H$5:$AF$195,20,),"")</f>
        <v/>
      </c>
    </row>
    <row r="71" spans="1:20" x14ac:dyDescent="0.3">
      <c r="A71" s="17"/>
      <c r="B71" s="80"/>
      <c r="C71" s="81"/>
      <c r="D71" s="31" t="str">
        <f>IFERROR(VLOOKUP(A71,BUFFS!$H$5:$AF$195,8,),"")</f>
        <v/>
      </c>
      <c r="E71" s="24" t="str">
        <f t="shared" si="5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6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7"/>
        <v/>
      </c>
      <c r="T71" s="70" t="str">
        <f>IFERROR(VLOOKUP(A71,BUFFS!$H$5:$AF$195,20,),"")</f>
        <v/>
      </c>
    </row>
    <row r="72" spans="1:20" x14ac:dyDescent="0.3">
      <c r="A72" s="17"/>
      <c r="B72" s="80"/>
      <c r="C72" s="81"/>
      <c r="D72" s="31" t="str">
        <f>IFERROR(VLOOKUP(A72,BUFFS!$H$5:$AF$195,8,),"")</f>
        <v/>
      </c>
      <c r="E72" s="24" t="str">
        <f t="shared" si="5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6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7"/>
        <v/>
      </c>
      <c r="T72" s="70" t="str">
        <f>IFERROR(VLOOKUP(A72,BUFFS!$H$5:$AF$195,20,),"")</f>
        <v/>
      </c>
    </row>
    <row r="73" spans="1:20" x14ac:dyDescent="0.3">
      <c r="A73" s="17"/>
      <c r="B73" s="80"/>
      <c r="C73" s="81"/>
      <c r="D73" s="31" t="str">
        <f>IFERROR(VLOOKUP(A73,BUFFS!$H$5:$AF$195,8,),"")</f>
        <v/>
      </c>
      <c r="E73" s="24" t="str">
        <f t="shared" si="5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6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7"/>
        <v/>
      </c>
      <c r="T73" s="70" t="str">
        <f>IFERROR(VLOOKUP(A73,BUFFS!$H$5:$AF$195,20,),"")</f>
        <v/>
      </c>
    </row>
    <row r="74" spans="1:20" x14ac:dyDescent="0.3">
      <c r="A74" s="17"/>
      <c r="B74" s="80"/>
      <c r="C74" s="81"/>
      <c r="D74" s="31" t="str">
        <f>IFERROR(VLOOKUP(A74,BUFFS!$H$5:$AF$195,8,),"")</f>
        <v/>
      </c>
      <c r="E74" s="24" t="str">
        <f t="shared" si="5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6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7"/>
        <v/>
      </c>
      <c r="T74" s="70" t="str">
        <f>IFERROR(VLOOKUP(A74,BUFFS!$H$5:$AF$195,20,),"")</f>
        <v/>
      </c>
    </row>
    <row r="75" spans="1:20" x14ac:dyDescent="0.3">
      <c r="A75" s="17"/>
      <c r="B75" s="80"/>
      <c r="C75" s="81"/>
      <c r="D75" s="31" t="str">
        <f>IFERROR(VLOOKUP(A75,BUFFS!$H$5:$AF$195,8,),"")</f>
        <v/>
      </c>
      <c r="E75" s="24" t="str">
        <f t="shared" si="5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6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7"/>
        <v/>
      </c>
      <c r="T75" s="70" t="str">
        <f>IFERROR(VLOOKUP(A75,BUFFS!$H$5:$AF$195,20,),"")</f>
        <v/>
      </c>
    </row>
    <row r="76" spans="1:20" x14ac:dyDescent="0.3">
      <c r="A76" s="17"/>
      <c r="B76" s="80"/>
      <c r="C76" s="81"/>
      <c r="D76" s="31" t="str">
        <f>IFERROR(VLOOKUP(A76,BUFFS!$H$5:$AF$195,8,),"")</f>
        <v/>
      </c>
      <c r="E76" s="24" t="str">
        <f t="shared" si="5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6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7"/>
        <v/>
      </c>
      <c r="T76" s="70" t="str">
        <f>IFERROR(VLOOKUP(A76,BUFFS!$H$5:$AF$195,20,),"")</f>
        <v/>
      </c>
    </row>
    <row r="77" spans="1:20" x14ac:dyDescent="0.3">
      <c r="A77" s="17"/>
      <c r="B77" s="80"/>
      <c r="C77" s="81"/>
      <c r="D77" s="31" t="str">
        <f>IFERROR(VLOOKUP(A77,BUFFS!$H$5:$AF$195,8,),"")</f>
        <v/>
      </c>
      <c r="E77" s="24" t="str">
        <f t="shared" si="5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6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7"/>
        <v/>
      </c>
      <c r="T77" s="70" t="str">
        <f>IFERROR(VLOOKUP(A77,BUFFS!$H$5:$AF$195,20,),"")</f>
        <v/>
      </c>
    </row>
    <row r="78" spans="1:20" x14ac:dyDescent="0.3">
      <c r="A78" s="17"/>
      <c r="B78" s="80"/>
      <c r="C78" s="81"/>
      <c r="D78" s="31" t="str">
        <f>IFERROR(VLOOKUP(A78,BUFFS!$H$5:$AF$195,8,),"")</f>
        <v/>
      </c>
      <c r="E78" s="24" t="str">
        <f t="shared" si="5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6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7"/>
        <v/>
      </c>
      <c r="T78" s="70" t="str">
        <f>IFERROR(VLOOKUP(A78,BUFFS!$H$5:$AF$195,20,),"")</f>
        <v/>
      </c>
    </row>
    <row r="79" spans="1:20" x14ac:dyDescent="0.3">
      <c r="A79" s="17"/>
      <c r="B79" s="80"/>
      <c r="C79" s="81"/>
      <c r="D79" s="31" t="str">
        <f>IFERROR(VLOOKUP(A79,BUFFS!$H$5:$AF$195,8,),"")</f>
        <v/>
      </c>
      <c r="E79" s="24" t="str">
        <f t="shared" si="5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6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7"/>
        <v/>
      </c>
      <c r="T79" s="70" t="str">
        <f>IFERROR(VLOOKUP(A79,BUFFS!$H$5:$AF$195,20,),"")</f>
        <v/>
      </c>
    </row>
    <row r="80" spans="1:20" x14ac:dyDescent="0.3">
      <c r="A80" s="17"/>
      <c r="B80" s="80"/>
      <c r="C80" s="81"/>
      <c r="D80" s="31" t="str">
        <f>IFERROR(VLOOKUP(A80,BUFFS!$H$5:$AF$195,8,),"")</f>
        <v/>
      </c>
      <c r="E80" s="24" t="str">
        <f t="shared" si="5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6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7"/>
        <v/>
      </c>
      <c r="T80" s="70" t="str">
        <f>IFERROR(VLOOKUP(A80,BUFFS!$H$5:$AF$195,20,),"")</f>
        <v/>
      </c>
    </row>
    <row r="81" spans="1:20" x14ac:dyDescent="0.3">
      <c r="A81" s="17"/>
      <c r="B81" s="80"/>
      <c r="C81" s="81"/>
      <c r="D81" s="31" t="str">
        <f>IFERROR(VLOOKUP(A81,BUFFS!$H$5:$AF$195,8,),"")</f>
        <v/>
      </c>
      <c r="E81" s="24" t="str">
        <f t="shared" si="5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6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7"/>
        <v/>
      </c>
      <c r="T81" s="70" t="str">
        <f>IFERROR(VLOOKUP(A81,BUFFS!$H$5:$AF$195,20,),"")</f>
        <v/>
      </c>
    </row>
    <row r="82" spans="1:20" x14ac:dyDescent="0.3">
      <c r="A82" s="17"/>
      <c r="B82" s="18"/>
      <c r="C82" s="13"/>
      <c r="D82" s="31" t="str">
        <f>IFERROR(VLOOKUP(A82,BUFFS!$H$5:$AF$195,8,),"")</f>
        <v/>
      </c>
      <c r="E82" s="24" t="str">
        <f t="shared" si="5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6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7"/>
        <v/>
      </c>
      <c r="T82" s="70" t="str">
        <f>IFERROR(VLOOKUP(A82,BUFFS!$H$5:$AF$195,20,),"")</f>
        <v/>
      </c>
    </row>
    <row r="83" spans="1:20" x14ac:dyDescent="0.3">
      <c r="A83" s="17"/>
      <c r="B83" s="18"/>
      <c r="C83" s="13"/>
      <c r="D83" s="31" t="str">
        <f>IFERROR(VLOOKUP(A83,BUFFS!$H$5:$AF$195,8,),"")</f>
        <v/>
      </c>
      <c r="E83" s="24" t="str">
        <f t="shared" si="5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6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7"/>
        <v/>
      </c>
      <c r="T83" s="70" t="str">
        <f>IFERROR(VLOOKUP(A83,BUFFS!$H$5:$AF$195,20,),"")</f>
        <v/>
      </c>
    </row>
    <row r="84" spans="1:20" x14ac:dyDescent="0.3">
      <c r="A84" s="17"/>
      <c r="B84" s="18"/>
      <c r="C84" s="13"/>
      <c r="D84" s="31" t="str">
        <f>IFERROR(VLOOKUP(A84,BUFFS!$H$5:$AF$195,8,),"")</f>
        <v/>
      </c>
      <c r="E84" s="24" t="str">
        <f t="shared" si="5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6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7"/>
        <v/>
      </c>
      <c r="T84" s="70" t="str">
        <f>IFERROR(VLOOKUP(A84,BUFFS!$H$5:$AF$195,20,),"")</f>
        <v/>
      </c>
    </row>
    <row r="85" spans="1:20" x14ac:dyDescent="0.3">
      <c r="A85" s="17"/>
      <c r="B85" s="18"/>
      <c r="C85" s="13"/>
      <c r="D85" s="31" t="str">
        <f>IFERROR(VLOOKUP(A85,BUFFS!$H$5:$AF$195,8,),"")</f>
        <v/>
      </c>
      <c r="E85" s="24" t="str">
        <f t="shared" si="5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6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7"/>
        <v/>
      </c>
      <c r="T85" s="70" t="str">
        <f>IFERROR(VLOOKUP(A85,BUFFS!$H$5:$AF$195,20,),"")</f>
        <v/>
      </c>
    </row>
    <row r="86" spans="1:20" x14ac:dyDescent="0.3">
      <c r="A86" s="17"/>
      <c r="B86" s="18"/>
      <c r="C86" s="13"/>
      <c r="D86" s="31" t="str">
        <f>IFERROR(VLOOKUP(A86,BUFFS!$H$5:$AF$195,8,),"")</f>
        <v/>
      </c>
      <c r="E86" s="24" t="str">
        <f t="shared" si="5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6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7"/>
        <v/>
      </c>
      <c r="T86" s="70" t="str">
        <f>IFERROR(VLOOKUP(A86,BUFFS!$H$5:$AF$195,20,),"")</f>
        <v/>
      </c>
    </row>
    <row r="87" spans="1:20" x14ac:dyDescent="0.3">
      <c r="A87" s="17"/>
      <c r="B87" s="18"/>
      <c r="C87" s="13"/>
      <c r="D87" s="31" t="str">
        <f>IFERROR(VLOOKUP(A87,BUFFS!$H$5:$AF$195,8,),"")</f>
        <v/>
      </c>
      <c r="E87" s="24" t="str">
        <f t="shared" si="5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6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7"/>
        <v/>
      </c>
      <c r="T87" s="70" t="str">
        <f>IFERROR(VLOOKUP(A87,BUFFS!$H$5:$AF$195,20,),"")</f>
        <v/>
      </c>
    </row>
    <row r="88" spans="1:20" x14ac:dyDescent="0.3">
      <c r="A88" s="17"/>
      <c r="B88" s="18"/>
      <c r="C88" s="13"/>
      <c r="D88" s="31" t="str">
        <f>IFERROR(VLOOKUP(A88,BUFFS!$H$5:$AF$195,8,),"")</f>
        <v/>
      </c>
      <c r="E88" s="24" t="str">
        <f t="shared" si="5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6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7"/>
        <v/>
      </c>
      <c r="T88" s="70" t="str">
        <f>IFERROR(VLOOKUP(A88,BUFFS!$H$5:$AF$195,20,),"")</f>
        <v/>
      </c>
    </row>
    <row r="89" spans="1:20" x14ac:dyDescent="0.3">
      <c r="A89" s="17"/>
      <c r="B89" s="18"/>
      <c r="C89" s="13"/>
      <c r="D89" s="31" t="str">
        <f>IFERROR(VLOOKUP(A89,BUFFS!$H$5:$AF$195,8,),"")</f>
        <v/>
      </c>
      <c r="E89" s="24" t="str">
        <f t="shared" si="5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6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7"/>
        <v/>
      </c>
      <c r="T89" s="70" t="str">
        <f>IFERROR(VLOOKUP(A89,BUFFS!$H$5:$AF$195,20,),"")</f>
        <v/>
      </c>
    </row>
    <row r="90" spans="1:20" x14ac:dyDescent="0.3">
      <c r="A90" s="17"/>
      <c r="B90" s="18"/>
      <c r="C90" s="13"/>
      <c r="D90" s="31" t="str">
        <f>IFERROR(VLOOKUP(A90,BUFFS!$H$5:$AF$195,8,),"")</f>
        <v/>
      </c>
      <c r="E90" s="24" t="str">
        <f t="shared" si="5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6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7"/>
        <v/>
      </c>
      <c r="T90" s="70" t="str">
        <f>IFERROR(VLOOKUP(A90,BUFFS!$H$5:$AF$195,20,),"")</f>
        <v/>
      </c>
    </row>
    <row r="91" spans="1:20" x14ac:dyDescent="0.3">
      <c r="A91" s="17"/>
      <c r="B91" s="18"/>
      <c r="C91" s="13"/>
      <c r="D91" s="31" t="str">
        <f>IFERROR(VLOOKUP(A91,BUFFS!$H$5:$AF$195,8,),"")</f>
        <v/>
      </c>
      <c r="E91" s="24" t="str">
        <f t="shared" si="5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6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7"/>
        <v/>
      </c>
      <c r="T91" s="70" t="str">
        <f>IFERROR(VLOOKUP(A91,BUFFS!$H$5:$AF$195,20,),"")</f>
        <v/>
      </c>
    </row>
    <row r="92" spans="1:20" x14ac:dyDescent="0.3">
      <c r="A92" s="17"/>
      <c r="B92" s="18"/>
      <c r="C92" s="13"/>
      <c r="D92" s="31" t="str">
        <f>IFERROR(VLOOKUP(A92,BUFFS!$H$5:$AF$195,8,),"")</f>
        <v/>
      </c>
      <c r="E92" s="24" t="str">
        <f t="shared" si="5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6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7"/>
        <v/>
      </c>
      <c r="T92" s="70" t="str">
        <f>IFERROR(VLOOKUP(A92,BUFFS!$H$5:$AF$195,20,),"")</f>
        <v/>
      </c>
    </row>
    <row r="93" spans="1:20" x14ac:dyDescent="0.3">
      <c r="A93" s="17"/>
      <c r="B93" s="18"/>
      <c r="C93" s="13"/>
      <c r="D93" s="31" t="str">
        <f>IFERROR(VLOOKUP(A93,BUFFS!$H$5:$AF$195,8,),"")</f>
        <v/>
      </c>
      <c r="E93" s="24" t="str">
        <f t="shared" si="5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6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7"/>
        <v/>
      </c>
      <c r="T93" s="70" t="str">
        <f>IFERROR(VLOOKUP(A93,BUFFS!$H$5:$AF$195,20,),"")</f>
        <v/>
      </c>
    </row>
    <row r="94" spans="1:20" x14ac:dyDescent="0.3">
      <c r="A94" s="17"/>
      <c r="B94" s="18"/>
      <c r="C94" s="13"/>
      <c r="D94" s="31" t="str">
        <f>IFERROR(VLOOKUP(A94,BUFFS!$H$5:$AF$195,8,),"")</f>
        <v/>
      </c>
      <c r="E94" s="24" t="str">
        <f t="shared" si="5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6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7"/>
        <v/>
      </c>
      <c r="T94" s="70" t="str">
        <f>IFERROR(VLOOKUP(A94,BUFFS!$H$5:$AF$195,20,),"")</f>
        <v/>
      </c>
    </row>
    <row r="95" spans="1:20" x14ac:dyDescent="0.3">
      <c r="A95" s="17"/>
      <c r="B95" s="18"/>
      <c r="C95" s="13"/>
      <c r="D95" s="31" t="str">
        <f>IFERROR(VLOOKUP(A95,BUFFS!$H$5:$AF$195,8,),"")</f>
        <v/>
      </c>
      <c r="E95" s="24" t="str">
        <f t="shared" si="5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6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7"/>
        <v/>
      </c>
      <c r="T95" s="70" t="str">
        <f>IFERROR(VLOOKUP(A95,BUFFS!$H$5:$AF$195,20,),"")</f>
        <v/>
      </c>
    </row>
    <row r="96" spans="1:20" x14ac:dyDescent="0.3">
      <c r="A96" s="17"/>
      <c r="B96" s="18"/>
      <c r="C96" s="13"/>
      <c r="D96" s="31" t="str">
        <f>IFERROR(VLOOKUP(A96,BUFFS!$H$5:$AF$195,8,),"")</f>
        <v/>
      </c>
      <c r="E96" s="24" t="str">
        <f t="shared" si="5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6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7"/>
        <v/>
      </c>
      <c r="T96" s="70" t="str">
        <f>IFERROR(VLOOKUP(A96,BUFFS!$H$5:$AF$195,20,),"")</f>
        <v/>
      </c>
    </row>
    <row r="97" spans="1:20" x14ac:dyDescent="0.3">
      <c r="A97" s="17"/>
      <c r="B97" s="18"/>
      <c r="C97" s="13"/>
      <c r="D97" s="31" t="str">
        <f>IFERROR(VLOOKUP(A97,BUFFS!$H$5:$AF$195,8,),"")</f>
        <v/>
      </c>
      <c r="E97" s="24" t="str">
        <f t="shared" si="5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6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7"/>
        <v/>
      </c>
      <c r="T97" s="70" t="str">
        <f>IFERROR(VLOOKUP(A97,BUFFS!$H$5:$AF$195,20,),"")</f>
        <v/>
      </c>
    </row>
    <row r="98" spans="1:20" x14ac:dyDescent="0.3">
      <c r="A98" s="17"/>
      <c r="B98" s="18"/>
      <c r="C98" s="13"/>
      <c r="D98" s="31" t="str">
        <f>IFERROR(VLOOKUP(A98,BUFFS!$H$5:$AF$195,8,),"")</f>
        <v/>
      </c>
      <c r="E98" s="24" t="str">
        <f t="shared" si="5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6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7"/>
        <v/>
      </c>
      <c r="T98" s="70" t="str">
        <f>IFERROR(VLOOKUP(A98,BUFFS!$H$5:$AF$195,20,),"")</f>
        <v/>
      </c>
    </row>
    <row r="99" spans="1:20" x14ac:dyDescent="0.3">
      <c r="A99" s="17"/>
      <c r="B99" s="18"/>
      <c r="C99" s="13"/>
      <c r="D99" s="31" t="str">
        <f>IFERROR(VLOOKUP(A99,BUFFS!$H$5:$AF$195,8,),"")</f>
        <v/>
      </c>
      <c r="E99" s="24" t="str">
        <f t="shared" si="5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6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7"/>
        <v/>
      </c>
      <c r="T99" s="70" t="str">
        <f>IFERROR(VLOOKUP(A99,BUFFS!$H$5:$AF$195,20,),"")</f>
        <v/>
      </c>
    </row>
    <row r="100" spans="1:20" x14ac:dyDescent="0.3">
      <c r="A100" s="17"/>
      <c r="B100" s="18"/>
      <c r="C100" s="13"/>
      <c r="D100" s="31" t="str">
        <f>IFERROR(VLOOKUP(A100,BUFFS!$H$5:$AF$195,8,),"")</f>
        <v/>
      </c>
      <c r="E100" s="24" t="str">
        <f t="shared" si="5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6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7"/>
        <v/>
      </c>
      <c r="T100" s="70" t="str">
        <f>IFERROR(VLOOKUP(A100,BUFFS!$H$5:$AF$195,20,),"")</f>
        <v/>
      </c>
    </row>
    <row r="101" spans="1:20" x14ac:dyDescent="0.3">
      <c r="A101" s="17"/>
      <c r="B101" s="18"/>
      <c r="C101" s="13"/>
      <c r="D101" s="31" t="str">
        <f>IFERROR(VLOOKUP(A101,BUFFS!$H$5:$AF$195,8,),"")</f>
        <v/>
      </c>
      <c r="E101" s="24" t="str">
        <f t="shared" si="5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6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7"/>
        <v/>
      </c>
      <c r="T101" s="70" t="str">
        <f>IFERROR(VLOOKUP(A101,BUFFS!$H$5:$AF$195,20,),"")</f>
        <v/>
      </c>
    </row>
    <row r="102" spans="1:20" x14ac:dyDescent="0.3">
      <c r="A102" s="17"/>
      <c r="B102" s="18"/>
      <c r="C102" s="13"/>
      <c r="D102" s="31" t="str">
        <f>IFERROR(VLOOKUP(A102,BUFFS!$H$5:$AF$195,8,),"")</f>
        <v/>
      </c>
      <c r="E102" s="24" t="str">
        <f t="shared" si="5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6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7"/>
        <v/>
      </c>
      <c r="T102" s="70" t="str">
        <f>IFERROR(VLOOKUP(A102,BUFFS!$H$5:$AF$195,20,),"")</f>
        <v/>
      </c>
    </row>
    <row r="103" spans="1:20" x14ac:dyDescent="0.3">
      <c r="A103" s="17"/>
      <c r="B103" s="18"/>
      <c r="C103" s="13"/>
      <c r="D103" s="31" t="str">
        <f>IFERROR(VLOOKUP(A103,BUFFS!$H$5:$AF$195,8,),"")</f>
        <v/>
      </c>
      <c r="E103" s="24" t="str">
        <f t="shared" si="5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6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7"/>
        <v/>
      </c>
      <c r="T103" s="70" t="str">
        <f>IFERROR(VLOOKUP(A103,BUFFS!$H$5:$AF$195,20,),"")</f>
        <v/>
      </c>
    </row>
    <row r="104" spans="1:20" x14ac:dyDescent="0.3">
      <c r="A104" s="17"/>
      <c r="B104" s="18"/>
      <c r="C104" s="13"/>
      <c r="D104" s="31" t="str">
        <f>IFERROR(VLOOKUP(A104,BUFFS!$H$5:$AF$195,8,),"")</f>
        <v/>
      </c>
      <c r="E104" s="24" t="str">
        <f t="shared" si="5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6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7"/>
        <v/>
      </c>
      <c r="T104" s="70" t="str">
        <f>IFERROR(VLOOKUP(A104,BUFFS!$H$5:$AF$195,20,),"")</f>
        <v/>
      </c>
    </row>
    <row r="105" spans="1:20" x14ac:dyDescent="0.3">
      <c r="A105" s="17"/>
      <c r="B105" s="18"/>
      <c r="C105" s="13"/>
      <c r="D105" s="31" t="str">
        <f>IFERROR(VLOOKUP(A105,BUFFS!$H$5:$AF$195,8,),"")</f>
        <v/>
      </c>
      <c r="E105" s="24" t="str">
        <f t="shared" ref="E105:E140" si="8">IFERROR(SUM(H105,ROUNDDOWN(MIN(B105,T$35)*I105,0)),"")</f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ref="N105:N140" si="9">IFERROR(SUM(L105,ROUNDDOWN(MIN(B105,T$35)*M105,0)),"")</f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ref="S105:S140" si="10">IFERROR(SUM(Q105,ROUNDDOWN(MIN(B105,T$35)*R105,0)),"")</f>
        <v/>
      </c>
      <c r="T105" s="70" t="str">
        <f>IFERROR(VLOOKUP(A105,BUFFS!$H$5:$AF$195,20,),"")</f>
        <v/>
      </c>
    </row>
    <row r="106" spans="1:20" x14ac:dyDescent="0.3">
      <c r="A106" s="17"/>
      <c r="B106" s="18"/>
      <c r="C106" s="13"/>
      <c r="D106" s="31" t="str">
        <f>IFERROR(VLOOKUP(A106,BUFFS!$H$5:$AF$195,8,),"")</f>
        <v/>
      </c>
      <c r="E106" s="24" t="str">
        <f t="shared" si="8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9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10"/>
        <v/>
      </c>
      <c r="T106" s="70" t="str">
        <f>IFERROR(VLOOKUP(A106,BUFFS!$H$5:$AF$195,20,),"")</f>
        <v/>
      </c>
    </row>
    <row r="107" spans="1:20" x14ac:dyDescent="0.3">
      <c r="A107" s="17"/>
      <c r="B107" s="18"/>
      <c r="C107" s="13"/>
      <c r="D107" s="31" t="str">
        <f>IFERROR(VLOOKUP(A107,BUFFS!$H$5:$AF$195,8,),"")</f>
        <v/>
      </c>
      <c r="E107" s="24" t="str">
        <f t="shared" si="8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9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10"/>
        <v/>
      </c>
      <c r="T107" s="70" t="str">
        <f>IFERROR(VLOOKUP(A107,BUFFS!$H$5:$AF$195,20,),"")</f>
        <v/>
      </c>
    </row>
    <row r="108" spans="1:20" x14ac:dyDescent="0.3">
      <c r="A108" s="17"/>
      <c r="B108" s="18"/>
      <c r="C108" s="13"/>
      <c r="D108" s="31" t="str">
        <f>IFERROR(VLOOKUP(A108,BUFFS!$H$5:$AF$195,8,),"")</f>
        <v/>
      </c>
      <c r="E108" s="24" t="str">
        <f t="shared" si="8"/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si="9"/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10"/>
        <v/>
      </c>
      <c r="T108" s="70" t="str">
        <f>IFERROR(VLOOKUP(A108,BUFFS!$H$5:$AF$195,20,),"")</f>
        <v/>
      </c>
    </row>
    <row r="109" spans="1:20" x14ac:dyDescent="0.3">
      <c r="A109" s="17"/>
      <c r="B109" s="18"/>
      <c r="C109" s="13"/>
      <c r="D109" s="31" t="str">
        <f>IFERROR(VLOOKUP(A109,BUFFS!$H$5:$AF$195,8,),"")</f>
        <v/>
      </c>
      <c r="E109" s="24" t="str">
        <f t="shared" si="8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9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0"/>
        <v/>
      </c>
      <c r="T109" s="70" t="str">
        <f>IFERROR(VLOOKUP(A109,BUFFS!$H$5:$AF$195,20,),"")</f>
        <v/>
      </c>
    </row>
    <row r="110" spans="1:20" x14ac:dyDescent="0.3">
      <c r="A110" s="17"/>
      <c r="B110" s="18"/>
      <c r="C110" s="13"/>
      <c r="D110" s="31" t="str">
        <f>IFERROR(VLOOKUP(A110,BUFFS!$H$5:$AF$195,8,),"")</f>
        <v/>
      </c>
      <c r="E110" s="24" t="str">
        <f t="shared" si="8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9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0"/>
        <v/>
      </c>
      <c r="T110" s="70" t="str">
        <f>IFERROR(VLOOKUP(A110,BUFFS!$H$5:$AF$195,20,),"")</f>
        <v/>
      </c>
    </row>
    <row r="111" spans="1:20" x14ac:dyDescent="0.3">
      <c r="A111" s="17"/>
      <c r="B111" s="18"/>
      <c r="C111" s="13"/>
      <c r="D111" s="31" t="str">
        <f>IFERROR(VLOOKUP(A111,BUFFS!$H$5:$AF$195,8,),"")</f>
        <v/>
      </c>
      <c r="E111" s="24" t="str">
        <f t="shared" si="8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9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0"/>
        <v/>
      </c>
      <c r="T111" s="70" t="str">
        <f>IFERROR(VLOOKUP(A111,BUFFS!$H$5:$AF$195,20,),"")</f>
        <v/>
      </c>
    </row>
    <row r="112" spans="1:20" x14ac:dyDescent="0.3">
      <c r="A112" s="17"/>
      <c r="B112" s="18"/>
      <c r="C112" s="13"/>
      <c r="D112" s="31" t="str">
        <f>IFERROR(VLOOKUP(A112,BUFFS!$H$5:$AF$195,8,),"")</f>
        <v/>
      </c>
      <c r="E112" s="24" t="str">
        <f t="shared" si="8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9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0"/>
        <v/>
      </c>
      <c r="T112" s="70" t="str">
        <f>IFERROR(VLOOKUP(A112,BUFFS!$H$5:$AF$195,20,),"")</f>
        <v/>
      </c>
    </row>
    <row r="113" spans="1:20" x14ac:dyDescent="0.3">
      <c r="A113" s="17"/>
      <c r="B113" s="18"/>
      <c r="C113" s="13"/>
      <c r="D113" s="31" t="str">
        <f>IFERROR(VLOOKUP(A113,BUFFS!$H$5:$AF$195,8,),"")</f>
        <v/>
      </c>
      <c r="E113" s="24" t="str">
        <f t="shared" si="8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9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0"/>
        <v/>
      </c>
      <c r="T113" s="70" t="str">
        <f>IFERROR(VLOOKUP(A113,BUFFS!$H$5:$AF$195,20,),"")</f>
        <v/>
      </c>
    </row>
    <row r="114" spans="1:20" x14ac:dyDescent="0.3">
      <c r="A114" s="17"/>
      <c r="B114" s="18"/>
      <c r="C114" s="13"/>
      <c r="D114" s="31" t="str">
        <f>IFERROR(VLOOKUP(A114,BUFFS!$H$5:$AF$195,8,),"")</f>
        <v/>
      </c>
      <c r="E114" s="24" t="str">
        <f t="shared" si="8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9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0"/>
        <v/>
      </c>
      <c r="T114" s="70" t="str">
        <f>IFERROR(VLOOKUP(A114,BUFFS!$H$5:$AF$195,20,),"")</f>
        <v/>
      </c>
    </row>
    <row r="115" spans="1:20" x14ac:dyDescent="0.3">
      <c r="A115" s="17"/>
      <c r="B115" s="18"/>
      <c r="C115" s="13"/>
      <c r="D115" s="31" t="str">
        <f>IFERROR(VLOOKUP(A115,BUFFS!$H$5:$AF$195,8,),"")</f>
        <v/>
      </c>
      <c r="E115" s="24" t="str">
        <f t="shared" si="8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9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0"/>
        <v/>
      </c>
      <c r="T115" s="70" t="str">
        <f>IFERROR(VLOOKUP(A115,BUFFS!$H$5:$AF$195,20,),"")</f>
        <v/>
      </c>
    </row>
    <row r="116" spans="1:20" x14ac:dyDescent="0.3">
      <c r="A116" s="17"/>
      <c r="B116" s="18"/>
      <c r="C116" s="13"/>
      <c r="D116" s="31" t="str">
        <f>IFERROR(VLOOKUP(A116,BUFFS!$H$5:$AF$195,8,),"")</f>
        <v/>
      </c>
      <c r="E116" s="24" t="str">
        <f t="shared" si="8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9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0"/>
        <v/>
      </c>
      <c r="T116" s="70" t="str">
        <f>IFERROR(VLOOKUP(A116,BUFFS!$H$5:$AF$195,20,),"")</f>
        <v/>
      </c>
    </row>
    <row r="117" spans="1:20" x14ac:dyDescent="0.3">
      <c r="A117" s="17"/>
      <c r="B117" s="18"/>
      <c r="C117" s="13"/>
      <c r="D117" s="31" t="str">
        <f>IFERROR(VLOOKUP(A117,BUFFS!$H$5:$AF$195,8,),"")</f>
        <v/>
      </c>
      <c r="E117" s="24" t="str">
        <f t="shared" si="8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9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0"/>
        <v/>
      </c>
      <c r="T117" s="70" t="str">
        <f>IFERROR(VLOOKUP(A117,BUFFS!$H$5:$AF$195,20,),"")</f>
        <v/>
      </c>
    </row>
    <row r="118" spans="1:20" x14ac:dyDescent="0.3">
      <c r="A118" s="17"/>
      <c r="B118" s="18"/>
      <c r="C118" s="13"/>
      <c r="D118" s="31" t="str">
        <f>IFERROR(VLOOKUP(A118,BUFFS!$H$5:$AF$195,8,),"")</f>
        <v/>
      </c>
      <c r="E118" s="24" t="str">
        <f t="shared" si="8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9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0"/>
        <v/>
      </c>
      <c r="T118" s="70" t="str">
        <f>IFERROR(VLOOKUP(A118,BUFFS!$H$5:$AF$195,20,),"")</f>
        <v/>
      </c>
    </row>
    <row r="119" spans="1:20" x14ac:dyDescent="0.3">
      <c r="A119" s="17"/>
      <c r="B119" s="18"/>
      <c r="C119" s="13"/>
      <c r="D119" s="31" t="str">
        <f>IFERROR(VLOOKUP(A119,BUFFS!$H$5:$AF$195,8,),"")</f>
        <v/>
      </c>
      <c r="E119" s="24" t="str">
        <f t="shared" si="8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9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0"/>
        <v/>
      </c>
      <c r="T119" s="70" t="str">
        <f>IFERROR(VLOOKUP(A119,BUFFS!$H$5:$AF$195,20,),"")</f>
        <v/>
      </c>
    </row>
    <row r="120" spans="1:20" x14ac:dyDescent="0.3">
      <c r="A120" s="17"/>
      <c r="B120" s="18"/>
      <c r="C120" s="13"/>
      <c r="D120" s="31" t="str">
        <f>IFERROR(VLOOKUP(A120,BUFFS!$H$5:$AF$195,8,),"")</f>
        <v/>
      </c>
      <c r="E120" s="24" t="str">
        <f t="shared" si="8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9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0"/>
        <v/>
      </c>
      <c r="T120" s="70" t="str">
        <f>IFERROR(VLOOKUP(A120,BUFFS!$H$5:$AF$195,20,),"")</f>
        <v/>
      </c>
    </row>
    <row r="121" spans="1:20" x14ac:dyDescent="0.3">
      <c r="A121" s="17"/>
      <c r="B121" s="18"/>
      <c r="C121" s="13"/>
      <c r="D121" s="31" t="str">
        <f>IFERROR(VLOOKUP(A121,BUFFS!$H$5:$AF$195,8,),"")</f>
        <v/>
      </c>
      <c r="E121" s="24" t="str">
        <f t="shared" si="8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9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0"/>
        <v/>
      </c>
      <c r="T121" s="70" t="str">
        <f>IFERROR(VLOOKUP(A121,BUFFS!$H$5:$AF$195,20,),"")</f>
        <v/>
      </c>
    </row>
    <row r="122" spans="1:20" x14ac:dyDescent="0.3">
      <c r="A122" s="17"/>
      <c r="B122" s="18"/>
      <c r="C122" s="13"/>
      <c r="D122" s="31" t="str">
        <f>IFERROR(VLOOKUP(A122,BUFFS!$H$5:$AF$195,8,),"")</f>
        <v/>
      </c>
      <c r="E122" s="24" t="str">
        <f t="shared" si="8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9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0"/>
        <v/>
      </c>
      <c r="T122" s="70" t="str">
        <f>IFERROR(VLOOKUP(A122,BUFFS!$H$5:$AF$195,20,),"")</f>
        <v/>
      </c>
    </row>
    <row r="123" spans="1:20" x14ac:dyDescent="0.3">
      <c r="A123" s="17"/>
      <c r="B123" s="18"/>
      <c r="C123" s="13"/>
      <c r="D123" s="31" t="str">
        <f>IFERROR(VLOOKUP(A123,BUFFS!$H$5:$AF$195,8,),"")</f>
        <v/>
      </c>
      <c r="E123" s="24" t="str">
        <f t="shared" si="8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9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0"/>
        <v/>
      </c>
      <c r="T123" s="70" t="str">
        <f>IFERROR(VLOOKUP(A123,BUFFS!$H$5:$AF$195,20,),"")</f>
        <v/>
      </c>
    </row>
    <row r="124" spans="1:20" x14ac:dyDescent="0.3">
      <c r="A124" s="17"/>
      <c r="B124" s="18"/>
      <c r="C124" s="13"/>
      <c r="D124" s="31" t="str">
        <f>IFERROR(VLOOKUP(A124,BUFFS!$H$5:$AF$195,8,),"")</f>
        <v/>
      </c>
      <c r="E124" s="24" t="str">
        <f t="shared" si="8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9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0"/>
        <v/>
      </c>
      <c r="T124" s="70" t="str">
        <f>IFERROR(VLOOKUP(A124,BUFFS!$H$5:$AF$195,20,),"")</f>
        <v/>
      </c>
    </row>
    <row r="125" spans="1:20" x14ac:dyDescent="0.3">
      <c r="A125" s="17"/>
      <c r="B125" s="18"/>
      <c r="C125" s="13"/>
      <c r="D125" s="31" t="str">
        <f>IFERROR(VLOOKUP(A125,BUFFS!$H$5:$AF$195,8,),"")</f>
        <v/>
      </c>
      <c r="E125" s="24" t="str">
        <f t="shared" si="8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9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0"/>
        <v/>
      </c>
      <c r="T125" s="70" t="str">
        <f>IFERROR(VLOOKUP(A125,BUFFS!$H$5:$AF$195,20,),"")</f>
        <v/>
      </c>
    </row>
    <row r="126" spans="1:20" x14ac:dyDescent="0.3">
      <c r="A126" s="17"/>
      <c r="B126" s="18"/>
      <c r="C126" s="13"/>
      <c r="D126" s="31" t="str">
        <f>IFERROR(VLOOKUP(A126,BUFFS!$H$5:$AF$195,8,),"")</f>
        <v/>
      </c>
      <c r="E126" s="24" t="str">
        <f t="shared" si="8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9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0"/>
        <v/>
      </c>
      <c r="T126" s="70" t="str">
        <f>IFERROR(VLOOKUP(A126,BUFFS!$H$5:$AF$195,20,),"")</f>
        <v/>
      </c>
    </row>
    <row r="127" spans="1:20" x14ac:dyDescent="0.3">
      <c r="A127" s="17"/>
      <c r="B127" s="18"/>
      <c r="C127" s="13"/>
      <c r="D127" s="31" t="str">
        <f>IFERROR(VLOOKUP(A127,BUFFS!$H$5:$AF$195,8,),"")</f>
        <v/>
      </c>
      <c r="E127" s="24" t="str">
        <f t="shared" si="8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9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0"/>
        <v/>
      </c>
      <c r="T127" s="70" t="str">
        <f>IFERROR(VLOOKUP(A127,BUFFS!$H$5:$AF$195,20,),"")</f>
        <v/>
      </c>
    </row>
    <row r="128" spans="1:20" x14ac:dyDescent="0.3">
      <c r="A128" s="17"/>
      <c r="B128" s="18"/>
      <c r="C128" s="13"/>
      <c r="D128" s="31" t="str">
        <f>IFERROR(VLOOKUP(A128,BUFFS!$H$5:$AF$195,8,),"")</f>
        <v/>
      </c>
      <c r="E128" s="24" t="str">
        <f t="shared" si="8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9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0"/>
        <v/>
      </c>
      <c r="T128" s="70" t="str">
        <f>IFERROR(VLOOKUP(A128,BUFFS!$H$5:$AF$195,20,),"")</f>
        <v/>
      </c>
    </row>
    <row r="129" spans="1:20" x14ac:dyDescent="0.3">
      <c r="A129" s="17"/>
      <c r="B129" s="18"/>
      <c r="C129" s="13"/>
      <c r="D129" s="31" t="str">
        <f>IFERROR(VLOOKUP(A129,BUFFS!$H$5:$AF$195,8,),"")</f>
        <v/>
      </c>
      <c r="E129" s="24" t="str">
        <f t="shared" si="8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9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0"/>
        <v/>
      </c>
      <c r="T129" s="70" t="str">
        <f>IFERROR(VLOOKUP(A129,BUFFS!$H$5:$AF$195,20,),"")</f>
        <v/>
      </c>
    </row>
    <row r="130" spans="1:20" x14ac:dyDescent="0.3">
      <c r="A130" s="17"/>
      <c r="B130" s="18"/>
      <c r="C130" s="13"/>
      <c r="D130" s="31" t="str">
        <f>IFERROR(VLOOKUP(A130,BUFFS!$H$5:$AF$195,8,),"")</f>
        <v/>
      </c>
      <c r="E130" s="24" t="str">
        <f t="shared" si="8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9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0"/>
        <v/>
      </c>
      <c r="T130" s="70" t="str">
        <f>IFERROR(VLOOKUP(A130,BUFFS!$H$5:$AF$195,20,),"")</f>
        <v/>
      </c>
    </row>
    <row r="131" spans="1:20" x14ac:dyDescent="0.3">
      <c r="A131" s="17"/>
      <c r="B131" s="18"/>
      <c r="C131" s="13"/>
      <c r="D131" s="31" t="str">
        <f>IFERROR(VLOOKUP(A131,BUFFS!$H$5:$AF$195,8,),"")</f>
        <v/>
      </c>
      <c r="E131" s="24" t="str">
        <f t="shared" si="8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9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0"/>
        <v/>
      </c>
      <c r="T131" s="70" t="str">
        <f>IFERROR(VLOOKUP(A131,BUFFS!$H$5:$AF$195,20,),"")</f>
        <v/>
      </c>
    </row>
    <row r="132" spans="1:20" x14ac:dyDescent="0.3">
      <c r="A132" s="17"/>
      <c r="B132" s="18"/>
      <c r="C132" s="13"/>
      <c r="D132" s="31" t="str">
        <f>IFERROR(VLOOKUP(A132,BUFFS!$H$5:$AF$195,8,),"")</f>
        <v/>
      </c>
      <c r="E132" s="24" t="str">
        <f t="shared" si="8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9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0"/>
        <v/>
      </c>
      <c r="T132" s="70" t="str">
        <f>IFERROR(VLOOKUP(A132,BUFFS!$H$5:$AF$195,20,),"")</f>
        <v/>
      </c>
    </row>
    <row r="133" spans="1:20" x14ac:dyDescent="0.3">
      <c r="A133" s="17"/>
      <c r="B133" s="18"/>
      <c r="C133" s="13"/>
      <c r="D133" s="31" t="str">
        <f>IFERROR(VLOOKUP(A133,BUFFS!$H$5:$AF$195,8,),"")</f>
        <v/>
      </c>
      <c r="E133" s="24" t="str">
        <f t="shared" si="8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9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0"/>
        <v/>
      </c>
      <c r="T133" s="70" t="str">
        <f>IFERROR(VLOOKUP(A133,BUFFS!$H$5:$AF$195,20,),"")</f>
        <v/>
      </c>
    </row>
    <row r="134" spans="1:20" x14ac:dyDescent="0.3">
      <c r="A134" s="17"/>
      <c r="B134" s="18"/>
      <c r="C134" s="13"/>
      <c r="D134" s="31" t="str">
        <f>IFERROR(VLOOKUP(A134,BUFFS!$H$5:$AF$195,8,),"")</f>
        <v/>
      </c>
      <c r="E134" s="24" t="str">
        <f t="shared" si="8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9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0"/>
        <v/>
      </c>
      <c r="T134" s="70" t="str">
        <f>IFERROR(VLOOKUP(A134,BUFFS!$H$5:$AF$195,20,),"")</f>
        <v/>
      </c>
    </row>
    <row r="135" spans="1:20" x14ac:dyDescent="0.3">
      <c r="A135" s="17"/>
      <c r="B135" s="18"/>
      <c r="C135" s="13"/>
      <c r="D135" s="31" t="str">
        <f>IFERROR(VLOOKUP(A135,BUFFS!$H$5:$AF$195,8,),"")</f>
        <v/>
      </c>
      <c r="E135" s="24" t="str">
        <f t="shared" si="8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9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0"/>
        <v/>
      </c>
      <c r="T135" s="70" t="str">
        <f>IFERROR(VLOOKUP(A135,BUFFS!$H$5:$AF$195,20,),"")</f>
        <v/>
      </c>
    </row>
    <row r="136" spans="1:20" x14ac:dyDescent="0.3">
      <c r="A136" s="17"/>
      <c r="B136" s="18"/>
      <c r="C136" s="13"/>
      <c r="D136" s="31" t="str">
        <f>IFERROR(VLOOKUP(A136,BUFFS!$H$5:$AF$195,8,),"")</f>
        <v/>
      </c>
      <c r="E136" s="24" t="str">
        <f t="shared" si="8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9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0"/>
        <v/>
      </c>
      <c r="T136" s="70" t="str">
        <f>IFERROR(VLOOKUP(A136,BUFFS!$H$5:$AF$195,20,),"")</f>
        <v/>
      </c>
    </row>
    <row r="137" spans="1:20" x14ac:dyDescent="0.3">
      <c r="A137" s="17"/>
      <c r="B137" s="18"/>
      <c r="C137" s="13"/>
      <c r="D137" s="31" t="str">
        <f>IFERROR(VLOOKUP(A137,BUFFS!$H$5:$AF$195,8,),"")</f>
        <v/>
      </c>
      <c r="E137" s="24" t="str">
        <f t="shared" si="8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9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0"/>
        <v/>
      </c>
      <c r="T137" s="70" t="str">
        <f>IFERROR(VLOOKUP(A137,BUFFS!$H$5:$AF$195,20,),"")</f>
        <v/>
      </c>
    </row>
    <row r="138" spans="1:20" x14ac:dyDescent="0.3">
      <c r="A138" s="17"/>
      <c r="B138" s="18"/>
      <c r="C138" s="13"/>
      <c r="D138" s="31" t="str">
        <f>IFERROR(VLOOKUP(A138,BUFFS!$H$5:$AF$195,8,),"")</f>
        <v/>
      </c>
      <c r="E138" s="24" t="str">
        <f t="shared" si="8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9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0"/>
        <v/>
      </c>
      <c r="T138" s="70" t="str">
        <f>IFERROR(VLOOKUP(A138,BUFFS!$H$5:$AF$195,20,),"")</f>
        <v/>
      </c>
    </row>
    <row r="139" spans="1:20" x14ac:dyDescent="0.3">
      <c r="A139" s="17"/>
      <c r="B139" s="18"/>
      <c r="C139" s="13"/>
      <c r="D139" s="31" t="str">
        <f>IFERROR(VLOOKUP(A139,BUFFS!$H$5:$AF$195,8,),"")</f>
        <v/>
      </c>
      <c r="E139" s="24" t="str">
        <f t="shared" si="8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9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0"/>
        <v/>
      </c>
      <c r="T139" s="70" t="str">
        <f>IFERROR(VLOOKUP(A139,BUFFS!$H$5:$AF$195,20,),"")</f>
        <v/>
      </c>
    </row>
    <row r="140" spans="1:20" x14ac:dyDescent="0.3">
      <c r="A140" s="17"/>
      <c r="B140" s="18"/>
      <c r="C140" s="13"/>
      <c r="D140" s="31" t="str">
        <f>IFERROR(VLOOKUP(A140,BUFFS!$H$5:$AF$195,8,),"")</f>
        <v/>
      </c>
      <c r="E140" s="24" t="str">
        <f t="shared" si="8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9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0"/>
        <v/>
      </c>
      <c r="T140" s="70" t="str">
        <f>IFERROR(VLOOKUP(A140,BUFFS!$H$5:$AF$195,20,),"")</f>
        <v/>
      </c>
    </row>
    <row r="141" spans="1:20" x14ac:dyDescent="0.3">
      <c r="A141" s="17"/>
      <c r="B141" s="18"/>
      <c r="C141" s="13"/>
      <c r="D141" s="31" t="str">
        <f>IFERROR(VLOOKUP(A141,BUFFS!$H$5:$AF$195,8,),"")</f>
        <v/>
      </c>
      <c r="E141" s="24" t="str">
        <f t="shared" ref="E141:E163" si="11">IFERROR(SUM(H141,ROUNDDOWN(MIN(B141,T$35)*I141,0)),"")</f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ref="N141:N163" si="12">IFERROR(SUM(L141,ROUNDDOWN(MIN(B141,T$35)*M141,0)),"")</f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ref="S141:S163" si="13">IFERROR(SUM(Q141,ROUNDDOWN(MIN(B141,T$35)*R141,0)),"")</f>
        <v/>
      </c>
      <c r="T141" s="70" t="str">
        <f>IFERROR(VLOOKUP(A141,BUFFS!$H$5:$AF$195,20,),"")</f>
        <v/>
      </c>
    </row>
    <row r="142" spans="1:20" x14ac:dyDescent="0.3">
      <c r="A142" s="17"/>
      <c r="B142" s="18"/>
      <c r="C142" s="13"/>
      <c r="D142" s="31" t="str">
        <f>IFERROR(VLOOKUP(A142,BUFFS!$H$5:$AF$195,8,),"")</f>
        <v/>
      </c>
      <c r="E142" s="24" t="str">
        <f t="shared" si="11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12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3"/>
        <v/>
      </c>
      <c r="T142" s="70" t="str">
        <f>IFERROR(VLOOKUP(A142,BUFFS!$H$5:$AF$195,20,),"")</f>
        <v/>
      </c>
    </row>
    <row r="143" spans="1:20" x14ac:dyDescent="0.3">
      <c r="A143" s="17"/>
      <c r="B143" s="18"/>
      <c r="C143" s="13"/>
      <c r="D143" s="31" t="str">
        <f>IFERROR(VLOOKUP(A143,BUFFS!$H$5:$AF$195,8,),"")</f>
        <v/>
      </c>
      <c r="E143" s="24" t="str">
        <f t="shared" si="11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12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3"/>
        <v/>
      </c>
      <c r="T143" s="70" t="str">
        <f>IFERROR(VLOOKUP(A143,BUFFS!$H$5:$AF$195,20,),"")</f>
        <v/>
      </c>
    </row>
    <row r="144" spans="1:20" x14ac:dyDescent="0.3">
      <c r="A144" s="17"/>
      <c r="B144" s="18"/>
      <c r="C144" s="13"/>
      <c r="D144" s="31" t="str">
        <f>IFERROR(VLOOKUP(A144,BUFFS!$H$5:$AF$195,8,),"")</f>
        <v/>
      </c>
      <c r="E144" s="24" t="str">
        <f t="shared" si="11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12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3"/>
        <v/>
      </c>
      <c r="T144" s="70" t="str">
        <f>IFERROR(VLOOKUP(A144,BUFFS!$H$5:$AF$195,20,),"")</f>
        <v/>
      </c>
    </row>
    <row r="145" spans="1:20" x14ac:dyDescent="0.3">
      <c r="A145" s="17"/>
      <c r="B145" s="18"/>
      <c r="C145" s="13"/>
      <c r="D145" s="31" t="str">
        <f>IFERROR(VLOOKUP(A145,BUFFS!$H$5:$AF$195,8,),"")</f>
        <v/>
      </c>
      <c r="E145" s="24" t="str">
        <f t="shared" si="11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12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3"/>
        <v/>
      </c>
      <c r="T145" s="70" t="str">
        <f>IFERROR(VLOOKUP(A145,BUFFS!$H$5:$AF$195,20,),"")</f>
        <v/>
      </c>
    </row>
    <row r="146" spans="1:20" x14ac:dyDescent="0.3">
      <c r="A146" s="17"/>
      <c r="B146" s="18"/>
      <c r="C146" s="13"/>
      <c r="D146" s="31" t="str">
        <f>IFERROR(VLOOKUP(A146,BUFFS!$H$5:$AF$195,8,),"")</f>
        <v/>
      </c>
      <c r="E146" s="24" t="str">
        <f t="shared" si="11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12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3"/>
        <v/>
      </c>
      <c r="T146" s="70" t="str">
        <f>IFERROR(VLOOKUP(A146,BUFFS!$H$5:$AF$195,20,),"")</f>
        <v/>
      </c>
    </row>
    <row r="147" spans="1:20" x14ac:dyDescent="0.3">
      <c r="A147" s="17"/>
      <c r="B147" s="18"/>
      <c r="C147" s="13"/>
      <c r="D147" s="31" t="str">
        <f>IFERROR(VLOOKUP(A147,BUFFS!$H$5:$AF$195,8,),"")</f>
        <v/>
      </c>
      <c r="E147" s="24" t="str">
        <f t="shared" si="11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12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3"/>
        <v/>
      </c>
      <c r="T147" s="70" t="str">
        <f>IFERROR(VLOOKUP(A147,BUFFS!$H$5:$AF$195,20,),"")</f>
        <v/>
      </c>
    </row>
    <row r="148" spans="1:20" x14ac:dyDescent="0.3">
      <c r="A148" s="17"/>
      <c r="B148" s="18"/>
      <c r="C148" s="13"/>
      <c r="D148" s="31" t="str">
        <f>IFERROR(VLOOKUP(A148,BUFFS!$H$5:$AF$195,8,),"")</f>
        <v/>
      </c>
      <c r="E148" s="24" t="str">
        <f t="shared" si="11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12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3"/>
        <v/>
      </c>
      <c r="T148" s="70" t="str">
        <f>IFERROR(VLOOKUP(A148,BUFFS!$H$5:$AF$195,20,),"")</f>
        <v/>
      </c>
    </row>
    <row r="149" spans="1:20" x14ac:dyDescent="0.3">
      <c r="A149" s="17"/>
      <c r="B149" s="18"/>
      <c r="C149" s="13"/>
      <c r="D149" s="31" t="str">
        <f>IFERROR(VLOOKUP(A149,BUFFS!$H$5:$AF$195,8,),"")</f>
        <v/>
      </c>
      <c r="E149" s="24" t="str">
        <f t="shared" si="11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12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3"/>
        <v/>
      </c>
      <c r="T149" s="70" t="str">
        <f>IFERROR(VLOOKUP(A149,BUFFS!$H$5:$AF$195,20,),"")</f>
        <v/>
      </c>
    </row>
    <row r="150" spans="1:20" x14ac:dyDescent="0.3">
      <c r="A150" s="17"/>
      <c r="B150" s="18"/>
      <c r="C150" s="13"/>
      <c r="D150" s="31" t="str">
        <f>IFERROR(VLOOKUP(A150,BUFFS!$H$5:$AF$195,8,),"")</f>
        <v/>
      </c>
      <c r="E150" s="24" t="str">
        <f t="shared" si="11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12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3"/>
        <v/>
      </c>
      <c r="T150" s="70" t="str">
        <f>IFERROR(VLOOKUP(A150,BUFFS!$H$5:$AF$195,20,),"")</f>
        <v/>
      </c>
    </row>
    <row r="151" spans="1:20" x14ac:dyDescent="0.3">
      <c r="A151" s="17"/>
      <c r="B151" s="18"/>
      <c r="C151" s="13"/>
      <c r="D151" s="31" t="str">
        <f>IFERROR(VLOOKUP(A151,BUFFS!$H$5:$AF$195,8,),"")</f>
        <v/>
      </c>
      <c r="E151" s="24" t="str">
        <f t="shared" si="11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12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3"/>
        <v/>
      </c>
      <c r="T151" s="70" t="str">
        <f>IFERROR(VLOOKUP(A151,BUFFS!$H$5:$AF$195,20,),"")</f>
        <v/>
      </c>
    </row>
    <row r="152" spans="1:20" x14ac:dyDescent="0.3">
      <c r="A152" s="17"/>
      <c r="B152" s="18"/>
      <c r="C152" s="13"/>
      <c r="D152" s="31" t="str">
        <f>IFERROR(VLOOKUP(A152,BUFFS!$H$5:$AF$195,8,),"")</f>
        <v/>
      </c>
      <c r="E152" s="24" t="str">
        <f t="shared" si="11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12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3"/>
        <v/>
      </c>
      <c r="T152" s="70" t="str">
        <f>IFERROR(VLOOKUP(A152,BUFFS!$H$5:$AF$195,20,),"")</f>
        <v/>
      </c>
    </row>
    <row r="153" spans="1:20" x14ac:dyDescent="0.3">
      <c r="A153" s="17"/>
      <c r="B153" s="18"/>
      <c r="C153" s="13"/>
      <c r="D153" s="31" t="str">
        <f>IFERROR(VLOOKUP(A153,BUFFS!$H$5:$AF$195,8,),"")</f>
        <v/>
      </c>
      <c r="E153" s="24" t="str">
        <f t="shared" si="11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12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3"/>
        <v/>
      </c>
      <c r="T153" s="70" t="str">
        <f>IFERROR(VLOOKUP(A153,BUFFS!$H$5:$AF$195,20,),"")</f>
        <v/>
      </c>
    </row>
    <row r="154" spans="1:20" x14ac:dyDescent="0.3">
      <c r="A154" s="17"/>
      <c r="B154" s="18"/>
      <c r="C154" s="13"/>
      <c r="D154" s="31" t="str">
        <f>IFERROR(VLOOKUP(A154,BUFFS!$H$5:$AF$195,8,),"")</f>
        <v/>
      </c>
      <c r="E154" s="24" t="str">
        <f t="shared" si="11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12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3"/>
        <v/>
      </c>
      <c r="T154" s="70" t="str">
        <f>IFERROR(VLOOKUP(A154,BUFFS!$H$5:$AF$195,20,),"")</f>
        <v/>
      </c>
    </row>
    <row r="155" spans="1:20" x14ac:dyDescent="0.3">
      <c r="A155" s="17"/>
      <c r="B155" s="18"/>
      <c r="C155" s="13"/>
      <c r="D155" s="31" t="str">
        <f>IFERROR(VLOOKUP(A155,BUFFS!$H$5:$AF$195,8,),"")</f>
        <v/>
      </c>
      <c r="E155" s="24" t="str">
        <f t="shared" si="11"/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si="12"/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si="13"/>
        <v/>
      </c>
      <c r="T155" s="70" t="str">
        <f>IFERROR(VLOOKUP(A155,BUFFS!$H$5:$AF$195,20,),"")</f>
        <v/>
      </c>
    </row>
    <row r="156" spans="1:20" x14ac:dyDescent="0.3">
      <c r="A156" s="17"/>
      <c r="B156" s="18"/>
      <c r="C156" s="13"/>
      <c r="D156" s="31" t="str">
        <f>IFERROR(VLOOKUP(A156,BUFFS!$H$5:$AF$195,8,),"")</f>
        <v/>
      </c>
      <c r="E156" s="24" t="str">
        <f t="shared" si="11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12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3"/>
        <v/>
      </c>
      <c r="T156" s="70" t="str">
        <f>IFERROR(VLOOKUP(A156,BUFFS!$H$5:$AF$195,20,),"")</f>
        <v/>
      </c>
    </row>
    <row r="157" spans="1:20" x14ac:dyDescent="0.3">
      <c r="A157" s="17"/>
      <c r="B157" s="18"/>
      <c r="C157" s="13"/>
      <c r="D157" s="31" t="str">
        <f>IFERROR(VLOOKUP(A157,BUFFS!$H$5:$AF$195,8,),"")</f>
        <v/>
      </c>
      <c r="E157" s="24" t="str">
        <f t="shared" si="11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12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3"/>
        <v/>
      </c>
      <c r="T157" s="70" t="str">
        <f>IFERROR(VLOOKUP(A157,BUFFS!$H$5:$AF$195,20,),"")</f>
        <v/>
      </c>
    </row>
    <row r="158" spans="1:20" x14ac:dyDescent="0.3">
      <c r="A158" s="17"/>
      <c r="B158" s="18"/>
      <c r="C158" s="13"/>
      <c r="D158" s="31" t="str">
        <f>IFERROR(VLOOKUP(A158,BUFFS!$H$5:$AF$195,8,),"")</f>
        <v/>
      </c>
      <c r="E158" s="24" t="str">
        <f t="shared" si="11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12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3"/>
        <v/>
      </c>
      <c r="T158" s="70" t="str">
        <f>IFERROR(VLOOKUP(A158,BUFFS!$H$5:$AF$195,20,),"")</f>
        <v/>
      </c>
    </row>
    <row r="159" spans="1:20" x14ac:dyDescent="0.3">
      <c r="A159" s="17"/>
      <c r="B159" s="18"/>
      <c r="C159" s="13"/>
      <c r="D159" s="31" t="str">
        <f>IFERROR(VLOOKUP(A159,BUFFS!$H$5:$AF$195,8,),"")</f>
        <v/>
      </c>
      <c r="E159" s="24" t="str">
        <f t="shared" si="11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12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3"/>
        <v/>
      </c>
      <c r="T159" s="70" t="str">
        <f>IFERROR(VLOOKUP(A159,BUFFS!$H$5:$AF$195,20,),"")</f>
        <v/>
      </c>
    </row>
    <row r="160" spans="1:20" x14ac:dyDescent="0.3">
      <c r="A160" s="17"/>
      <c r="B160" s="18"/>
      <c r="C160" s="13"/>
      <c r="D160" s="31" t="str">
        <f>IFERROR(VLOOKUP(A160,BUFFS!$H$5:$AF$195,8,),"")</f>
        <v/>
      </c>
      <c r="E160" s="24" t="str">
        <f t="shared" si="11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12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3"/>
        <v/>
      </c>
      <c r="T160" s="70" t="str">
        <f>IFERROR(VLOOKUP(A160,BUFFS!$H$5:$AF$195,20,),"")</f>
        <v/>
      </c>
    </row>
    <row r="161" spans="1:20" x14ac:dyDescent="0.3">
      <c r="A161" s="17"/>
      <c r="B161" s="18"/>
      <c r="C161" s="13"/>
      <c r="D161" s="31" t="str">
        <f>IFERROR(VLOOKUP(A161,BUFFS!$H$5:$AF$195,8,),"")</f>
        <v/>
      </c>
      <c r="E161" s="24" t="str">
        <f t="shared" si="11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12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3"/>
        <v/>
      </c>
      <c r="T161" s="70" t="str">
        <f>IFERROR(VLOOKUP(A161,BUFFS!$H$5:$AF$195,20,),"")</f>
        <v/>
      </c>
    </row>
    <row r="162" spans="1:20" x14ac:dyDescent="0.3">
      <c r="A162" s="17"/>
      <c r="B162" s="18"/>
      <c r="C162" s="13"/>
      <c r="D162" s="31" t="str">
        <f>IFERROR(VLOOKUP(A162,BUFFS!$H$5:$AF$195,8,),"")</f>
        <v/>
      </c>
      <c r="E162" s="24" t="str">
        <f t="shared" si="11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12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3"/>
        <v/>
      </c>
      <c r="T162" s="70" t="str">
        <f>IFERROR(VLOOKUP(A162,BUFFS!$H$5:$AF$195,20,),"")</f>
        <v/>
      </c>
    </row>
    <row r="163" spans="1:20" x14ac:dyDescent="0.3">
      <c r="A163" s="17"/>
      <c r="B163" s="18"/>
      <c r="C163" s="13"/>
      <c r="D163" s="31" t="str">
        <f>IFERROR(VLOOKUP(A163,BUFFS!$H$5:$AF$195,8,),"")</f>
        <v/>
      </c>
      <c r="E163" s="24" t="str">
        <f t="shared" si="11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12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3"/>
        <v/>
      </c>
      <c r="T163" s="70" t="str">
        <f>IFERROR(VLOOKUP(A163,BUFFS!$H$5:$AF$195,20,),"")</f>
        <v/>
      </c>
    </row>
    <row r="164" spans="1:20" x14ac:dyDescent="0.3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mergeCells count="16">
    <mergeCell ref="G22:H22"/>
    <mergeCell ref="AW24:AX24"/>
    <mergeCell ref="G29:H29"/>
    <mergeCell ref="AW4:AY4"/>
    <mergeCell ref="I10:J10"/>
    <mergeCell ref="G13:I13"/>
    <mergeCell ref="J13:L13"/>
    <mergeCell ref="AW20:AY20"/>
    <mergeCell ref="G15:I15"/>
    <mergeCell ref="G17:I17"/>
    <mergeCell ref="J17:L17"/>
    <mergeCell ref="L1:M1"/>
    <mergeCell ref="L2:M2"/>
    <mergeCell ref="I3:J3"/>
    <mergeCell ref="L3:M3"/>
    <mergeCell ref="AW21:AX21"/>
  </mergeCells>
  <dataValidations count="5">
    <dataValidation type="list" allowBlank="1" showInputMessage="1" showErrorMessage="1" sqref="W4 R4:U4 Y4:AP4 AR4">
      <formula1>$A$5:$A$37</formula1>
    </dataValidation>
    <dataValidation type="list" allowBlank="1" showInputMessage="1" showErrorMessage="1" sqref="A35:A472">
      <formula1>BUFFS</formula1>
    </dataValidation>
    <dataValidation type="list" allowBlank="1" showInputMessage="1" showErrorMessage="1" sqref="L12 L14 L16">
      <formula1>$A$12:$A$13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K12 K14 K16">
      <formula1>$AZ$20:$BD$20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FIRST SHEET</vt:lpstr>
      <vt:lpstr>BUFFS</vt:lpstr>
      <vt:lpstr>NUM1</vt:lpstr>
      <vt:lpstr>NUM2</vt:lpstr>
      <vt:lpstr>NUM3</vt:lpstr>
      <vt:lpstr>NUM4</vt:lpstr>
      <vt:lpstr>NUM5</vt:lpstr>
      <vt:lpstr>NUM6</vt:lpstr>
      <vt:lpstr>NUM7</vt:lpstr>
      <vt:lpstr>NUM8</vt:lpstr>
      <vt:lpstr>NUM9</vt:lpstr>
      <vt:lpstr>NUM10</vt:lpstr>
      <vt:lpstr>NUM11</vt:lpstr>
      <vt:lpstr>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2018-07-30T14:23:46Z</dcterms:modified>
</cp:coreProperties>
</file>