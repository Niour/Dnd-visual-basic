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2"/>
  </bookViews>
  <sheets>
    <sheet name="Φύλλο1" sheetId="1" r:id="rId1"/>
    <sheet name="FIRST SHEET" sheetId="6" r:id="rId2"/>
    <sheet name="NUM1" sheetId="3" r:id="rId3"/>
    <sheet name="NUM2" sheetId="4" r:id="rId4"/>
    <sheet name="NUM3" sheetId="5" r:id="rId5"/>
    <sheet name="BUFFS" sheetId="7" r:id="rId6"/>
    <sheet name="Modiefiers" sheetId="2" r:id="rId7"/>
  </sheets>
  <externalReferences>
    <externalReference r:id="rId8"/>
  </externalReferences>
  <definedNames>
    <definedName name="BUFFS">OFFSET(BUFFS!$K$5,,,COUNTIF(BUFFS!$K$5:$K$200,"?*"))</definedName>
    <definedName name="Modifiers_List">OFFSET(BUFFS!$E$5,,,COUNTIF(BUFFS!$E$5:$E$30,"?*"))</definedName>
    <definedName name="Types">BUFFS!$F$8:$F$23</definedName>
  </definedNames>
  <calcPr calcId="152511" concurrentCalc="0"/>
</workbook>
</file>

<file path=xl/calcChain.xml><?xml version="1.0" encoding="utf-8"?>
<calcChain xmlns="http://schemas.openxmlformats.org/spreadsheetml/2006/main">
  <c r="B29" i="3" l="1"/>
  <c r="B7" i="3"/>
  <c r="B8" i="3"/>
  <c r="B9" i="3"/>
  <c r="B10" i="3"/>
  <c r="B11" i="3"/>
  <c r="B12" i="3"/>
  <c r="B13" i="3"/>
  <c r="B14" i="3"/>
  <c r="B16" i="3"/>
  <c r="B17" i="3"/>
  <c r="B18" i="3"/>
  <c r="B20" i="3"/>
  <c r="B21" i="3"/>
  <c r="B23" i="3"/>
  <c r="B24" i="3"/>
  <c r="B25" i="3"/>
  <c r="B6" i="3"/>
  <c r="N42" i="3"/>
  <c r="N33" i="3"/>
  <c r="N34" i="3"/>
  <c r="N35" i="3"/>
  <c r="N36" i="3"/>
  <c r="N37" i="3"/>
  <c r="N38" i="3"/>
  <c r="N39" i="3"/>
  <c r="N40" i="3"/>
  <c r="N41" i="3"/>
  <c r="N43" i="3"/>
  <c r="N44" i="3"/>
  <c r="N45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F33" i="3"/>
  <c r="E33" i="3"/>
  <c r="G33" i="3"/>
  <c r="Q33" i="3"/>
  <c r="R33" i="3"/>
  <c r="F34" i="3"/>
  <c r="E34" i="3"/>
  <c r="G34" i="3"/>
  <c r="Q34" i="3"/>
  <c r="R34" i="3"/>
  <c r="F35" i="3"/>
  <c r="E35" i="3"/>
  <c r="G35" i="3"/>
  <c r="Q35" i="3"/>
  <c r="R35" i="3"/>
  <c r="F36" i="3"/>
  <c r="E36" i="3"/>
  <c r="G36" i="3"/>
  <c r="Q36" i="3"/>
  <c r="R36" i="3"/>
  <c r="F37" i="3"/>
  <c r="E37" i="3"/>
  <c r="G37" i="3"/>
  <c r="Q37" i="3"/>
  <c r="R37" i="3"/>
  <c r="F38" i="3"/>
  <c r="E38" i="3"/>
  <c r="G38" i="3"/>
  <c r="Q38" i="3"/>
  <c r="R38" i="3"/>
  <c r="F39" i="3"/>
  <c r="E39" i="3"/>
  <c r="G39" i="3"/>
  <c r="Q39" i="3"/>
  <c r="R39" i="3"/>
  <c r="F40" i="3"/>
  <c r="G40" i="3"/>
  <c r="Q40" i="3"/>
  <c r="R40" i="3"/>
  <c r="F41" i="3"/>
  <c r="G41" i="3"/>
  <c r="Q41" i="3"/>
  <c r="R41" i="3"/>
  <c r="Q42" i="3"/>
  <c r="R42" i="3"/>
  <c r="Q43" i="3"/>
  <c r="R43" i="3"/>
  <c r="Q44" i="3"/>
  <c r="R44" i="3"/>
  <c r="Q45" i="3"/>
  <c r="R45" i="3"/>
  <c r="Q32" i="3"/>
  <c r="P32" i="3"/>
  <c r="F32" i="3"/>
  <c r="E32" i="3"/>
  <c r="G32" i="3"/>
  <c r="R32" i="3"/>
  <c r="O32" i="3"/>
  <c r="N32" i="3"/>
  <c r="L32" i="3"/>
  <c r="K32" i="3"/>
  <c r="M32" i="3"/>
  <c r="I32" i="3"/>
  <c r="E41" i="3"/>
  <c r="E40" i="3"/>
  <c r="H33" i="3"/>
  <c r="H34" i="3"/>
  <c r="H35" i="3"/>
  <c r="H36" i="3"/>
  <c r="H37" i="3"/>
  <c r="H38" i="3"/>
  <c r="H39" i="3"/>
  <c r="H40" i="3"/>
  <c r="H41" i="3"/>
  <c r="H32" i="3"/>
  <c r="C33" i="3"/>
  <c r="C24" i="4"/>
  <c r="D24" i="4"/>
  <c r="C25" i="4"/>
  <c r="D25" i="4"/>
  <c r="C26" i="4"/>
  <c r="D26" i="4"/>
  <c r="C27" i="4"/>
  <c r="D27" i="4"/>
  <c r="C28" i="4"/>
  <c r="D28" i="4"/>
  <c r="C29" i="4"/>
  <c r="D29" i="4"/>
  <c r="C30" i="4"/>
  <c r="D30" i="4"/>
  <c r="C31" i="4"/>
  <c r="D31" i="4"/>
  <c r="C32" i="4"/>
  <c r="D32" i="4"/>
  <c r="C33" i="4"/>
  <c r="D33" i="4"/>
  <c r="F26" i="4"/>
  <c r="E26" i="4"/>
  <c r="G26" i="4"/>
  <c r="F30" i="4"/>
  <c r="E30" i="4"/>
  <c r="G30" i="4"/>
  <c r="F32" i="4"/>
  <c r="E32" i="4"/>
  <c r="G32" i="4"/>
  <c r="C20" i="4"/>
  <c r="K33" i="4"/>
  <c r="J33" i="4"/>
  <c r="L33" i="4"/>
  <c r="I33" i="4"/>
  <c r="H33" i="4"/>
  <c r="F33" i="4"/>
  <c r="E33" i="4"/>
  <c r="G33" i="4"/>
  <c r="K32" i="4"/>
  <c r="J32" i="4"/>
  <c r="L32" i="4"/>
  <c r="I32" i="4"/>
  <c r="H32" i="4"/>
  <c r="K31" i="4"/>
  <c r="J31" i="4"/>
  <c r="L31" i="4"/>
  <c r="I31" i="4"/>
  <c r="H31" i="4"/>
  <c r="F31" i="4"/>
  <c r="E31" i="4"/>
  <c r="G31" i="4"/>
  <c r="K30" i="4"/>
  <c r="J30" i="4"/>
  <c r="L30" i="4"/>
  <c r="I30" i="4"/>
  <c r="H30" i="4"/>
  <c r="K29" i="4"/>
  <c r="J29" i="4"/>
  <c r="L29" i="4"/>
  <c r="I29" i="4"/>
  <c r="H29" i="4"/>
  <c r="F29" i="4"/>
  <c r="E29" i="4"/>
  <c r="G29" i="4"/>
  <c r="K28" i="4"/>
  <c r="J28" i="4"/>
  <c r="L28" i="4"/>
  <c r="I28" i="4"/>
  <c r="H28" i="4"/>
  <c r="F28" i="4"/>
  <c r="E28" i="4"/>
  <c r="G28" i="4"/>
  <c r="K27" i="4"/>
  <c r="J27" i="4"/>
  <c r="L27" i="4"/>
  <c r="I27" i="4"/>
  <c r="H27" i="4"/>
  <c r="F27" i="4"/>
  <c r="E27" i="4"/>
  <c r="G27" i="4"/>
  <c r="K26" i="4"/>
  <c r="J26" i="4"/>
  <c r="L26" i="4"/>
  <c r="I26" i="4"/>
  <c r="H26" i="4"/>
  <c r="K25" i="4"/>
  <c r="J25" i="4"/>
  <c r="L25" i="4"/>
  <c r="I25" i="4"/>
  <c r="H25" i="4"/>
  <c r="F25" i="4"/>
  <c r="E25" i="4"/>
  <c r="G25" i="4"/>
  <c r="K24" i="4"/>
  <c r="J24" i="4"/>
  <c r="L24" i="4"/>
  <c r="I24" i="4"/>
  <c r="H24" i="4"/>
  <c r="F24" i="4"/>
  <c r="E24" i="4"/>
  <c r="G24" i="4"/>
  <c r="E20" i="4"/>
  <c r="C32" i="3"/>
  <c r="C34" i="3"/>
  <c r="C35" i="3"/>
  <c r="C36" i="3"/>
  <c r="C37" i="3"/>
  <c r="C38" i="3"/>
  <c r="C39" i="3"/>
  <c r="C40" i="3"/>
  <c r="C41" i="3"/>
  <c r="B20" i="4"/>
  <c r="D35" i="3"/>
  <c r="I35" i="3"/>
  <c r="J35" i="3"/>
  <c r="K35" i="3"/>
  <c r="L35" i="3"/>
  <c r="M35" i="3"/>
  <c r="I38" i="3"/>
  <c r="I39" i="3"/>
  <c r="I40" i="3"/>
  <c r="I34" i="3"/>
  <c r="I37" i="3"/>
  <c r="I36" i="3"/>
  <c r="I41" i="3"/>
  <c r="I33" i="3"/>
  <c r="D33" i="3"/>
  <c r="L38" i="3"/>
  <c r="L39" i="3"/>
  <c r="L40" i="3"/>
  <c r="L34" i="3"/>
  <c r="L37" i="3"/>
  <c r="L36" i="3"/>
  <c r="L41" i="3"/>
  <c r="K38" i="3"/>
  <c r="K39" i="3"/>
  <c r="K40" i="3"/>
  <c r="K34" i="3"/>
  <c r="K37" i="3"/>
  <c r="K36" i="3"/>
  <c r="K41" i="3"/>
  <c r="J38" i="3"/>
  <c r="J39" i="3"/>
  <c r="J40" i="3"/>
  <c r="J34" i="3"/>
  <c r="J37" i="3"/>
  <c r="J36" i="3"/>
  <c r="J32" i="3"/>
  <c r="J41" i="3"/>
  <c r="L33" i="3"/>
  <c r="K33" i="3"/>
  <c r="J33" i="3"/>
  <c r="D38" i="3"/>
  <c r="D39" i="3"/>
  <c r="D40" i="3"/>
  <c r="D34" i="3"/>
  <c r="D37" i="3"/>
  <c r="D36" i="3"/>
  <c r="D32" i="3"/>
  <c r="D41" i="3"/>
  <c r="P7" i="7"/>
  <c r="P6" i="7"/>
  <c r="G15" i="7"/>
  <c r="G17" i="7"/>
  <c r="G20" i="7"/>
  <c r="G16" i="7"/>
  <c r="G5" i="7"/>
  <c r="G6" i="7"/>
  <c r="A5" i="7"/>
  <c r="A6" i="7"/>
  <c r="K5" i="2"/>
  <c r="K8" i="2"/>
  <c r="G5" i="2"/>
  <c r="G11" i="2"/>
  <c r="G9" i="2"/>
  <c r="G6" i="2"/>
  <c r="G7" i="2"/>
  <c r="G8" i="2"/>
  <c r="G11" i="7"/>
  <c r="G14" i="7"/>
  <c r="G18" i="7"/>
  <c r="G19" i="7"/>
  <c r="G21" i="7"/>
  <c r="G22" i="7"/>
  <c r="G24" i="7"/>
  <c r="G25" i="7"/>
  <c r="G26" i="7"/>
  <c r="G27" i="7"/>
  <c r="G29" i="7"/>
  <c r="C10" i="6"/>
  <c r="C8" i="6"/>
  <c r="C9" i="6"/>
  <c r="C7" i="6"/>
  <c r="C22" i="6"/>
  <c r="C12" i="6"/>
  <c r="C13" i="6"/>
  <c r="C14" i="6"/>
  <c r="C15" i="6"/>
  <c r="C16" i="6"/>
  <c r="C17" i="6"/>
  <c r="C18" i="6"/>
  <c r="C19" i="6"/>
  <c r="C20" i="6"/>
  <c r="C21" i="6"/>
  <c r="C6" i="6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5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M41" i="3"/>
  <c r="M36" i="3"/>
  <c r="M37" i="3"/>
  <c r="M40" i="3"/>
  <c r="M39" i="3"/>
  <c r="M38" i="3"/>
  <c r="M34" i="3"/>
  <c r="M33" i="3"/>
  <c r="G7" i="7"/>
  <c r="G12" i="7"/>
  <c r="G13" i="7"/>
  <c r="A7" i="7"/>
  <c r="C11" i="6"/>
  <c r="B27" i="2"/>
  <c r="B28" i="2"/>
  <c r="G8" i="7"/>
  <c r="G10" i="7"/>
  <c r="G9" i="7"/>
  <c r="E7" i="6"/>
  <c r="A8" i="7"/>
  <c r="A9" i="7"/>
  <c r="G23" i="7"/>
  <c r="G28" i="7"/>
  <c r="G10" i="2"/>
  <c r="A10" i="7"/>
  <c r="A11" i="7"/>
  <c r="G12" i="2"/>
  <c r="E15" i="6"/>
  <c r="A12" i="7"/>
  <c r="A13" i="7"/>
  <c r="A14" i="7"/>
  <c r="A15" i="7"/>
  <c r="G13" i="2"/>
  <c r="G14" i="2"/>
  <c r="E16" i="6"/>
  <c r="E14" i="6"/>
  <c r="E8" i="6"/>
  <c r="E12" i="6"/>
  <c r="E18" i="6"/>
  <c r="E11" i="6"/>
  <c r="E6" i="6"/>
  <c r="E21" i="6"/>
  <c r="E19" i="6"/>
  <c r="E9" i="6"/>
  <c r="E22" i="6"/>
  <c r="E13" i="6"/>
  <c r="E10" i="6"/>
  <c r="E17" i="6"/>
  <c r="E20" i="6"/>
  <c r="A16" i="7"/>
  <c r="A17" i="7"/>
  <c r="A18" i="7"/>
  <c r="G18" i="2"/>
  <c r="K6" i="2"/>
  <c r="G15" i="2"/>
  <c r="G16" i="2"/>
  <c r="G17" i="2"/>
  <c r="A19" i="7"/>
  <c r="K7" i="2"/>
  <c r="G19" i="2"/>
  <c r="A20" i="7"/>
  <c r="G20" i="2"/>
  <c r="G21" i="2"/>
  <c r="A21" i="7"/>
  <c r="A22" i="7"/>
  <c r="A23" i="7"/>
  <c r="A24" i="7"/>
  <c r="A25" i="7"/>
  <c r="A26" i="7"/>
  <c r="A27" i="7"/>
  <c r="A28" i="7"/>
  <c r="G22" i="2"/>
  <c r="G23" i="2"/>
  <c r="G24" i="2"/>
  <c r="G25" i="2"/>
  <c r="G26" i="2"/>
  <c r="G27" i="2"/>
  <c r="A29" i="7"/>
  <c r="A30" i="7"/>
  <c r="G28" i="2"/>
  <c r="G29" i="2"/>
  <c r="E10" i="7"/>
  <c r="E6" i="7"/>
  <c r="E23" i="7"/>
  <c r="E15" i="7"/>
  <c r="E27" i="7"/>
  <c r="E16" i="7"/>
  <c r="E20" i="7"/>
  <c r="E26" i="7"/>
  <c r="E22" i="7"/>
  <c r="E5" i="7"/>
  <c r="E11" i="7"/>
  <c r="E25" i="7"/>
  <c r="E14" i="7"/>
  <c r="E13" i="7"/>
  <c r="E9" i="7"/>
  <c r="E17" i="7"/>
  <c r="E18" i="7"/>
  <c r="E19" i="7"/>
  <c r="E7" i="7"/>
  <c r="E24" i="7"/>
  <c r="E21" i="7"/>
  <c r="E12" i="7"/>
  <c r="E8" i="7"/>
  <c r="E28" i="7"/>
  <c r="E29" i="7"/>
  <c r="E30" i="7"/>
  <c r="C5" i="7"/>
  <c r="K16" i="2"/>
  <c r="K19" i="2"/>
  <c r="K18" i="2"/>
  <c r="K26" i="2"/>
  <c r="K25" i="2"/>
  <c r="K29" i="2"/>
  <c r="K21" i="2"/>
  <c r="K14" i="2"/>
  <c r="K9" i="2"/>
  <c r="K10" i="2"/>
  <c r="K17" i="2"/>
  <c r="K22" i="2"/>
  <c r="K20" i="2"/>
  <c r="K23" i="2"/>
  <c r="K13" i="2"/>
  <c r="K28" i="2"/>
  <c r="K24" i="2"/>
  <c r="K27" i="2"/>
  <c r="K15" i="2"/>
  <c r="K12" i="2"/>
  <c r="K11" i="2"/>
  <c r="C4" i="7"/>
  <c r="I5" i="2"/>
  <c r="I4" i="2"/>
  <c r="K5" i="7"/>
  <c r="K16" i="7"/>
  <c r="K15" i="7"/>
  <c r="K22" i="7"/>
  <c r="K6" i="7"/>
  <c r="K7" i="7"/>
  <c r="K11" i="7"/>
  <c r="K12" i="7"/>
  <c r="K8" i="7"/>
  <c r="K9" i="7"/>
  <c r="K13" i="7"/>
  <c r="K10" i="7"/>
  <c r="K14" i="7"/>
  <c r="K18" i="7"/>
  <c r="K23" i="7"/>
  <c r="K17" i="7"/>
  <c r="K20" i="7"/>
  <c r="K19" i="7"/>
  <c r="K27" i="7"/>
  <c r="K28" i="7"/>
  <c r="K21" i="7"/>
  <c r="K29" i="7"/>
  <c r="K24" i="7"/>
  <c r="K25" i="7"/>
  <c r="K26" i="7"/>
  <c r="I5" i="7"/>
  <c r="I4" i="7"/>
</calcChain>
</file>

<file path=xl/sharedStrings.xml><?xml version="1.0" encoding="utf-8"?>
<sst xmlns="http://schemas.openxmlformats.org/spreadsheetml/2006/main" count="362" uniqueCount="116">
  <si>
    <t>MODIFIERS</t>
  </si>
  <si>
    <t xml:space="preserve">Ability Modifier </t>
  </si>
  <si>
    <t xml:space="preserve">Alchemical Bonus </t>
  </si>
  <si>
    <t xml:space="preserve">Armor Bonus </t>
  </si>
  <si>
    <t xml:space="preserve">Circumstance Modifier </t>
  </si>
  <si>
    <t xml:space="preserve">Competence Modifier </t>
  </si>
  <si>
    <t xml:space="preserve">Deflection Bonus </t>
  </si>
  <si>
    <t xml:space="preserve">Dodge Bonus </t>
  </si>
  <si>
    <t>Enhancement Shield Bonus</t>
  </si>
  <si>
    <t xml:space="preserve">Enhancement Armor Bonus </t>
  </si>
  <si>
    <t xml:space="preserve">Insight Bonus </t>
  </si>
  <si>
    <t xml:space="preserve">Luck Modifier </t>
  </si>
  <si>
    <t xml:space="preserve">Morale Modifier </t>
  </si>
  <si>
    <t xml:space="preserve">Natural Armor Bonus </t>
  </si>
  <si>
    <t>Enhancement to Natural Armor Bonus</t>
  </si>
  <si>
    <t xml:space="preserve">Profane Modifier </t>
  </si>
  <si>
    <t xml:space="preserve">Racial Bonus </t>
  </si>
  <si>
    <t xml:space="preserve">Resistance Bonus </t>
  </si>
  <si>
    <t>Sacred Modifier</t>
  </si>
  <si>
    <t xml:space="preserve">Shield Bonus </t>
  </si>
  <si>
    <t xml:space="preserve">Size Modifier </t>
  </si>
  <si>
    <t>Epic Bonus</t>
  </si>
  <si>
    <t>Divine Bonus</t>
  </si>
  <si>
    <t>(Ability Drain)</t>
  </si>
  <si>
    <t>(Temporary HP and Damage Absorption Shield-e.g Protection from Elements)</t>
  </si>
  <si>
    <t>Untyped</t>
  </si>
  <si>
    <t>Abi</t>
  </si>
  <si>
    <t>Armor</t>
  </si>
  <si>
    <t>Character</t>
  </si>
  <si>
    <t>HP</t>
  </si>
  <si>
    <t>INITIATIVE</t>
  </si>
  <si>
    <t>AC</t>
  </si>
  <si>
    <t>FORT</t>
  </si>
  <si>
    <t>REF</t>
  </si>
  <si>
    <t>WILL</t>
  </si>
  <si>
    <t>Number1</t>
  </si>
  <si>
    <t>Number2</t>
  </si>
  <si>
    <t>Number3</t>
  </si>
  <si>
    <t>Number4</t>
  </si>
  <si>
    <t>Number5</t>
  </si>
  <si>
    <t>Number6</t>
  </si>
  <si>
    <t>Number7</t>
  </si>
  <si>
    <t>Number8</t>
  </si>
  <si>
    <t>Number9</t>
  </si>
  <si>
    <t>Number10</t>
  </si>
  <si>
    <t>Number11</t>
  </si>
  <si>
    <t>Number12</t>
  </si>
  <si>
    <t>Number13</t>
  </si>
  <si>
    <t>Number14</t>
  </si>
  <si>
    <t>Number15</t>
  </si>
  <si>
    <t>Number16</t>
  </si>
  <si>
    <t>Number17</t>
  </si>
  <si>
    <t>NN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</si>
  <si>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</si>
  <si>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</si>
  <si>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</si>
  <si>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</si>
  <si>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</si>
  <si>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</si>
  <si>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</si>
  <si>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</si>
  <si>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</si>
  <si>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</si>
  <si>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</si>
  <si>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</si>
  <si>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NAME</t>
  </si>
  <si>
    <t>initiative</t>
  </si>
  <si>
    <t>Strenght</t>
  </si>
  <si>
    <t>Dex</t>
  </si>
  <si>
    <t>Con</t>
  </si>
  <si>
    <t>Characters</t>
  </si>
  <si>
    <t>NAMES</t>
  </si>
  <si>
    <t>BUFFS</t>
  </si>
  <si>
    <t>Bless</t>
  </si>
  <si>
    <t>TYPE</t>
  </si>
  <si>
    <t>Types</t>
  </si>
  <si>
    <t>TYPES</t>
  </si>
  <si>
    <t>Temporary</t>
  </si>
  <si>
    <t>SAVES</t>
  </si>
  <si>
    <t>attack</t>
  </si>
  <si>
    <t>TYPE2</t>
  </si>
  <si>
    <t>TYPE3</t>
  </si>
  <si>
    <t>TYPE1</t>
  </si>
  <si>
    <t>MODIFIER</t>
  </si>
  <si>
    <t>MOD</t>
  </si>
  <si>
    <t>LISTS</t>
  </si>
  <si>
    <t>SEARCH MODIFIER</t>
  </si>
  <si>
    <t>Shield of fath</t>
  </si>
  <si>
    <t>SEARCH BUFF</t>
  </si>
  <si>
    <t>Caster level</t>
  </si>
  <si>
    <t>CASTER</t>
  </si>
  <si>
    <t>Magic Weapon, Greater</t>
  </si>
  <si>
    <t>Enhancement Damage</t>
  </si>
  <si>
    <t>Caster MOD</t>
  </si>
  <si>
    <t>SUM MOD</t>
  </si>
  <si>
    <t>Magic Vestment Shield</t>
  </si>
  <si>
    <t>Magic Vestment Armor</t>
  </si>
  <si>
    <t>SUM</t>
  </si>
  <si>
    <t>ΝΙΚΟΣ</t>
  </si>
  <si>
    <t>ΑΚΓΣ</t>
  </si>
  <si>
    <t>HASTE</t>
  </si>
  <si>
    <t>Reflex</t>
  </si>
  <si>
    <t>Wis</t>
  </si>
  <si>
    <t>Attack</t>
  </si>
  <si>
    <t>INT</t>
  </si>
  <si>
    <t>CHAR</t>
  </si>
  <si>
    <t>TOUCH</t>
  </si>
  <si>
    <t>FLAT</t>
  </si>
  <si>
    <t>GRAPL</t>
  </si>
  <si>
    <t>LEVEL SPELL</t>
  </si>
  <si>
    <t>SPELL LEVEL</t>
  </si>
  <si>
    <t>Base</t>
  </si>
  <si>
    <t>Other</t>
  </si>
  <si>
    <t>Buffs counter</t>
  </si>
  <si>
    <t>Test buff initiative</t>
  </si>
  <si>
    <t>enc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</si>
</sst>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b/>
      <sz val="14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 diagonalUp="1" diagonalDown="1">
      <left style="thin">
        <color auto="1"/>
      </left>
      <right/>
      <top/>
      <bottom/>
      <diagonal style="thin">
        <color auto="1"/>
      </diagonal>
    </border>
    <border diagonalUp="1" diagonalDown="1">
      <left/>
      <right/>
      <top/>
      <bottom/>
      <diagonal style="thin">
        <color auto="1"/>
      </diagonal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41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center"/>
    </xf>
    <xf numFmtId="0" fontId="5" fillId="0" borderId="0" xfId="0" applyFont="1"/>
    <xf numFmtId="0" fontId="1" fillId="2" borderId="1" xfId="1" applyBorder="1" applyProtection="1"/>
    <xf numFmtId="0" fontId="5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0" fillId="0" borderId="1" xfId="0" applyBorder="1"/>
    <xf numFmtId="0" fontId="3" fillId="0" borderId="1" xfId="0" applyFont="1" applyBorder="1"/>
    <xf numFmtId="0" fontId="0" fillId="0" borderId="2" xfId="0" applyBorder="1"/>
    <xf numFmtId="0" fontId="0" fillId="0" borderId="3" xfId="0" applyBorder="1"/>
    <xf numFmtId="0" fontId="6" fillId="2" borderId="1" xfId="1" applyFont="1" applyBorder="1"/>
    <xf numFmtId="0" fontId="7" fillId="2" borderId="1" xfId="1" applyFont="1" applyBorder="1"/>
    <xf numFmtId="0" fontId="5" fillId="0" borderId="5" xfId="0" applyFont="1" applyBorder="1"/>
    <xf numFmtId="0" fontId="5" fillId="0" borderId="6" xfId="0" applyFont="1" applyBorder="1"/>
    <xf numFmtId="0" fontId="5" fillId="0" borderId="7" xfId="0" applyFont="1" applyBorder="1"/>
    <xf numFmtId="0" fontId="5" fillId="0" borderId="4" xfId="0" applyFont="1" applyBorder="1"/>
    <xf numFmtId="0" fontId="5" fillId="0" borderId="0" xfId="0" applyFont="1" applyBorder="1"/>
    <xf numFmtId="0" fontId="0" fillId="0" borderId="4" xfId="0" applyBorder="1"/>
    <xf numFmtId="0" fontId="0" fillId="0" borderId="0" xfId="0" applyBorder="1"/>
    <xf numFmtId="0" fontId="0" fillId="0" borderId="8" xfId="0" applyBorder="1"/>
    <xf numFmtId="2" fontId="5" fillId="0" borderId="0" xfId="0" applyNumberFormat="1" applyFont="1" applyBorder="1"/>
    <xf numFmtId="0" fontId="5" fillId="0" borderId="5" xfId="0" applyFont="1" applyBorder="1" applyAlignment="1">
      <alignment horizontal="center"/>
    </xf>
    <xf numFmtId="0" fontId="8" fillId="0" borderId="4" xfId="0" applyFont="1" applyBorder="1"/>
    <xf numFmtId="0" fontId="8" fillId="0" borderId="0" xfId="0" applyFont="1" applyBorder="1"/>
    <xf numFmtId="0" fontId="8" fillId="0" borderId="0" xfId="0" applyFont="1"/>
    <xf numFmtId="0" fontId="9" fillId="0" borderId="0" xfId="0" applyFont="1"/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right"/>
    </xf>
    <xf numFmtId="0" fontId="2" fillId="0" borderId="6" xfId="0" applyFont="1" applyBorder="1" applyAlignment="1">
      <alignment horizontal="center"/>
    </xf>
    <xf numFmtId="0" fontId="2" fillId="0" borderId="6" xfId="0" applyFont="1" applyBorder="1"/>
    <xf numFmtId="0" fontId="2" fillId="0" borderId="7" xfId="0" applyFont="1" applyBorder="1"/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5" xfId="0" applyFont="1" applyBorder="1"/>
    <xf numFmtId="0" fontId="7" fillId="2" borderId="4" xfId="1" applyFont="1" applyBorder="1" applyAlignment="1">
      <alignment horizontal="center"/>
    </xf>
    <xf numFmtId="0" fontId="7" fillId="2" borderId="0" xfId="1" applyFont="1" applyBorder="1" applyAlignment="1">
      <alignment horizontal="center"/>
    </xf>
    <xf numFmtId="0" fontId="1" fillId="2" borderId="0" xfId="1"/>
  </cellXfs>
  <cellStyles count="2">
    <cellStyle name="Good" xfId="1" builtinId="26"/>
    <cellStyle name="Normal" xfId="0" builtinId="0"/>
  </cellStyles>
  <dxfs count="2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Calibri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NUM4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UM4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Table1" displayName="Table1" ref="A4:S21" totalsRowShown="0">
  <autoFilter ref="A4:S21"/>
  <sortState ref="A5:S21">
    <sortCondition ref="B4:B21"/>
  </sortState>
  <tableColumns count="19">
    <tableColumn id="1" name="Column1"/>
    <tableColumn id="2" name="NN" dataDxfId="1"/>
    <tableColumn id="3" name="INITIATIVE" dataDxfId="0">
      <calculatedColumnFormula>'NUM2'!B$5</calculatedColumnFormula>
    </tableColumn>
    <tableColumn id="4" name="HP"/>
    <tableColumn id="5" name="AC"/>
    <tableColumn id="6" name="FORT"/>
    <tableColumn id="7" name="REF"/>
    <tableColumn id="8" name="WILL"/>
    <tableColumn id="9" name="Column2"/>
    <tableColumn id="10" name="Column3"/>
    <tableColumn id="11" name="Column4"/>
    <tableColumn id="12" name="Column5"/>
    <tableColumn id="13" name="Column6"/>
    <tableColumn id="14" name="Column7"/>
    <tableColumn id="15" name="Column8"/>
    <tableColumn id="16" name="Column9"/>
    <tableColumn id="17" name="Column10"/>
    <tableColumn id="18" name="Column11"/>
    <tableColumn id="19" name="Column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S21"/>
  <sheetViews>
    <sheetView workbookViewId="0">
      <selection activeCell="C5" sqref="C5"/>
    </sheetView>
  </sheetViews>
  <sheetFormatPr defaultRowHeight="15" x14ac:dyDescent="0.25"/>
  <cols>
    <col min="1" max="1" width="12.85546875" bestFit="1" customWidth="1"/>
    <col min="2" max="2" width="6" customWidth="1"/>
    <col min="3" max="3" width="16.42578125" customWidth="1"/>
    <col min="9" max="16" width="11" customWidth="1"/>
    <col min="17" max="19" width="12" customWidth="1"/>
  </cols>
  <sheetData>
    <row r="3" spans="1:19" ht="19.5" x14ac:dyDescent="0.3">
      <c r="A3" s="2" t="s">
        <v>28</v>
      </c>
    </row>
    <row r="4" spans="1:19" x14ac:dyDescent="0.25">
      <c r="A4" t="s">
        <v>53</v>
      </c>
      <c r="B4" t="s">
        <v>52</v>
      </c>
      <c r="C4" s="4" t="s">
        <v>30</v>
      </c>
      <c r="D4" t="s">
        <v>29</v>
      </c>
      <c r="E4" t="s">
        <v>31</v>
      </c>
      <c r="F4" t="s">
        <v>32</v>
      </c>
      <c r="G4" t="s">
        <v>33</v>
      </c>
      <c r="H4" t="s">
        <v>34</v>
      </c>
      <c r="I4" t="s">
        <v>54</v>
      </c>
      <c r="J4" t="s">
        <v>55</v>
      </c>
      <c r="K4" t="s">
        <v>56</v>
      </c>
      <c r="L4" t="s">
        <v>57</v>
      </c>
      <c r="M4" t="s">
        <v>58</v>
      </c>
      <c r="N4" t="s">
        <v>59</v>
      </c>
      <c r="O4" t="s">
        <v>60</v>
      </c>
      <c r="P4" t="s">
        <v>61</v>
      </c>
      <c r="Q4" t="s">
        <v>62</v>
      </c>
      <c r="R4" t="s">
        <v>63</v>
      </c>
      <c r="S4" t="s">
        <v>64</v>
      </c>
    </row>
    <row r="5" spans="1:19" x14ac:dyDescent="0.25">
      <c r="A5" t="s">
        <v>35</v>
      </c>
      <c r="B5" s="3">
        <v>1</v>
      </c>
      <c r="C5">
        <f>'NUM2'!B$5</f>
        <v>5</v>
      </c>
    </row>
    <row r="6" spans="1:19" x14ac:dyDescent="0.25">
      <c r="A6" t="s">
        <v>36</v>
      </c>
      <c r="B6" s="3">
        <v>2</v>
      </c>
      <c r="C6">
        <f>'NUM2'!B$5</f>
        <v>5</v>
      </c>
    </row>
    <row r="7" spans="1:19" x14ac:dyDescent="0.25">
      <c r="A7" t="s">
        <v>37</v>
      </c>
      <c r="B7" s="3">
        <v>3</v>
      </c>
      <c r="C7">
        <f>'NUM2'!B$5</f>
        <v>5</v>
      </c>
    </row>
    <row r="8" spans="1:19" x14ac:dyDescent="0.25">
      <c r="A8" t="s">
        <v>38</v>
      </c>
      <c r="B8" s="3">
        <v>4</v>
      </c>
      <c r="C8">
        <f>'NUM2'!B$5</f>
        <v>5</v>
      </c>
    </row>
    <row r="9" spans="1:19" x14ac:dyDescent="0.25">
      <c r="A9" t="s">
        <v>39</v>
      </c>
      <c r="B9" s="3">
        <v>5</v>
      </c>
      <c r="C9">
        <f>'NUM2'!B$5</f>
        <v>5</v>
      </c>
    </row>
    <row r="10" spans="1:19" x14ac:dyDescent="0.25">
      <c r="A10" t="s">
        <v>40</v>
      </c>
      <c r="B10" s="3">
        <v>6</v>
      </c>
      <c r="C10">
        <f>'NUM2'!B$5</f>
        <v>5</v>
      </c>
    </row>
    <row r="11" spans="1:19" x14ac:dyDescent="0.25">
      <c r="A11" t="s">
        <v>41</v>
      </c>
      <c r="B11" s="3">
        <v>7</v>
      </c>
      <c r="C11">
        <f>'NUM2'!B$5</f>
        <v>5</v>
      </c>
    </row>
    <row r="12" spans="1:19" x14ac:dyDescent="0.25">
      <c r="A12" t="s">
        <v>42</v>
      </c>
      <c r="B12" s="3">
        <v>8</v>
      </c>
      <c r="C12">
        <f>'NUM2'!B$5</f>
        <v>5</v>
      </c>
    </row>
    <row r="13" spans="1:19" x14ac:dyDescent="0.25">
      <c r="A13" t="s">
        <v>43</v>
      </c>
      <c r="B13" s="3">
        <v>9</v>
      </c>
      <c r="C13">
        <f>'NUM2'!B$5</f>
        <v>5</v>
      </c>
    </row>
    <row r="14" spans="1:19" x14ac:dyDescent="0.25">
      <c r="A14" t="s">
        <v>44</v>
      </c>
      <c r="B14" s="3">
        <v>10</v>
      </c>
      <c r="C14">
        <f>'NUM2'!B$5</f>
        <v>5</v>
      </c>
    </row>
    <row r="15" spans="1:19" x14ac:dyDescent="0.25">
      <c r="A15" t="s">
        <v>45</v>
      </c>
      <c r="B15" s="3">
        <v>11</v>
      </c>
      <c r="C15">
        <f>'NUM2'!B$5</f>
        <v>5</v>
      </c>
    </row>
    <row r="16" spans="1:19" x14ac:dyDescent="0.25">
      <c r="A16" t="s">
        <v>46</v>
      </c>
      <c r="B16" s="3">
        <v>12</v>
      </c>
      <c r="C16">
        <f>'NUM2'!B$5</f>
        <v>5</v>
      </c>
    </row>
    <row r="17" spans="1:3" x14ac:dyDescent="0.25">
      <c r="A17" t="s">
        <v>47</v>
      </c>
      <c r="B17" s="3">
        <v>13</v>
      </c>
      <c r="C17">
        <f>'NUM2'!B$5</f>
        <v>5</v>
      </c>
    </row>
    <row r="18" spans="1:3" x14ac:dyDescent="0.25">
      <c r="A18" t="s">
        <v>48</v>
      </c>
      <c r="B18" s="3">
        <v>14</v>
      </c>
      <c r="C18">
        <f>'NUM2'!B$5</f>
        <v>5</v>
      </c>
    </row>
    <row r="19" spans="1:3" x14ac:dyDescent="0.25">
      <c r="A19" t="s">
        <v>49</v>
      </c>
      <c r="B19" s="3">
        <v>15</v>
      </c>
      <c r="C19">
        <f>'NUM2'!B$5</f>
        <v>5</v>
      </c>
    </row>
    <row r="20" spans="1:3" x14ac:dyDescent="0.25">
      <c r="A20" t="s">
        <v>50</v>
      </c>
      <c r="B20" s="3">
        <v>16</v>
      </c>
      <c r="C20">
        <f>'NUM2'!B$5</f>
        <v>5</v>
      </c>
    </row>
    <row r="21" spans="1:3" x14ac:dyDescent="0.25">
      <c r="A21" t="s">
        <v>51</v>
      </c>
      <c r="B21" s="3">
        <v>17</v>
      </c>
      <c r="C21">
        <f>'NUM2'!B$5</f>
        <v>5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S22"/>
  <sheetViews>
    <sheetView workbookViewId="0">
      <selection activeCell="C9" sqref="C9"/>
    </sheetView>
  </sheetViews>
  <sheetFormatPr defaultRowHeight="15" x14ac:dyDescent="0.25"/>
  <cols>
    <col min="2" max="2" width="6.28515625" customWidth="1"/>
    <col min="3" max="3" width="10.28515625" bestFit="1" customWidth="1"/>
  </cols>
  <sheetData>
    <row r="3" spans="1:19" ht="19.5" x14ac:dyDescent="0.3">
      <c r="A3" s="2" t="s">
        <v>70</v>
      </c>
    </row>
    <row r="5" spans="1:19" x14ac:dyDescent="0.25">
      <c r="A5" s="1" t="s">
        <v>71</v>
      </c>
      <c r="B5" s="3" t="s">
        <v>52</v>
      </c>
      <c r="C5" s="1" t="s">
        <v>30</v>
      </c>
      <c r="D5" s="1" t="s">
        <v>29</v>
      </c>
      <c r="E5" s="1" t="s">
        <v>31</v>
      </c>
      <c r="F5" s="1" t="s">
        <v>32</v>
      </c>
      <c r="G5" s="1" t="s">
        <v>33</v>
      </c>
      <c r="H5" s="1" t="s">
        <v>34</v>
      </c>
      <c r="I5" s="1" t="s">
        <v>54</v>
      </c>
      <c r="J5" s="1" t="s">
        <v>55</v>
      </c>
      <c r="K5" s="1" t="s">
        <v>56</v>
      </c>
      <c r="L5" s="1" t="s">
        <v>57</v>
      </c>
      <c r="M5" s="1" t="s">
        <v>58</v>
      </c>
      <c r="N5" s="1" t="s">
        <v>59</v>
      </c>
      <c r="O5" s="1" t="s">
        <v>60</v>
      </c>
      <c r="P5" s="1" t="s">
        <v>61</v>
      </c>
      <c r="Q5" s="1" t="s">
        <v>62</v>
      </c>
      <c r="R5" s="1" t="s">
        <v>63</v>
      </c>
      <c r="S5" s="1" t="s">
        <v>64</v>
      </c>
    </row>
    <row r="6" spans="1:19" x14ac:dyDescent="0.25">
      <c r="A6" t="s">
        <v>35</v>
      </c>
      <c r="B6" s="3">
        <v>1</v>
      </c>
      <c r="C6">
        <f>'NUM1'!$B$5</f>
        <v>0</v>
      </c>
      <c r="E6">
        <f>'NUM1'!$B$20</f>
        <v>0</v>
      </c>
    </row>
    <row r="7" spans="1:19" x14ac:dyDescent="0.25">
      <c r="A7" t="s">
        <v>98</v>
      </c>
      <c r="B7" s="3">
        <v>2</v>
      </c>
      <c r="C7">
        <f>'NUM2'!$B$5</f>
        <v>5</v>
      </c>
      <c r="E7">
        <f>'NUM2'!$B$20</f>
        <v>5</v>
      </c>
    </row>
    <row r="8" spans="1:19" x14ac:dyDescent="0.25">
      <c r="A8" t="s">
        <v>99</v>
      </c>
      <c r="B8" s="3">
        <v>3</v>
      </c>
      <c r="C8">
        <f>'NUM3'!$B$5</f>
        <v>0</v>
      </c>
      <c r="E8">
        <f>'NUM1'!$B$20</f>
        <v>0</v>
      </c>
    </row>
    <row r="9" spans="1:19" x14ac:dyDescent="0.25">
      <c r="A9" t="s">
        <v>38</v>
      </c>
      <c r="B9" s="3">
        <v>4</v>
      </c>
      <c r="C9" t="e">
        <f>[1]NUM4!$B$5</f>
        <v>#REF!</v>
      </c>
      <c r="E9">
        <f>'NUM1'!$B$20</f>
        <v>0</v>
      </c>
    </row>
    <row r="10" spans="1:19" x14ac:dyDescent="0.25">
      <c r="A10" t="s">
        <v>39</v>
      </c>
      <c r="B10" s="3">
        <v>5</v>
      </c>
      <c r="C10">
        <f>'NUM1'!$B$5</f>
        <v>0</v>
      </c>
      <c r="E10">
        <f>'NUM1'!$B$20</f>
        <v>0</v>
      </c>
    </row>
    <row r="11" spans="1:19" x14ac:dyDescent="0.25">
      <c r="A11" t="s">
        <v>40</v>
      </c>
      <c r="B11" s="3">
        <v>6</v>
      </c>
      <c r="C11">
        <f>'NUM1'!$B$5</f>
        <v>0</v>
      </c>
      <c r="E11">
        <f>'NUM1'!$B$20</f>
        <v>0</v>
      </c>
    </row>
    <row r="12" spans="1:19" x14ac:dyDescent="0.25">
      <c r="A12" t="s">
        <v>41</v>
      </c>
      <c r="B12" s="3">
        <v>7</v>
      </c>
      <c r="C12">
        <f>'NUM1'!$B$5</f>
        <v>0</v>
      </c>
      <c r="E12">
        <f>'NUM1'!$B$20</f>
        <v>0</v>
      </c>
    </row>
    <row r="13" spans="1:19" x14ac:dyDescent="0.25">
      <c r="A13" t="s">
        <v>42</v>
      </c>
      <c r="B13" s="3">
        <v>8</v>
      </c>
      <c r="C13">
        <f>'NUM1'!$B$5</f>
        <v>0</v>
      </c>
      <c r="E13">
        <f>'NUM1'!$B$20</f>
        <v>0</v>
      </c>
    </row>
    <row r="14" spans="1:19" x14ac:dyDescent="0.25">
      <c r="A14" t="s">
        <v>43</v>
      </c>
      <c r="B14" s="3">
        <v>9</v>
      </c>
      <c r="C14">
        <f>'NUM1'!$B$5</f>
        <v>0</v>
      </c>
      <c r="E14">
        <f>'NUM1'!$B$20</f>
        <v>0</v>
      </c>
    </row>
    <row r="15" spans="1:19" x14ac:dyDescent="0.25">
      <c r="A15" t="s">
        <v>44</v>
      </c>
      <c r="B15" s="3">
        <v>10</v>
      </c>
      <c r="C15">
        <f>'NUM1'!$B$5</f>
        <v>0</v>
      </c>
      <c r="E15">
        <f>'NUM1'!$B$20</f>
        <v>0</v>
      </c>
    </row>
    <row r="16" spans="1:19" x14ac:dyDescent="0.25">
      <c r="A16" t="s">
        <v>45</v>
      </c>
      <c r="B16" s="3">
        <v>11</v>
      </c>
      <c r="C16">
        <f>'NUM1'!$B$5</f>
        <v>0</v>
      </c>
      <c r="E16">
        <f>'NUM1'!$B$20</f>
        <v>0</v>
      </c>
    </row>
    <row r="17" spans="1:5" x14ac:dyDescent="0.25">
      <c r="A17" t="s">
        <v>46</v>
      </c>
      <c r="B17" s="3">
        <v>12</v>
      </c>
      <c r="C17">
        <f>'NUM1'!$B$5</f>
        <v>0</v>
      </c>
      <c r="E17">
        <f>'NUM1'!$B$20</f>
        <v>0</v>
      </c>
    </row>
    <row r="18" spans="1:5" x14ac:dyDescent="0.25">
      <c r="A18" t="s">
        <v>47</v>
      </c>
      <c r="B18" s="3">
        <v>13</v>
      </c>
      <c r="C18">
        <f>'NUM1'!$B$5</f>
        <v>0</v>
      </c>
      <c r="E18">
        <f>'NUM1'!$B$20</f>
        <v>0</v>
      </c>
    </row>
    <row r="19" spans="1:5" x14ac:dyDescent="0.25">
      <c r="A19" t="s">
        <v>48</v>
      </c>
      <c r="B19" s="3">
        <v>14</v>
      </c>
      <c r="C19">
        <f>'NUM1'!$B$5</f>
        <v>0</v>
      </c>
      <c r="E19">
        <f>'NUM1'!$B$20</f>
        <v>0</v>
      </c>
    </row>
    <row r="20" spans="1:5" x14ac:dyDescent="0.25">
      <c r="A20" t="s">
        <v>49</v>
      </c>
      <c r="B20" s="3">
        <v>15</v>
      </c>
      <c r="C20">
        <f>'NUM1'!$B$5</f>
        <v>0</v>
      </c>
      <c r="E20">
        <f>'NUM1'!$B$20</f>
        <v>0</v>
      </c>
    </row>
    <row r="21" spans="1:5" x14ac:dyDescent="0.25">
      <c r="A21" t="s">
        <v>50</v>
      </c>
      <c r="B21" s="3">
        <v>16</v>
      </c>
      <c r="C21">
        <f>'NUM1'!$B$5</f>
        <v>0</v>
      </c>
      <c r="E21">
        <f>'NUM1'!$B$20</f>
        <v>0</v>
      </c>
    </row>
    <row r="22" spans="1:5" x14ac:dyDescent="0.25">
      <c r="A22" t="s">
        <v>51</v>
      </c>
      <c r="B22" s="3">
        <v>17</v>
      </c>
      <c r="C22">
        <f>'NUM1'!$B$5</f>
        <v>0</v>
      </c>
      <c r="E22">
        <f>'NUM1'!$B$20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298"/>
  <sheetViews>
    <sheetView tabSelected="1" zoomScale="85" zoomScaleNormal="85" workbookViewId="0">
      <selection activeCell="A5" sqref="A5"/>
    </sheetView>
  </sheetViews>
  <sheetFormatPr defaultRowHeight="18.75" x14ac:dyDescent="0.3"/>
  <cols>
    <col min="1" max="1" width="28.85546875" style="5" bestFit="1" customWidth="1"/>
    <col min="2" max="2" width="13" customWidth="1"/>
    <col min="3" max="3" width="21" bestFit="1" customWidth="1"/>
    <col min="4" max="4" width="28.140625" bestFit="1" customWidth="1"/>
    <col min="5" max="5" width="12.85546875" bestFit="1" customWidth="1"/>
    <col min="6" max="6" width="15.7109375" customWidth="1"/>
    <col min="7" max="7" width="21.140625" bestFit="1" customWidth="1"/>
    <col min="8" max="8" width="9.5703125" customWidth="1"/>
    <col min="9" max="9" width="13.140625" bestFit="1" customWidth="1"/>
    <col min="10" max="10" width="20.85546875" customWidth="1"/>
    <col min="11" max="11" width="15.5703125" customWidth="1"/>
    <col min="12" max="12" width="13.42578125" bestFit="1" customWidth="1"/>
    <col min="13" max="13" width="13.5703125" bestFit="1" customWidth="1"/>
    <col min="14" max="14" width="16" bestFit="1" customWidth="1"/>
    <col min="15" max="15" width="20.140625" bestFit="1" customWidth="1"/>
    <col min="16" max="16" width="14.140625" bestFit="1" customWidth="1"/>
    <col min="17" max="17" width="16.7109375" bestFit="1" customWidth="1"/>
    <col min="19" max="19" width="36.42578125" bestFit="1" customWidth="1"/>
  </cols>
  <sheetData>
    <row r="1" spans="1:31" x14ac:dyDescent="0.3">
      <c r="A1" s="5" t="s">
        <v>31</v>
      </c>
    </row>
    <row r="2" spans="1:31" x14ac:dyDescent="0.3">
      <c r="A2" s="5" t="s">
        <v>65</v>
      </c>
    </row>
    <row r="4" spans="1:31" x14ac:dyDescent="0.3">
      <c r="A4" s="5" t="s">
        <v>76</v>
      </c>
      <c r="B4" s="1" t="s">
        <v>97</v>
      </c>
      <c r="C4" t="s">
        <v>111</v>
      </c>
      <c r="D4" t="s">
        <v>112</v>
      </c>
      <c r="E4" t="s">
        <v>112</v>
      </c>
      <c r="F4" t="s">
        <v>1</v>
      </c>
      <c r="G4" t="s">
        <v>2</v>
      </c>
      <c r="H4" t="s">
        <v>3</v>
      </c>
      <c r="I4" t="s">
        <v>4</v>
      </c>
      <c r="J4" t="s">
        <v>5</v>
      </c>
      <c r="K4" t="s">
        <v>6</v>
      </c>
      <c r="L4" t="s">
        <v>7</v>
      </c>
      <c r="M4" t="s">
        <v>8</v>
      </c>
      <c r="N4" t="s">
        <v>9</v>
      </c>
      <c r="O4" t="s">
        <v>10</v>
      </c>
      <c r="P4" t="s">
        <v>11</v>
      </c>
      <c r="Q4" t="s">
        <v>12</v>
      </c>
      <c r="R4" t="s">
        <v>13</v>
      </c>
      <c r="S4" t="s">
        <v>14</v>
      </c>
      <c r="T4" t="s">
        <v>15</v>
      </c>
      <c r="U4" t="s">
        <v>16</v>
      </c>
      <c r="V4" t="s">
        <v>17</v>
      </c>
      <c r="W4" t="s">
        <v>18</v>
      </c>
      <c r="X4" t="s">
        <v>19</v>
      </c>
      <c r="Y4" t="s">
        <v>20</v>
      </c>
      <c r="Z4" t="s">
        <v>21</v>
      </c>
      <c r="AA4" t="s">
        <v>22</v>
      </c>
      <c r="AB4" t="s">
        <v>23</v>
      </c>
      <c r="AC4" t="s">
        <v>24</v>
      </c>
      <c r="AD4" t="s">
        <v>25</v>
      </c>
      <c r="AE4" t="s">
        <v>92</v>
      </c>
    </row>
    <row r="6" spans="1:31" x14ac:dyDescent="0.3">
      <c r="A6" s="5" t="s">
        <v>66</v>
      </c>
      <c r="B6">
        <f>SUM(C6:AG6)</f>
        <v>0</v>
      </c>
      <c r="F6" s="40"/>
    </row>
    <row r="7" spans="1:31" x14ac:dyDescent="0.3">
      <c r="A7" s="5" t="s">
        <v>29</v>
      </c>
      <c r="B7">
        <f t="shared" ref="B7:B25" si="0">SUM(C7:AG7)</f>
        <v>0</v>
      </c>
    </row>
    <row r="8" spans="1:31" x14ac:dyDescent="0.3">
      <c r="B8">
        <f t="shared" si="0"/>
        <v>0</v>
      </c>
    </row>
    <row r="9" spans="1:31" x14ac:dyDescent="0.3">
      <c r="A9" s="5" t="s">
        <v>67</v>
      </c>
      <c r="B9">
        <f t="shared" si="0"/>
        <v>0</v>
      </c>
    </row>
    <row r="10" spans="1:31" x14ac:dyDescent="0.3">
      <c r="A10" s="5" t="s">
        <v>68</v>
      </c>
      <c r="B10">
        <f t="shared" si="0"/>
        <v>0</v>
      </c>
    </row>
    <row r="11" spans="1:31" x14ac:dyDescent="0.3">
      <c r="A11" s="5" t="s">
        <v>69</v>
      </c>
      <c r="B11">
        <f t="shared" si="0"/>
        <v>0</v>
      </c>
    </row>
    <row r="12" spans="1:31" x14ac:dyDescent="0.3">
      <c r="A12" s="5" t="s">
        <v>102</v>
      </c>
      <c r="B12">
        <f t="shared" si="0"/>
        <v>0</v>
      </c>
    </row>
    <row r="13" spans="1:31" x14ac:dyDescent="0.3">
      <c r="A13" s="5" t="s">
        <v>104</v>
      </c>
      <c r="B13">
        <f t="shared" si="0"/>
        <v>0</v>
      </c>
    </row>
    <row r="14" spans="1:31" x14ac:dyDescent="0.3">
      <c r="A14" s="5" t="s">
        <v>105</v>
      </c>
      <c r="B14">
        <f t="shared" si="0"/>
        <v>0</v>
      </c>
    </row>
    <row r="16" spans="1:31" x14ac:dyDescent="0.3">
      <c r="A16" s="5" t="s">
        <v>32</v>
      </c>
      <c r="B16">
        <f t="shared" si="0"/>
        <v>0</v>
      </c>
    </row>
    <row r="17" spans="1:18" x14ac:dyDescent="0.3">
      <c r="A17" s="5" t="s">
        <v>33</v>
      </c>
      <c r="B17">
        <f t="shared" si="0"/>
        <v>0</v>
      </c>
    </row>
    <row r="18" spans="1:18" x14ac:dyDescent="0.3">
      <c r="A18" s="5" t="s">
        <v>34</v>
      </c>
      <c r="B18">
        <f t="shared" si="0"/>
        <v>0</v>
      </c>
    </row>
    <row r="20" spans="1:18" x14ac:dyDescent="0.3">
      <c r="A20" s="5" t="s">
        <v>103</v>
      </c>
      <c r="B20">
        <f t="shared" si="0"/>
        <v>0</v>
      </c>
    </row>
    <row r="21" spans="1:18" x14ac:dyDescent="0.3">
      <c r="A21" s="5" t="s">
        <v>108</v>
      </c>
      <c r="B21">
        <f t="shared" si="0"/>
        <v>0</v>
      </c>
    </row>
    <row r="22" spans="1:18" x14ac:dyDescent="0.3">
      <c r="B22">
        <v>5</v>
      </c>
    </row>
    <row r="23" spans="1:18" x14ac:dyDescent="0.3">
      <c r="A23" s="5" t="s">
        <v>31</v>
      </c>
      <c r="B23">
        <f t="shared" si="0"/>
        <v>0</v>
      </c>
    </row>
    <row r="24" spans="1:18" x14ac:dyDescent="0.3">
      <c r="A24" s="5" t="s">
        <v>106</v>
      </c>
      <c r="B24">
        <f t="shared" si="0"/>
        <v>0</v>
      </c>
    </row>
    <row r="25" spans="1:18" x14ac:dyDescent="0.3">
      <c r="A25" s="5" t="s">
        <v>107</v>
      </c>
      <c r="B25">
        <f t="shared" si="0"/>
        <v>0</v>
      </c>
    </row>
    <row r="29" spans="1:18" x14ac:dyDescent="0.3">
      <c r="A29" s="5" t="s">
        <v>113</v>
      </c>
      <c r="B29">
        <f>COUNTA(A32:A78)</f>
        <v>8</v>
      </c>
    </row>
    <row r="31" spans="1:18" s="1" customFormat="1" x14ac:dyDescent="0.3">
      <c r="A31" s="5" t="s">
        <v>72</v>
      </c>
      <c r="B31" s="1" t="s">
        <v>89</v>
      </c>
      <c r="C31" s="30" t="s">
        <v>74</v>
      </c>
      <c r="D31" s="31" t="s">
        <v>83</v>
      </c>
      <c r="E31" s="32" t="s">
        <v>84</v>
      </c>
      <c r="F31" s="33" t="s">
        <v>93</v>
      </c>
      <c r="G31" s="33" t="s">
        <v>94</v>
      </c>
      <c r="H31" s="34" t="s">
        <v>110</v>
      </c>
      <c r="I31" s="37" t="s">
        <v>80</v>
      </c>
      <c r="J31" s="31" t="s">
        <v>83</v>
      </c>
      <c r="K31" s="32" t="s">
        <v>84</v>
      </c>
      <c r="L31" s="33" t="s">
        <v>93</v>
      </c>
      <c r="M31" s="34" t="s">
        <v>94</v>
      </c>
      <c r="N31" s="1" t="s">
        <v>80</v>
      </c>
      <c r="O31" s="8" t="s">
        <v>83</v>
      </c>
      <c r="P31" s="9" t="s">
        <v>84</v>
      </c>
      <c r="Q31" s="1" t="s">
        <v>93</v>
      </c>
      <c r="R31" s="1" t="s">
        <v>94</v>
      </c>
    </row>
    <row r="32" spans="1:18" ht="15.75" x14ac:dyDescent="0.25">
      <c r="A32" s="29" t="s">
        <v>114</v>
      </c>
      <c r="B32">
        <v>6</v>
      </c>
      <c r="C32" s="35" t="str">
        <f>VLOOKUP(A32,BUFFS!$H$5:$AF$195,5,)</f>
        <v>initiative</v>
      </c>
      <c r="D32" s="22" t="str">
        <f>VLOOKUP(A32,BUFFS!$H$5:$AF$195,6,)</f>
        <v xml:space="preserve">Competence Modifier </v>
      </c>
      <c r="E32" s="36">
        <f>VLOOKUP(A32,BUFFS!$H$5:$AF$195,7,)</f>
        <v>1</v>
      </c>
      <c r="F32" s="22">
        <f>VLOOKUP(A32,BUFFS!$H$5:$AF$195,9,)</f>
        <v>0.25</v>
      </c>
      <c r="G32" s="36">
        <f>SUM(E32,ROUNDDOWN(B32*F32,0))</f>
        <v>2</v>
      </c>
      <c r="H32" s="23">
        <f>VLOOKUP(A32,BUFFS!$H$5:$AF$195,8,)</f>
        <v>3</v>
      </c>
      <c r="I32" s="35">
        <f>VLOOKUP(A32,BUFFS!$H$5:$AF$195,10,)</f>
        <v>0</v>
      </c>
      <c r="J32" s="22">
        <f>VLOOKUP(A32,BUFFS!$H$5:$AF$195,11,)</f>
        <v>0</v>
      </c>
      <c r="K32" s="22">
        <f>VLOOKUP(A32,BUFFS!$H$5:$AF$195,12,)</f>
        <v>0</v>
      </c>
      <c r="L32" s="22">
        <f>VLOOKUP(A32,BUFFS!$H$5:$AF$195,14,)</f>
        <v>0</v>
      </c>
      <c r="M32" s="23">
        <f>SUM(K32,ROUNDDOWN(B32*L32,0))</f>
        <v>0</v>
      </c>
      <c r="N32" s="4">
        <f>VLOOKUP(A32,BUFFS!$H$5:$AF$195,15,)</f>
        <v>0</v>
      </c>
      <c r="O32">
        <f>VLOOKUP(A32,BUFFS!$H$5:$AF$195,16,)</f>
        <v>0</v>
      </c>
      <c r="P32">
        <f>VLOOKUP(A32,BUFFS!$H$5:$AF$195,17,)</f>
        <v>0</v>
      </c>
      <c r="Q32">
        <f>VLOOKUP(A32,BUFFS!$H$5:$AF$195,19,)</f>
        <v>0</v>
      </c>
      <c r="R32">
        <f>SUM(P32,ROUNDDOWN(G32*Q32,0))</f>
        <v>0</v>
      </c>
    </row>
    <row r="33" spans="1:18" ht="15.75" x14ac:dyDescent="0.25">
      <c r="A33" s="29" t="s">
        <v>73</v>
      </c>
      <c r="B33">
        <v>6</v>
      </c>
      <c r="C33" s="35" t="str">
        <f>VLOOKUP(A33,BUFFS!$H$5:$AF$195,5,)</f>
        <v>SAVES</v>
      </c>
      <c r="D33" s="22" t="str">
        <f>VLOOKUP(A33,BUFFS!$H$5:$AF$195,6,)</f>
        <v xml:space="preserve">Morale Modifier </v>
      </c>
      <c r="E33" s="36">
        <f>VLOOKUP(A33,BUFFS!$H$5:$AF$195,7,)</f>
        <v>1</v>
      </c>
      <c r="F33" s="22">
        <f>VLOOKUP(A33,BUFFS!$H$5:$AF$195,9,)</f>
        <v>0</v>
      </c>
      <c r="G33" s="36">
        <f t="shared" ref="G33:G41" si="1">SUM(E33,ROUNDDOWN(B33*F33,0))</f>
        <v>1</v>
      </c>
      <c r="H33" s="23">
        <f>VLOOKUP(A33,BUFFS!$H$5:$AF$195,8,)</f>
        <v>1</v>
      </c>
      <c r="I33" s="35" t="str">
        <f>VLOOKUP(A33,BUFFS!$H$5:$AF$195,10,)</f>
        <v>attack</v>
      </c>
      <c r="J33" s="22" t="str">
        <f>VLOOKUP(A33,BUFFS!$H$5:$AF$195,11,)</f>
        <v xml:space="preserve">Morale Modifier </v>
      </c>
      <c r="K33" s="22">
        <f>VLOOKUP(A33,BUFFS!$H$5:$AF$195,12,)</f>
        <v>1</v>
      </c>
      <c r="L33" s="22">
        <f>VLOOKUP(A33,BUFFS!$H$5:$AF$195,14,)</f>
        <v>0</v>
      </c>
      <c r="M33" s="23">
        <f t="shared" ref="M33:M41" si="2">SUM(K33,ROUNDDOWN(B33*L33,0))</f>
        <v>1</v>
      </c>
      <c r="N33" s="4">
        <f>VLOOKUP(A33,BUFFS!$H$5:$AF$195,15,)</f>
        <v>0</v>
      </c>
      <c r="O33">
        <f>VLOOKUP(A33,BUFFS!$H$5:$AF$195,16,)</f>
        <v>0</v>
      </c>
      <c r="P33">
        <f>VLOOKUP(A33,BUFFS!$H$5:$AF$195,17,)</f>
        <v>0</v>
      </c>
      <c r="Q33">
        <f>VLOOKUP(A33,BUFFS!$H$5:$AF$195,19,)</f>
        <v>0</v>
      </c>
      <c r="R33">
        <f t="shared" ref="R33:R45" si="3">SUM(P33,ROUNDDOWN(G33*Q33,0))</f>
        <v>0</v>
      </c>
    </row>
    <row r="34" spans="1:18" ht="15.75" x14ac:dyDescent="0.25">
      <c r="A34" s="29" t="s">
        <v>87</v>
      </c>
      <c r="B34">
        <v>10</v>
      </c>
      <c r="C34" s="35" t="str">
        <f>VLOOKUP(A34,BUFFS!$H$5:$AF$195,5,)</f>
        <v>AC</v>
      </c>
      <c r="D34" s="22" t="str">
        <f>VLOOKUP(A34,BUFFS!$H$5:$AF$195,6,)</f>
        <v xml:space="preserve">Deflection Bonus </v>
      </c>
      <c r="E34" s="36">
        <f>VLOOKUP(A34,BUFFS!$H$5:$AF$195,7,)</f>
        <v>2</v>
      </c>
      <c r="F34" s="22">
        <f>VLOOKUP(A34,BUFFS!$H$5:$AF$195,9,)</f>
        <v>0.16666666666666666</v>
      </c>
      <c r="G34" s="36">
        <f t="shared" si="1"/>
        <v>3</v>
      </c>
      <c r="H34" s="23">
        <f>VLOOKUP(A34,BUFFS!$H$5:$AF$195,8,)</f>
        <v>1</v>
      </c>
      <c r="I34" s="35">
        <f>VLOOKUP(A34,BUFFS!$H$5:$AF$195,10,)</f>
        <v>0</v>
      </c>
      <c r="J34" s="22">
        <f>VLOOKUP(A34,BUFFS!$H$5:$AF$195,11,)</f>
        <v>0</v>
      </c>
      <c r="K34" s="22">
        <f>VLOOKUP(A34,BUFFS!$H$5:$AF$195,12,)</f>
        <v>0</v>
      </c>
      <c r="L34" s="22">
        <f>VLOOKUP(A34,BUFFS!$H$5:$AF$195,14,)</f>
        <v>0</v>
      </c>
      <c r="M34" s="23">
        <f t="shared" si="2"/>
        <v>0</v>
      </c>
      <c r="N34" s="4">
        <f>VLOOKUP(A34,BUFFS!$H$5:$AF$195,15,)</f>
        <v>0</v>
      </c>
      <c r="O34">
        <f>VLOOKUP(A34,BUFFS!$H$5:$AF$195,16,)</f>
        <v>0</v>
      </c>
      <c r="P34">
        <f>VLOOKUP(A34,BUFFS!$H$5:$AF$195,17,)</f>
        <v>0</v>
      </c>
      <c r="Q34">
        <f>VLOOKUP(A34,BUFFS!$H$5:$AF$195,19,)</f>
        <v>0</v>
      </c>
      <c r="R34">
        <f t="shared" si="3"/>
        <v>0</v>
      </c>
    </row>
    <row r="35" spans="1:18" ht="15.75" x14ac:dyDescent="0.25">
      <c r="A35" s="29" t="s">
        <v>95</v>
      </c>
      <c r="B35">
        <v>10</v>
      </c>
      <c r="C35" s="35" t="str">
        <f>VLOOKUP(A35,BUFFS!$H$5:$AF$195,5,)</f>
        <v>AC</v>
      </c>
      <c r="D35" s="22" t="str">
        <f>VLOOKUP(A35,BUFFS!$H$5:$AF$195,6,)</f>
        <v>Enhancement Shield Bonus</v>
      </c>
      <c r="E35" s="36">
        <f>VLOOKUP(A35,BUFFS!$H$5:$AF$195,7,)</f>
        <v>0</v>
      </c>
      <c r="F35" s="22">
        <f>VLOOKUP(A35,BUFFS!$H$5:$AF$195,9,)</f>
        <v>0.25</v>
      </c>
      <c r="G35" s="36">
        <f t="shared" si="1"/>
        <v>2</v>
      </c>
      <c r="H35" s="23">
        <f>VLOOKUP(A35,BUFFS!$H$5:$AF$195,8,)</f>
        <v>3</v>
      </c>
      <c r="I35" s="35">
        <f>VLOOKUP(A35,BUFFS!$H$5:$AF$195,10,)</f>
        <v>0</v>
      </c>
      <c r="J35" s="22">
        <f>VLOOKUP(A35,BUFFS!$H$5:$AF$195,11,)</f>
        <v>0</v>
      </c>
      <c r="K35" s="22">
        <f>VLOOKUP(A35,BUFFS!$H$5:$AF$195,12,)</f>
        <v>0</v>
      </c>
      <c r="L35" s="22">
        <f>VLOOKUP(A35,BUFFS!$H$5:$AF$195,14,)</f>
        <v>0</v>
      </c>
      <c r="M35" s="23">
        <f t="shared" si="2"/>
        <v>0</v>
      </c>
      <c r="N35" s="4">
        <f>VLOOKUP(A35,BUFFS!$H$5:$AF$195,15,)</f>
        <v>0</v>
      </c>
      <c r="O35">
        <f>VLOOKUP(A35,BUFFS!$H$5:$AF$195,16,)</f>
        <v>0</v>
      </c>
      <c r="P35">
        <f>VLOOKUP(A35,BUFFS!$H$5:$AF$195,17,)</f>
        <v>0</v>
      </c>
      <c r="Q35">
        <f>VLOOKUP(A35,BUFFS!$H$5:$AF$195,19,)</f>
        <v>0</v>
      </c>
      <c r="R35">
        <f t="shared" si="3"/>
        <v>0</v>
      </c>
    </row>
    <row r="36" spans="1:18" ht="15.75" x14ac:dyDescent="0.25">
      <c r="A36" s="29" t="s">
        <v>96</v>
      </c>
      <c r="B36">
        <v>12</v>
      </c>
      <c r="C36" s="35" t="str">
        <f>VLOOKUP(A36,BUFFS!$H$5:$AF$195,5,)</f>
        <v>AC</v>
      </c>
      <c r="D36" s="22" t="str">
        <f>VLOOKUP(A36,BUFFS!$H$5:$AF$195,6,)</f>
        <v xml:space="preserve">Enhancement Armor Bonus </v>
      </c>
      <c r="E36" s="36">
        <f>VLOOKUP(A36,BUFFS!$H$5:$AF$195,7,)</f>
        <v>0</v>
      </c>
      <c r="F36" s="22">
        <f>VLOOKUP(A36,BUFFS!$H$5:$AF$195,9,)</f>
        <v>0.25</v>
      </c>
      <c r="G36" s="36">
        <f t="shared" si="1"/>
        <v>3</v>
      </c>
      <c r="H36" s="23">
        <f>VLOOKUP(A36,BUFFS!$H$5:$AF$195,8,)</f>
        <v>3</v>
      </c>
      <c r="I36" s="35">
        <f>VLOOKUP(A36,BUFFS!$H$5:$AF$195,10,)</f>
        <v>0</v>
      </c>
      <c r="J36" s="22">
        <f>VLOOKUP(A36,BUFFS!$H$5:$AF$195,11,)</f>
        <v>0</v>
      </c>
      <c r="K36" s="22">
        <f>VLOOKUP(A36,BUFFS!$H$5:$AF$195,12,)</f>
        <v>0</v>
      </c>
      <c r="L36" s="22">
        <f>VLOOKUP(A36,BUFFS!$H$5:$AF$195,14,)</f>
        <v>0</v>
      </c>
      <c r="M36" s="23">
        <f t="shared" si="2"/>
        <v>0</v>
      </c>
      <c r="N36" s="4">
        <f>VLOOKUP(A36,BUFFS!$H$5:$AF$195,15,)</f>
        <v>0</v>
      </c>
      <c r="O36">
        <f>VLOOKUP(A36,BUFFS!$H$5:$AF$195,16,)</f>
        <v>0</v>
      </c>
      <c r="P36">
        <f>VLOOKUP(A36,BUFFS!$H$5:$AF$195,17,)</f>
        <v>0</v>
      </c>
      <c r="Q36">
        <f>VLOOKUP(A36,BUFFS!$H$5:$AF$195,19,)</f>
        <v>0</v>
      </c>
      <c r="R36">
        <f t="shared" si="3"/>
        <v>0</v>
      </c>
    </row>
    <row r="37" spans="1:18" ht="15.75" x14ac:dyDescent="0.25">
      <c r="A37" s="29" t="s">
        <v>95</v>
      </c>
      <c r="B37">
        <v>15</v>
      </c>
      <c r="C37" s="35" t="str">
        <f>VLOOKUP(A37,BUFFS!$H$5:$AF$195,5,)</f>
        <v>AC</v>
      </c>
      <c r="D37" s="22" t="str">
        <f>VLOOKUP(A37,BUFFS!$H$5:$AF$195,6,)</f>
        <v>Enhancement Shield Bonus</v>
      </c>
      <c r="E37" s="36">
        <f>VLOOKUP(A37,BUFFS!$H$5:$AF$195,7,)</f>
        <v>0</v>
      </c>
      <c r="F37" s="22">
        <f>VLOOKUP(A37,BUFFS!$H$5:$AF$195,9,)</f>
        <v>0.25</v>
      </c>
      <c r="G37" s="36">
        <f t="shared" si="1"/>
        <v>3</v>
      </c>
      <c r="H37" s="23">
        <f>VLOOKUP(A37,BUFFS!$H$5:$AF$195,8,)</f>
        <v>3</v>
      </c>
      <c r="I37" s="35">
        <f>VLOOKUP(A37,BUFFS!$H$5:$AF$195,10,)</f>
        <v>0</v>
      </c>
      <c r="J37" s="22">
        <f>VLOOKUP(A37,BUFFS!$H$5:$AF$195,11,)</f>
        <v>0</v>
      </c>
      <c r="K37" s="22">
        <f>VLOOKUP(A37,BUFFS!$H$5:$AF$195,12,)</f>
        <v>0</v>
      </c>
      <c r="L37" s="22">
        <f>VLOOKUP(A37,BUFFS!$H$5:$AF$195,14,)</f>
        <v>0</v>
      </c>
      <c r="M37" s="23">
        <f t="shared" si="2"/>
        <v>0</v>
      </c>
      <c r="N37" s="4">
        <f>VLOOKUP(A37,BUFFS!$H$5:$AF$195,15,)</f>
        <v>0</v>
      </c>
      <c r="O37">
        <f>VLOOKUP(A37,BUFFS!$H$5:$AF$195,16,)</f>
        <v>0</v>
      </c>
      <c r="P37">
        <f>VLOOKUP(A37,BUFFS!$H$5:$AF$195,17,)</f>
        <v>0</v>
      </c>
      <c r="Q37">
        <f>VLOOKUP(A37,BUFFS!$H$5:$AF$195,19,)</f>
        <v>0</v>
      </c>
      <c r="R37">
        <f t="shared" si="3"/>
        <v>0</v>
      </c>
    </row>
    <row r="38" spans="1:18" ht="15.75" x14ac:dyDescent="0.25">
      <c r="A38" s="29" t="s">
        <v>87</v>
      </c>
      <c r="B38">
        <v>18</v>
      </c>
      <c r="C38" s="35" t="str">
        <f>VLOOKUP(A38,BUFFS!$H$5:$AF$195,5,)</f>
        <v>AC</v>
      </c>
      <c r="D38" s="22" t="str">
        <f>VLOOKUP(A38,BUFFS!$H$5:$AF$195,6,)</f>
        <v xml:space="preserve">Deflection Bonus </v>
      </c>
      <c r="E38" s="36">
        <f>VLOOKUP(A38,BUFFS!$H$5:$AF$195,7,)</f>
        <v>2</v>
      </c>
      <c r="F38" s="22">
        <f>VLOOKUP(A38,BUFFS!$H$5:$AF$195,9,)</f>
        <v>0.16666666666666666</v>
      </c>
      <c r="G38" s="36">
        <f t="shared" si="1"/>
        <v>5</v>
      </c>
      <c r="H38" s="23">
        <f>VLOOKUP(A38,BUFFS!$H$5:$AF$195,8,)</f>
        <v>1</v>
      </c>
      <c r="I38" s="35">
        <f>VLOOKUP(A38,BUFFS!$H$5:$AF$195,10,)</f>
        <v>0</v>
      </c>
      <c r="J38" s="22">
        <f>VLOOKUP(A38,BUFFS!$H$5:$AF$195,11,)</f>
        <v>0</v>
      </c>
      <c r="K38" s="22">
        <f>VLOOKUP(A38,BUFFS!$H$5:$AF$195,12,)</f>
        <v>0</v>
      </c>
      <c r="L38" s="22">
        <f>VLOOKUP(A38,BUFFS!$H$5:$AF$195,14,)</f>
        <v>0</v>
      </c>
      <c r="M38" s="23">
        <f t="shared" si="2"/>
        <v>0</v>
      </c>
      <c r="N38" s="4">
        <f>VLOOKUP(A38,BUFFS!$H$5:$AF$195,15,)</f>
        <v>0</v>
      </c>
      <c r="O38">
        <f>VLOOKUP(A38,BUFFS!$H$5:$AF$195,16,)</f>
        <v>0</v>
      </c>
      <c r="P38">
        <f>VLOOKUP(A38,BUFFS!$H$5:$AF$195,17,)</f>
        <v>0</v>
      </c>
      <c r="Q38">
        <f>VLOOKUP(A38,BUFFS!$H$5:$AF$195,19,)</f>
        <v>0</v>
      </c>
      <c r="R38">
        <f t="shared" si="3"/>
        <v>0</v>
      </c>
    </row>
    <row r="39" spans="1:18" ht="15.75" x14ac:dyDescent="0.25">
      <c r="A39" s="29" t="s">
        <v>91</v>
      </c>
      <c r="B39">
        <v>18</v>
      </c>
      <c r="C39" s="35" t="str">
        <f>VLOOKUP(A39,BUFFS!$H$5:$AF$195,5,)</f>
        <v>attack</v>
      </c>
      <c r="D39" s="22" t="str">
        <f>VLOOKUP(A39,BUFFS!$H$5:$AF$195,6,)</f>
        <v>Enhancement Damage</v>
      </c>
      <c r="E39" s="36">
        <f>VLOOKUP(A39,BUFFS!$H$5:$AF$195,7,)</f>
        <v>0</v>
      </c>
      <c r="F39" s="22">
        <f>VLOOKUP(A39,BUFFS!$H$5:$AF$195,9,)</f>
        <v>0.25</v>
      </c>
      <c r="G39" s="36">
        <f t="shared" si="1"/>
        <v>4</v>
      </c>
      <c r="H39" s="23">
        <f>VLOOKUP(A39,BUFFS!$H$5:$AF$195,8,)</f>
        <v>3</v>
      </c>
      <c r="I39" s="35">
        <f>VLOOKUP(A39,BUFFS!$H$5:$AF$195,10,)</f>
        <v>0</v>
      </c>
      <c r="J39" s="22">
        <f>VLOOKUP(A39,BUFFS!$H$5:$AF$195,11,)</f>
        <v>0</v>
      </c>
      <c r="K39" s="22">
        <f>VLOOKUP(A39,BUFFS!$H$5:$AF$195,12,)</f>
        <v>0</v>
      </c>
      <c r="L39" s="22">
        <f>VLOOKUP(A39,BUFFS!$H$5:$AF$195,14,)</f>
        <v>0</v>
      </c>
      <c r="M39" s="23">
        <f t="shared" si="2"/>
        <v>0</v>
      </c>
      <c r="N39" s="4">
        <f>VLOOKUP(A39,BUFFS!$H$5:$AF$195,15,)</f>
        <v>0</v>
      </c>
      <c r="O39">
        <f>VLOOKUP(A39,BUFFS!$H$5:$AF$195,16,)</f>
        <v>0</v>
      </c>
      <c r="P39">
        <f>VLOOKUP(A39,BUFFS!$H$5:$AF$195,17,)</f>
        <v>0</v>
      </c>
      <c r="Q39">
        <f>VLOOKUP(A39,BUFFS!$H$5:$AF$195,19,)</f>
        <v>0</v>
      </c>
      <c r="R39">
        <f t="shared" si="3"/>
        <v>0</v>
      </c>
    </row>
    <row r="40" spans="1:18" ht="15.75" x14ac:dyDescent="0.25">
      <c r="A40" s="29"/>
      <c r="B40">
        <v>20</v>
      </c>
      <c r="C40" s="35" t="e">
        <f>VLOOKUP(A40,BUFFS!$H$5:$AF$195,5,)</f>
        <v>#N/A</v>
      </c>
      <c r="D40" s="22" t="e">
        <f>VLOOKUP(A40,BUFFS!$H$5:$AF$195,6,)</f>
        <v>#N/A</v>
      </c>
      <c r="E40" s="36" t="e">
        <f>VLOOKUP(A40,BUFFS!$H$5:$AF$195,7,)</f>
        <v>#N/A</v>
      </c>
      <c r="F40" s="22" t="e">
        <f>VLOOKUP(A40,BUFFS!$H$5:$AF$195,9,)</f>
        <v>#N/A</v>
      </c>
      <c r="G40" s="36" t="e">
        <f t="shared" si="1"/>
        <v>#N/A</v>
      </c>
      <c r="H40" s="23" t="e">
        <f>VLOOKUP(A40,BUFFS!$H$5:$AF$195,8,)</f>
        <v>#N/A</v>
      </c>
      <c r="I40" s="35" t="e">
        <f>VLOOKUP(A40,BUFFS!$H$5:$AF$195,10,)</f>
        <v>#N/A</v>
      </c>
      <c r="J40" s="22" t="e">
        <f>VLOOKUP(A40,BUFFS!$H$5:$AF$195,11,)</f>
        <v>#N/A</v>
      </c>
      <c r="K40" s="22" t="e">
        <f>VLOOKUP(A40,BUFFS!$H$5:$AF$195,12,)</f>
        <v>#N/A</v>
      </c>
      <c r="L40" s="22" t="e">
        <f>VLOOKUP(A40,BUFFS!$H$5:$AF$195,14,)</f>
        <v>#N/A</v>
      </c>
      <c r="M40" s="23" t="e">
        <f t="shared" si="2"/>
        <v>#N/A</v>
      </c>
      <c r="N40" s="4" t="e">
        <f>VLOOKUP(A40,BUFFS!$H$5:$AF$195,15,)</f>
        <v>#N/A</v>
      </c>
      <c r="O40" t="e">
        <f>VLOOKUP(A40,BUFFS!$H$5:$AF$195,16,)</f>
        <v>#N/A</v>
      </c>
      <c r="P40" t="e">
        <f>VLOOKUP(A40,BUFFS!$H$5:$AF$195,17,)</f>
        <v>#N/A</v>
      </c>
      <c r="Q40" t="e">
        <f>VLOOKUP(A40,BUFFS!$H$5:$AF$195,19,)</f>
        <v>#N/A</v>
      </c>
      <c r="R40" t="e">
        <f t="shared" si="3"/>
        <v>#N/A</v>
      </c>
    </row>
    <row r="41" spans="1:18" ht="15.75" x14ac:dyDescent="0.25">
      <c r="A41" s="29"/>
      <c r="B41">
        <v>10</v>
      </c>
      <c r="C41" s="35" t="e">
        <f>VLOOKUP(A41,BUFFS!$H$5:$AF$195,5,)</f>
        <v>#N/A</v>
      </c>
      <c r="D41" s="22" t="e">
        <f>VLOOKUP(A41,BUFFS!$H$5:$AF$195,6,)</f>
        <v>#N/A</v>
      </c>
      <c r="E41" s="36" t="e">
        <f>VLOOKUP(A41,BUFFS!$H$5:$AF$195,7,)</f>
        <v>#N/A</v>
      </c>
      <c r="F41" s="22" t="e">
        <f>VLOOKUP(A41,BUFFS!$H$5:$AF$195,9,)</f>
        <v>#N/A</v>
      </c>
      <c r="G41" s="36" t="e">
        <f t="shared" si="1"/>
        <v>#N/A</v>
      </c>
      <c r="H41" s="23" t="e">
        <f>VLOOKUP(A41,BUFFS!$H$5:$AF$195,8,)</f>
        <v>#N/A</v>
      </c>
      <c r="I41" s="35" t="e">
        <f>VLOOKUP(A41,BUFFS!$H$5:$AF$195,10,)</f>
        <v>#N/A</v>
      </c>
      <c r="J41" s="22" t="e">
        <f>VLOOKUP(A41,BUFFS!$H$5:$AF$195,11,)</f>
        <v>#N/A</v>
      </c>
      <c r="K41" s="22" t="e">
        <f>VLOOKUP(A41,BUFFS!$H$5:$AF$195,12,)</f>
        <v>#N/A</v>
      </c>
      <c r="L41" s="22" t="e">
        <f>VLOOKUP(A41,BUFFS!$H$5:$AF$195,14,)</f>
        <v>#N/A</v>
      </c>
      <c r="M41" s="23" t="e">
        <f t="shared" si="2"/>
        <v>#N/A</v>
      </c>
      <c r="N41" s="4" t="e">
        <f>VLOOKUP(A41,BUFFS!$H$5:$AF$195,15,)</f>
        <v>#N/A</v>
      </c>
      <c r="O41" t="e">
        <f>VLOOKUP(A41,BUFFS!$H$5:$AF$195,16,)</f>
        <v>#N/A</v>
      </c>
      <c r="P41" t="e">
        <f>VLOOKUP(A41,BUFFS!$H$5:$AF$195,17,)</f>
        <v>#N/A</v>
      </c>
      <c r="Q41" t="e">
        <f>VLOOKUP(A41,BUFFS!$H$5:$AF$195,19,)</f>
        <v>#N/A</v>
      </c>
      <c r="R41" t="e">
        <f t="shared" si="3"/>
        <v>#N/A</v>
      </c>
    </row>
    <row r="42" spans="1:18" ht="15.75" x14ac:dyDescent="0.25">
      <c r="A42" s="29"/>
      <c r="C42" s="21"/>
      <c r="D42" s="22"/>
      <c r="E42" s="22"/>
      <c r="F42" s="22"/>
      <c r="G42" s="22"/>
      <c r="H42" s="23"/>
      <c r="I42" s="21"/>
      <c r="J42" s="22"/>
      <c r="K42" s="22"/>
      <c r="L42" s="22"/>
      <c r="M42" s="23"/>
      <c r="N42" s="4" t="e">
        <f>VLOOKUP(A42,BUFFS!$H$5:$AF$195,15,)</f>
        <v>#N/A</v>
      </c>
      <c r="O42" t="e">
        <f>VLOOKUP(A42,BUFFS!$H$5:$AF$195,16,)</f>
        <v>#N/A</v>
      </c>
      <c r="P42" t="e">
        <f>VLOOKUP(A42,BUFFS!$H$5:$AF$195,17,)</f>
        <v>#N/A</v>
      </c>
      <c r="Q42" t="e">
        <f>VLOOKUP(A42,BUFFS!$H$5:$AF$195,19,)</f>
        <v>#N/A</v>
      </c>
      <c r="R42" t="e">
        <f t="shared" si="3"/>
        <v>#N/A</v>
      </c>
    </row>
    <row r="43" spans="1:18" ht="15.75" x14ac:dyDescent="0.25">
      <c r="A43" s="29"/>
      <c r="C43" s="21"/>
      <c r="D43" s="22"/>
      <c r="E43" s="22"/>
      <c r="F43" s="22"/>
      <c r="G43" s="22"/>
      <c r="H43" s="23"/>
      <c r="I43" s="21"/>
      <c r="J43" s="22"/>
      <c r="K43" s="22"/>
      <c r="L43" s="22"/>
      <c r="M43" s="23"/>
      <c r="N43" s="4" t="e">
        <f>VLOOKUP(A43,BUFFS!$H$5:$AF$195,15,)</f>
        <v>#N/A</v>
      </c>
      <c r="O43" t="e">
        <f>VLOOKUP(A43,BUFFS!$H$5:$AF$195,16,)</f>
        <v>#N/A</v>
      </c>
      <c r="P43" t="e">
        <f>VLOOKUP(A43,BUFFS!$H$5:$AF$195,17,)</f>
        <v>#N/A</v>
      </c>
      <c r="Q43" t="e">
        <f>VLOOKUP(A43,BUFFS!$H$5:$AF$195,19,)</f>
        <v>#N/A</v>
      </c>
      <c r="R43" t="e">
        <f t="shared" si="3"/>
        <v>#N/A</v>
      </c>
    </row>
    <row r="44" spans="1:18" ht="15.75" x14ac:dyDescent="0.25">
      <c r="A44" s="29"/>
      <c r="C44" s="21"/>
      <c r="D44" s="22"/>
      <c r="E44" s="22"/>
      <c r="F44" s="22"/>
      <c r="G44" s="22"/>
      <c r="H44" s="23"/>
      <c r="I44" s="21"/>
      <c r="J44" s="22"/>
      <c r="K44" s="22"/>
      <c r="L44" s="22"/>
      <c r="M44" s="23"/>
      <c r="N44" s="4" t="e">
        <f>VLOOKUP(A44,BUFFS!$H$5:$AF$195,15,)</f>
        <v>#N/A</v>
      </c>
      <c r="O44" t="e">
        <f>VLOOKUP(A44,BUFFS!$H$5:$AF$195,16,)</f>
        <v>#N/A</v>
      </c>
      <c r="P44" t="e">
        <f>VLOOKUP(A44,BUFFS!$H$5:$AF$195,17,)</f>
        <v>#N/A</v>
      </c>
      <c r="Q44" t="e">
        <f>VLOOKUP(A44,BUFFS!$H$5:$AF$195,19,)</f>
        <v>#N/A</v>
      </c>
      <c r="R44" t="e">
        <f t="shared" si="3"/>
        <v>#N/A</v>
      </c>
    </row>
    <row r="45" spans="1:18" ht="15.75" x14ac:dyDescent="0.25">
      <c r="A45" s="29"/>
      <c r="C45" s="21"/>
      <c r="D45" s="22"/>
      <c r="E45" s="22"/>
      <c r="F45" s="22"/>
      <c r="G45" s="22"/>
      <c r="H45" s="23"/>
      <c r="I45" s="21"/>
      <c r="J45" s="22"/>
      <c r="K45" s="22"/>
      <c r="L45" s="22"/>
      <c r="M45" s="23"/>
      <c r="N45" s="4" t="e">
        <f>VLOOKUP(A45,BUFFS!$H$5:$AF$195,15,)</f>
        <v>#N/A</v>
      </c>
      <c r="O45" t="e">
        <f>VLOOKUP(A45,BUFFS!$H$5:$AF$195,16,)</f>
        <v>#N/A</v>
      </c>
      <c r="P45" t="e">
        <f>VLOOKUP(A45,BUFFS!$H$5:$AF$195,17,)</f>
        <v>#N/A</v>
      </c>
      <c r="Q45" t="e">
        <f>VLOOKUP(A45,BUFFS!$H$5:$AF$195,19,)</f>
        <v>#N/A</v>
      </c>
      <c r="R45" t="e">
        <f t="shared" si="3"/>
        <v>#N/A</v>
      </c>
    </row>
    <row r="46" spans="1:18" ht="15.75" x14ac:dyDescent="0.25">
      <c r="A46" s="29"/>
      <c r="C46" s="21"/>
      <c r="D46" s="22"/>
      <c r="E46" s="22"/>
      <c r="F46" s="22"/>
      <c r="G46" s="22"/>
      <c r="H46" s="23"/>
      <c r="I46" s="21"/>
      <c r="J46" s="22"/>
      <c r="K46" s="22"/>
      <c r="L46" s="22"/>
      <c r="M46" s="23"/>
    </row>
    <row r="47" spans="1:18" ht="15.75" x14ac:dyDescent="0.25">
      <c r="A47" s="29"/>
      <c r="C47" s="21"/>
      <c r="D47" s="22"/>
      <c r="E47" s="22"/>
      <c r="F47" s="22"/>
      <c r="G47" s="22"/>
      <c r="H47" s="23"/>
      <c r="I47" s="21"/>
      <c r="J47" s="22"/>
      <c r="K47" s="22"/>
      <c r="L47" s="22"/>
      <c r="M47" s="23"/>
    </row>
    <row r="48" spans="1:18" ht="15.75" x14ac:dyDescent="0.25">
      <c r="A48" s="29"/>
      <c r="C48" s="21"/>
      <c r="D48" s="22"/>
      <c r="E48" s="22"/>
      <c r="F48" s="22"/>
      <c r="G48" s="22"/>
      <c r="H48" s="23"/>
      <c r="I48" s="21"/>
      <c r="J48" s="22"/>
      <c r="K48" s="22"/>
      <c r="L48" s="22"/>
      <c r="M48" s="23"/>
    </row>
    <row r="49" spans="1:13" ht="15.75" x14ac:dyDescent="0.25">
      <c r="A49" s="29"/>
      <c r="C49" s="21"/>
      <c r="D49" s="22"/>
      <c r="E49" s="22"/>
      <c r="F49" s="22"/>
      <c r="G49" s="22"/>
      <c r="H49" s="23"/>
      <c r="I49" s="21"/>
      <c r="J49" s="22"/>
      <c r="K49" s="22"/>
      <c r="L49" s="22"/>
      <c r="M49" s="23"/>
    </row>
    <row r="50" spans="1:13" ht="15.75" x14ac:dyDescent="0.25">
      <c r="A50" s="29"/>
      <c r="C50" s="21"/>
      <c r="D50" s="22"/>
      <c r="E50" s="22"/>
      <c r="F50" s="22"/>
      <c r="G50" s="22"/>
      <c r="H50" s="23"/>
      <c r="I50" s="21"/>
      <c r="J50" s="22"/>
      <c r="K50" s="22"/>
      <c r="L50" s="22"/>
      <c r="M50" s="23"/>
    </row>
    <row r="51" spans="1:13" ht="15.75" x14ac:dyDescent="0.25">
      <c r="A51" s="29"/>
      <c r="C51" s="21"/>
      <c r="D51" s="22"/>
      <c r="E51" s="22"/>
      <c r="F51" s="22"/>
      <c r="G51" s="22"/>
      <c r="H51" s="23"/>
      <c r="I51" s="21"/>
      <c r="J51" s="22"/>
      <c r="K51" s="22"/>
      <c r="L51" s="22"/>
      <c r="M51" s="23"/>
    </row>
    <row r="52" spans="1:13" ht="15.75" x14ac:dyDescent="0.25">
      <c r="A52" s="29"/>
      <c r="C52" s="21"/>
      <c r="D52" s="22"/>
      <c r="E52" s="22"/>
      <c r="F52" s="22"/>
      <c r="G52" s="22"/>
      <c r="H52" s="23"/>
      <c r="I52" s="21"/>
      <c r="J52" s="22"/>
      <c r="K52" s="22"/>
      <c r="L52" s="22"/>
      <c r="M52" s="23"/>
    </row>
    <row r="53" spans="1:13" ht="15.75" x14ac:dyDescent="0.25">
      <c r="A53" s="29"/>
      <c r="C53" s="21"/>
      <c r="D53" s="22"/>
      <c r="E53" s="22"/>
      <c r="F53" s="22"/>
      <c r="G53" s="22"/>
      <c r="H53" s="23"/>
      <c r="I53" s="21"/>
      <c r="J53" s="22"/>
      <c r="K53" s="22"/>
      <c r="L53" s="22"/>
      <c r="M53" s="23"/>
    </row>
    <row r="54" spans="1:13" x14ac:dyDescent="0.3">
      <c r="C54" s="21"/>
      <c r="D54" s="22"/>
      <c r="E54" s="22"/>
      <c r="F54" s="22"/>
      <c r="G54" s="22"/>
      <c r="H54" s="23"/>
      <c r="I54" s="21"/>
      <c r="J54" s="22"/>
      <c r="K54" s="22"/>
      <c r="L54" s="22"/>
      <c r="M54" s="23"/>
    </row>
    <row r="55" spans="1:13" x14ac:dyDescent="0.3">
      <c r="C55" s="21"/>
      <c r="D55" s="22"/>
      <c r="E55" s="22"/>
      <c r="F55" s="22"/>
      <c r="G55" s="22"/>
      <c r="H55" s="23"/>
      <c r="I55" s="21"/>
      <c r="J55" s="22"/>
      <c r="K55" s="22"/>
      <c r="L55" s="22"/>
      <c r="M55" s="23"/>
    </row>
    <row r="56" spans="1:13" x14ac:dyDescent="0.3">
      <c r="C56" s="21"/>
      <c r="D56" s="22"/>
      <c r="E56" s="22"/>
      <c r="F56" s="22"/>
      <c r="G56" s="22"/>
      <c r="H56" s="23"/>
      <c r="I56" s="21"/>
      <c r="J56" s="22"/>
      <c r="K56" s="22"/>
      <c r="L56" s="22"/>
      <c r="M56" s="23"/>
    </row>
    <row r="57" spans="1:13" x14ac:dyDescent="0.3">
      <c r="C57" s="21"/>
      <c r="D57" s="22"/>
      <c r="E57" s="22"/>
      <c r="F57" s="22"/>
      <c r="G57" s="22"/>
      <c r="H57" s="23"/>
      <c r="I57" s="21"/>
      <c r="J57" s="22"/>
      <c r="K57" s="22"/>
      <c r="L57" s="22"/>
      <c r="M57" s="23"/>
    </row>
    <row r="58" spans="1:13" x14ac:dyDescent="0.3">
      <c r="C58" s="21"/>
      <c r="D58" s="22"/>
      <c r="E58" s="22"/>
      <c r="F58" s="22"/>
      <c r="G58" s="22"/>
      <c r="H58" s="23"/>
      <c r="I58" s="21"/>
      <c r="J58" s="22"/>
      <c r="K58" s="22"/>
      <c r="L58" s="22"/>
      <c r="M58" s="23"/>
    </row>
    <row r="59" spans="1:13" x14ac:dyDescent="0.3">
      <c r="C59" s="21"/>
      <c r="D59" s="22"/>
      <c r="E59" s="22"/>
      <c r="F59" s="22"/>
      <c r="G59" s="22"/>
      <c r="H59" s="23"/>
      <c r="I59" s="21"/>
      <c r="J59" s="22"/>
      <c r="K59" s="22"/>
      <c r="L59" s="22"/>
      <c r="M59" s="23"/>
    </row>
    <row r="60" spans="1:13" x14ac:dyDescent="0.3">
      <c r="C60" s="21"/>
      <c r="D60" s="22"/>
      <c r="E60" s="22"/>
      <c r="F60" s="22"/>
      <c r="G60" s="22"/>
      <c r="H60" s="23"/>
      <c r="I60" s="21"/>
      <c r="J60" s="22"/>
      <c r="K60" s="22"/>
      <c r="L60" s="22"/>
      <c r="M60" s="23"/>
    </row>
    <row r="61" spans="1:13" x14ac:dyDescent="0.3">
      <c r="C61" s="21"/>
      <c r="D61" s="22"/>
      <c r="E61" s="22"/>
      <c r="F61" s="22"/>
      <c r="G61" s="22"/>
      <c r="H61" s="23"/>
      <c r="I61" s="21"/>
      <c r="J61" s="22"/>
      <c r="K61" s="22"/>
      <c r="L61" s="22"/>
      <c r="M61" s="23"/>
    </row>
    <row r="62" spans="1:13" x14ac:dyDescent="0.3">
      <c r="C62" s="21"/>
      <c r="D62" s="22"/>
      <c r="E62" s="22"/>
      <c r="F62" s="22"/>
      <c r="G62" s="22"/>
      <c r="H62" s="23"/>
      <c r="I62" s="21"/>
      <c r="J62" s="22"/>
      <c r="K62" s="22"/>
      <c r="L62" s="22"/>
      <c r="M62" s="23"/>
    </row>
    <row r="63" spans="1:13" x14ac:dyDescent="0.3">
      <c r="C63" s="21"/>
      <c r="D63" s="22"/>
      <c r="E63" s="22"/>
      <c r="F63" s="22"/>
      <c r="G63" s="22"/>
      <c r="H63" s="23"/>
      <c r="I63" s="21"/>
      <c r="J63" s="22"/>
      <c r="K63" s="22"/>
      <c r="L63" s="22"/>
      <c r="M63" s="23"/>
    </row>
    <row r="64" spans="1:13" x14ac:dyDescent="0.3">
      <c r="C64" s="21"/>
      <c r="D64" s="22"/>
      <c r="E64" s="22"/>
      <c r="F64" s="22"/>
      <c r="G64" s="22"/>
      <c r="H64" s="23"/>
      <c r="I64" s="21"/>
      <c r="J64" s="22"/>
      <c r="K64" s="22"/>
      <c r="L64" s="22"/>
      <c r="M64" s="23"/>
    </row>
    <row r="65" spans="3:13" x14ac:dyDescent="0.3">
      <c r="C65" s="21"/>
      <c r="D65" s="22"/>
      <c r="E65" s="22"/>
      <c r="F65" s="22"/>
      <c r="G65" s="22"/>
      <c r="H65" s="23"/>
      <c r="I65" s="21"/>
      <c r="J65" s="22"/>
      <c r="K65" s="22"/>
      <c r="L65" s="22"/>
      <c r="M65" s="23"/>
    </row>
    <row r="66" spans="3:13" x14ac:dyDescent="0.3">
      <c r="C66" s="21"/>
      <c r="D66" s="22"/>
      <c r="E66" s="22"/>
      <c r="F66" s="22"/>
      <c r="G66" s="22"/>
      <c r="H66" s="23"/>
      <c r="I66" s="21"/>
      <c r="J66" s="22"/>
      <c r="K66" s="22"/>
      <c r="L66" s="22"/>
      <c r="M66" s="23"/>
    </row>
    <row r="67" spans="3:13" x14ac:dyDescent="0.3">
      <c r="C67" s="21"/>
      <c r="D67" s="22"/>
      <c r="E67" s="22"/>
      <c r="F67" s="22"/>
      <c r="G67" s="22"/>
      <c r="H67" s="23"/>
      <c r="I67" s="21"/>
      <c r="J67" s="22"/>
      <c r="K67" s="22"/>
      <c r="L67" s="22"/>
      <c r="M67" s="23"/>
    </row>
    <row r="68" spans="3:13" x14ac:dyDescent="0.3">
      <c r="C68" s="21"/>
      <c r="D68" s="22"/>
      <c r="E68" s="22"/>
      <c r="F68" s="22"/>
      <c r="G68" s="22"/>
      <c r="H68" s="23"/>
      <c r="I68" s="21"/>
      <c r="J68" s="22"/>
      <c r="K68" s="22"/>
      <c r="L68" s="22"/>
      <c r="M68" s="23"/>
    </row>
    <row r="69" spans="3:13" x14ac:dyDescent="0.3">
      <c r="C69" s="21"/>
      <c r="D69" s="22"/>
      <c r="E69" s="22"/>
      <c r="F69" s="22"/>
      <c r="G69" s="22"/>
      <c r="H69" s="23"/>
      <c r="I69" s="21"/>
      <c r="J69" s="22"/>
      <c r="K69" s="22"/>
      <c r="L69" s="22"/>
      <c r="M69" s="23"/>
    </row>
    <row r="70" spans="3:13" x14ac:dyDescent="0.3">
      <c r="C70" s="21"/>
      <c r="D70" s="22"/>
      <c r="E70" s="22"/>
      <c r="F70" s="22"/>
      <c r="G70" s="22"/>
      <c r="H70" s="23"/>
      <c r="I70" s="21"/>
      <c r="J70" s="22"/>
      <c r="K70" s="22"/>
      <c r="L70" s="22"/>
      <c r="M70" s="23"/>
    </row>
    <row r="71" spans="3:13" x14ac:dyDescent="0.3">
      <c r="C71" s="21"/>
      <c r="D71" s="22"/>
      <c r="E71" s="22"/>
      <c r="F71" s="22"/>
      <c r="G71" s="22"/>
      <c r="H71" s="23"/>
      <c r="I71" s="21"/>
      <c r="J71" s="22"/>
      <c r="K71" s="22"/>
      <c r="L71" s="22"/>
      <c r="M71" s="23"/>
    </row>
    <row r="72" spans="3:13" x14ac:dyDescent="0.3">
      <c r="C72" s="21"/>
      <c r="D72" s="22"/>
      <c r="E72" s="22"/>
      <c r="F72" s="22"/>
      <c r="G72" s="22"/>
      <c r="H72" s="23"/>
      <c r="I72" s="21"/>
      <c r="J72" s="22"/>
      <c r="K72" s="22"/>
      <c r="L72" s="22"/>
      <c r="M72" s="23"/>
    </row>
    <row r="73" spans="3:13" x14ac:dyDescent="0.3">
      <c r="C73" s="21"/>
      <c r="D73" s="22"/>
      <c r="E73" s="22"/>
      <c r="F73" s="22"/>
      <c r="G73" s="22"/>
      <c r="H73" s="23"/>
      <c r="I73" s="21"/>
      <c r="J73" s="22"/>
      <c r="K73" s="22"/>
      <c r="L73" s="22"/>
      <c r="M73" s="23"/>
    </row>
    <row r="74" spans="3:13" x14ac:dyDescent="0.3">
      <c r="C74" s="21"/>
      <c r="D74" s="22"/>
      <c r="E74" s="22"/>
      <c r="F74" s="22"/>
      <c r="G74" s="22"/>
      <c r="H74" s="23"/>
      <c r="I74" s="21"/>
      <c r="J74" s="22"/>
      <c r="K74" s="22"/>
      <c r="L74" s="22"/>
      <c r="M74" s="23"/>
    </row>
    <row r="75" spans="3:13" x14ac:dyDescent="0.3">
      <c r="C75" s="21"/>
      <c r="D75" s="22"/>
      <c r="E75" s="22"/>
      <c r="F75" s="22"/>
      <c r="G75" s="22"/>
      <c r="H75" s="23"/>
      <c r="I75" s="21"/>
      <c r="J75" s="22"/>
      <c r="K75" s="22"/>
      <c r="L75" s="22"/>
      <c r="M75" s="23"/>
    </row>
    <row r="76" spans="3:13" x14ac:dyDescent="0.3">
      <c r="C76" s="21"/>
      <c r="D76" s="22"/>
      <c r="E76" s="22"/>
      <c r="F76" s="22"/>
      <c r="G76" s="22"/>
      <c r="H76" s="23"/>
      <c r="I76" s="21"/>
      <c r="J76" s="22"/>
      <c r="K76" s="22"/>
      <c r="L76" s="22"/>
      <c r="M76" s="23"/>
    </row>
    <row r="77" spans="3:13" x14ac:dyDescent="0.3">
      <c r="C77" s="21"/>
      <c r="D77" s="22"/>
      <c r="E77" s="22"/>
      <c r="F77" s="22"/>
      <c r="G77" s="22"/>
      <c r="H77" s="23"/>
      <c r="I77" s="21"/>
      <c r="J77" s="22"/>
      <c r="K77" s="22"/>
      <c r="L77" s="22"/>
      <c r="M77" s="23"/>
    </row>
    <row r="78" spans="3:13" x14ac:dyDescent="0.3">
      <c r="C78" s="21"/>
      <c r="D78" s="22"/>
      <c r="E78" s="22"/>
      <c r="F78" s="22"/>
      <c r="G78" s="22"/>
      <c r="H78" s="23"/>
      <c r="I78" s="21"/>
      <c r="J78" s="22"/>
      <c r="K78" s="22"/>
      <c r="L78" s="22"/>
      <c r="M78" s="23"/>
    </row>
    <row r="79" spans="3:13" x14ac:dyDescent="0.3">
      <c r="C79" s="21"/>
      <c r="D79" s="22"/>
      <c r="E79" s="22"/>
      <c r="F79" s="22"/>
      <c r="G79" s="22"/>
      <c r="H79" s="23"/>
      <c r="I79" s="21"/>
      <c r="J79" s="22"/>
      <c r="K79" s="22"/>
      <c r="L79" s="22"/>
      <c r="M79" s="23"/>
    </row>
    <row r="80" spans="3:13" x14ac:dyDescent="0.3">
      <c r="C80" s="21"/>
      <c r="D80" s="22"/>
      <c r="E80" s="22"/>
      <c r="F80" s="22"/>
      <c r="G80" s="22"/>
      <c r="H80" s="23"/>
      <c r="I80" s="21"/>
      <c r="J80" s="22"/>
      <c r="K80" s="22"/>
      <c r="L80" s="22"/>
      <c r="M80" s="23"/>
    </row>
    <row r="81" spans="3:13" x14ac:dyDescent="0.3">
      <c r="C81" s="21"/>
      <c r="D81" s="22"/>
      <c r="E81" s="22"/>
      <c r="F81" s="22"/>
      <c r="G81" s="22"/>
      <c r="H81" s="23"/>
      <c r="I81" s="21"/>
      <c r="J81" s="22"/>
      <c r="K81" s="22"/>
      <c r="L81" s="22"/>
      <c r="M81" s="23"/>
    </row>
    <row r="82" spans="3:13" x14ac:dyDescent="0.3">
      <c r="C82" s="21"/>
      <c r="D82" s="22"/>
      <c r="E82" s="22"/>
      <c r="F82" s="22"/>
      <c r="G82" s="22"/>
      <c r="H82" s="23"/>
      <c r="I82" s="21"/>
      <c r="J82" s="22"/>
      <c r="K82" s="22"/>
      <c r="L82" s="22"/>
      <c r="M82" s="23"/>
    </row>
    <row r="83" spans="3:13" x14ac:dyDescent="0.3">
      <c r="C83" s="21"/>
      <c r="D83" s="22"/>
      <c r="E83" s="22"/>
      <c r="F83" s="22"/>
      <c r="G83" s="22"/>
      <c r="H83" s="23"/>
      <c r="I83" s="21"/>
      <c r="J83" s="22"/>
      <c r="K83" s="22"/>
      <c r="L83" s="22"/>
      <c r="M83" s="23"/>
    </row>
    <row r="84" spans="3:13" x14ac:dyDescent="0.3">
      <c r="C84" s="21"/>
      <c r="D84" s="22"/>
      <c r="E84" s="22"/>
      <c r="F84" s="22"/>
      <c r="G84" s="22"/>
      <c r="H84" s="23"/>
      <c r="I84" s="21"/>
      <c r="J84" s="22"/>
      <c r="K84" s="22"/>
      <c r="L84" s="22"/>
      <c r="M84" s="23"/>
    </row>
    <row r="85" spans="3:13" x14ac:dyDescent="0.3">
      <c r="C85" s="21"/>
      <c r="D85" s="22"/>
      <c r="E85" s="22"/>
      <c r="F85" s="22"/>
      <c r="G85" s="22"/>
      <c r="H85" s="23"/>
      <c r="I85" s="21"/>
      <c r="J85" s="22"/>
      <c r="K85" s="22"/>
      <c r="L85" s="22"/>
      <c r="M85" s="23"/>
    </row>
    <row r="86" spans="3:13" x14ac:dyDescent="0.3">
      <c r="C86" s="21"/>
      <c r="D86" s="22"/>
      <c r="E86" s="22"/>
      <c r="F86" s="22"/>
      <c r="G86" s="22"/>
      <c r="H86" s="23"/>
      <c r="I86" s="21"/>
      <c r="J86" s="22"/>
      <c r="K86" s="22"/>
      <c r="L86" s="22"/>
      <c r="M86" s="23"/>
    </row>
    <row r="87" spans="3:13" x14ac:dyDescent="0.3">
      <c r="C87" s="21"/>
      <c r="D87" s="22"/>
      <c r="E87" s="22"/>
      <c r="F87" s="22"/>
      <c r="G87" s="22"/>
      <c r="H87" s="23"/>
      <c r="I87" s="21"/>
      <c r="J87" s="22"/>
      <c r="K87" s="22"/>
      <c r="L87" s="22"/>
      <c r="M87" s="23"/>
    </row>
    <row r="88" spans="3:13" x14ac:dyDescent="0.3">
      <c r="C88" s="21"/>
      <c r="D88" s="22"/>
      <c r="E88" s="22"/>
      <c r="F88" s="22"/>
      <c r="G88" s="22"/>
      <c r="H88" s="23"/>
      <c r="I88" s="21"/>
      <c r="J88" s="22"/>
      <c r="K88" s="22"/>
      <c r="L88" s="22"/>
      <c r="M88" s="23"/>
    </row>
    <row r="89" spans="3:13" x14ac:dyDescent="0.3">
      <c r="C89" s="21"/>
      <c r="D89" s="22"/>
      <c r="E89" s="22"/>
      <c r="F89" s="22"/>
      <c r="G89" s="22"/>
      <c r="H89" s="23"/>
      <c r="I89" s="21"/>
      <c r="J89" s="22"/>
      <c r="K89" s="22"/>
      <c r="L89" s="22"/>
      <c r="M89" s="23"/>
    </row>
    <row r="90" spans="3:13" x14ac:dyDescent="0.3">
      <c r="C90" s="21"/>
      <c r="D90" s="22"/>
      <c r="E90" s="22"/>
      <c r="F90" s="22"/>
      <c r="G90" s="22"/>
      <c r="H90" s="23"/>
      <c r="I90" s="21"/>
      <c r="J90" s="22"/>
      <c r="K90" s="22"/>
      <c r="L90" s="22"/>
      <c r="M90" s="23"/>
    </row>
    <row r="91" spans="3:13" x14ac:dyDescent="0.3">
      <c r="C91" s="21"/>
      <c r="D91" s="22"/>
      <c r="E91" s="22"/>
      <c r="F91" s="22"/>
      <c r="G91" s="22"/>
      <c r="H91" s="23"/>
      <c r="I91" s="21"/>
      <c r="J91" s="22"/>
      <c r="K91" s="22"/>
      <c r="L91" s="22"/>
      <c r="M91" s="23"/>
    </row>
    <row r="92" spans="3:13" x14ac:dyDescent="0.3">
      <c r="C92" s="21"/>
      <c r="D92" s="22"/>
      <c r="E92" s="22"/>
      <c r="F92" s="22"/>
      <c r="G92" s="22"/>
      <c r="H92" s="23"/>
      <c r="I92" s="21"/>
      <c r="J92" s="22"/>
      <c r="K92" s="22"/>
      <c r="L92" s="22"/>
      <c r="M92" s="23"/>
    </row>
    <row r="93" spans="3:13" x14ac:dyDescent="0.3">
      <c r="C93" s="21"/>
      <c r="D93" s="22"/>
      <c r="E93" s="22"/>
      <c r="F93" s="22"/>
      <c r="G93" s="22"/>
      <c r="H93" s="23"/>
      <c r="I93" s="21"/>
      <c r="J93" s="22"/>
      <c r="K93" s="22"/>
      <c r="L93" s="22"/>
      <c r="M93" s="23"/>
    </row>
    <row r="94" spans="3:13" x14ac:dyDescent="0.3">
      <c r="C94" s="21"/>
      <c r="D94" s="22"/>
      <c r="E94" s="22"/>
      <c r="F94" s="22"/>
      <c r="G94" s="22"/>
      <c r="H94" s="23"/>
      <c r="I94" s="21"/>
      <c r="J94" s="22"/>
      <c r="K94" s="22"/>
      <c r="L94" s="22"/>
      <c r="M94" s="23"/>
    </row>
    <row r="95" spans="3:13" x14ac:dyDescent="0.3">
      <c r="C95" s="21"/>
      <c r="D95" s="22"/>
      <c r="E95" s="22"/>
      <c r="F95" s="22"/>
      <c r="G95" s="22"/>
      <c r="H95" s="23"/>
      <c r="I95" s="21"/>
      <c r="J95" s="22"/>
      <c r="K95" s="22"/>
      <c r="L95" s="22"/>
      <c r="M95" s="23"/>
    </row>
    <row r="96" spans="3:13" x14ac:dyDescent="0.3">
      <c r="C96" s="21"/>
      <c r="D96" s="22"/>
      <c r="E96" s="22"/>
      <c r="F96" s="22"/>
      <c r="G96" s="22"/>
      <c r="H96" s="23"/>
      <c r="I96" s="21"/>
      <c r="J96" s="22"/>
      <c r="K96" s="22"/>
      <c r="L96" s="22"/>
      <c r="M96" s="23"/>
    </row>
    <row r="97" spans="3:13" x14ac:dyDescent="0.3">
      <c r="C97" s="21"/>
      <c r="D97" s="22"/>
      <c r="E97" s="22"/>
      <c r="F97" s="22"/>
      <c r="G97" s="22"/>
      <c r="H97" s="23"/>
      <c r="I97" s="21"/>
      <c r="J97" s="22"/>
      <c r="K97" s="22"/>
      <c r="L97" s="22"/>
      <c r="M97" s="23"/>
    </row>
    <row r="98" spans="3:13" x14ac:dyDescent="0.3">
      <c r="C98" s="21"/>
      <c r="D98" s="22"/>
      <c r="E98" s="22"/>
      <c r="F98" s="22"/>
      <c r="G98" s="22"/>
      <c r="H98" s="23"/>
      <c r="I98" s="21"/>
      <c r="J98" s="22"/>
      <c r="K98" s="22"/>
      <c r="L98" s="22"/>
      <c r="M98" s="23"/>
    </row>
    <row r="99" spans="3:13" x14ac:dyDescent="0.3">
      <c r="C99" s="21"/>
      <c r="D99" s="22"/>
      <c r="E99" s="22"/>
      <c r="F99" s="22"/>
      <c r="G99" s="22"/>
      <c r="H99" s="23"/>
      <c r="I99" s="21"/>
      <c r="J99" s="22"/>
      <c r="K99" s="22"/>
      <c r="L99" s="22"/>
      <c r="M99" s="23"/>
    </row>
    <row r="100" spans="3:13" x14ac:dyDescent="0.3">
      <c r="C100" s="21"/>
      <c r="D100" s="22"/>
      <c r="E100" s="22"/>
      <c r="F100" s="22"/>
      <c r="G100" s="22"/>
      <c r="H100" s="23"/>
      <c r="I100" s="21"/>
      <c r="J100" s="22"/>
      <c r="K100" s="22"/>
      <c r="L100" s="22"/>
      <c r="M100" s="23"/>
    </row>
    <row r="101" spans="3:13" x14ac:dyDescent="0.3">
      <c r="C101" s="21"/>
      <c r="D101" s="22"/>
      <c r="E101" s="22"/>
      <c r="F101" s="22"/>
      <c r="G101" s="22"/>
      <c r="H101" s="23"/>
      <c r="I101" s="21"/>
      <c r="J101" s="22"/>
      <c r="K101" s="22"/>
      <c r="L101" s="22"/>
      <c r="M101" s="23"/>
    </row>
    <row r="102" spans="3:13" x14ac:dyDescent="0.3">
      <c r="C102" s="21"/>
      <c r="D102" s="22"/>
      <c r="E102" s="22"/>
      <c r="F102" s="22"/>
      <c r="G102" s="22"/>
      <c r="H102" s="23"/>
      <c r="I102" s="21"/>
      <c r="J102" s="22"/>
      <c r="K102" s="22"/>
      <c r="L102" s="22"/>
      <c r="M102" s="23"/>
    </row>
    <row r="103" spans="3:13" x14ac:dyDescent="0.3">
      <c r="C103" s="21"/>
      <c r="D103" s="22"/>
      <c r="E103" s="22"/>
      <c r="F103" s="22"/>
      <c r="G103" s="22"/>
      <c r="H103" s="23"/>
      <c r="I103" s="21"/>
      <c r="J103" s="22"/>
      <c r="K103" s="22"/>
      <c r="L103" s="22"/>
      <c r="M103" s="23"/>
    </row>
    <row r="104" spans="3:13" x14ac:dyDescent="0.3">
      <c r="C104" s="21"/>
      <c r="D104" s="22"/>
      <c r="E104" s="22"/>
      <c r="F104" s="22"/>
      <c r="G104" s="22"/>
      <c r="H104" s="23"/>
      <c r="I104" s="21"/>
      <c r="J104" s="22"/>
      <c r="K104" s="22"/>
      <c r="L104" s="22"/>
      <c r="M104" s="23"/>
    </row>
    <row r="105" spans="3:13" x14ac:dyDescent="0.3">
      <c r="C105" s="21"/>
      <c r="D105" s="22"/>
      <c r="E105" s="22"/>
      <c r="F105" s="22"/>
      <c r="G105" s="22"/>
      <c r="H105" s="23"/>
      <c r="I105" s="21"/>
      <c r="J105" s="22"/>
      <c r="K105" s="22"/>
      <c r="L105" s="22"/>
      <c r="M105" s="23"/>
    </row>
    <row r="106" spans="3:13" x14ac:dyDescent="0.3">
      <c r="C106" s="21"/>
      <c r="D106" s="22"/>
      <c r="E106" s="22"/>
      <c r="F106" s="22"/>
      <c r="G106" s="22"/>
      <c r="H106" s="23"/>
      <c r="I106" s="21"/>
      <c r="J106" s="22"/>
      <c r="K106" s="22"/>
      <c r="L106" s="22"/>
      <c r="M106" s="23"/>
    </row>
    <row r="107" spans="3:13" x14ac:dyDescent="0.3">
      <c r="C107" s="21"/>
      <c r="D107" s="22"/>
      <c r="E107" s="22"/>
      <c r="F107" s="22"/>
      <c r="G107" s="22"/>
      <c r="H107" s="23"/>
      <c r="I107" s="21"/>
      <c r="J107" s="22"/>
      <c r="K107" s="22"/>
      <c r="L107" s="22"/>
      <c r="M107" s="23"/>
    </row>
    <row r="108" spans="3:13" x14ac:dyDescent="0.3">
      <c r="C108" s="21"/>
      <c r="D108" s="22"/>
      <c r="E108" s="22"/>
      <c r="F108" s="22"/>
      <c r="G108" s="22"/>
      <c r="H108" s="23"/>
      <c r="I108" s="21"/>
      <c r="J108" s="22"/>
      <c r="K108" s="22"/>
      <c r="L108" s="22"/>
      <c r="M108" s="23"/>
    </row>
    <row r="109" spans="3:13" x14ac:dyDescent="0.3">
      <c r="C109" s="21"/>
      <c r="D109" s="22"/>
      <c r="E109" s="22"/>
      <c r="F109" s="22"/>
      <c r="G109" s="22"/>
      <c r="H109" s="23"/>
      <c r="I109" s="21"/>
      <c r="J109" s="22"/>
      <c r="K109" s="22"/>
      <c r="L109" s="22"/>
      <c r="M109" s="23"/>
    </row>
    <row r="110" spans="3:13" x14ac:dyDescent="0.3">
      <c r="C110" s="21"/>
      <c r="D110" s="22"/>
      <c r="E110" s="22"/>
      <c r="F110" s="22"/>
      <c r="G110" s="22"/>
      <c r="H110" s="23"/>
      <c r="I110" s="21"/>
      <c r="J110" s="22"/>
      <c r="K110" s="22"/>
      <c r="L110" s="22"/>
      <c r="M110" s="23"/>
    </row>
    <row r="111" spans="3:13" x14ac:dyDescent="0.3">
      <c r="C111" s="21"/>
      <c r="D111" s="22"/>
      <c r="E111" s="22"/>
      <c r="F111" s="22"/>
      <c r="G111" s="22"/>
      <c r="H111" s="23"/>
      <c r="I111" s="21"/>
      <c r="J111" s="22"/>
      <c r="K111" s="22"/>
      <c r="L111" s="22"/>
      <c r="M111" s="23"/>
    </row>
    <row r="112" spans="3:13" x14ac:dyDescent="0.3">
      <c r="C112" s="21"/>
      <c r="D112" s="22"/>
      <c r="E112" s="22"/>
      <c r="F112" s="22"/>
      <c r="G112" s="22"/>
      <c r="H112" s="23"/>
      <c r="I112" s="21"/>
      <c r="J112" s="22"/>
      <c r="K112" s="22"/>
      <c r="L112" s="22"/>
      <c r="M112" s="23"/>
    </row>
    <row r="113" spans="3:13" x14ac:dyDescent="0.3">
      <c r="C113" s="21"/>
      <c r="D113" s="22"/>
      <c r="E113" s="22"/>
      <c r="F113" s="22"/>
      <c r="G113" s="22"/>
      <c r="H113" s="23"/>
      <c r="I113" s="21"/>
      <c r="J113" s="22"/>
      <c r="K113" s="22"/>
      <c r="L113" s="22"/>
      <c r="M113" s="23"/>
    </row>
    <row r="114" spans="3:13" x14ac:dyDescent="0.3">
      <c r="C114" s="21"/>
      <c r="D114" s="22"/>
      <c r="E114" s="22"/>
      <c r="F114" s="22"/>
      <c r="G114" s="22"/>
      <c r="H114" s="23"/>
      <c r="I114" s="21"/>
      <c r="J114" s="22"/>
      <c r="K114" s="22"/>
      <c r="L114" s="22"/>
      <c r="M114" s="23"/>
    </row>
    <row r="115" spans="3:13" x14ac:dyDescent="0.3">
      <c r="C115" s="21"/>
      <c r="D115" s="22"/>
      <c r="E115" s="22"/>
      <c r="F115" s="22"/>
      <c r="G115" s="22"/>
      <c r="H115" s="23"/>
      <c r="I115" s="21"/>
      <c r="J115" s="22"/>
      <c r="K115" s="22"/>
      <c r="L115" s="22"/>
      <c r="M115" s="23"/>
    </row>
    <row r="116" spans="3:13" x14ac:dyDescent="0.3">
      <c r="C116" s="21"/>
      <c r="D116" s="22"/>
      <c r="E116" s="22"/>
      <c r="F116" s="22"/>
      <c r="G116" s="22"/>
      <c r="H116" s="23"/>
      <c r="I116" s="21"/>
      <c r="J116" s="22"/>
      <c r="K116" s="22"/>
      <c r="L116" s="22"/>
      <c r="M116" s="23"/>
    </row>
    <row r="117" spans="3:13" x14ac:dyDescent="0.3">
      <c r="C117" s="21"/>
      <c r="D117" s="22"/>
      <c r="E117" s="22"/>
      <c r="F117" s="22"/>
      <c r="G117" s="22"/>
      <c r="H117" s="23"/>
      <c r="I117" s="21"/>
      <c r="J117" s="22"/>
      <c r="K117" s="22"/>
      <c r="L117" s="22"/>
      <c r="M117" s="23"/>
    </row>
    <row r="118" spans="3:13" x14ac:dyDescent="0.3">
      <c r="C118" s="21"/>
      <c r="D118" s="22"/>
      <c r="E118" s="22"/>
      <c r="F118" s="22"/>
      <c r="G118" s="22"/>
      <c r="H118" s="23"/>
      <c r="I118" s="21"/>
      <c r="J118" s="22"/>
      <c r="K118" s="22"/>
      <c r="L118" s="22"/>
      <c r="M118" s="23"/>
    </row>
    <row r="119" spans="3:13" x14ac:dyDescent="0.3">
      <c r="C119" s="21"/>
      <c r="D119" s="22"/>
      <c r="E119" s="22"/>
      <c r="F119" s="22"/>
      <c r="G119" s="22"/>
      <c r="H119" s="23"/>
      <c r="I119" s="21"/>
      <c r="J119" s="22"/>
      <c r="K119" s="22"/>
      <c r="L119" s="22"/>
      <c r="M119" s="23"/>
    </row>
    <row r="120" spans="3:13" x14ac:dyDescent="0.3">
      <c r="C120" s="21"/>
      <c r="D120" s="22"/>
      <c r="E120" s="22"/>
      <c r="F120" s="22"/>
      <c r="G120" s="22"/>
      <c r="H120" s="23"/>
      <c r="I120" s="21"/>
      <c r="J120" s="22"/>
      <c r="K120" s="22"/>
      <c r="L120" s="22"/>
      <c r="M120" s="23"/>
    </row>
    <row r="121" spans="3:13" x14ac:dyDescent="0.3">
      <c r="C121" s="21"/>
      <c r="D121" s="22"/>
      <c r="E121" s="22"/>
      <c r="F121" s="22"/>
      <c r="G121" s="22"/>
      <c r="H121" s="23"/>
      <c r="I121" s="21"/>
      <c r="J121" s="22"/>
      <c r="K121" s="22"/>
      <c r="L121" s="22"/>
      <c r="M121" s="23"/>
    </row>
    <row r="122" spans="3:13" x14ac:dyDescent="0.3">
      <c r="C122" s="21"/>
      <c r="D122" s="22"/>
      <c r="E122" s="22"/>
      <c r="F122" s="22"/>
      <c r="G122" s="22"/>
      <c r="H122" s="23"/>
      <c r="I122" s="21"/>
      <c r="J122" s="22"/>
      <c r="K122" s="22"/>
      <c r="L122" s="22"/>
      <c r="M122" s="23"/>
    </row>
    <row r="123" spans="3:13" x14ac:dyDescent="0.3">
      <c r="C123" s="21"/>
      <c r="D123" s="22"/>
      <c r="E123" s="22"/>
      <c r="F123" s="22"/>
      <c r="G123" s="22"/>
      <c r="H123" s="23"/>
      <c r="I123" s="21"/>
      <c r="J123" s="22"/>
      <c r="K123" s="22"/>
      <c r="L123" s="22"/>
      <c r="M123" s="23"/>
    </row>
    <row r="124" spans="3:13" x14ac:dyDescent="0.3">
      <c r="C124" s="21"/>
      <c r="D124" s="22"/>
      <c r="E124" s="22"/>
      <c r="F124" s="22"/>
      <c r="G124" s="22"/>
      <c r="H124" s="23"/>
      <c r="I124" s="21"/>
      <c r="J124" s="22"/>
      <c r="K124" s="22"/>
      <c r="L124" s="22"/>
      <c r="M124" s="23"/>
    </row>
    <row r="125" spans="3:13" x14ac:dyDescent="0.3">
      <c r="C125" s="21"/>
      <c r="D125" s="22"/>
      <c r="E125" s="22"/>
      <c r="F125" s="22"/>
      <c r="G125" s="22"/>
      <c r="H125" s="23"/>
      <c r="I125" s="21"/>
      <c r="J125" s="22"/>
      <c r="K125" s="22"/>
      <c r="L125" s="22"/>
      <c r="M125" s="23"/>
    </row>
    <row r="126" spans="3:13" x14ac:dyDescent="0.3">
      <c r="C126" s="21"/>
      <c r="D126" s="22"/>
      <c r="E126" s="22"/>
      <c r="F126" s="22"/>
      <c r="G126" s="22"/>
      <c r="H126" s="23"/>
      <c r="I126" s="21"/>
      <c r="J126" s="22"/>
      <c r="K126" s="22"/>
      <c r="L126" s="22"/>
      <c r="M126" s="23"/>
    </row>
    <row r="127" spans="3:13" x14ac:dyDescent="0.3">
      <c r="C127" s="21"/>
      <c r="D127" s="22"/>
      <c r="E127" s="22"/>
      <c r="F127" s="22"/>
      <c r="G127" s="22"/>
      <c r="H127" s="23"/>
      <c r="I127" s="21"/>
      <c r="J127" s="22"/>
      <c r="K127" s="22"/>
      <c r="L127" s="22"/>
      <c r="M127" s="23"/>
    </row>
    <row r="128" spans="3:13" x14ac:dyDescent="0.3">
      <c r="C128" s="21"/>
      <c r="D128" s="22"/>
      <c r="E128" s="22"/>
      <c r="F128" s="22"/>
      <c r="G128" s="22"/>
      <c r="H128" s="23"/>
      <c r="I128" s="21"/>
      <c r="J128" s="22"/>
      <c r="K128" s="22"/>
      <c r="L128" s="22"/>
      <c r="M128" s="23"/>
    </row>
    <row r="129" spans="3:13" x14ac:dyDescent="0.3">
      <c r="C129" s="21"/>
      <c r="D129" s="22"/>
      <c r="E129" s="22"/>
      <c r="F129" s="22"/>
      <c r="G129" s="22"/>
      <c r="H129" s="23"/>
      <c r="I129" s="21"/>
      <c r="J129" s="22"/>
      <c r="K129" s="22"/>
      <c r="L129" s="22"/>
      <c r="M129" s="23"/>
    </row>
    <row r="130" spans="3:13" x14ac:dyDescent="0.3">
      <c r="C130" s="21"/>
      <c r="D130" s="22"/>
      <c r="E130" s="22"/>
      <c r="F130" s="22"/>
      <c r="G130" s="22"/>
      <c r="H130" s="23"/>
      <c r="I130" s="21"/>
      <c r="J130" s="22"/>
      <c r="K130" s="22"/>
      <c r="L130" s="22"/>
      <c r="M130" s="23"/>
    </row>
    <row r="131" spans="3:13" x14ac:dyDescent="0.3">
      <c r="C131" s="21"/>
      <c r="D131" s="22"/>
      <c r="E131" s="22"/>
      <c r="F131" s="22"/>
      <c r="G131" s="22"/>
      <c r="H131" s="23"/>
      <c r="I131" s="21"/>
      <c r="J131" s="22"/>
      <c r="K131" s="22"/>
      <c r="L131" s="22"/>
      <c r="M131" s="23"/>
    </row>
    <row r="132" spans="3:13" x14ac:dyDescent="0.3">
      <c r="C132" s="21"/>
      <c r="D132" s="22"/>
      <c r="E132" s="22"/>
      <c r="F132" s="22"/>
      <c r="G132" s="22"/>
      <c r="H132" s="23"/>
      <c r="I132" s="21"/>
      <c r="J132" s="22"/>
      <c r="K132" s="22"/>
      <c r="L132" s="22"/>
      <c r="M132" s="23"/>
    </row>
    <row r="133" spans="3:13" x14ac:dyDescent="0.3">
      <c r="C133" s="21"/>
      <c r="D133" s="22"/>
      <c r="E133" s="22"/>
      <c r="F133" s="22"/>
      <c r="G133" s="22"/>
      <c r="H133" s="23"/>
      <c r="I133" s="21"/>
      <c r="J133" s="22"/>
      <c r="K133" s="22"/>
      <c r="L133" s="22"/>
      <c r="M133" s="23"/>
    </row>
    <row r="134" spans="3:13" x14ac:dyDescent="0.3">
      <c r="C134" s="21"/>
      <c r="D134" s="22"/>
      <c r="E134" s="22"/>
      <c r="F134" s="22"/>
      <c r="G134" s="22"/>
      <c r="H134" s="23"/>
      <c r="I134" s="21"/>
      <c r="J134" s="22"/>
      <c r="K134" s="22"/>
      <c r="L134" s="22"/>
      <c r="M134" s="23"/>
    </row>
    <row r="135" spans="3:13" x14ac:dyDescent="0.3">
      <c r="C135" s="21"/>
      <c r="D135" s="22"/>
      <c r="E135" s="22"/>
      <c r="F135" s="22"/>
      <c r="G135" s="22"/>
      <c r="H135" s="23"/>
      <c r="I135" s="21"/>
      <c r="J135" s="22"/>
      <c r="K135" s="22"/>
      <c r="L135" s="22"/>
      <c r="M135" s="23"/>
    </row>
    <row r="136" spans="3:13" x14ac:dyDescent="0.3">
      <c r="C136" s="21"/>
      <c r="D136" s="22"/>
      <c r="E136" s="22"/>
      <c r="F136" s="22"/>
      <c r="G136" s="22"/>
      <c r="H136" s="23"/>
      <c r="I136" s="21"/>
      <c r="J136" s="22"/>
      <c r="K136" s="22"/>
      <c r="L136" s="22"/>
      <c r="M136" s="23"/>
    </row>
    <row r="137" spans="3:13" x14ac:dyDescent="0.3">
      <c r="C137" s="21"/>
      <c r="D137" s="22"/>
      <c r="E137" s="22"/>
      <c r="F137" s="22"/>
      <c r="G137" s="22"/>
      <c r="H137" s="23"/>
      <c r="I137" s="21"/>
      <c r="J137" s="22"/>
      <c r="K137" s="22"/>
      <c r="L137" s="22"/>
      <c r="M137" s="23"/>
    </row>
    <row r="138" spans="3:13" x14ac:dyDescent="0.3">
      <c r="C138" s="21"/>
      <c r="D138" s="22"/>
      <c r="E138" s="22"/>
      <c r="F138" s="22"/>
      <c r="G138" s="22"/>
      <c r="H138" s="23"/>
      <c r="I138" s="21"/>
      <c r="J138" s="22"/>
      <c r="K138" s="22"/>
      <c r="L138" s="22"/>
      <c r="M138" s="23"/>
    </row>
    <row r="139" spans="3:13" x14ac:dyDescent="0.3">
      <c r="C139" s="21"/>
      <c r="D139" s="22"/>
      <c r="E139" s="22"/>
      <c r="F139" s="22"/>
      <c r="G139" s="22"/>
      <c r="H139" s="23"/>
      <c r="I139" s="21"/>
      <c r="J139" s="22"/>
      <c r="K139" s="22"/>
      <c r="L139" s="22"/>
      <c r="M139" s="23"/>
    </row>
    <row r="140" spans="3:13" x14ac:dyDescent="0.3">
      <c r="C140" s="21"/>
      <c r="D140" s="22"/>
      <c r="E140" s="22"/>
      <c r="F140" s="22"/>
      <c r="G140" s="22"/>
      <c r="H140" s="23"/>
      <c r="I140" s="21"/>
      <c r="J140" s="22"/>
      <c r="K140" s="22"/>
      <c r="L140" s="22"/>
      <c r="M140" s="23"/>
    </row>
    <row r="141" spans="3:13" x14ac:dyDescent="0.3">
      <c r="C141" s="21"/>
      <c r="D141" s="22"/>
      <c r="E141" s="22"/>
      <c r="F141" s="22"/>
      <c r="G141" s="22"/>
      <c r="H141" s="23"/>
      <c r="I141" s="21"/>
      <c r="J141" s="22"/>
      <c r="K141" s="22"/>
      <c r="L141" s="22"/>
      <c r="M141" s="23"/>
    </row>
    <row r="142" spans="3:13" x14ac:dyDescent="0.3">
      <c r="C142" s="21"/>
      <c r="D142" s="22"/>
      <c r="E142" s="22"/>
      <c r="F142" s="22"/>
      <c r="G142" s="22"/>
      <c r="H142" s="23"/>
      <c r="I142" s="21"/>
      <c r="J142" s="22"/>
      <c r="K142" s="22"/>
      <c r="L142" s="22"/>
      <c r="M142" s="23"/>
    </row>
    <row r="143" spans="3:13" x14ac:dyDescent="0.3">
      <c r="C143" s="21"/>
      <c r="D143" s="22"/>
      <c r="E143" s="22"/>
      <c r="F143" s="22"/>
      <c r="G143" s="22"/>
      <c r="H143" s="23"/>
      <c r="I143" s="21"/>
      <c r="J143" s="22"/>
      <c r="K143" s="22"/>
      <c r="L143" s="22"/>
      <c r="M143" s="23"/>
    </row>
    <row r="144" spans="3:13" x14ac:dyDescent="0.3">
      <c r="C144" s="21"/>
      <c r="D144" s="22"/>
      <c r="E144" s="22"/>
      <c r="F144" s="22"/>
      <c r="G144" s="22"/>
      <c r="H144" s="23"/>
      <c r="I144" s="21"/>
      <c r="J144" s="22"/>
      <c r="K144" s="22"/>
      <c r="L144" s="22"/>
      <c r="M144" s="23"/>
    </row>
    <row r="145" spans="3:13" x14ac:dyDescent="0.3">
      <c r="C145" s="21"/>
      <c r="D145" s="22"/>
      <c r="E145" s="22"/>
      <c r="F145" s="22"/>
      <c r="G145" s="22"/>
      <c r="H145" s="23"/>
      <c r="I145" s="21"/>
      <c r="J145" s="22"/>
      <c r="K145" s="22"/>
      <c r="L145" s="22"/>
      <c r="M145" s="23"/>
    </row>
    <row r="146" spans="3:13" x14ac:dyDescent="0.3">
      <c r="C146" s="21"/>
      <c r="D146" s="22"/>
      <c r="E146" s="22"/>
      <c r="F146" s="22"/>
      <c r="G146" s="22"/>
      <c r="H146" s="23"/>
      <c r="I146" s="21"/>
      <c r="J146" s="22"/>
      <c r="K146" s="22"/>
      <c r="L146" s="22"/>
      <c r="M146" s="23"/>
    </row>
    <row r="147" spans="3:13" x14ac:dyDescent="0.3">
      <c r="C147" s="21"/>
      <c r="D147" s="22"/>
      <c r="E147" s="22"/>
      <c r="F147" s="22"/>
      <c r="G147" s="22"/>
      <c r="H147" s="23"/>
      <c r="I147" s="21"/>
      <c r="J147" s="22"/>
      <c r="K147" s="22"/>
      <c r="L147" s="22"/>
      <c r="M147" s="23"/>
    </row>
    <row r="148" spans="3:13" x14ac:dyDescent="0.3">
      <c r="C148" s="21"/>
      <c r="D148" s="22"/>
      <c r="E148" s="22"/>
      <c r="F148" s="22"/>
      <c r="G148" s="22"/>
      <c r="H148" s="23"/>
      <c r="I148" s="21"/>
      <c r="J148" s="22"/>
      <c r="K148" s="22"/>
      <c r="L148" s="22"/>
      <c r="M148" s="23"/>
    </row>
    <row r="149" spans="3:13" x14ac:dyDescent="0.3">
      <c r="C149" s="21"/>
      <c r="D149" s="22"/>
      <c r="E149" s="22"/>
      <c r="F149" s="22"/>
      <c r="G149" s="22"/>
      <c r="H149" s="23"/>
      <c r="I149" s="21"/>
      <c r="J149" s="22"/>
      <c r="K149" s="22"/>
      <c r="L149" s="22"/>
      <c r="M149" s="23"/>
    </row>
    <row r="150" spans="3:13" x14ac:dyDescent="0.3">
      <c r="C150" s="21"/>
      <c r="D150" s="22"/>
      <c r="E150" s="22"/>
      <c r="F150" s="22"/>
      <c r="G150" s="22"/>
      <c r="H150" s="23"/>
      <c r="I150" s="21"/>
      <c r="J150" s="22"/>
      <c r="K150" s="22"/>
      <c r="L150" s="22"/>
      <c r="M150" s="23"/>
    </row>
    <row r="151" spans="3:13" x14ac:dyDescent="0.3">
      <c r="C151" s="21"/>
      <c r="D151" s="22"/>
      <c r="E151" s="22"/>
      <c r="F151" s="22"/>
      <c r="G151" s="22"/>
      <c r="H151" s="23"/>
      <c r="I151" s="21"/>
      <c r="J151" s="22"/>
      <c r="K151" s="22"/>
      <c r="L151" s="22"/>
      <c r="M151" s="23"/>
    </row>
    <row r="152" spans="3:13" x14ac:dyDescent="0.3">
      <c r="C152" s="21"/>
      <c r="D152" s="22"/>
      <c r="E152" s="22"/>
      <c r="F152" s="22"/>
      <c r="G152" s="22"/>
      <c r="H152" s="23"/>
      <c r="I152" s="21"/>
      <c r="J152" s="22"/>
      <c r="K152" s="22"/>
      <c r="L152" s="22"/>
      <c r="M152" s="23"/>
    </row>
    <row r="153" spans="3:13" x14ac:dyDescent="0.3">
      <c r="C153" s="21"/>
      <c r="D153" s="22"/>
      <c r="E153" s="22"/>
      <c r="F153" s="22"/>
      <c r="G153" s="22"/>
      <c r="H153" s="23"/>
      <c r="I153" s="21"/>
      <c r="J153" s="22"/>
      <c r="K153" s="22"/>
      <c r="L153" s="22"/>
      <c r="M153" s="23"/>
    </row>
    <row r="154" spans="3:13" x14ac:dyDescent="0.3">
      <c r="C154" s="21"/>
      <c r="D154" s="22"/>
      <c r="E154" s="22"/>
      <c r="F154" s="22"/>
      <c r="G154" s="22"/>
      <c r="H154" s="23"/>
      <c r="I154" s="21"/>
      <c r="J154" s="22"/>
      <c r="K154" s="22"/>
      <c r="L154" s="22"/>
      <c r="M154" s="23"/>
    </row>
    <row r="155" spans="3:13" x14ac:dyDescent="0.3">
      <c r="C155" s="21"/>
      <c r="D155" s="22"/>
      <c r="E155" s="22"/>
      <c r="F155" s="22"/>
      <c r="G155" s="22"/>
      <c r="H155" s="23"/>
      <c r="I155" s="21"/>
      <c r="J155" s="22"/>
      <c r="K155" s="22"/>
      <c r="L155" s="22"/>
      <c r="M155" s="23"/>
    </row>
    <row r="156" spans="3:13" x14ac:dyDescent="0.3">
      <c r="C156" s="21"/>
      <c r="D156" s="22"/>
      <c r="E156" s="22"/>
      <c r="F156" s="22"/>
      <c r="G156" s="22"/>
      <c r="H156" s="23"/>
      <c r="I156" s="21"/>
      <c r="J156" s="22"/>
      <c r="K156" s="22"/>
      <c r="L156" s="22"/>
      <c r="M156" s="23"/>
    </row>
    <row r="157" spans="3:13" x14ac:dyDescent="0.3">
      <c r="C157" s="21"/>
      <c r="D157" s="22"/>
      <c r="E157" s="22"/>
      <c r="F157" s="22"/>
      <c r="G157" s="22"/>
      <c r="H157" s="23"/>
      <c r="I157" s="21"/>
      <c r="J157" s="22"/>
      <c r="K157" s="22"/>
      <c r="L157" s="22"/>
      <c r="M157" s="23"/>
    </row>
    <row r="158" spans="3:13" x14ac:dyDescent="0.3">
      <c r="C158" s="21"/>
      <c r="D158" s="22"/>
      <c r="E158" s="22"/>
      <c r="F158" s="22"/>
      <c r="G158" s="22"/>
      <c r="H158" s="23"/>
      <c r="I158" s="21"/>
      <c r="J158" s="22"/>
      <c r="K158" s="22"/>
      <c r="L158" s="22"/>
      <c r="M158" s="23"/>
    </row>
    <row r="159" spans="3:13" x14ac:dyDescent="0.3">
      <c r="C159" s="21"/>
      <c r="D159" s="22"/>
      <c r="E159" s="22"/>
      <c r="F159" s="22"/>
      <c r="G159" s="22"/>
      <c r="H159" s="23"/>
      <c r="I159" s="21"/>
      <c r="J159" s="22"/>
      <c r="K159" s="22"/>
      <c r="L159" s="22"/>
      <c r="M159" s="23"/>
    </row>
    <row r="160" spans="3:13" x14ac:dyDescent="0.3">
      <c r="C160" s="21"/>
      <c r="D160" s="22"/>
      <c r="E160" s="22"/>
      <c r="F160" s="22"/>
      <c r="G160" s="22"/>
      <c r="H160" s="23"/>
      <c r="I160" s="21"/>
      <c r="J160" s="22"/>
      <c r="K160" s="22"/>
      <c r="L160" s="22"/>
      <c r="M160" s="23"/>
    </row>
    <row r="161" spans="3:13" x14ac:dyDescent="0.3">
      <c r="C161" s="21"/>
      <c r="D161" s="22"/>
      <c r="E161" s="22"/>
      <c r="F161" s="22"/>
      <c r="G161" s="22"/>
      <c r="H161" s="23"/>
      <c r="I161" s="21"/>
      <c r="J161" s="22"/>
      <c r="K161" s="22"/>
      <c r="L161" s="22"/>
      <c r="M161" s="23"/>
    </row>
    <row r="162" spans="3:13" x14ac:dyDescent="0.3">
      <c r="C162" s="21"/>
      <c r="D162" s="22"/>
      <c r="E162" s="22"/>
      <c r="F162" s="22"/>
      <c r="G162" s="22"/>
      <c r="H162" s="23"/>
      <c r="I162" s="21"/>
      <c r="J162" s="22"/>
      <c r="K162" s="22"/>
      <c r="L162" s="22"/>
      <c r="M162" s="23"/>
    </row>
    <row r="163" spans="3:13" x14ac:dyDescent="0.3">
      <c r="C163" s="21"/>
      <c r="D163" s="22"/>
      <c r="E163" s="22"/>
      <c r="F163" s="22"/>
      <c r="G163" s="22"/>
      <c r="H163" s="23"/>
      <c r="I163" s="21"/>
      <c r="J163" s="22"/>
      <c r="K163" s="22"/>
      <c r="L163" s="22"/>
      <c r="M163" s="23"/>
    </row>
    <row r="164" spans="3:13" x14ac:dyDescent="0.3">
      <c r="C164" s="21"/>
      <c r="D164" s="22"/>
      <c r="E164" s="22"/>
      <c r="F164" s="22"/>
      <c r="G164" s="22"/>
      <c r="H164" s="23"/>
      <c r="I164" s="21"/>
      <c r="J164" s="22"/>
      <c r="K164" s="22"/>
      <c r="L164" s="22"/>
      <c r="M164" s="23"/>
    </row>
    <row r="165" spans="3:13" x14ac:dyDescent="0.3">
      <c r="C165" s="21"/>
      <c r="D165" s="22"/>
      <c r="E165" s="22"/>
      <c r="F165" s="22"/>
      <c r="G165" s="22"/>
      <c r="H165" s="23"/>
      <c r="I165" s="21"/>
      <c r="J165" s="22"/>
      <c r="K165" s="22"/>
      <c r="L165" s="22"/>
      <c r="M165" s="23"/>
    </row>
    <row r="166" spans="3:13" x14ac:dyDescent="0.3">
      <c r="C166" s="21"/>
      <c r="D166" s="22"/>
      <c r="E166" s="22"/>
      <c r="F166" s="22"/>
      <c r="G166" s="22"/>
      <c r="H166" s="23"/>
      <c r="I166" s="21"/>
      <c r="J166" s="22"/>
      <c r="K166" s="22"/>
      <c r="L166" s="22"/>
      <c r="M166" s="23"/>
    </row>
    <row r="167" spans="3:13" x14ac:dyDescent="0.3">
      <c r="C167" s="21"/>
      <c r="D167" s="22"/>
      <c r="E167" s="22"/>
      <c r="F167" s="22"/>
      <c r="G167" s="22"/>
      <c r="H167" s="23"/>
      <c r="I167" s="21"/>
      <c r="J167" s="22"/>
      <c r="K167" s="22"/>
      <c r="L167" s="22"/>
      <c r="M167" s="23"/>
    </row>
    <row r="168" spans="3:13" x14ac:dyDescent="0.3">
      <c r="C168" s="21"/>
      <c r="D168" s="22"/>
      <c r="E168" s="22"/>
      <c r="F168" s="22"/>
      <c r="G168" s="22"/>
      <c r="H168" s="23"/>
      <c r="I168" s="21"/>
      <c r="J168" s="22"/>
      <c r="K168" s="22"/>
      <c r="L168" s="22"/>
      <c r="M168" s="23"/>
    </row>
    <row r="169" spans="3:13" x14ac:dyDescent="0.3">
      <c r="C169" s="21"/>
      <c r="D169" s="22"/>
      <c r="E169" s="22"/>
      <c r="F169" s="22"/>
      <c r="G169" s="22"/>
      <c r="H169" s="23"/>
      <c r="I169" s="21"/>
      <c r="J169" s="22"/>
      <c r="K169" s="22"/>
      <c r="L169" s="22"/>
      <c r="M169" s="23"/>
    </row>
    <row r="170" spans="3:13" x14ac:dyDescent="0.3">
      <c r="C170" s="21"/>
      <c r="D170" s="22"/>
      <c r="E170" s="22"/>
      <c r="F170" s="22"/>
      <c r="G170" s="22"/>
      <c r="H170" s="23"/>
      <c r="I170" s="21"/>
      <c r="J170" s="22"/>
      <c r="K170" s="22"/>
      <c r="L170" s="22"/>
      <c r="M170" s="23"/>
    </row>
    <row r="171" spans="3:13" x14ac:dyDescent="0.3">
      <c r="C171" s="21"/>
      <c r="D171" s="22"/>
      <c r="E171" s="22"/>
      <c r="F171" s="22"/>
      <c r="G171" s="22"/>
      <c r="H171" s="23"/>
      <c r="I171" s="21"/>
      <c r="J171" s="22"/>
      <c r="K171" s="22"/>
      <c r="L171" s="22"/>
      <c r="M171" s="23"/>
    </row>
    <row r="172" spans="3:13" x14ac:dyDescent="0.3">
      <c r="C172" s="21"/>
      <c r="D172" s="22"/>
      <c r="E172" s="22"/>
      <c r="F172" s="22"/>
      <c r="G172" s="22"/>
      <c r="H172" s="23"/>
      <c r="I172" s="21"/>
      <c r="J172" s="22"/>
      <c r="K172" s="22"/>
      <c r="L172" s="22"/>
      <c r="M172" s="23"/>
    </row>
    <row r="173" spans="3:13" x14ac:dyDescent="0.3">
      <c r="C173" s="21"/>
      <c r="D173" s="22"/>
      <c r="E173" s="22"/>
      <c r="F173" s="22"/>
      <c r="G173" s="22"/>
      <c r="H173" s="23"/>
      <c r="I173" s="21"/>
      <c r="J173" s="22"/>
      <c r="K173" s="22"/>
      <c r="L173" s="22"/>
      <c r="M173" s="23"/>
    </row>
    <row r="174" spans="3:13" x14ac:dyDescent="0.3">
      <c r="C174" s="21"/>
      <c r="D174" s="22"/>
      <c r="E174" s="22"/>
      <c r="F174" s="22"/>
      <c r="G174" s="22"/>
      <c r="H174" s="23"/>
      <c r="I174" s="21"/>
      <c r="J174" s="22"/>
      <c r="K174" s="22"/>
      <c r="L174" s="22"/>
      <c r="M174" s="23"/>
    </row>
    <row r="175" spans="3:13" x14ac:dyDescent="0.3">
      <c r="C175" s="21"/>
      <c r="D175" s="22"/>
      <c r="E175" s="22"/>
      <c r="F175" s="22"/>
      <c r="G175" s="22"/>
      <c r="H175" s="23"/>
      <c r="I175" s="21"/>
      <c r="J175" s="22"/>
      <c r="K175" s="22"/>
      <c r="L175" s="22"/>
      <c r="M175" s="23"/>
    </row>
    <row r="176" spans="3:13" x14ac:dyDescent="0.3">
      <c r="C176" s="21"/>
      <c r="D176" s="22"/>
      <c r="E176" s="22"/>
      <c r="F176" s="22"/>
      <c r="G176" s="22"/>
      <c r="H176" s="23"/>
      <c r="I176" s="21"/>
      <c r="J176" s="22"/>
      <c r="K176" s="22"/>
      <c r="L176" s="22"/>
      <c r="M176" s="23"/>
    </row>
    <row r="177" spans="3:13" x14ac:dyDescent="0.3">
      <c r="C177" s="21"/>
      <c r="D177" s="22"/>
      <c r="E177" s="22"/>
      <c r="F177" s="22"/>
      <c r="G177" s="22"/>
      <c r="H177" s="23"/>
      <c r="I177" s="21"/>
      <c r="J177" s="22"/>
      <c r="K177" s="22"/>
      <c r="L177" s="22"/>
      <c r="M177" s="23"/>
    </row>
    <row r="178" spans="3:13" x14ac:dyDescent="0.3">
      <c r="C178" s="21"/>
      <c r="D178" s="22"/>
      <c r="E178" s="22"/>
      <c r="F178" s="22"/>
      <c r="G178" s="22"/>
      <c r="H178" s="23"/>
      <c r="I178" s="21"/>
      <c r="J178" s="22"/>
      <c r="K178" s="22"/>
      <c r="L178" s="22"/>
      <c r="M178" s="23"/>
    </row>
    <row r="179" spans="3:13" x14ac:dyDescent="0.3">
      <c r="C179" s="21"/>
      <c r="D179" s="22"/>
      <c r="E179" s="22"/>
      <c r="F179" s="22"/>
      <c r="G179" s="22"/>
      <c r="H179" s="23"/>
      <c r="I179" s="21"/>
      <c r="J179" s="22"/>
      <c r="K179" s="22"/>
      <c r="L179" s="22"/>
      <c r="M179" s="23"/>
    </row>
    <row r="180" spans="3:13" x14ac:dyDescent="0.3">
      <c r="C180" s="21"/>
      <c r="D180" s="22"/>
      <c r="E180" s="22"/>
      <c r="F180" s="22"/>
      <c r="G180" s="22"/>
      <c r="H180" s="23"/>
      <c r="I180" s="21"/>
      <c r="J180" s="22"/>
      <c r="K180" s="22"/>
      <c r="L180" s="22"/>
      <c r="M180" s="23"/>
    </row>
    <row r="181" spans="3:13" x14ac:dyDescent="0.3">
      <c r="C181" s="21"/>
      <c r="D181" s="22"/>
      <c r="E181" s="22"/>
      <c r="F181" s="22"/>
      <c r="G181" s="22"/>
      <c r="H181" s="23"/>
      <c r="I181" s="21"/>
      <c r="J181" s="22"/>
      <c r="K181" s="22"/>
      <c r="L181" s="22"/>
      <c r="M181" s="23"/>
    </row>
    <row r="182" spans="3:13" x14ac:dyDescent="0.3">
      <c r="C182" s="21"/>
      <c r="D182" s="22"/>
      <c r="E182" s="22"/>
      <c r="F182" s="22"/>
      <c r="G182" s="22"/>
      <c r="H182" s="23"/>
    </row>
    <row r="183" spans="3:13" x14ac:dyDescent="0.3">
      <c r="C183" s="21"/>
      <c r="D183" s="22"/>
      <c r="E183" s="22"/>
      <c r="F183" s="22"/>
      <c r="G183" s="22"/>
      <c r="H183" s="23"/>
    </row>
    <row r="184" spans="3:13" x14ac:dyDescent="0.3">
      <c r="C184" s="21"/>
      <c r="D184" s="22"/>
      <c r="E184" s="22"/>
      <c r="F184" s="22"/>
      <c r="G184" s="22"/>
      <c r="H184" s="23"/>
    </row>
    <row r="185" spans="3:13" x14ac:dyDescent="0.3">
      <c r="C185" s="21"/>
      <c r="D185" s="22"/>
      <c r="E185" s="22"/>
      <c r="F185" s="22"/>
      <c r="G185" s="22"/>
      <c r="H185" s="23"/>
    </row>
    <row r="186" spans="3:13" x14ac:dyDescent="0.3">
      <c r="C186" s="21"/>
      <c r="D186" s="22"/>
      <c r="E186" s="22"/>
      <c r="F186" s="22"/>
      <c r="G186" s="22"/>
      <c r="H186" s="23"/>
    </row>
    <row r="187" spans="3:13" x14ac:dyDescent="0.3">
      <c r="C187" s="21"/>
      <c r="D187" s="22"/>
      <c r="E187" s="22"/>
      <c r="F187" s="22"/>
      <c r="G187" s="22"/>
      <c r="H187" s="23"/>
    </row>
    <row r="188" spans="3:13" x14ac:dyDescent="0.3">
      <c r="C188" s="21"/>
      <c r="D188" s="22"/>
      <c r="E188" s="22"/>
      <c r="F188" s="22"/>
      <c r="G188" s="22"/>
      <c r="H188" s="23"/>
    </row>
    <row r="189" spans="3:13" x14ac:dyDescent="0.3">
      <c r="C189" s="21"/>
      <c r="D189" s="22"/>
      <c r="E189" s="22"/>
      <c r="F189" s="22"/>
      <c r="G189" s="22"/>
      <c r="H189" s="23"/>
    </row>
    <row r="190" spans="3:13" x14ac:dyDescent="0.3">
      <c r="C190" s="21"/>
      <c r="D190" s="22"/>
      <c r="E190" s="22"/>
      <c r="F190" s="22"/>
      <c r="G190" s="22"/>
      <c r="H190" s="23"/>
    </row>
    <row r="191" spans="3:13" x14ac:dyDescent="0.3">
      <c r="C191" s="21"/>
      <c r="D191" s="22"/>
      <c r="E191" s="22"/>
      <c r="F191" s="22"/>
      <c r="G191" s="22"/>
      <c r="H191" s="23"/>
    </row>
    <row r="192" spans="3:13" x14ac:dyDescent="0.3">
      <c r="C192" s="21"/>
      <c r="D192" s="22"/>
      <c r="E192" s="22"/>
      <c r="F192" s="22"/>
      <c r="G192" s="22"/>
      <c r="H192" s="23"/>
    </row>
    <row r="193" spans="3:8" x14ac:dyDescent="0.3">
      <c r="C193" s="21"/>
      <c r="D193" s="22"/>
      <c r="E193" s="22"/>
      <c r="F193" s="22"/>
      <c r="G193" s="22"/>
      <c r="H193" s="23"/>
    </row>
    <row r="194" spans="3:8" x14ac:dyDescent="0.3">
      <c r="C194" s="21"/>
      <c r="D194" s="22"/>
      <c r="E194" s="22"/>
      <c r="F194" s="22"/>
      <c r="G194" s="22"/>
      <c r="H194" s="23"/>
    </row>
    <row r="195" spans="3:8" x14ac:dyDescent="0.3">
      <c r="C195" s="21"/>
      <c r="D195" s="22"/>
      <c r="E195" s="22"/>
      <c r="F195" s="22"/>
      <c r="G195" s="22"/>
      <c r="H195" s="23"/>
    </row>
    <row r="196" spans="3:8" x14ac:dyDescent="0.3">
      <c r="C196" s="21"/>
      <c r="D196" s="22"/>
      <c r="E196" s="22"/>
      <c r="F196" s="22"/>
      <c r="G196" s="22"/>
      <c r="H196" s="23"/>
    </row>
    <row r="197" spans="3:8" x14ac:dyDescent="0.3">
      <c r="C197" s="21"/>
      <c r="D197" s="22"/>
      <c r="E197" s="22"/>
      <c r="F197" s="22"/>
      <c r="G197" s="22"/>
      <c r="H197" s="23"/>
    </row>
    <row r="198" spans="3:8" x14ac:dyDescent="0.3">
      <c r="C198" s="21"/>
      <c r="D198" s="22"/>
      <c r="E198" s="22"/>
      <c r="F198" s="22"/>
      <c r="G198" s="22"/>
      <c r="H198" s="23"/>
    </row>
    <row r="199" spans="3:8" x14ac:dyDescent="0.3">
      <c r="C199" s="21"/>
      <c r="D199" s="22"/>
      <c r="E199" s="22"/>
      <c r="F199" s="22"/>
      <c r="G199" s="22"/>
      <c r="H199" s="23"/>
    </row>
    <row r="200" spans="3:8" x14ac:dyDescent="0.3">
      <c r="C200" s="21"/>
      <c r="D200" s="22"/>
      <c r="E200" s="22"/>
      <c r="F200" s="22"/>
      <c r="G200" s="22"/>
      <c r="H200" s="23"/>
    </row>
    <row r="201" spans="3:8" x14ac:dyDescent="0.3">
      <c r="C201" s="21"/>
      <c r="D201" s="22"/>
      <c r="E201" s="22"/>
      <c r="F201" s="22"/>
      <c r="G201" s="22"/>
      <c r="H201" s="23"/>
    </row>
    <row r="202" spans="3:8" x14ac:dyDescent="0.3">
      <c r="C202" s="21"/>
      <c r="D202" s="22"/>
      <c r="E202" s="22"/>
      <c r="F202" s="22"/>
      <c r="G202" s="22"/>
      <c r="H202" s="23"/>
    </row>
    <row r="203" spans="3:8" x14ac:dyDescent="0.3">
      <c r="C203" s="21"/>
      <c r="D203" s="22"/>
      <c r="E203" s="22"/>
      <c r="F203" s="22"/>
      <c r="G203" s="22"/>
      <c r="H203" s="23"/>
    </row>
    <row r="204" spans="3:8" x14ac:dyDescent="0.3">
      <c r="C204" s="21"/>
      <c r="D204" s="22"/>
      <c r="E204" s="22"/>
      <c r="F204" s="22"/>
      <c r="G204" s="22"/>
      <c r="H204" s="23"/>
    </row>
    <row r="205" spans="3:8" x14ac:dyDescent="0.3">
      <c r="C205" s="21"/>
      <c r="D205" s="22"/>
      <c r="E205" s="22"/>
      <c r="F205" s="22"/>
      <c r="G205" s="22"/>
      <c r="H205" s="23"/>
    </row>
    <row r="206" spans="3:8" x14ac:dyDescent="0.3">
      <c r="C206" s="21"/>
      <c r="D206" s="22"/>
      <c r="E206" s="22"/>
      <c r="F206" s="22"/>
      <c r="G206" s="22"/>
      <c r="H206" s="23"/>
    </row>
    <row r="207" spans="3:8" x14ac:dyDescent="0.3">
      <c r="C207" s="21"/>
      <c r="D207" s="22"/>
      <c r="E207" s="22"/>
      <c r="F207" s="22"/>
      <c r="G207" s="22"/>
      <c r="H207" s="23"/>
    </row>
    <row r="208" spans="3:8" x14ac:dyDescent="0.3">
      <c r="C208" s="21"/>
      <c r="D208" s="22"/>
      <c r="E208" s="22"/>
      <c r="F208" s="22"/>
      <c r="G208" s="22"/>
      <c r="H208" s="23"/>
    </row>
    <row r="209" spans="3:8" x14ac:dyDescent="0.3">
      <c r="C209" s="21"/>
      <c r="D209" s="22"/>
      <c r="E209" s="22"/>
      <c r="F209" s="22"/>
      <c r="G209" s="22"/>
      <c r="H209" s="23"/>
    </row>
    <row r="210" spans="3:8" x14ac:dyDescent="0.3">
      <c r="C210" s="21"/>
      <c r="D210" s="22"/>
      <c r="E210" s="22"/>
      <c r="F210" s="22"/>
      <c r="G210" s="22"/>
      <c r="H210" s="23"/>
    </row>
    <row r="211" spans="3:8" x14ac:dyDescent="0.3">
      <c r="C211" s="21"/>
      <c r="D211" s="22"/>
      <c r="E211" s="22"/>
      <c r="F211" s="22"/>
      <c r="G211" s="22"/>
      <c r="H211" s="23"/>
    </row>
    <row r="212" spans="3:8" x14ac:dyDescent="0.3">
      <c r="C212" s="21"/>
      <c r="D212" s="22"/>
      <c r="E212" s="22"/>
      <c r="F212" s="22"/>
      <c r="G212" s="22"/>
      <c r="H212" s="23"/>
    </row>
    <row r="213" spans="3:8" x14ac:dyDescent="0.3">
      <c r="C213" s="21"/>
      <c r="D213" s="22"/>
      <c r="E213" s="22"/>
      <c r="F213" s="22"/>
      <c r="G213" s="22"/>
      <c r="H213" s="23"/>
    </row>
    <row r="214" spans="3:8" x14ac:dyDescent="0.3">
      <c r="C214" s="21"/>
      <c r="D214" s="22"/>
      <c r="E214" s="22"/>
      <c r="F214" s="22"/>
      <c r="G214" s="22"/>
      <c r="H214" s="23"/>
    </row>
    <row r="215" spans="3:8" x14ac:dyDescent="0.3">
      <c r="C215" s="21"/>
      <c r="D215" s="22"/>
      <c r="E215" s="22"/>
      <c r="F215" s="22"/>
      <c r="G215" s="22"/>
      <c r="H215" s="23"/>
    </row>
    <row r="216" spans="3:8" x14ac:dyDescent="0.3">
      <c r="C216" s="21"/>
      <c r="D216" s="22"/>
      <c r="E216" s="22"/>
      <c r="F216" s="22"/>
      <c r="G216" s="22"/>
      <c r="H216" s="23"/>
    </row>
    <row r="217" spans="3:8" x14ac:dyDescent="0.3">
      <c r="C217" s="21"/>
      <c r="D217" s="22"/>
      <c r="E217" s="22"/>
      <c r="F217" s="22"/>
      <c r="G217" s="22"/>
      <c r="H217" s="23"/>
    </row>
    <row r="218" spans="3:8" x14ac:dyDescent="0.3">
      <c r="C218" s="21"/>
      <c r="D218" s="22"/>
      <c r="E218" s="22"/>
      <c r="F218" s="22"/>
      <c r="G218" s="22"/>
      <c r="H218" s="23"/>
    </row>
    <row r="219" spans="3:8" x14ac:dyDescent="0.3">
      <c r="C219" s="21"/>
      <c r="D219" s="22"/>
      <c r="E219" s="22"/>
      <c r="F219" s="22"/>
      <c r="G219" s="22"/>
      <c r="H219" s="23"/>
    </row>
    <row r="220" spans="3:8" x14ac:dyDescent="0.3">
      <c r="C220" s="21"/>
      <c r="D220" s="22"/>
      <c r="E220" s="22"/>
      <c r="F220" s="22"/>
      <c r="G220" s="22"/>
      <c r="H220" s="23"/>
    </row>
    <row r="221" spans="3:8" x14ac:dyDescent="0.3">
      <c r="C221" s="21"/>
      <c r="D221" s="22"/>
      <c r="E221" s="22"/>
      <c r="F221" s="22"/>
      <c r="G221" s="22"/>
      <c r="H221" s="23"/>
    </row>
    <row r="222" spans="3:8" x14ac:dyDescent="0.3">
      <c r="C222" s="21"/>
      <c r="D222" s="22"/>
      <c r="E222" s="22"/>
      <c r="F222" s="22"/>
      <c r="G222" s="22"/>
      <c r="H222" s="23"/>
    </row>
    <row r="223" spans="3:8" x14ac:dyDescent="0.3">
      <c r="C223" s="21"/>
      <c r="D223" s="22"/>
      <c r="E223" s="22"/>
      <c r="F223" s="22"/>
      <c r="G223" s="22"/>
      <c r="H223" s="23"/>
    </row>
    <row r="224" spans="3:8" x14ac:dyDescent="0.3">
      <c r="C224" s="21"/>
      <c r="D224" s="22"/>
      <c r="E224" s="22"/>
      <c r="F224" s="22"/>
      <c r="G224" s="22"/>
      <c r="H224" s="23"/>
    </row>
    <row r="225" spans="3:8" x14ac:dyDescent="0.3">
      <c r="C225" s="21"/>
      <c r="D225" s="22"/>
      <c r="E225" s="22"/>
      <c r="F225" s="22"/>
      <c r="G225" s="22"/>
      <c r="H225" s="23"/>
    </row>
    <row r="226" spans="3:8" x14ac:dyDescent="0.3">
      <c r="C226" s="21"/>
      <c r="D226" s="22"/>
      <c r="E226" s="22"/>
      <c r="F226" s="22"/>
      <c r="G226" s="22"/>
      <c r="H226" s="23"/>
    </row>
    <row r="227" spans="3:8" x14ac:dyDescent="0.3">
      <c r="C227" s="21"/>
      <c r="D227" s="22"/>
      <c r="E227" s="22"/>
      <c r="F227" s="22"/>
      <c r="G227" s="22"/>
      <c r="H227" s="23"/>
    </row>
    <row r="228" spans="3:8" x14ac:dyDescent="0.3">
      <c r="C228" s="21"/>
      <c r="D228" s="22"/>
      <c r="E228" s="22"/>
      <c r="F228" s="22"/>
      <c r="G228" s="22"/>
      <c r="H228" s="23"/>
    </row>
    <row r="229" spans="3:8" x14ac:dyDescent="0.3">
      <c r="C229" s="21"/>
      <c r="D229" s="22"/>
      <c r="E229" s="22"/>
      <c r="F229" s="22"/>
      <c r="G229" s="22"/>
      <c r="H229" s="23"/>
    </row>
    <row r="230" spans="3:8" x14ac:dyDescent="0.3">
      <c r="C230" s="21"/>
      <c r="D230" s="22"/>
      <c r="E230" s="22"/>
      <c r="F230" s="22"/>
      <c r="G230" s="22"/>
      <c r="H230" s="23"/>
    </row>
    <row r="231" spans="3:8" x14ac:dyDescent="0.3">
      <c r="C231" s="21"/>
      <c r="D231" s="22"/>
      <c r="E231" s="22"/>
      <c r="F231" s="22"/>
      <c r="G231" s="22"/>
      <c r="H231" s="23"/>
    </row>
    <row r="232" spans="3:8" x14ac:dyDescent="0.3">
      <c r="C232" s="21"/>
      <c r="D232" s="22"/>
      <c r="E232" s="22"/>
      <c r="F232" s="22"/>
      <c r="G232" s="22"/>
      <c r="H232" s="23"/>
    </row>
    <row r="233" spans="3:8" x14ac:dyDescent="0.3">
      <c r="C233" s="21"/>
      <c r="D233" s="22"/>
      <c r="E233" s="22"/>
      <c r="F233" s="22"/>
      <c r="G233" s="22"/>
      <c r="H233" s="23"/>
    </row>
    <row r="234" spans="3:8" x14ac:dyDescent="0.3">
      <c r="C234" s="21"/>
      <c r="D234" s="22"/>
      <c r="E234" s="22"/>
      <c r="F234" s="22"/>
      <c r="G234" s="22"/>
      <c r="H234" s="23"/>
    </row>
    <row r="235" spans="3:8" x14ac:dyDescent="0.3">
      <c r="C235" s="21"/>
      <c r="D235" s="22"/>
      <c r="E235" s="22"/>
      <c r="F235" s="22"/>
      <c r="G235" s="22"/>
      <c r="H235" s="23"/>
    </row>
    <row r="236" spans="3:8" x14ac:dyDescent="0.3">
      <c r="C236" s="21"/>
      <c r="D236" s="22"/>
      <c r="E236" s="22"/>
      <c r="F236" s="22"/>
      <c r="G236" s="22"/>
      <c r="H236" s="23"/>
    </row>
    <row r="237" spans="3:8" x14ac:dyDescent="0.3">
      <c r="C237" s="21"/>
      <c r="D237" s="22"/>
      <c r="E237" s="22"/>
      <c r="F237" s="22"/>
      <c r="G237" s="22"/>
      <c r="H237" s="23"/>
    </row>
    <row r="238" spans="3:8" x14ac:dyDescent="0.3">
      <c r="C238" s="21"/>
      <c r="D238" s="22"/>
      <c r="E238" s="22"/>
      <c r="F238" s="22"/>
      <c r="G238" s="22"/>
      <c r="H238" s="23"/>
    </row>
    <row r="239" spans="3:8" x14ac:dyDescent="0.3">
      <c r="C239" s="21"/>
      <c r="D239" s="22"/>
      <c r="E239" s="22"/>
      <c r="F239" s="22"/>
      <c r="G239" s="22"/>
      <c r="H239" s="23"/>
    </row>
    <row r="240" spans="3:8" x14ac:dyDescent="0.3">
      <c r="C240" s="21"/>
      <c r="D240" s="22"/>
      <c r="E240" s="22"/>
      <c r="F240" s="22"/>
      <c r="G240" s="22"/>
      <c r="H240" s="23"/>
    </row>
    <row r="241" spans="3:8" x14ac:dyDescent="0.3">
      <c r="C241" s="21"/>
      <c r="D241" s="22"/>
      <c r="E241" s="22"/>
      <c r="F241" s="22"/>
      <c r="G241" s="22"/>
      <c r="H241" s="23"/>
    </row>
    <row r="242" spans="3:8" x14ac:dyDescent="0.3">
      <c r="C242" s="21"/>
      <c r="D242" s="22"/>
      <c r="E242" s="22"/>
      <c r="F242" s="22"/>
      <c r="G242" s="22"/>
      <c r="H242" s="23"/>
    </row>
    <row r="243" spans="3:8" x14ac:dyDescent="0.3">
      <c r="C243" s="21"/>
      <c r="D243" s="22"/>
      <c r="E243" s="22"/>
      <c r="F243" s="22"/>
      <c r="G243" s="22"/>
      <c r="H243" s="23"/>
    </row>
    <row r="244" spans="3:8" x14ac:dyDescent="0.3">
      <c r="C244" s="21"/>
      <c r="D244" s="22"/>
      <c r="E244" s="22"/>
      <c r="F244" s="22"/>
      <c r="G244" s="22"/>
      <c r="H244" s="23"/>
    </row>
    <row r="245" spans="3:8" x14ac:dyDescent="0.3">
      <c r="C245" s="21"/>
      <c r="D245" s="22"/>
      <c r="E245" s="22"/>
      <c r="F245" s="22"/>
      <c r="G245" s="22"/>
      <c r="H245" s="23"/>
    </row>
    <row r="246" spans="3:8" x14ac:dyDescent="0.3">
      <c r="C246" s="21"/>
      <c r="D246" s="22"/>
      <c r="E246" s="22"/>
      <c r="F246" s="22"/>
      <c r="G246" s="22"/>
      <c r="H246" s="23"/>
    </row>
    <row r="247" spans="3:8" x14ac:dyDescent="0.3">
      <c r="C247" s="21"/>
      <c r="D247" s="22"/>
      <c r="E247" s="22"/>
      <c r="F247" s="22"/>
      <c r="G247" s="22"/>
      <c r="H247" s="23"/>
    </row>
    <row r="248" spans="3:8" x14ac:dyDescent="0.3">
      <c r="C248" s="21"/>
      <c r="D248" s="22"/>
      <c r="E248" s="22"/>
      <c r="F248" s="22"/>
      <c r="G248" s="22"/>
      <c r="H248" s="23"/>
    </row>
    <row r="249" spans="3:8" x14ac:dyDescent="0.3">
      <c r="C249" s="21"/>
      <c r="D249" s="22"/>
      <c r="E249" s="22"/>
      <c r="F249" s="22"/>
      <c r="G249" s="22"/>
      <c r="H249" s="23"/>
    </row>
    <row r="250" spans="3:8" x14ac:dyDescent="0.3">
      <c r="C250" s="21"/>
      <c r="D250" s="22"/>
      <c r="E250" s="22"/>
      <c r="F250" s="22"/>
      <c r="G250" s="22"/>
      <c r="H250" s="23"/>
    </row>
    <row r="251" spans="3:8" x14ac:dyDescent="0.3">
      <c r="C251" s="21"/>
      <c r="D251" s="22"/>
      <c r="E251" s="22"/>
      <c r="F251" s="22"/>
      <c r="G251" s="22"/>
      <c r="H251" s="23"/>
    </row>
    <row r="252" spans="3:8" x14ac:dyDescent="0.3">
      <c r="C252" s="21"/>
      <c r="D252" s="22"/>
      <c r="E252" s="22"/>
      <c r="F252" s="22"/>
      <c r="G252" s="22"/>
      <c r="H252" s="23"/>
    </row>
    <row r="253" spans="3:8" x14ac:dyDescent="0.3">
      <c r="C253" s="21"/>
      <c r="D253" s="22"/>
      <c r="E253" s="22"/>
      <c r="F253" s="22"/>
      <c r="G253" s="22"/>
      <c r="H253" s="23"/>
    </row>
    <row r="254" spans="3:8" x14ac:dyDescent="0.3">
      <c r="C254" s="21"/>
      <c r="D254" s="22"/>
      <c r="E254" s="22"/>
      <c r="F254" s="22"/>
      <c r="G254" s="22"/>
      <c r="H254" s="23"/>
    </row>
    <row r="255" spans="3:8" x14ac:dyDescent="0.3">
      <c r="C255" s="21"/>
      <c r="D255" s="22"/>
      <c r="E255" s="22"/>
      <c r="F255" s="22"/>
      <c r="G255" s="22"/>
      <c r="H255" s="23"/>
    </row>
    <row r="256" spans="3:8" x14ac:dyDescent="0.3">
      <c r="C256" s="21"/>
      <c r="D256" s="22"/>
      <c r="E256" s="22"/>
      <c r="F256" s="22"/>
      <c r="G256" s="22"/>
      <c r="H256" s="23"/>
    </row>
    <row r="257" spans="3:8" x14ac:dyDescent="0.3">
      <c r="C257" s="21"/>
      <c r="D257" s="22"/>
      <c r="E257" s="22"/>
      <c r="F257" s="22"/>
      <c r="G257" s="22"/>
      <c r="H257" s="23"/>
    </row>
    <row r="258" spans="3:8" x14ac:dyDescent="0.3">
      <c r="C258" s="21"/>
      <c r="D258" s="22"/>
      <c r="E258" s="22"/>
      <c r="F258" s="22"/>
      <c r="G258" s="22"/>
      <c r="H258" s="23"/>
    </row>
    <row r="259" spans="3:8" x14ac:dyDescent="0.3">
      <c r="C259" s="21"/>
      <c r="D259" s="22"/>
      <c r="E259" s="22"/>
      <c r="F259" s="22"/>
      <c r="G259" s="22"/>
      <c r="H259" s="23"/>
    </row>
    <row r="260" spans="3:8" x14ac:dyDescent="0.3">
      <c r="C260" s="21"/>
      <c r="D260" s="22"/>
      <c r="E260" s="22"/>
      <c r="F260" s="22"/>
      <c r="G260" s="22"/>
      <c r="H260" s="23"/>
    </row>
    <row r="261" spans="3:8" x14ac:dyDescent="0.3">
      <c r="C261" s="21"/>
      <c r="D261" s="22"/>
      <c r="E261" s="22"/>
      <c r="F261" s="22"/>
      <c r="G261" s="22"/>
      <c r="H261" s="23"/>
    </row>
    <row r="262" spans="3:8" x14ac:dyDescent="0.3">
      <c r="C262" s="21"/>
      <c r="D262" s="22"/>
      <c r="E262" s="22"/>
      <c r="F262" s="22"/>
      <c r="G262" s="22"/>
      <c r="H262" s="23"/>
    </row>
    <row r="263" spans="3:8" x14ac:dyDescent="0.3">
      <c r="C263" s="21"/>
      <c r="D263" s="22"/>
      <c r="E263" s="22"/>
      <c r="F263" s="22"/>
      <c r="G263" s="22"/>
      <c r="H263" s="23"/>
    </row>
    <row r="264" spans="3:8" x14ac:dyDescent="0.3">
      <c r="C264" s="21"/>
      <c r="D264" s="22"/>
      <c r="E264" s="22"/>
      <c r="F264" s="22"/>
      <c r="G264" s="22"/>
      <c r="H264" s="23"/>
    </row>
    <row r="265" spans="3:8" x14ac:dyDescent="0.3">
      <c r="C265" s="21"/>
      <c r="D265" s="22"/>
      <c r="E265" s="22"/>
      <c r="F265" s="22"/>
      <c r="G265" s="22"/>
      <c r="H265" s="23"/>
    </row>
    <row r="266" spans="3:8" x14ac:dyDescent="0.3">
      <c r="C266" s="21"/>
      <c r="D266" s="22"/>
      <c r="E266" s="22"/>
      <c r="F266" s="22"/>
      <c r="G266" s="22"/>
      <c r="H266" s="23"/>
    </row>
    <row r="267" spans="3:8" x14ac:dyDescent="0.3">
      <c r="C267" s="21"/>
      <c r="D267" s="22"/>
      <c r="E267" s="22"/>
      <c r="F267" s="22"/>
      <c r="G267" s="22"/>
      <c r="H267" s="23"/>
    </row>
    <row r="268" spans="3:8" x14ac:dyDescent="0.3">
      <c r="C268" s="21"/>
      <c r="D268" s="22"/>
      <c r="E268" s="22"/>
      <c r="F268" s="22"/>
      <c r="G268" s="22"/>
      <c r="H268" s="23"/>
    </row>
    <row r="269" spans="3:8" x14ac:dyDescent="0.3">
      <c r="C269" s="21"/>
      <c r="D269" s="22"/>
      <c r="E269" s="22"/>
      <c r="F269" s="22"/>
      <c r="G269" s="22"/>
      <c r="H269" s="23"/>
    </row>
    <row r="270" spans="3:8" x14ac:dyDescent="0.3">
      <c r="C270" s="21"/>
      <c r="D270" s="22"/>
      <c r="E270" s="22"/>
      <c r="F270" s="22"/>
      <c r="G270" s="22"/>
      <c r="H270" s="23"/>
    </row>
    <row r="271" spans="3:8" x14ac:dyDescent="0.3">
      <c r="C271" s="21"/>
      <c r="D271" s="22"/>
      <c r="E271" s="22"/>
      <c r="F271" s="22"/>
      <c r="G271" s="22"/>
      <c r="H271" s="23"/>
    </row>
    <row r="272" spans="3:8" x14ac:dyDescent="0.3">
      <c r="C272" s="21"/>
      <c r="D272" s="22"/>
      <c r="E272" s="22"/>
      <c r="F272" s="22"/>
      <c r="G272" s="22"/>
      <c r="H272" s="23"/>
    </row>
    <row r="273" spans="3:8" x14ac:dyDescent="0.3">
      <c r="C273" s="21"/>
      <c r="D273" s="22"/>
      <c r="E273" s="22"/>
      <c r="F273" s="22"/>
      <c r="G273" s="22"/>
      <c r="H273" s="23"/>
    </row>
    <row r="274" spans="3:8" x14ac:dyDescent="0.3">
      <c r="C274" s="21"/>
      <c r="D274" s="22"/>
      <c r="E274" s="22"/>
      <c r="F274" s="22"/>
      <c r="G274" s="22"/>
      <c r="H274" s="23"/>
    </row>
    <row r="275" spans="3:8" x14ac:dyDescent="0.3">
      <c r="C275" s="21"/>
      <c r="D275" s="22"/>
      <c r="E275" s="22"/>
      <c r="F275" s="22"/>
      <c r="G275" s="22"/>
      <c r="H275" s="23"/>
    </row>
    <row r="276" spans="3:8" x14ac:dyDescent="0.3">
      <c r="C276" s="21"/>
      <c r="D276" s="22"/>
      <c r="E276" s="22"/>
      <c r="F276" s="22"/>
      <c r="G276" s="22"/>
      <c r="H276" s="23"/>
    </row>
    <row r="277" spans="3:8" x14ac:dyDescent="0.3">
      <c r="C277" s="21"/>
      <c r="D277" s="22"/>
      <c r="E277" s="22"/>
      <c r="F277" s="22"/>
      <c r="G277" s="22"/>
      <c r="H277" s="23"/>
    </row>
    <row r="278" spans="3:8" x14ac:dyDescent="0.3">
      <c r="C278" s="21"/>
      <c r="D278" s="22"/>
      <c r="E278" s="22"/>
      <c r="F278" s="22"/>
      <c r="G278" s="22"/>
      <c r="H278" s="23"/>
    </row>
    <row r="279" spans="3:8" x14ac:dyDescent="0.3">
      <c r="C279" s="21"/>
      <c r="D279" s="22"/>
      <c r="E279" s="22"/>
      <c r="F279" s="22"/>
      <c r="G279" s="22"/>
      <c r="H279" s="23"/>
    </row>
    <row r="280" spans="3:8" x14ac:dyDescent="0.3">
      <c r="C280" s="21"/>
      <c r="D280" s="22"/>
      <c r="E280" s="22"/>
      <c r="F280" s="22"/>
      <c r="G280" s="22"/>
      <c r="H280" s="23"/>
    </row>
    <row r="281" spans="3:8" x14ac:dyDescent="0.3">
      <c r="C281" s="21"/>
      <c r="D281" s="22"/>
      <c r="E281" s="22"/>
      <c r="F281" s="22"/>
      <c r="G281" s="22"/>
      <c r="H281" s="23"/>
    </row>
    <row r="282" spans="3:8" x14ac:dyDescent="0.3">
      <c r="C282" s="21"/>
      <c r="D282" s="22"/>
      <c r="E282" s="22"/>
      <c r="F282" s="22"/>
      <c r="G282" s="22"/>
      <c r="H282" s="23"/>
    </row>
    <row r="283" spans="3:8" x14ac:dyDescent="0.3">
      <c r="C283" s="21"/>
      <c r="D283" s="22"/>
      <c r="E283" s="22"/>
      <c r="F283" s="22"/>
      <c r="G283" s="22"/>
      <c r="H283" s="23"/>
    </row>
    <row r="284" spans="3:8" x14ac:dyDescent="0.3">
      <c r="C284" s="21"/>
      <c r="D284" s="22"/>
      <c r="E284" s="22"/>
      <c r="F284" s="22"/>
      <c r="G284" s="22"/>
      <c r="H284" s="23"/>
    </row>
    <row r="285" spans="3:8" x14ac:dyDescent="0.3">
      <c r="C285" s="21"/>
      <c r="D285" s="22"/>
      <c r="E285" s="22"/>
      <c r="F285" s="22"/>
      <c r="G285" s="22"/>
      <c r="H285" s="23"/>
    </row>
    <row r="286" spans="3:8" x14ac:dyDescent="0.3">
      <c r="C286" s="21"/>
      <c r="D286" s="22"/>
      <c r="E286" s="22"/>
      <c r="F286" s="22"/>
      <c r="G286" s="22"/>
      <c r="H286" s="23"/>
    </row>
    <row r="287" spans="3:8" x14ac:dyDescent="0.3">
      <c r="C287" s="21"/>
      <c r="D287" s="22"/>
      <c r="E287" s="22"/>
      <c r="F287" s="22"/>
      <c r="G287" s="22"/>
      <c r="H287" s="23"/>
    </row>
    <row r="288" spans="3:8" x14ac:dyDescent="0.3">
      <c r="C288" s="21"/>
      <c r="D288" s="22"/>
      <c r="E288" s="22"/>
      <c r="F288" s="22"/>
      <c r="G288" s="22"/>
      <c r="H288" s="23"/>
    </row>
    <row r="289" spans="3:8" x14ac:dyDescent="0.3">
      <c r="C289" s="21"/>
      <c r="D289" s="22"/>
      <c r="E289" s="22"/>
      <c r="F289" s="22"/>
      <c r="G289" s="22"/>
      <c r="H289" s="23"/>
    </row>
    <row r="290" spans="3:8" x14ac:dyDescent="0.3">
      <c r="C290" s="21"/>
      <c r="D290" s="22"/>
      <c r="E290" s="22"/>
      <c r="F290" s="22"/>
      <c r="G290" s="22"/>
      <c r="H290" s="23"/>
    </row>
    <row r="291" spans="3:8" x14ac:dyDescent="0.3">
      <c r="C291" s="21"/>
      <c r="D291" s="22"/>
      <c r="E291" s="22"/>
      <c r="F291" s="22"/>
      <c r="G291" s="22"/>
      <c r="H291" s="23"/>
    </row>
    <row r="292" spans="3:8" x14ac:dyDescent="0.3">
      <c r="C292" s="21"/>
      <c r="D292" s="22"/>
      <c r="E292" s="22"/>
      <c r="F292" s="22"/>
      <c r="G292" s="22"/>
      <c r="H292" s="23"/>
    </row>
    <row r="293" spans="3:8" x14ac:dyDescent="0.3">
      <c r="C293" s="21"/>
      <c r="D293" s="22"/>
      <c r="E293" s="22"/>
      <c r="F293" s="22"/>
      <c r="G293" s="22"/>
      <c r="H293" s="23"/>
    </row>
    <row r="294" spans="3:8" x14ac:dyDescent="0.3">
      <c r="C294" s="21"/>
      <c r="D294" s="22"/>
      <c r="E294" s="22"/>
      <c r="F294" s="22"/>
      <c r="G294" s="22"/>
      <c r="H294" s="23"/>
    </row>
    <row r="295" spans="3:8" x14ac:dyDescent="0.3">
      <c r="C295" s="21"/>
      <c r="D295" s="22"/>
      <c r="E295" s="22"/>
      <c r="F295" s="22"/>
      <c r="G295" s="22"/>
      <c r="H295" s="23"/>
    </row>
    <row r="296" spans="3:8" x14ac:dyDescent="0.3">
      <c r="C296" s="21"/>
      <c r="D296" s="22"/>
      <c r="E296" s="22"/>
      <c r="F296" s="22"/>
      <c r="G296" s="22"/>
      <c r="H296" s="23"/>
    </row>
    <row r="297" spans="3:8" x14ac:dyDescent="0.3">
      <c r="C297" s="21"/>
      <c r="D297" s="22"/>
      <c r="E297" s="22"/>
      <c r="F297" s="22"/>
      <c r="G297" s="22"/>
      <c r="H297" s="23"/>
    </row>
    <row r="298" spans="3:8" x14ac:dyDescent="0.3">
      <c r="C298" s="21"/>
      <c r="D298" s="22"/>
      <c r="E298" s="22"/>
      <c r="F298" s="22"/>
      <c r="G298" s="22"/>
      <c r="H298" s="23"/>
    </row>
  </sheetData>
  <sortState ref="A32:L41">
    <sortCondition ref="B24:B33"/>
  </sortState>
  <dataConsolidate/>
  <dataValidations count="2">
    <dataValidation type="list" allowBlank="1" showInputMessage="1" showErrorMessage="1" sqref="A32:A53">
      <formula1>BUFFS</formula1>
    </dataValidation>
    <dataValidation type="list" allowBlank="1" showInputMessage="1" showErrorMessage="1" sqref="F4:AD4">
      <formula1>$A$5:$A$34</formula1>
    </dataValidation>
  </dataValidation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B33"/>
  <sheetViews>
    <sheetView topLeftCell="A12" workbookViewId="0">
      <selection activeCell="C21" sqref="C21"/>
    </sheetView>
  </sheetViews>
  <sheetFormatPr defaultRowHeight="18.75" x14ac:dyDescent="0.3"/>
  <cols>
    <col min="1" max="1" width="28.85546875" style="5" bestFit="1" customWidth="1"/>
    <col min="2" max="2" width="13" customWidth="1"/>
    <col min="3" max="3" width="21" bestFit="1" customWidth="1"/>
    <col min="4" max="4" width="28.140625" bestFit="1" customWidth="1"/>
    <col min="5" max="5" width="12.85546875" bestFit="1" customWidth="1"/>
    <col min="6" max="6" width="21.85546875" bestFit="1" customWidth="1"/>
    <col min="7" max="7" width="21.140625" bestFit="1" customWidth="1"/>
    <col min="8" max="8" width="16.7109375" bestFit="1" customWidth="1"/>
    <col min="9" max="9" width="13.140625" bestFit="1" customWidth="1"/>
    <col min="10" max="10" width="25.5703125" bestFit="1" customWidth="1"/>
    <col min="11" max="11" width="26" bestFit="1" customWidth="1"/>
    <col min="12" max="12" width="13.42578125" bestFit="1" customWidth="1"/>
    <col min="13" max="13" width="13.5703125" bestFit="1" customWidth="1"/>
    <col min="14" max="14" width="16" bestFit="1" customWidth="1"/>
    <col min="15" max="15" width="20.140625" bestFit="1" customWidth="1"/>
    <col min="16" max="16" width="35.140625" bestFit="1" customWidth="1"/>
    <col min="17" max="17" width="16.7109375" bestFit="1" customWidth="1"/>
  </cols>
  <sheetData>
    <row r="2" spans="1:28" x14ac:dyDescent="0.3">
      <c r="A2" s="5" t="s">
        <v>65</v>
      </c>
    </row>
    <row r="4" spans="1:28" x14ac:dyDescent="0.3">
      <c r="A4" s="5" t="s">
        <v>76</v>
      </c>
      <c r="B4" s="1" t="s">
        <v>97</v>
      </c>
      <c r="C4" t="s">
        <v>6</v>
      </c>
      <c r="D4" t="s">
        <v>2</v>
      </c>
      <c r="E4" t="s">
        <v>3</v>
      </c>
      <c r="F4" t="s">
        <v>4</v>
      </c>
      <c r="G4" t="s">
        <v>5</v>
      </c>
      <c r="H4" t="s">
        <v>6</v>
      </c>
      <c r="I4" t="s">
        <v>7</v>
      </c>
      <c r="J4" t="s">
        <v>8</v>
      </c>
      <c r="K4" t="s">
        <v>9</v>
      </c>
      <c r="L4" t="s">
        <v>10</v>
      </c>
      <c r="M4" t="s">
        <v>11</v>
      </c>
      <c r="N4" t="s">
        <v>12</v>
      </c>
      <c r="O4" t="s">
        <v>13</v>
      </c>
      <c r="P4" t="s">
        <v>14</v>
      </c>
      <c r="Q4" t="s">
        <v>15</v>
      </c>
      <c r="R4" t="s">
        <v>16</v>
      </c>
      <c r="S4" t="s">
        <v>17</v>
      </c>
      <c r="T4" t="s">
        <v>18</v>
      </c>
      <c r="U4" t="s">
        <v>19</v>
      </c>
      <c r="V4" t="s">
        <v>20</v>
      </c>
      <c r="W4" t="s">
        <v>21</v>
      </c>
      <c r="X4" t="s">
        <v>22</v>
      </c>
      <c r="Y4" t="s">
        <v>23</v>
      </c>
      <c r="Z4" t="s">
        <v>24</v>
      </c>
      <c r="AA4" t="s">
        <v>25</v>
      </c>
      <c r="AB4" t="s">
        <v>77</v>
      </c>
    </row>
    <row r="5" spans="1:28" x14ac:dyDescent="0.3">
      <c r="A5" s="5" t="s">
        <v>66</v>
      </c>
      <c r="B5">
        <v>5</v>
      </c>
    </row>
    <row r="7" spans="1:28" x14ac:dyDescent="0.3">
      <c r="A7" s="5" t="s">
        <v>67</v>
      </c>
    </row>
    <row r="8" spans="1:28" x14ac:dyDescent="0.3">
      <c r="A8" s="5" t="s">
        <v>68</v>
      </c>
    </row>
    <row r="9" spans="1:28" x14ac:dyDescent="0.3">
      <c r="A9" s="5" t="s">
        <v>69</v>
      </c>
    </row>
    <row r="10" spans="1:28" x14ac:dyDescent="0.3">
      <c r="A10" s="5" t="s">
        <v>102</v>
      </c>
    </row>
    <row r="11" spans="1:28" x14ac:dyDescent="0.3">
      <c r="A11" s="5" t="s">
        <v>104</v>
      </c>
    </row>
    <row r="12" spans="1:28" x14ac:dyDescent="0.3">
      <c r="A12" s="5" t="s">
        <v>105</v>
      </c>
    </row>
    <row r="13" spans="1:28" x14ac:dyDescent="0.3">
      <c r="A13" s="5" t="s">
        <v>32</v>
      </c>
    </row>
    <row r="14" spans="1:28" x14ac:dyDescent="0.3">
      <c r="A14" s="5" t="s">
        <v>33</v>
      </c>
    </row>
    <row r="15" spans="1:28" x14ac:dyDescent="0.3">
      <c r="A15" s="5" t="s">
        <v>34</v>
      </c>
    </row>
    <row r="16" spans="1:28" x14ac:dyDescent="0.3">
      <c r="A16" s="5" t="s">
        <v>29</v>
      </c>
    </row>
    <row r="17" spans="1:12" x14ac:dyDescent="0.3">
      <c r="A17" s="5" t="s">
        <v>103</v>
      </c>
    </row>
    <row r="19" spans="1:12" x14ac:dyDescent="0.3">
      <c r="A19" s="5" t="s">
        <v>108</v>
      </c>
    </row>
    <row r="20" spans="1:12" x14ac:dyDescent="0.3">
      <c r="A20" s="5" t="s">
        <v>31</v>
      </c>
      <c r="B20">
        <f>SUM(C20:AA20)</f>
        <v>5</v>
      </c>
      <c r="C20">
        <f>MAX((IF(AND(C24=$A$20,D24=$C$4),G24)),(IF(AND(C25=$A$20,D25=$C$4),G25)),(IF(AND(C26=$A$20,D26=$C$4),G26)),(IF(AND(C27=$A$20,D27=$C$4),G27)),(IF(AND(C28=$A$20,D28=$C$4),G28)),(IF(AND(C29=$A$20,D29=$C$4),G29)),(IF(AND(C30=$A$20,D30=$C$4),G30)),(IF(AND(C31=$A$20,D31=$C$4),G31)),(IF(AND(C32=$A$20,D32=$C$4),G32)),(IF(AND(C33=$A$20,D33=$C$4),G33)),(IF(AND(C34=$A$20,D34=$C$4),G34)),(IF(AND(C35=$A$20,D35=$C$4),G35)),(IF(AND(C36=$A$20,D36=$C$4),G36)),(IF(AND(C37=$A$20,D37=$C$4),G37)),(IF(AND(C38=$A$20,D38=$C$4),G38)),(IF(AND(C39=$A$20,D39=$C$4),G39)),(IF(AND(C40=$A$20,D40=$C$4),G40)),(IF(AND(C41=$A$20,D41=$C$4),G41)),(IF(AND(C42=$A$20,D42=$C$4),G42)),(IF(AND(C43=$A$20,D43=$C$4),G43)),(IF(AND(C44=$A$20,D44=$C$4),G44)),(IF(AND(C45=$A$20,D45=$C$4),G45)),(IF(AND(C46=$A$20,D46=$C$4),G46)),(IF(AND(C47=$A$20,D47=$C$4),G47)),(IF(AND(C48=$A$20,D48=$C$4),G48)),(IF(AND(C49=$A$20,D49=$C$4),G49)),(IF(AND(C50=$A$20,D50=$C$4),G50)),(IF(AND(C51=$A$20,D51=$C$4),G51)),(IF(AND(C52=$A$20,D52=$C$4),G52)),(IF(AND(C53=$A$20,D53=$C$4),G53)),(IF(AND(C54=$A$20,D54=$C$4),G54)),(IF(AND(C55=$A$20,D55=$C$4),G55)),(IF(AND(C56=$A$20,D56=$C$4),G56)),(IF(AND(C57=$A$20,D57=$C$4),G57)),(IF(AND(C58=$A$20,D58=$C$4),G58)),(IF(AND(C59=$A$20,D59=$C$4),G59)),(IF(AND(C60=$A$20,D60=$C$4),G60)),(IF(AND(C61=$A$20,D61=$C$4),G61)),(IF(AND(C62=$A$20,D62=$C$4),G62)),(IF(AND(C63=$A$20,D63=$C$4),G63)),(IF(AND(C64=$A$20,D64=$C$4),G64)),(IF(AND(C65=$A$20,D65=$C$4),G65)),(IF(AND(C66=$A$20,D66=$C$4),G66)),(IF(AND(C67=$A$20,D67=$C$4),G67)),(IF(AND(C68=$A$20,D68=$C$4),G68)),(IF(AND(C69=$A$20,D69=$C$4),G69)),(IF(AND(C70=$A$20,D70=$C$4),G70)),(IF(AND(C71=$A$20,D71=$C$4),G71)))</f>
        <v>5</v>
      </c>
      <c r="E20" t="b">
        <f>D24=C4</f>
        <v>0</v>
      </c>
    </row>
    <row r="21" spans="1:12" x14ac:dyDescent="0.3">
      <c r="A21" s="5" t="s">
        <v>106</v>
      </c>
    </row>
    <row r="22" spans="1:12" x14ac:dyDescent="0.3">
      <c r="A22" s="5" t="s">
        <v>107</v>
      </c>
    </row>
    <row r="23" spans="1:12" s="1" customFormat="1" x14ac:dyDescent="0.3">
      <c r="A23" s="5" t="s">
        <v>72</v>
      </c>
      <c r="B23" s="1" t="s">
        <v>89</v>
      </c>
      <c r="C23" s="9" t="s">
        <v>74</v>
      </c>
      <c r="D23" s="8" t="s">
        <v>83</v>
      </c>
      <c r="E23" s="9" t="s">
        <v>84</v>
      </c>
      <c r="F23" s="1" t="s">
        <v>93</v>
      </c>
      <c r="G23" s="1" t="s">
        <v>94</v>
      </c>
      <c r="H23" s="1" t="s">
        <v>80</v>
      </c>
      <c r="I23" s="8" t="s">
        <v>83</v>
      </c>
      <c r="J23" s="9" t="s">
        <v>84</v>
      </c>
      <c r="K23" s="1" t="s">
        <v>93</v>
      </c>
      <c r="L23" s="1" t="s">
        <v>94</v>
      </c>
    </row>
    <row r="24" spans="1:12" x14ac:dyDescent="0.3">
      <c r="A24" s="5" t="s">
        <v>73</v>
      </c>
      <c r="B24">
        <v>5</v>
      </c>
      <c r="C24" s="4" t="str">
        <f>VLOOKUP(A24,BUFFS!$H$5:$AF$195,5,)</f>
        <v>SAVES</v>
      </c>
      <c r="D24" t="str">
        <f>VLOOKUP(A24,BUFFS!$H$5:$AF$195,6,)</f>
        <v xml:space="preserve">Morale Modifier </v>
      </c>
      <c r="E24" s="4">
        <f>VLOOKUP(A24,BUFFS!$H$5:$AF$195,7,)</f>
        <v>1</v>
      </c>
      <c r="F24">
        <f>VLOOKUP(A24,BUFFS!$H$5:$AF$195,9,)</f>
        <v>0</v>
      </c>
      <c r="G24" s="4">
        <f t="shared" ref="G24:G33" si="0">SUM(E24,ROUNDDOWN(B24*F24,0))</f>
        <v>1</v>
      </c>
      <c r="H24" s="4" t="str">
        <f>VLOOKUP(A24,BUFFS!$H$5:$AF$195,10,)</f>
        <v>attack</v>
      </c>
      <c r="I24" t="str">
        <f>VLOOKUP(A24,BUFFS!$H$5:$AF$195,11,)</f>
        <v xml:space="preserve">Morale Modifier </v>
      </c>
      <c r="J24">
        <f>VLOOKUP(A24,BUFFS!$H$5:$AF$195,12,)</f>
        <v>1</v>
      </c>
      <c r="K24">
        <f>VLOOKUP(A24,BUFFS!$H$5:$AF$195,14,)</f>
        <v>0</v>
      </c>
      <c r="L24">
        <f t="shared" ref="L24:L33" si="1">SUM(J24,ROUNDDOWN(B24*K24,0))</f>
        <v>1</v>
      </c>
    </row>
    <row r="25" spans="1:12" x14ac:dyDescent="0.3">
      <c r="A25" s="5" t="s">
        <v>73</v>
      </c>
      <c r="B25">
        <v>6</v>
      </c>
      <c r="C25" s="4" t="str">
        <f>VLOOKUP(A25,BUFFS!$H$5:$AF$195,5,)</f>
        <v>SAVES</v>
      </c>
      <c r="D25" t="str">
        <f>VLOOKUP(A25,BUFFS!$H$5:$AF$195,6,)</f>
        <v xml:space="preserve">Morale Modifier </v>
      </c>
      <c r="E25" s="4">
        <f>VLOOKUP(A25,BUFFS!$H$5:$AF$195,7,)</f>
        <v>1</v>
      </c>
      <c r="F25">
        <f>VLOOKUP(A25,BUFFS!$H$5:$AF$195,9,)</f>
        <v>0</v>
      </c>
      <c r="G25" s="4">
        <f t="shared" si="0"/>
        <v>1</v>
      </c>
      <c r="H25" s="4" t="str">
        <f>VLOOKUP(A25,BUFFS!$H$5:$AF$195,10,)</f>
        <v>attack</v>
      </c>
      <c r="I25" t="str">
        <f>VLOOKUP(A25,BUFFS!$H$5:$AF$195,11,)</f>
        <v xml:space="preserve">Morale Modifier </v>
      </c>
      <c r="J25">
        <f>VLOOKUP(A25,BUFFS!$H$5:$AF$195,12,)</f>
        <v>1</v>
      </c>
      <c r="K25">
        <f>VLOOKUP(A25,BUFFS!$H$5:$AF$195,14,)</f>
        <v>0</v>
      </c>
      <c r="L25">
        <f t="shared" si="1"/>
        <v>1</v>
      </c>
    </row>
    <row r="26" spans="1:12" x14ac:dyDescent="0.3">
      <c r="A26" s="5" t="s">
        <v>87</v>
      </c>
      <c r="B26">
        <v>10</v>
      </c>
      <c r="C26" s="4" t="str">
        <f>VLOOKUP(A26,BUFFS!$H$5:$AF$195,5,)</f>
        <v>AC</v>
      </c>
      <c r="D26" t="str">
        <f>VLOOKUP(A26,BUFFS!$H$5:$AF$195,6,)</f>
        <v xml:space="preserve">Deflection Bonus </v>
      </c>
      <c r="E26" s="4">
        <f>VLOOKUP(A26,BUFFS!$H$5:$AF$195,7,)</f>
        <v>2</v>
      </c>
      <c r="F26">
        <f>VLOOKUP(A26,BUFFS!$H$5:$AF$195,9,)</f>
        <v>0.16666666666666666</v>
      </c>
      <c r="G26" s="4">
        <f t="shared" si="0"/>
        <v>3</v>
      </c>
      <c r="H26" s="4">
        <f>VLOOKUP(A26,BUFFS!$H$5:$AF$195,10,)</f>
        <v>0</v>
      </c>
      <c r="I26">
        <f>VLOOKUP(A26,BUFFS!$H$5:$AF$195,11,)</f>
        <v>0</v>
      </c>
      <c r="J26">
        <f>VLOOKUP(A26,BUFFS!$H$5:$AF$195,12,)</f>
        <v>0</v>
      </c>
      <c r="K26">
        <f>VLOOKUP(A26,BUFFS!$H$5:$AF$195,14,)</f>
        <v>0</v>
      </c>
      <c r="L26">
        <f t="shared" si="1"/>
        <v>0</v>
      </c>
    </row>
    <row r="27" spans="1:12" x14ac:dyDescent="0.3">
      <c r="A27" s="5" t="s">
        <v>95</v>
      </c>
      <c r="B27">
        <v>10</v>
      </c>
      <c r="C27" s="4" t="str">
        <f>VLOOKUP(A27,BUFFS!$H$5:$AF$195,5,)</f>
        <v>AC</v>
      </c>
      <c r="D27" t="str">
        <f>VLOOKUP(A27,BUFFS!$H$5:$AF$195,6,)</f>
        <v>Enhancement Shield Bonus</v>
      </c>
      <c r="E27" s="4">
        <f>VLOOKUP(A27,BUFFS!$H$5:$AF$195,7,)</f>
        <v>0</v>
      </c>
      <c r="F27">
        <f>VLOOKUP(A27,BUFFS!$H$5:$AF$195,9,)</f>
        <v>0.25</v>
      </c>
      <c r="G27" s="4">
        <f t="shared" si="0"/>
        <v>2</v>
      </c>
      <c r="H27" s="4">
        <f>VLOOKUP(A27,BUFFS!$H$5:$AF$195,10,)</f>
        <v>0</v>
      </c>
      <c r="I27">
        <f>VLOOKUP(A27,BUFFS!$H$5:$AF$195,11,)</f>
        <v>0</v>
      </c>
      <c r="J27">
        <f>VLOOKUP(A27,BUFFS!$H$5:$AF$195,12,)</f>
        <v>0</v>
      </c>
      <c r="K27">
        <f>VLOOKUP(A27,BUFFS!$H$5:$AF$195,14,)</f>
        <v>0</v>
      </c>
      <c r="L27">
        <f t="shared" si="1"/>
        <v>0</v>
      </c>
    </row>
    <row r="28" spans="1:12" x14ac:dyDescent="0.3">
      <c r="A28" s="5" t="s">
        <v>96</v>
      </c>
      <c r="B28">
        <v>12</v>
      </c>
      <c r="C28" s="4" t="str">
        <f>VLOOKUP(A28,BUFFS!$H$5:$AF$195,5,)</f>
        <v>AC</v>
      </c>
      <c r="D28" t="str">
        <f>VLOOKUP(A28,BUFFS!$H$5:$AF$195,6,)</f>
        <v xml:space="preserve">Enhancement Armor Bonus </v>
      </c>
      <c r="E28" s="4">
        <f>VLOOKUP(A28,BUFFS!$H$5:$AF$195,7,)</f>
        <v>0</v>
      </c>
      <c r="F28">
        <f>VLOOKUP(A28,BUFFS!$H$5:$AF$195,9,)</f>
        <v>0.25</v>
      </c>
      <c r="G28" s="4">
        <f t="shared" si="0"/>
        <v>3</v>
      </c>
      <c r="H28" s="4">
        <f>VLOOKUP(A28,BUFFS!$H$5:$AF$195,10,)</f>
        <v>0</v>
      </c>
      <c r="I28">
        <f>VLOOKUP(A28,BUFFS!$H$5:$AF$195,11,)</f>
        <v>0</v>
      </c>
      <c r="J28">
        <f>VLOOKUP(A28,BUFFS!$H$5:$AF$195,12,)</f>
        <v>0</v>
      </c>
      <c r="K28">
        <f>VLOOKUP(A28,BUFFS!$H$5:$AF$195,14,)</f>
        <v>0</v>
      </c>
      <c r="L28">
        <f t="shared" si="1"/>
        <v>0</v>
      </c>
    </row>
    <row r="29" spans="1:12" x14ac:dyDescent="0.3">
      <c r="A29" s="5" t="s">
        <v>95</v>
      </c>
      <c r="B29">
        <v>15</v>
      </c>
      <c r="C29" s="4" t="str">
        <f>VLOOKUP(A29,BUFFS!$H$5:$AF$195,5,)</f>
        <v>AC</v>
      </c>
      <c r="D29" t="str">
        <f>VLOOKUP(A29,BUFFS!$H$5:$AF$195,6,)</f>
        <v>Enhancement Shield Bonus</v>
      </c>
      <c r="E29" s="4">
        <f>VLOOKUP(A29,BUFFS!$H$5:$AF$195,7,)</f>
        <v>0</v>
      </c>
      <c r="F29">
        <f>VLOOKUP(A29,BUFFS!$H$5:$AF$195,9,)</f>
        <v>0.25</v>
      </c>
      <c r="G29" s="4">
        <f t="shared" si="0"/>
        <v>3</v>
      </c>
      <c r="H29" s="4">
        <f>VLOOKUP(A29,BUFFS!$H$5:$AF$195,10,)</f>
        <v>0</v>
      </c>
      <c r="I29">
        <f>VLOOKUP(A29,BUFFS!$H$5:$AF$195,11,)</f>
        <v>0</v>
      </c>
      <c r="J29">
        <f>VLOOKUP(A29,BUFFS!$H$5:$AF$195,12,)</f>
        <v>0</v>
      </c>
      <c r="K29">
        <f>VLOOKUP(A29,BUFFS!$H$5:$AF$195,14,)</f>
        <v>0</v>
      </c>
      <c r="L29">
        <f t="shared" si="1"/>
        <v>0</v>
      </c>
    </row>
    <row r="30" spans="1:12" x14ac:dyDescent="0.3">
      <c r="A30" s="5" t="s">
        <v>87</v>
      </c>
      <c r="B30">
        <v>18</v>
      </c>
      <c r="C30" s="4" t="str">
        <f>VLOOKUP(A30,BUFFS!$H$5:$AF$195,5,)</f>
        <v>AC</v>
      </c>
      <c r="D30" t="str">
        <f>VLOOKUP(A30,BUFFS!$H$5:$AF$195,6,)</f>
        <v xml:space="preserve">Deflection Bonus </v>
      </c>
      <c r="E30" s="4">
        <f>VLOOKUP(A30,BUFFS!$H$5:$AF$195,7,)</f>
        <v>2</v>
      </c>
      <c r="F30">
        <f>VLOOKUP(A30,BUFFS!$H$5:$AF$195,9,)</f>
        <v>0.16666666666666666</v>
      </c>
      <c r="G30" s="4">
        <f t="shared" si="0"/>
        <v>5</v>
      </c>
      <c r="H30" s="4">
        <f>VLOOKUP(A30,BUFFS!$H$5:$AF$195,10,)</f>
        <v>0</v>
      </c>
      <c r="I30">
        <f>VLOOKUP(A30,BUFFS!$H$5:$AF$195,11,)</f>
        <v>0</v>
      </c>
      <c r="J30">
        <f>VLOOKUP(A30,BUFFS!$H$5:$AF$195,12,)</f>
        <v>0</v>
      </c>
      <c r="K30">
        <f>VLOOKUP(A30,BUFFS!$H$5:$AF$195,14,)</f>
        <v>0</v>
      </c>
      <c r="L30">
        <f t="shared" si="1"/>
        <v>0</v>
      </c>
    </row>
    <row r="31" spans="1:12" x14ac:dyDescent="0.3">
      <c r="A31" s="5" t="s">
        <v>91</v>
      </c>
      <c r="B31">
        <v>18</v>
      </c>
      <c r="C31" s="4" t="str">
        <f>VLOOKUP(A31,BUFFS!$H$5:$AF$195,5,)</f>
        <v>attack</v>
      </c>
      <c r="D31" t="str">
        <f>VLOOKUP(A31,BUFFS!$H$5:$AF$195,6,)</f>
        <v>Enhancement Damage</v>
      </c>
      <c r="E31" s="4">
        <f>VLOOKUP(A31,BUFFS!$H$5:$AF$195,7,)</f>
        <v>0</v>
      </c>
      <c r="F31">
        <f>VLOOKUP(A31,BUFFS!$H$5:$AF$195,9,)</f>
        <v>0.25</v>
      </c>
      <c r="G31" s="4">
        <f t="shared" si="0"/>
        <v>4</v>
      </c>
      <c r="H31" s="4">
        <f>VLOOKUP(A31,BUFFS!$H$5:$AF$195,10,)</f>
        <v>0</v>
      </c>
      <c r="I31">
        <f>VLOOKUP(A31,BUFFS!$H$5:$AF$195,11,)</f>
        <v>0</v>
      </c>
      <c r="J31">
        <f>VLOOKUP(A31,BUFFS!$H$5:$AF$195,12,)</f>
        <v>0</v>
      </c>
      <c r="K31">
        <f>VLOOKUP(A31,BUFFS!$H$5:$AF$195,14,)</f>
        <v>0</v>
      </c>
      <c r="L31">
        <f t="shared" si="1"/>
        <v>0</v>
      </c>
    </row>
    <row r="32" spans="1:12" x14ac:dyDescent="0.3">
      <c r="A32" s="5" t="s">
        <v>87</v>
      </c>
      <c r="B32">
        <v>20</v>
      </c>
      <c r="C32" s="4" t="str">
        <f>VLOOKUP(A32,BUFFS!$H$5:$AF$195,5,)</f>
        <v>AC</v>
      </c>
      <c r="D32" t="str">
        <f>VLOOKUP(A32,BUFFS!$H$5:$AF$195,6,)</f>
        <v xml:space="preserve">Deflection Bonus </v>
      </c>
      <c r="E32" s="4">
        <f>VLOOKUP(A32,BUFFS!$H$5:$AF$195,7,)</f>
        <v>2</v>
      </c>
      <c r="F32">
        <f>VLOOKUP(A32,BUFFS!$H$5:$AF$195,9,)</f>
        <v>0.16666666666666666</v>
      </c>
      <c r="G32" s="4">
        <f t="shared" si="0"/>
        <v>5</v>
      </c>
      <c r="H32" s="4">
        <f>VLOOKUP(A32,BUFFS!$H$5:$AF$195,10,)</f>
        <v>0</v>
      </c>
      <c r="I32">
        <f>VLOOKUP(A32,BUFFS!$H$5:$AF$195,11,)</f>
        <v>0</v>
      </c>
      <c r="J32">
        <f>VLOOKUP(A32,BUFFS!$H$5:$AF$195,12,)</f>
        <v>0</v>
      </c>
      <c r="K32">
        <f>VLOOKUP(A32,BUFFS!$H$5:$AF$195,14,)</f>
        <v>0</v>
      </c>
      <c r="L32">
        <f t="shared" si="1"/>
        <v>0</v>
      </c>
    </row>
    <row r="33" spans="1:12" x14ac:dyDescent="0.3">
      <c r="A33" s="5" t="s">
        <v>100</v>
      </c>
      <c r="C33" s="4" t="str">
        <f>VLOOKUP(A33,BUFFS!$H$5:$AF$195,5,)</f>
        <v>AC</v>
      </c>
      <c r="D33" t="str">
        <f>VLOOKUP(A33,BUFFS!$H$5:$AF$195,6,)</f>
        <v xml:space="preserve">Dodge Bonus </v>
      </c>
      <c r="E33" s="4">
        <f>VLOOKUP(A33,BUFFS!$H$5:$AF$195,7,)</f>
        <v>1</v>
      </c>
      <c r="F33">
        <f>VLOOKUP(A33,BUFFS!$H$5:$AF$195,9,)</f>
        <v>0</v>
      </c>
      <c r="G33" s="4">
        <f t="shared" si="0"/>
        <v>1</v>
      </c>
      <c r="H33" s="4" t="str">
        <f>VLOOKUP(A33,BUFFS!$H$5:$AF$195,10,)</f>
        <v>Reflex</v>
      </c>
      <c r="I33" t="str">
        <f>VLOOKUP(A33,BUFFS!$H$5:$AF$195,11,)</f>
        <v xml:space="preserve">Dodge Bonus </v>
      </c>
      <c r="J33">
        <f>VLOOKUP(A33,BUFFS!$H$5:$AF$195,12,)</f>
        <v>1</v>
      </c>
      <c r="K33">
        <f>VLOOKUP(A33,BUFFS!$H$5:$AF$195,14,)</f>
        <v>0</v>
      </c>
      <c r="L33">
        <f t="shared" si="1"/>
        <v>1</v>
      </c>
    </row>
  </sheetData>
  <dataValidations count="2">
    <dataValidation type="list" allowBlank="1" showInputMessage="1" showErrorMessage="1" sqref="C4">
      <formula1>Modifiers_List</formula1>
    </dataValidation>
    <dataValidation type="list" allowBlank="1" showInputMessage="1" showErrorMessage="1" sqref="A24:A33">
      <formula1>BUFFS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02"/>
  <sheetViews>
    <sheetView topLeftCell="H1" workbookViewId="0">
      <selection activeCell="O14" sqref="O14"/>
    </sheetView>
  </sheetViews>
  <sheetFormatPr defaultRowHeight="15" x14ac:dyDescent="0.25"/>
  <cols>
    <col min="2" max="2" width="71.140625" bestFit="1" customWidth="1"/>
    <col min="3" max="3" width="5.85546875" bestFit="1" customWidth="1"/>
    <col min="5" max="5" width="17.85546875" customWidth="1"/>
    <col min="7" max="7" width="25.85546875" customWidth="1"/>
    <col min="8" max="8" width="27.5703125" style="10" customWidth="1"/>
    <col min="9" max="9" width="9.140625" style="12"/>
    <col min="10" max="10" width="9.140625" style="13"/>
    <col min="11" max="11" width="15.5703125" style="13" bestFit="1" customWidth="1"/>
    <col min="12" max="12" width="15.5703125" bestFit="1" customWidth="1"/>
    <col min="13" max="13" width="33.42578125" bestFit="1" customWidth="1"/>
    <col min="15" max="15" width="14.7109375" bestFit="1" customWidth="1"/>
    <col min="16" max="16" width="9.85546875" bestFit="1" customWidth="1"/>
    <col min="17" max="17" width="12.5703125" customWidth="1"/>
    <col min="18" max="18" width="20" bestFit="1" customWidth="1"/>
    <col min="19" max="19" width="13.5703125" bestFit="1" customWidth="1"/>
    <col min="20" max="20" width="16" bestFit="1" customWidth="1"/>
    <col min="22" max="22" width="8.140625" bestFit="1" customWidth="1"/>
    <col min="23" max="23" width="20" bestFit="1" customWidth="1"/>
    <col min="25" max="25" width="14.7109375" bestFit="1" customWidth="1"/>
    <col min="26" max="26" width="9.85546875" bestFit="1" customWidth="1"/>
    <col min="30" max="30" width="12.5703125" bestFit="1" customWidth="1"/>
    <col min="31" max="31" width="13.5703125" bestFit="1" customWidth="1"/>
    <col min="32" max="32" width="71.140625" bestFit="1" customWidth="1"/>
    <col min="33" max="33" width="8.5703125" bestFit="1" customWidth="1"/>
  </cols>
  <sheetData>
    <row r="1" spans="1:27" ht="18.75" x14ac:dyDescent="0.3">
      <c r="A1" t="s">
        <v>85</v>
      </c>
      <c r="G1" s="15" t="s">
        <v>88</v>
      </c>
      <c r="K1" s="38" t="s">
        <v>86</v>
      </c>
      <c r="L1" s="39"/>
    </row>
    <row r="2" spans="1:27" ht="19.5" x14ac:dyDescent="0.3">
      <c r="B2" s="2" t="s">
        <v>0</v>
      </c>
      <c r="G2" s="14"/>
      <c r="H2" s="11" t="s">
        <v>72</v>
      </c>
      <c r="K2" s="38" t="s">
        <v>115</v>
      </c>
      <c r="L2" s="39"/>
    </row>
    <row r="4" spans="1:27" ht="18.75" x14ac:dyDescent="0.3">
      <c r="C4">
        <f>COUNTIF(E5:E30,"?*")</f>
        <v>1</v>
      </c>
      <c r="I4" s="12">
        <f>COUNTIF(K5:K29,"?*")</f>
        <v>7</v>
      </c>
      <c r="L4" s="16" t="s">
        <v>82</v>
      </c>
      <c r="M4" s="17" t="s">
        <v>83</v>
      </c>
      <c r="N4" s="17" t="s">
        <v>84</v>
      </c>
      <c r="O4" s="17" t="s">
        <v>109</v>
      </c>
      <c r="P4" s="17" t="s">
        <v>90</v>
      </c>
      <c r="Q4" s="25" t="s">
        <v>80</v>
      </c>
      <c r="R4" s="17" t="s">
        <v>83</v>
      </c>
      <c r="S4" s="17" t="s">
        <v>84</v>
      </c>
      <c r="T4" s="17" t="s">
        <v>109</v>
      </c>
      <c r="U4" s="18" t="s">
        <v>90</v>
      </c>
      <c r="V4" s="7" t="s">
        <v>81</v>
      </c>
      <c r="W4" s="5" t="s">
        <v>83</v>
      </c>
      <c r="X4" s="5" t="s">
        <v>84</v>
      </c>
      <c r="Y4" s="5" t="s">
        <v>110</v>
      </c>
      <c r="Z4" s="5" t="s">
        <v>90</v>
      </c>
      <c r="AA4" s="5"/>
    </row>
    <row r="5" spans="1:27" ht="18.75" x14ac:dyDescent="0.3">
      <c r="A5">
        <f>IF(ISNUMBER(SEARCH($K$2,B5)),MAX(A$4:$A4)+1,0)</f>
        <v>0</v>
      </c>
      <c r="B5" t="s">
        <v>1</v>
      </c>
      <c r="C5" t="str">
        <f ca="1">OFFSET($E$5,,,COUNTIF($E$5:$E$30,"?*"))</f>
        <v xml:space="preserve">Competence Modifier </v>
      </c>
      <c r="E5" t="str">
        <f>IFERROR(VLOOKUP(ROWS(E$4:$E4),$A$5:$B$30,2,0),"")</f>
        <v xml:space="preserve">Competence Modifier </v>
      </c>
      <c r="G5">
        <f>IF(ISNUMBER(SEARCH($G$2,H5)),MAX($G$4:G4)+1,0)</f>
        <v>1</v>
      </c>
      <c r="H5" s="10" t="s">
        <v>73</v>
      </c>
      <c r="I5" s="12" t="str">
        <f ca="1">OFFSET($K$5,,,COUNTIF($K$5:$K$200,"?*"))</f>
        <v>Bless</v>
      </c>
      <c r="K5" s="13" t="str">
        <f>IFERROR(VLOOKUP(ROWS($K$4:K4),$G$5:$I$29,2,0),"")</f>
        <v>Bless</v>
      </c>
      <c r="L5" s="26" t="s">
        <v>78</v>
      </c>
      <c r="M5" s="27" t="s">
        <v>12</v>
      </c>
      <c r="N5" s="20">
        <v>1</v>
      </c>
      <c r="O5" s="20">
        <v>1</v>
      </c>
      <c r="P5" s="20">
        <v>0</v>
      </c>
      <c r="Q5" s="26" t="s">
        <v>79</v>
      </c>
      <c r="R5" s="27" t="s">
        <v>12</v>
      </c>
      <c r="S5" s="22">
        <v>1</v>
      </c>
      <c r="T5" s="22"/>
      <c r="U5" s="23">
        <v>0</v>
      </c>
      <c r="V5" s="28"/>
      <c r="W5" s="28"/>
    </row>
    <row r="6" spans="1:27" ht="18.75" x14ac:dyDescent="0.3">
      <c r="A6">
        <f>IF(ISNUMBER(SEARCH($K$2,B6)),MAX(A$4:$A5)+1,0)</f>
        <v>0</v>
      </c>
      <c r="B6" t="s">
        <v>2</v>
      </c>
      <c r="E6" t="str">
        <f>IFERROR(VLOOKUP(ROWS(E$4:$E5),$A$5:$B$30,2,0),"")</f>
        <v/>
      </c>
      <c r="G6">
        <f>IF(ISNUMBER(SEARCH($G$2,H6)),MAX($G$4:G5)+1,0)</f>
        <v>2</v>
      </c>
      <c r="H6" s="10" t="s">
        <v>87</v>
      </c>
      <c r="K6" s="13" t="str">
        <f>IFERROR(VLOOKUP(ROWS($K$4:K5),$G$5:$I$29,2,0),"")</f>
        <v>Shield of fath</v>
      </c>
      <c r="L6" s="26" t="s">
        <v>31</v>
      </c>
      <c r="M6" s="27" t="s">
        <v>6</v>
      </c>
      <c r="N6" s="20">
        <v>2</v>
      </c>
      <c r="O6" s="20">
        <v>1</v>
      </c>
      <c r="P6" s="24">
        <f>1/6</f>
        <v>0.16666666666666666</v>
      </c>
      <c r="Q6" s="26"/>
      <c r="R6" s="27"/>
      <c r="S6" s="22"/>
      <c r="T6" s="22"/>
      <c r="U6" s="23"/>
      <c r="V6" s="28"/>
      <c r="W6" s="28"/>
    </row>
    <row r="7" spans="1:27" ht="18.75" x14ac:dyDescent="0.3">
      <c r="A7">
        <f>IF(ISNUMBER(SEARCH($K$2,B7)),MAX(A$4:$A6)+1,0)</f>
        <v>0</v>
      </c>
      <c r="B7" t="s">
        <v>3</v>
      </c>
      <c r="E7" t="str">
        <f>IFERROR(VLOOKUP(ROWS(E$4:$E6),$A$5:$B$30,2,0),"")</f>
        <v/>
      </c>
      <c r="F7" s="6" t="s">
        <v>75</v>
      </c>
      <c r="G7">
        <f>IF(ISNUMBER(SEARCH($G$2,H7)),MAX($G$4:G6)+1,0)</f>
        <v>3</v>
      </c>
      <c r="H7" s="10" t="s">
        <v>91</v>
      </c>
      <c r="K7" s="13" t="str">
        <f>IFERROR(VLOOKUP(ROWS($K$4:K6),$G$5:$I$29,2,0),"")</f>
        <v>Magic Weapon, Greater</v>
      </c>
      <c r="L7" s="26" t="s">
        <v>79</v>
      </c>
      <c r="M7" s="27" t="s">
        <v>92</v>
      </c>
      <c r="N7" s="20">
        <v>0</v>
      </c>
      <c r="O7" s="20">
        <v>3</v>
      </c>
      <c r="P7" s="20">
        <f>1/4</f>
        <v>0.25</v>
      </c>
      <c r="Q7" s="26"/>
      <c r="R7" s="27"/>
      <c r="S7" s="22"/>
      <c r="T7" s="22"/>
      <c r="U7" s="23"/>
      <c r="V7" s="28"/>
      <c r="W7" s="28"/>
    </row>
    <row r="8" spans="1:27" ht="18.75" x14ac:dyDescent="0.3">
      <c r="A8">
        <f>IF(ISNUMBER(SEARCH($K$2,B8)),MAX(A$4:$A7)+1,0)</f>
        <v>0</v>
      </c>
      <c r="B8" t="s">
        <v>4</v>
      </c>
      <c r="E8" t="str">
        <f>IFERROR(VLOOKUP(ROWS(E$4:$E7),$A$5:$B$30,2,0),"")</f>
        <v/>
      </c>
      <c r="F8" s="5" t="s">
        <v>66</v>
      </c>
      <c r="G8">
        <f>IF(ISNUMBER(SEARCH($G$2,H8)),MAX($G$4:G7)+1,0)</f>
        <v>4</v>
      </c>
      <c r="H8" s="10" t="s">
        <v>95</v>
      </c>
      <c r="K8" s="13" t="str">
        <f>IFERROR(VLOOKUP(ROWS($K$4:K7),$G$5:$I$29,2,0),"")</f>
        <v>Magic Vestment Shield</v>
      </c>
      <c r="L8" s="26" t="s">
        <v>31</v>
      </c>
      <c r="M8" s="27" t="s">
        <v>8</v>
      </c>
      <c r="N8" s="20">
        <v>0</v>
      </c>
      <c r="O8" s="20">
        <v>3</v>
      </c>
      <c r="P8" s="20">
        <v>0.25</v>
      </c>
      <c r="Q8" s="26"/>
      <c r="R8" s="27"/>
      <c r="S8" s="22"/>
      <c r="T8" s="22"/>
      <c r="U8" s="23"/>
      <c r="V8" s="28"/>
      <c r="W8" s="28"/>
    </row>
    <row r="9" spans="1:27" ht="18.75" x14ac:dyDescent="0.3">
      <c r="A9">
        <f>IF(ISNUMBER(SEARCH($K$2,B9)),MAX(A$4:$A8)+1,0)</f>
        <v>1</v>
      </c>
      <c r="B9" t="s">
        <v>5</v>
      </c>
      <c r="E9" t="str">
        <f>IFERROR(VLOOKUP(ROWS(E$4:$E8),$A$5:$B$30,2,0),"")</f>
        <v/>
      </c>
      <c r="F9" s="5" t="s">
        <v>67</v>
      </c>
      <c r="G9">
        <f>IF(ISNUMBER(SEARCH($G$2,H9)),MAX($G$4:G8)+1,0)</f>
        <v>5</v>
      </c>
      <c r="H9" s="10" t="s">
        <v>96</v>
      </c>
      <c r="K9" s="13" t="str">
        <f>IFERROR(VLOOKUP(ROWS($K$4:K8),$G$5:$I$29,2,0),"")</f>
        <v>Magic Vestment Armor</v>
      </c>
      <c r="L9" s="26" t="s">
        <v>31</v>
      </c>
      <c r="M9" s="27" t="s">
        <v>9</v>
      </c>
      <c r="N9" s="20">
        <v>0</v>
      </c>
      <c r="O9" s="20">
        <v>3</v>
      </c>
      <c r="P9" s="20">
        <v>0.25</v>
      </c>
      <c r="Q9" s="26"/>
      <c r="R9" s="27"/>
      <c r="S9" s="22"/>
      <c r="T9" s="22"/>
      <c r="U9" s="23"/>
      <c r="V9" s="28"/>
      <c r="W9" s="28"/>
    </row>
    <row r="10" spans="1:27" ht="18.75" x14ac:dyDescent="0.3">
      <c r="A10">
        <f>IF(ISNUMBER(SEARCH($K$2,B10)),MAX(A$4:$A9)+1,0)</f>
        <v>0</v>
      </c>
      <c r="B10" t="s">
        <v>6</v>
      </c>
      <c r="E10" t="str">
        <f>IFERROR(VLOOKUP(ROWS(E$4:$E9),$A$5:$B$30,2,0),"")</f>
        <v/>
      </c>
      <c r="F10" s="5" t="s">
        <v>68</v>
      </c>
      <c r="G10">
        <f>IF(ISNUMBER(SEARCH($G$2,H10)),MAX($G$4:G9)+1,0)</f>
        <v>6</v>
      </c>
      <c r="H10" s="10" t="s">
        <v>100</v>
      </c>
      <c r="K10" s="13" t="str">
        <f>IFERROR(VLOOKUP(ROWS($K$4:K9),$G$5:$I$29,2,0),"")</f>
        <v>HASTE</v>
      </c>
      <c r="L10" s="26" t="s">
        <v>31</v>
      </c>
      <c r="M10" s="27" t="s">
        <v>7</v>
      </c>
      <c r="N10" s="20">
        <v>1</v>
      </c>
      <c r="O10" s="20">
        <v>3</v>
      </c>
      <c r="P10" s="20">
        <v>0</v>
      </c>
      <c r="Q10" s="26" t="s">
        <v>101</v>
      </c>
      <c r="R10" s="27" t="s">
        <v>7</v>
      </c>
      <c r="S10" s="22">
        <v>1</v>
      </c>
      <c r="T10" s="22"/>
      <c r="U10" s="23"/>
      <c r="V10" s="28" t="s">
        <v>101</v>
      </c>
      <c r="W10" s="28" t="s">
        <v>7</v>
      </c>
      <c r="X10">
        <v>1</v>
      </c>
    </row>
    <row r="11" spans="1:27" ht="18.75" x14ac:dyDescent="0.3">
      <c r="A11">
        <f>IF(ISNUMBER(SEARCH($K$2,B11)),MAX(A$4:$A10)+1,0)</f>
        <v>0</v>
      </c>
      <c r="B11" t="s">
        <v>7</v>
      </c>
      <c r="E11" t="str">
        <f>IFERROR(VLOOKUP(ROWS(E$4:$E10),$A$5:$B$30,2,0),"")</f>
        <v/>
      </c>
      <c r="F11" s="5" t="s">
        <v>69</v>
      </c>
      <c r="G11">
        <f>IF(ISNUMBER(SEARCH($G$2,H11)),MAX($G$4:G10)+1,0)</f>
        <v>7</v>
      </c>
      <c r="H11" s="10" t="s">
        <v>114</v>
      </c>
      <c r="K11" s="13" t="str">
        <f>IFERROR(VLOOKUP(ROWS($K$4:K10),$G$5:$I$29,2,0),"")</f>
        <v>Test buff initiative</v>
      </c>
      <c r="L11" s="19" t="s">
        <v>66</v>
      </c>
      <c r="M11" s="20" t="s">
        <v>5</v>
      </c>
      <c r="N11" s="20">
        <v>1</v>
      </c>
      <c r="O11" s="20">
        <v>3</v>
      </c>
      <c r="P11" s="20">
        <v>0.25</v>
      </c>
      <c r="Q11" s="21"/>
      <c r="R11" s="22"/>
      <c r="S11" s="22"/>
      <c r="T11" s="22"/>
      <c r="U11" s="23"/>
    </row>
    <row r="12" spans="1:27" ht="18.75" x14ac:dyDescent="0.3">
      <c r="A12">
        <f>IF(ISNUMBER(SEARCH($K$2,B12)),MAX(A$4:$A11)+1,0)</f>
        <v>0</v>
      </c>
      <c r="B12" t="s">
        <v>8</v>
      </c>
      <c r="E12" t="str">
        <f>IFERROR(VLOOKUP(ROWS(E$4:$E11),$A$5:$B$30,2,0),"")</f>
        <v/>
      </c>
      <c r="F12" s="5" t="s">
        <v>102</v>
      </c>
      <c r="G12">
        <f>IF(ISNUMBER(SEARCH($G$2,H12)),MAX($G$4:G11)+1,0)</f>
        <v>0</v>
      </c>
      <c r="K12" s="13" t="str">
        <f>IFERROR(VLOOKUP(ROWS($K$4:K11),$G$5:$I$29,2,0),"")</f>
        <v/>
      </c>
      <c r="L12" s="19"/>
      <c r="M12" s="20"/>
      <c r="N12" s="20"/>
      <c r="O12" s="20"/>
      <c r="P12" s="20"/>
      <c r="Q12" s="21"/>
      <c r="R12" s="22"/>
      <c r="S12" s="22"/>
      <c r="T12" s="22"/>
      <c r="U12" s="23"/>
    </row>
    <row r="13" spans="1:27" ht="18.75" x14ac:dyDescent="0.3">
      <c r="A13">
        <f>IF(ISNUMBER(SEARCH($K$2,B13)),MAX(A$4:$A12)+1,0)</f>
        <v>0</v>
      </c>
      <c r="B13" t="s">
        <v>9</v>
      </c>
      <c r="E13" t="str">
        <f>IFERROR(VLOOKUP(ROWS(E$4:$E12),$A$5:$B$30,2,0),"")</f>
        <v/>
      </c>
      <c r="F13" s="5" t="s">
        <v>104</v>
      </c>
      <c r="G13">
        <f>IF(ISNUMBER(SEARCH($G$2,H13)),MAX($G$4:G12)+1,0)</f>
        <v>0</v>
      </c>
      <c r="K13" s="13" t="str">
        <f>IFERROR(VLOOKUP(ROWS($K$4:K12),$G$5:$I$29,2,0),"")</f>
        <v/>
      </c>
      <c r="L13" s="19"/>
      <c r="M13" s="20"/>
      <c r="N13" s="20"/>
      <c r="O13" s="20"/>
      <c r="P13" s="20"/>
      <c r="Q13" s="21"/>
      <c r="R13" s="22"/>
      <c r="S13" s="22"/>
      <c r="T13" s="22"/>
      <c r="U13" s="23"/>
    </row>
    <row r="14" spans="1:27" ht="18.75" x14ac:dyDescent="0.3">
      <c r="A14">
        <f>IF(ISNUMBER(SEARCH($K$2,B14)),MAX(A$4:$A13)+1,0)</f>
        <v>0</v>
      </c>
      <c r="B14" t="s">
        <v>10</v>
      </c>
      <c r="E14" t="str">
        <f>IFERROR(VLOOKUP(ROWS(E$4:$E13),$A$5:$B$30,2,0),"")</f>
        <v/>
      </c>
      <c r="F14" s="5" t="s">
        <v>105</v>
      </c>
      <c r="G14">
        <f>IF(ISNUMBER(SEARCH($G$2,H14)),MAX($G$4:G13)+1,0)</f>
        <v>0</v>
      </c>
      <c r="K14" s="13" t="str">
        <f>IFERROR(VLOOKUP(ROWS($K$4:K13),$G$5:$I$29,2,0),"")</f>
        <v/>
      </c>
      <c r="L14" s="19"/>
      <c r="M14" s="20"/>
      <c r="N14" s="20"/>
      <c r="O14" s="20"/>
      <c r="P14" s="20"/>
      <c r="Q14" s="21"/>
      <c r="R14" s="22"/>
      <c r="S14" s="22"/>
      <c r="T14" s="22"/>
      <c r="U14" s="23"/>
    </row>
    <row r="15" spans="1:27" ht="18.75" x14ac:dyDescent="0.3">
      <c r="A15">
        <f>IF(ISNUMBER(SEARCH($K$2,B15)),MAX(A$4:$A14)+1,0)</f>
        <v>0</v>
      </c>
      <c r="B15" t="s">
        <v>11</v>
      </c>
      <c r="E15" t="str">
        <f>IFERROR(VLOOKUP(ROWS(E$4:$E14),$A$5:$B$30,2,0),"")</f>
        <v/>
      </c>
      <c r="F15" s="5" t="s">
        <v>32</v>
      </c>
      <c r="G15">
        <f>IF(ISNUMBER(SEARCH($G$2,H15)),MAX($G$4:G14)+1,0)</f>
        <v>0</v>
      </c>
      <c r="K15" s="13" t="str">
        <f>IFERROR(VLOOKUP(ROWS($K$4:K14),$G$5:$I$29,2,0),"")</f>
        <v/>
      </c>
      <c r="L15" s="19"/>
      <c r="M15" s="20"/>
      <c r="N15" s="20"/>
      <c r="O15" s="20"/>
      <c r="P15" s="20"/>
      <c r="Q15" s="21"/>
      <c r="R15" s="22"/>
      <c r="S15" s="22"/>
      <c r="T15" s="22"/>
      <c r="U15" s="23"/>
    </row>
    <row r="16" spans="1:27" ht="18.75" x14ac:dyDescent="0.3">
      <c r="A16">
        <f>IF(ISNUMBER(SEARCH($K$2,B16)),MAX(A$4:$A15)+1,0)</f>
        <v>0</v>
      </c>
      <c r="B16" t="s">
        <v>12</v>
      </c>
      <c r="E16" t="str">
        <f>IFERROR(VLOOKUP(ROWS(E$4:$E15),$A$5:$B$30,2,0),"")</f>
        <v/>
      </c>
      <c r="F16" s="5" t="s">
        <v>33</v>
      </c>
      <c r="G16">
        <f>IF(ISNUMBER(SEARCH($G$2,H16)),MAX($G$4:G15)+1,0)</f>
        <v>0</v>
      </c>
      <c r="K16" s="13" t="str">
        <f>IFERROR(VLOOKUP(ROWS($K$4:K15),$G$5:$I$29,2,0),"")</f>
        <v/>
      </c>
      <c r="L16" s="19"/>
      <c r="M16" s="20"/>
      <c r="N16" s="20"/>
      <c r="O16" s="20"/>
      <c r="P16" s="20"/>
      <c r="Q16" s="21"/>
      <c r="R16" s="22"/>
      <c r="S16" s="22"/>
      <c r="T16" s="22"/>
      <c r="U16" s="23"/>
    </row>
    <row r="17" spans="1:21" ht="18.75" x14ac:dyDescent="0.3">
      <c r="A17">
        <f>IF(ISNUMBER(SEARCH($K$2,B17)),MAX(A$4:$A16)+1,0)</f>
        <v>0</v>
      </c>
      <c r="B17" t="s">
        <v>13</v>
      </c>
      <c r="E17" t="str">
        <f>IFERROR(VLOOKUP(ROWS(E$4:$E16),$A$5:$B$30,2,0),"")</f>
        <v/>
      </c>
      <c r="F17" s="5" t="s">
        <v>34</v>
      </c>
      <c r="G17">
        <f>IF(ISNUMBER(SEARCH($G$2,H17)),MAX($G$4:G16)+1,0)</f>
        <v>0</v>
      </c>
      <c r="K17" s="13" t="str">
        <f>IFERROR(VLOOKUP(ROWS($K$4:K16),$G$5:$I$29,2,0),"")</f>
        <v/>
      </c>
      <c r="L17" s="19"/>
      <c r="M17" s="20"/>
      <c r="N17" s="20"/>
      <c r="O17" s="20"/>
      <c r="P17" s="20"/>
      <c r="Q17" s="21"/>
      <c r="R17" s="22"/>
      <c r="S17" s="22"/>
      <c r="T17" s="22"/>
      <c r="U17" s="23"/>
    </row>
    <row r="18" spans="1:21" ht="18.75" x14ac:dyDescent="0.3">
      <c r="A18">
        <f>IF(ISNUMBER(SEARCH($K$2,B18)),MAX(A$4:$A17)+1,0)</f>
        <v>0</v>
      </c>
      <c r="B18" t="s">
        <v>14</v>
      </c>
      <c r="E18" t="str">
        <f>IFERROR(VLOOKUP(ROWS(E$4:$E17),$A$5:$B$30,2,0),"")</f>
        <v/>
      </c>
      <c r="F18" s="5" t="s">
        <v>29</v>
      </c>
      <c r="G18">
        <f>IF(ISNUMBER(SEARCH($G$2,H18)),MAX($G$4:G17)+1,0)</f>
        <v>0</v>
      </c>
      <c r="K18" s="13" t="str">
        <f>IFERROR(VLOOKUP(ROWS($K$4:K17),$G$5:$I$29,2,0),"")</f>
        <v/>
      </c>
      <c r="L18" s="19"/>
      <c r="M18" s="20"/>
      <c r="N18" s="20"/>
      <c r="O18" s="20"/>
      <c r="P18" s="20"/>
      <c r="Q18" s="21"/>
      <c r="R18" s="22"/>
      <c r="S18" s="22"/>
      <c r="T18" s="22"/>
      <c r="U18" s="23"/>
    </row>
    <row r="19" spans="1:21" ht="18.75" x14ac:dyDescent="0.3">
      <c r="A19">
        <f>IF(ISNUMBER(SEARCH($K$2,B19)),MAX(A$4:$A18)+1,0)</f>
        <v>0</v>
      </c>
      <c r="B19" t="s">
        <v>15</v>
      </c>
      <c r="E19" t="str">
        <f>IFERROR(VLOOKUP(ROWS(E$4:$E18),$A$5:$B$30,2,0),"")</f>
        <v/>
      </c>
      <c r="F19" s="5" t="s">
        <v>103</v>
      </c>
      <c r="G19">
        <f>IF(ISNUMBER(SEARCH($G$2,H19)),MAX($G$4:G18)+1,0)</f>
        <v>0</v>
      </c>
      <c r="K19" s="13" t="str">
        <f>IFERROR(VLOOKUP(ROWS($K$4:K18),$G$5:$I$29,2,0),"")</f>
        <v/>
      </c>
      <c r="L19" s="21"/>
      <c r="M19" s="22"/>
      <c r="N19" s="22"/>
      <c r="O19" s="22"/>
      <c r="P19" s="22"/>
      <c r="Q19" s="21"/>
      <c r="R19" s="22"/>
      <c r="S19" s="22"/>
      <c r="T19" s="22"/>
      <c r="U19" s="23"/>
    </row>
    <row r="20" spans="1:21" ht="18.75" x14ac:dyDescent="0.3">
      <c r="A20">
        <f>IF(ISNUMBER(SEARCH($K$2,B20)),MAX(A$4:$A19)+1,0)</f>
        <v>0</v>
      </c>
      <c r="B20" t="s">
        <v>16</v>
      </c>
      <c r="E20" t="str">
        <f>IFERROR(VLOOKUP(ROWS(E$4:$E19),$A$5:$B$30,2,0),"")</f>
        <v/>
      </c>
      <c r="F20" s="5" t="s">
        <v>108</v>
      </c>
      <c r="G20">
        <f>IF(ISNUMBER(SEARCH($G$2,H20)),MAX($G$4:G19)+1,0)</f>
        <v>0</v>
      </c>
      <c r="K20" s="13" t="str">
        <f>IFERROR(VLOOKUP(ROWS($K$4:K19),$G$5:$I$29,2,0),"")</f>
        <v/>
      </c>
      <c r="L20" s="21"/>
      <c r="M20" s="22"/>
      <c r="N20" s="22"/>
      <c r="O20" s="22"/>
      <c r="P20" s="22"/>
      <c r="Q20" s="21"/>
      <c r="R20" s="22"/>
      <c r="S20" s="22"/>
      <c r="T20" s="22"/>
      <c r="U20" s="23"/>
    </row>
    <row r="21" spans="1:21" ht="18.75" x14ac:dyDescent="0.3">
      <c r="A21">
        <f>IF(ISNUMBER(SEARCH($K$2,B21)),MAX(A$4:$A20)+1,0)</f>
        <v>0</v>
      </c>
      <c r="B21" t="s">
        <v>17</v>
      </c>
      <c r="E21" t="str">
        <f>IFERROR(VLOOKUP(ROWS(E$4:$E20),$A$5:$B$30,2,0),"")</f>
        <v/>
      </c>
      <c r="F21" s="5" t="s">
        <v>31</v>
      </c>
      <c r="G21">
        <f>IF(ISNUMBER(SEARCH($G$2,H21)),MAX($G$4:G20)+1,0)</f>
        <v>0</v>
      </c>
      <c r="K21" s="13" t="str">
        <f>IFERROR(VLOOKUP(ROWS($K$4:K20),$G$5:$I$29,2,0),"")</f>
        <v/>
      </c>
      <c r="L21" s="21"/>
      <c r="M21" s="22"/>
      <c r="N21" s="22"/>
      <c r="O21" s="22"/>
      <c r="P21" s="22"/>
      <c r="Q21" s="21"/>
      <c r="R21" s="22"/>
      <c r="S21" s="22"/>
      <c r="T21" s="22"/>
      <c r="U21" s="23"/>
    </row>
    <row r="22" spans="1:21" ht="18.75" x14ac:dyDescent="0.3">
      <c r="A22">
        <f>IF(ISNUMBER(SEARCH($K$2,B22)),MAX(A$4:$A21)+1,0)</f>
        <v>0</v>
      </c>
      <c r="B22" t="s">
        <v>18</v>
      </c>
      <c r="E22" t="str">
        <f>IFERROR(VLOOKUP(ROWS(E$4:$E21),$A$5:$B$30,2,0),"")</f>
        <v/>
      </c>
      <c r="F22" s="5" t="s">
        <v>106</v>
      </c>
      <c r="G22">
        <f>IF(ISNUMBER(SEARCH($G$2,H22)),MAX($G$4:G21)+1,0)</f>
        <v>0</v>
      </c>
      <c r="K22" s="13" t="str">
        <f>IFERROR(VLOOKUP(ROWS($K$4:K21),$G$5:$I$29,2,0),"")</f>
        <v/>
      </c>
      <c r="L22" s="21"/>
      <c r="M22" s="22"/>
      <c r="N22" s="22"/>
      <c r="O22" s="22"/>
      <c r="P22" s="22"/>
      <c r="Q22" s="21"/>
      <c r="R22" s="22"/>
      <c r="S22" s="22"/>
      <c r="T22" s="22"/>
      <c r="U22" s="23"/>
    </row>
    <row r="23" spans="1:21" ht="18.75" x14ac:dyDescent="0.3">
      <c r="A23">
        <f>IF(ISNUMBER(SEARCH($K$2,B23)),MAX(A$4:$A22)+1,0)</f>
        <v>0</v>
      </c>
      <c r="B23" t="s">
        <v>19</v>
      </c>
      <c r="E23" t="str">
        <f>IFERROR(VLOOKUP(ROWS(E$4:$E22),$A$5:$B$30,2,0),"")</f>
        <v/>
      </c>
      <c r="F23" s="5" t="s">
        <v>107</v>
      </c>
      <c r="G23">
        <f>IF(ISNUMBER(SEARCH($G$2,H23)),MAX($G$4:G22)+1,0)</f>
        <v>0</v>
      </c>
      <c r="K23" s="13" t="str">
        <f>IFERROR(VLOOKUP(ROWS($K$4:K22),$G$5:$I$29,2,0),"")</f>
        <v/>
      </c>
      <c r="L23" s="21"/>
      <c r="M23" s="22"/>
      <c r="N23" s="22"/>
      <c r="O23" s="22"/>
      <c r="P23" s="22"/>
      <c r="Q23" s="21"/>
      <c r="R23" s="22"/>
      <c r="S23" s="22"/>
      <c r="T23" s="22"/>
      <c r="U23" s="23"/>
    </row>
    <row r="24" spans="1:21" x14ac:dyDescent="0.25">
      <c r="A24">
        <f>IF(ISNUMBER(SEARCH($K$2,B24)),MAX(A$4:$A23)+1,0)</f>
        <v>0</v>
      </c>
      <c r="B24" t="s">
        <v>20</v>
      </c>
      <c r="E24" t="str">
        <f>IFERROR(VLOOKUP(ROWS(E$4:$E23),$A$5:$B$30,2,0),"")</f>
        <v/>
      </c>
      <c r="G24">
        <f>IF(ISNUMBER(SEARCH($G$2,H24)),MAX($G$4:G23)+1,0)</f>
        <v>0</v>
      </c>
      <c r="K24" s="13" t="str">
        <f>IFERROR(VLOOKUP(ROWS($K$4:K23),$G$5:$I$29,2,0),"")</f>
        <v/>
      </c>
      <c r="L24" s="21"/>
      <c r="M24" s="22"/>
      <c r="N24" s="22"/>
      <c r="O24" s="22"/>
      <c r="P24" s="22"/>
      <c r="Q24" s="21"/>
      <c r="R24" s="22"/>
      <c r="S24" s="22"/>
      <c r="T24" s="22"/>
      <c r="U24" s="23"/>
    </row>
    <row r="25" spans="1:21" x14ac:dyDescent="0.25">
      <c r="A25">
        <f>IF(ISNUMBER(SEARCH($K$2,B25)),MAX(A$4:$A24)+1,0)</f>
        <v>0</v>
      </c>
      <c r="B25" t="s">
        <v>21</v>
      </c>
      <c r="E25" t="str">
        <f>IFERROR(VLOOKUP(ROWS(E$4:$E24),$A$5:$B$30,2,0),"")</f>
        <v/>
      </c>
      <c r="G25">
        <f>IF(ISNUMBER(SEARCH($G$2,H25)),MAX($G$4:G24)+1,0)</f>
        <v>0</v>
      </c>
      <c r="K25" s="13" t="str">
        <f>IFERROR(VLOOKUP(ROWS($K$4:K24),$G$5:$I$29,2,0),"")</f>
        <v/>
      </c>
      <c r="L25" s="21"/>
      <c r="M25" s="22"/>
      <c r="N25" s="22"/>
      <c r="O25" s="22"/>
      <c r="P25" s="22"/>
      <c r="Q25" s="21"/>
      <c r="R25" s="22"/>
      <c r="S25" s="22"/>
      <c r="T25" s="22"/>
      <c r="U25" s="23"/>
    </row>
    <row r="26" spans="1:21" x14ac:dyDescent="0.25">
      <c r="A26">
        <f>IF(ISNUMBER(SEARCH($K$2,B26)),MAX(A$4:$A25)+1,0)</f>
        <v>0</v>
      </c>
      <c r="B26" t="s">
        <v>22</v>
      </c>
      <c r="E26" t="str">
        <f>IFERROR(VLOOKUP(ROWS(E$4:$E25),$A$5:$B$30,2,0),"")</f>
        <v/>
      </c>
      <c r="G26">
        <f>IF(ISNUMBER(SEARCH($G$2,H26)),MAX($G$4:G25)+1,0)</f>
        <v>0</v>
      </c>
      <c r="K26" s="13" t="str">
        <f>IFERROR(VLOOKUP(ROWS($K$4:K25),$G$5:$I$29,2,0),"")</f>
        <v/>
      </c>
      <c r="L26" s="21"/>
      <c r="M26" s="22"/>
      <c r="N26" s="22"/>
      <c r="O26" s="22"/>
      <c r="P26" s="22"/>
      <c r="Q26" s="21"/>
      <c r="R26" s="22"/>
      <c r="S26" s="22"/>
      <c r="T26" s="22"/>
      <c r="U26" s="23"/>
    </row>
    <row r="27" spans="1:21" x14ac:dyDescent="0.25">
      <c r="A27">
        <f>IF(ISNUMBER(SEARCH($K$2,B27)),MAX(A$4:$A26)+1,0)</f>
        <v>0</v>
      </c>
      <c r="B27" t="s">
        <v>23</v>
      </c>
      <c r="E27" t="str">
        <f>IFERROR(VLOOKUP(ROWS(E$4:$E26),$A$5:$B$30,2,0),"")</f>
        <v/>
      </c>
      <c r="G27">
        <f>IF(ISNUMBER(SEARCH($G$2,H27)),MAX($G$4:G26)+1,0)</f>
        <v>0</v>
      </c>
      <c r="K27" s="13" t="str">
        <f>IFERROR(VLOOKUP(ROWS($K$4:K26),$G$5:$I$29,2,0),"")</f>
        <v/>
      </c>
      <c r="L27" s="21"/>
      <c r="M27" s="22"/>
      <c r="N27" s="22"/>
      <c r="O27" s="22"/>
      <c r="P27" s="22"/>
      <c r="Q27" s="21"/>
      <c r="R27" s="22"/>
      <c r="S27" s="22"/>
      <c r="T27" s="22"/>
      <c r="U27" s="23"/>
    </row>
    <row r="28" spans="1:21" x14ac:dyDescent="0.25">
      <c r="A28">
        <f>IF(ISNUMBER(SEARCH($K$2,B28)),MAX(A$4:$A27)+1,0)</f>
        <v>0</v>
      </c>
      <c r="B28" t="s">
        <v>24</v>
      </c>
      <c r="E28" t="str">
        <f>IFERROR(VLOOKUP(ROWS(E$4:$E27),$A$5:$B$30,2,0),"")</f>
        <v/>
      </c>
      <c r="G28">
        <f>IF(ISNUMBER(SEARCH($G$2,H28)),MAX($G$4:G27)+1,0)</f>
        <v>0</v>
      </c>
      <c r="K28" s="13" t="str">
        <f>IFERROR(VLOOKUP(ROWS($K$4:K27),$G$5:$I$29,2,0),"")</f>
        <v/>
      </c>
      <c r="L28" s="21"/>
      <c r="M28" s="22"/>
      <c r="N28" s="22"/>
      <c r="O28" s="22"/>
      <c r="P28" s="22"/>
      <c r="Q28" s="21"/>
      <c r="R28" s="22"/>
      <c r="S28" s="22"/>
      <c r="T28" s="22"/>
      <c r="U28" s="23"/>
    </row>
    <row r="29" spans="1:21" x14ac:dyDescent="0.25">
      <c r="A29">
        <f>IF(ISNUMBER(SEARCH($K$2,B29)),MAX(A$4:$A28)+1,0)</f>
        <v>0</v>
      </c>
      <c r="B29" t="s">
        <v>25</v>
      </c>
      <c r="E29" t="str">
        <f>IFERROR(VLOOKUP(ROWS(E$4:$E28),$A$5:$B$30,2,0),"")</f>
        <v/>
      </c>
      <c r="G29">
        <f>IF(ISNUMBER(SEARCH($G$2,H29)),MAX($G$4:G28)+1,0)</f>
        <v>0</v>
      </c>
      <c r="K29" s="13" t="str">
        <f>IFERROR(VLOOKUP(ROWS($K$4:K28),$G$5:$I$29,2,0),"")</f>
        <v/>
      </c>
      <c r="L29" s="21"/>
      <c r="M29" s="22"/>
      <c r="N29" s="22"/>
      <c r="O29" s="22"/>
      <c r="P29" s="22"/>
      <c r="Q29" s="21"/>
      <c r="R29" s="22"/>
      <c r="S29" s="22"/>
      <c r="T29" s="22"/>
      <c r="U29" s="23"/>
    </row>
    <row r="30" spans="1:21" x14ac:dyDescent="0.25">
      <c r="A30">
        <f>IF(ISNUMBER(SEARCH($K$2,B30)),MAX(A$4:$A29)+1,0)</f>
        <v>0</v>
      </c>
      <c r="B30" t="s">
        <v>92</v>
      </c>
      <c r="E30" t="str">
        <f>IFERROR(VLOOKUP(ROWS(E$4:$E29),$A$5:$B$30,2,0),"")</f>
        <v/>
      </c>
      <c r="L30" s="21"/>
      <c r="M30" s="22"/>
      <c r="N30" s="22"/>
      <c r="O30" s="22"/>
      <c r="P30" s="22"/>
      <c r="Q30" s="21"/>
      <c r="R30" s="22"/>
      <c r="S30" s="22"/>
      <c r="T30" s="22"/>
      <c r="U30" s="23"/>
    </row>
    <row r="31" spans="1:21" x14ac:dyDescent="0.25">
      <c r="L31" s="21"/>
      <c r="M31" s="22"/>
      <c r="N31" s="22"/>
      <c r="O31" s="22"/>
      <c r="P31" s="22"/>
      <c r="Q31" s="21"/>
      <c r="R31" s="22"/>
      <c r="S31" s="22"/>
      <c r="T31" s="22"/>
      <c r="U31" s="23"/>
    </row>
    <row r="32" spans="1:21" x14ac:dyDescent="0.25">
      <c r="L32" s="21"/>
      <c r="M32" s="22"/>
      <c r="N32" s="22"/>
      <c r="O32" s="22"/>
      <c r="P32" s="22"/>
      <c r="Q32" s="21"/>
      <c r="R32" s="22"/>
      <c r="S32" s="22"/>
      <c r="T32" s="22"/>
      <c r="U32" s="23"/>
    </row>
    <row r="33" spans="12:21" x14ac:dyDescent="0.25">
      <c r="L33" s="21"/>
      <c r="M33" s="22"/>
      <c r="N33" s="22"/>
      <c r="O33" s="22"/>
      <c r="P33" s="22"/>
      <c r="Q33" s="21"/>
      <c r="R33" s="22"/>
      <c r="S33" s="22"/>
      <c r="T33" s="22"/>
      <c r="U33" s="23"/>
    </row>
    <row r="34" spans="12:21" x14ac:dyDescent="0.25">
      <c r="L34" s="21"/>
      <c r="M34" s="22"/>
      <c r="N34" s="22"/>
      <c r="O34" s="22"/>
      <c r="P34" s="22"/>
      <c r="Q34" s="21"/>
      <c r="R34" s="22"/>
      <c r="S34" s="22"/>
      <c r="T34" s="22"/>
      <c r="U34" s="23"/>
    </row>
    <row r="35" spans="12:21" x14ac:dyDescent="0.25">
      <c r="L35" s="21"/>
      <c r="M35" s="22"/>
      <c r="N35" s="22"/>
      <c r="O35" s="22"/>
      <c r="P35" s="22"/>
      <c r="Q35" s="21"/>
      <c r="R35" s="22"/>
      <c r="S35" s="22"/>
      <c r="T35" s="22"/>
      <c r="U35" s="23"/>
    </row>
    <row r="36" spans="12:21" x14ac:dyDescent="0.25">
      <c r="L36" s="21"/>
      <c r="M36" s="22"/>
      <c r="N36" s="22"/>
      <c r="O36" s="22"/>
      <c r="P36" s="22"/>
      <c r="Q36" s="21"/>
      <c r="R36" s="22"/>
      <c r="S36" s="22"/>
      <c r="T36" s="22"/>
      <c r="U36" s="23"/>
    </row>
    <row r="37" spans="12:21" x14ac:dyDescent="0.25">
      <c r="L37" s="21"/>
      <c r="M37" s="22"/>
      <c r="N37" s="22"/>
      <c r="O37" s="22"/>
      <c r="P37" s="22"/>
      <c r="Q37" s="21"/>
      <c r="R37" s="22"/>
      <c r="S37" s="22"/>
      <c r="T37" s="22"/>
      <c r="U37" s="23"/>
    </row>
    <row r="38" spans="12:21" x14ac:dyDescent="0.25">
      <c r="L38" s="21"/>
      <c r="M38" s="22"/>
      <c r="N38" s="22"/>
      <c r="O38" s="22"/>
      <c r="P38" s="22"/>
      <c r="Q38" s="21"/>
      <c r="R38" s="22"/>
      <c r="S38" s="22"/>
      <c r="T38" s="22"/>
      <c r="U38" s="23"/>
    </row>
    <row r="39" spans="12:21" x14ac:dyDescent="0.25">
      <c r="L39" s="21"/>
      <c r="M39" s="22"/>
      <c r="N39" s="22"/>
      <c r="O39" s="22"/>
      <c r="P39" s="22"/>
      <c r="Q39" s="21"/>
      <c r="R39" s="22"/>
      <c r="S39" s="22"/>
      <c r="T39" s="22"/>
      <c r="U39" s="23"/>
    </row>
    <row r="40" spans="12:21" x14ac:dyDescent="0.25">
      <c r="L40" s="21"/>
      <c r="M40" s="22"/>
      <c r="N40" s="22"/>
      <c r="O40" s="22"/>
      <c r="P40" s="22"/>
      <c r="Q40" s="21"/>
      <c r="R40" s="22"/>
      <c r="S40" s="22"/>
      <c r="T40" s="22"/>
      <c r="U40" s="23"/>
    </row>
    <row r="41" spans="12:21" x14ac:dyDescent="0.25">
      <c r="L41" s="21"/>
      <c r="M41" s="22"/>
      <c r="N41" s="22"/>
      <c r="O41" s="22"/>
      <c r="P41" s="22"/>
      <c r="Q41" s="21"/>
      <c r="R41" s="22"/>
      <c r="S41" s="22"/>
      <c r="T41" s="22"/>
      <c r="U41" s="23"/>
    </row>
    <row r="42" spans="12:21" x14ac:dyDescent="0.25">
      <c r="L42" s="21"/>
      <c r="M42" s="22"/>
      <c r="N42" s="22"/>
      <c r="O42" s="22"/>
      <c r="P42" s="22"/>
      <c r="Q42" s="21"/>
      <c r="R42" s="22"/>
      <c r="S42" s="22"/>
      <c r="T42" s="22"/>
      <c r="U42" s="23"/>
    </row>
    <row r="43" spans="12:21" x14ac:dyDescent="0.25">
      <c r="L43" s="21"/>
      <c r="M43" s="22"/>
      <c r="N43" s="22"/>
      <c r="O43" s="22"/>
      <c r="P43" s="22"/>
      <c r="Q43" s="21"/>
      <c r="R43" s="22"/>
      <c r="S43" s="22"/>
      <c r="T43" s="22"/>
      <c r="U43" s="23"/>
    </row>
    <row r="44" spans="12:21" x14ac:dyDescent="0.25">
      <c r="L44" s="21"/>
      <c r="M44" s="22"/>
      <c r="N44" s="22"/>
      <c r="O44" s="22"/>
      <c r="P44" s="22"/>
      <c r="Q44" s="21"/>
      <c r="R44" s="22"/>
      <c r="S44" s="22"/>
      <c r="T44" s="22"/>
      <c r="U44" s="23"/>
    </row>
    <row r="45" spans="12:21" x14ac:dyDescent="0.25">
      <c r="L45" s="21"/>
      <c r="M45" s="22"/>
      <c r="N45" s="22"/>
      <c r="O45" s="22"/>
      <c r="P45" s="22"/>
      <c r="Q45" s="21"/>
      <c r="R45" s="22"/>
      <c r="S45" s="22"/>
      <c r="T45" s="22"/>
      <c r="U45" s="23"/>
    </row>
    <row r="46" spans="12:21" x14ac:dyDescent="0.25">
      <c r="L46" s="21"/>
      <c r="M46" s="22"/>
      <c r="N46" s="22"/>
      <c r="O46" s="22"/>
      <c r="P46" s="22"/>
      <c r="Q46" s="21"/>
      <c r="R46" s="22"/>
      <c r="S46" s="22"/>
      <c r="T46" s="22"/>
      <c r="U46" s="23"/>
    </row>
    <row r="47" spans="12:21" x14ac:dyDescent="0.25">
      <c r="L47" s="21"/>
      <c r="M47" s="22"/>
      <c r="N47" s="22"/>
      <c r="O47" s="22"/>
      <c r="P47" s="22"/>
      <c r="Q47" s="21"/>
      <c r="R47" s="22"/>
      <c r="S47" s="22"/>
      <c r="T47" s="22"/>
      <c r="U47" s="23"/>
    </row>
    <row r="48" spans="12:21" x14ac:dyDescent="0.25">
      <c r="L48" s="21"/>
      <c r="M48" s="22"/>
      <c r="N48" s="22"/>
      <c r="O48" s="22"/>
      <c r="P48" s="22"/>
      <c r="Q48" s="21"/>
      <c r="R48" s="22"/>
      <c r="S48" s="22"/>
      <c r="T48" s="22"/>
      <c r="U48" s="23"/>
    </row>
    <row r="49" spans="12:21" x14ac:dyDescent="0.25">
      <c r="L49" s="21"/>
      <c r="M49" s="22"/>
      <c r="N49" s="22"/>
      <c r="O49" s="22"/>
      <c r="P49" s="22"/>
      <c r="Q49" s="21"/>
      <c r="R49" s="22"/>
      <c r="S49" s="22"/>
      <c r="T49" s="22"/>
      <c r="U49" s="23"/>
    </row>
    <row r="50" spans="12:21" x14ac:dyDescent="0.25">
      <c r="L50" s="21"/>
      <c r="M50" s="22"/>
      <c r="N50" s="22"/>
      <c r="O50" s="22"/>
      <c r="P50" s="22"/>
      <c r="Q50" s="21"/>
      <c r="R50" s="22"/>
      <c r="S50" s="22"/>
      <c r="T50" s="22"/>
      <c r="U50" s="23"/>
    </row>
    <row r="51" spans="12:21" x14ac:dyDescent="0.25">
      <c r="L51" s="21"/>
      <c r="M51" s="22"/>
      <c r="N51" s="22"/>
      <c r="O51" s="22"/>
      <c r="P51" s="22"/>
      <c r="Q51" s="21"/>
      <c r="R51" s="22"/>
      <c r="S51" s="22"/>
      <c r="T51" s="22"/>
      <c r="U51" s="23"/>
    </row>
    <row r="52" spans="12:21" x14ac:dyDescent="0.25">
      <c r="L52" s="21"/>
      <c r="M52" s="22"/>
      <c r="N52" s="22"/>
      <c r="O52" s="22"/>
      <c r="P52" s="22"/>
      <c r="Q52" s="21"/>
      <c r="R52" s="22"/>
      <c r="S52" s="22"/>
      <c r="T52" s="22"/>
      <c r="U52" s="23"/>
    </row>
    <row r="53" spans="12:21" x14ac:dyDescent="0.25">
      <c r="L53" s="21"/>
      <c r="M53" s="22"/>
      <c r="N53" s="22"/>
      <c r="O53" s="22"/>
      <c r="P53" s="22"/>
      <c r="Q53" s="21"/>
      <c r="R53" s="22"/>
      <c r="S53" s="22"/>
      <c r="T53" s="22"/>
      <c r="U53" s="23"/>
    </row>
    <row r="54" spans="12:21" x14ac:dyDescent="0.25">
      <c r="L54" s="21"/>
      <c r="M54" s="22"/>
      <c r="N54" s="22"/>
      <c r="O54" s="22"/>
      <c r="P54" s="22"/>
      <c r="Q54" s="21"/>
      <c r="R54" s="22"/>
      <c r="S54" s="22"/>
      <c r="T54" s="22"/>
      <c r="U54" s="23"/>
    </row>
    <row r="55" spans="12:21" x14ac:dyDescent="0.25">
      <c r="L55" s="21"/>
      <c r="M55" s="22"/>
      <c r="N55" s="22"/>
      <c r="O55" s="22"/>
      <c r="P55" s="22"/>
      <c r="Q55" s="21"/>
      <c r="R55" s="22"/>
      <c r="S55" s="22"/>
      <c r="T55" s="22"/>
      <c r="U55" s="23"/>
    </row>
    <row r="56" spans="12:21" x14ac:dyDescent="0.25">
      <c r="L56" s="21"/>
      <c r="M56" s="22"/>
      <c r="N56" s="22"/>
      <c r="O56" s="22"/>
      <c r="P56" s="22"/>
      <c r="Q56" s="21"/>
      <c r="R56" s="22"/>
      <c r="S56" s="22"/>
      <c r="T56" s="22"/>
      <c r="U56" s="23"/>
    </row>
    <row r="57" spans="12:21" x14ac:dyDescent="0.25">
      <c r="L57" s="21"/>
      <c r="M57" s="22"/>
      <c r="N57" s="22"/>
      <c r="O57" s="22"/>
      <c r="P57" s="22"/>
      <c r="Q57" s="21"/>
      <c r="R57" s="22"/>
      <c r="S57" s="22"/>
      <c r="T57" s="22"/>
      <c r="U57" s="23"/>
    </row>
    <row r="58" spans="12:21" x14ac:dyDescent="0.25">
      <c r="L58" s="21"/>
      <c r="M58" s="22"/>
      <c r="N58" s="22"/>
      <c r="O58" s="22"/>
      <c r="P58" s="22"/>
      <c r="Q58" s="21"/>
      <c r="R58" s="22"/>
      <c r="S58" s="22"/>
      <c r="T58" s="22"/>
      <c r="U58" s="23"/>
    </row>
    <row r="59" spans="12:21" x14ac:dyDescent="0.25">
      <c r="L59" s="21"/>
      <c r="M59" s="22"/>
      <c r="N59" s="22"/>
      <c r="O59" s="22"/>
      <c r="P59" s="22"/>
      <c r="Q59" s="21"/>
      <c r="R59" s="22"/>
      <c r="S59" s="22"/>
      <c r="T59" s="22"/>
      <c r="U59" s="23"/>
    </row>
    <row r="60" spans="12:21" x14ac:dyDescent="0.25">
      <c r="L60" s="21"/>
      <c r="M60" s="22"/>
      <c r="N60" s="22"/>
      <c r="O60" s="22"/>
      <c r="P60" s="22"/>
      <c r="Q60" s="21"/>
      <c r="R60" s="22"/>
      <c r="S60" s="22"/>
      <c r="T60" s="22"/>
      <c r="U60" s="23"/>
    </row>
    <row r="61" spans="12:21" x14ac:dyDescent="0.25">
      <c r="L61" s="21"/>
      <c r="M61" s="22"/>
      <c r="N61" s="22"/>
      <c r="O61" s="22"/>
      <c r="P61" s="22"/>
      <c r="Q61" s="21"/>
      <c r="R61" s="22"/>
      <c r="S61" s="22"/>
      <c r="T61" s="22"/>
      <c r="U61" s="23"/>
    </row>
    <row r="62" spans="12:21" x14ac:dyDescent="0.25">
      <c r="L62" s="21"/>
      <c r="M62" s="22"/>
      <c r="N62" s="22"/>
      <c r="O62" s="22"/>
      <c r="P62" s="22"/>
      <c r="Q62" s="21"/>
      <c r="R62" s="22"/>
      <c r="S62" s="22"/>
      <c r="T62" s="22"/>
      <c r="U62" s="23"/>
    </row>
    <row r="63" spans="12:21" x14ac:dyDescent="0.25">
      <c r="L63" s="21"/>
      <c r="M63" s="22"/>
      <c r="N63" s="22"/>
      <c r="O63" s="22"/>
      <c r="P63" s="22"/>
      <c r="Q63" s="21"/>
      <c r="R63" s="22"/>
      <c r="S63" s="22"/>
      <c r="T63" s="22"/>
      <c r="U63" s="23"/>
    </row>
    <row r="64" spans="12:21" x14ac:dyDescent="0.25">
      <c r="L64" s="21"/>
      <c r="M64" s="22"/>
      <c r="N64" s="22"/>
      <c r="O64" s="22"/>
      <c r="P64" s="22"/>
      <c r="Q64" s="21"/>
      <c r="R64" s="22"/>
      <c r="S64" s="22"/>
      <c r="T64" s="22"/>
      <c r="U64" s="23"/>
    </row>
    <row r="65" spans="12:21" x14ac:dyDescent="0.25">
      <c r="L65" s="21"/>
      <c r="M65" s="22"/>
      <c r="N65" s="22"/>
      <c r="O65" s="22"/>
      <c r="P65" s="22"/>
      <c r="Q65" s="21"/>
      <c r="R65" s="22"/>
      <c r="S65" s="22"/>
      <c r="T65" s="22"/>
      <c r="U65" s="23"/>
    </row>
    <row r="66" spans="12:21" x14ac:dyDescent="0.25">
      <c r="L66" s="21"/>
      <c r="M66" s="22"/>
      <c r="N66" s="22"/>
      <c r="O66" s="22"/>
      <c r="P66" s="22"/>
      <c r="Q66" s="21"/>
      <c r="R66" s="22"/>
      <c r="S66" s="22"/>
      <c r="T66" s="22"/>
      <c r="U66" s="23"/>
    </row>
    <row r="67" spans="12:21" x14ac:dyDescent="0.25">
      <c r="L67" s="21"/>
      <c r="M67" s="22"/>
      <c r="N67" s="22"/>
      <c r="O67" s="22"/>
      <c r="P67" s="22"/>
      <c r="Q67" s="21"/>
      <c r="R67" s="22"/>
      <c r="S67" s="22"/>
      <c r="T67" s="22"/>
      <c r="U67" s="23"/>
    </row>
    <row r="68" spans="12:21" x14ac:dyDescent="0.25">
      <c r="L68" s="21"/>
      <c r="M68" s="22"/>
      <c r="N68" s="22"/>
      <c r="O68" s="22"/>
      <c r="P68" s="22"/>
      <c r="Q68" s="21"/>
      <c r="R68" s="22"/>
      <c r="S68" s="22"/>
      <c r="T68" s="22"/>
      <c r="U68" s="23"/>
    </row>
    <row r="69" spans="12:21" x14ac:dyDescent="0.25">
      <c r="L69" s="21"/>
      <c r="M69" s="22"/>
      <c r="N69" s="22"/>
      <c r="O69" s="22"/>
      <c r="P69" s="22"/>
      <c r="Q69" s="21"/>
      <c r="R69" s="22"/>
      <c r="S69" s="22"/>
      <c r="T69" s="22"/>
      <c r="U69" s="23"/>
    </row>
    <row r="70" spans="12:21" x14ac:dyDescent="0.25">
      <c r="L70" s="21"/>
      <c r="M70" s="22"/>
      <c r="N70" s="22"/>
      <c r="O70" s="22"/>
      <c r="P70" s="22"/>
      <c r="Q70" s="21"/>
      <c r="R70" s="22"/>
      <c r="S70" s="22"/>
      <c r="T70" s="22"/>
      <c r="U70" s="23"/>
    </row>
    <row r="71" spans="12:21" x14ac:dyDescent="0.25">
      <c r="L71" s="21"/>
      <c r="M71" s="22"/>
      <c r="N71" s="22"/>
      <c r="O71" s="22"/>
      <c r="P71" s="22"/>
      <c r="Q71" s="21"/>
      <c r="R71" s="22"/>
      <c r="S71" s="22"/>
      <c r="T71" s="22"/>
      <c r="U71" s="23"/>
    </row>
    <row r="72" spans="12:21" x14ac:dyDescent="0.25">
      <c r="L72" s="21"/>
      <c r="M72" s="22"/>
      <c r="N72" s="22"/>
      <c r="O72" s="22"/>
      <c r="P72" s="22"/>
      <c r="Q72" s="21"/>
      <c r="R72" s="22"/>
      <c r="S72" s="22"/>
      <c r="T72" s="22"/>
      <c r="U72" s="23"/>
    </row>
    <row r="73" spans="12:21" x14ac:dyDescent="0.25">
      <c r="L73" s="21"/>
      <c r="M73" s="22"/>
      <c r="N73" s="22"/>
      <c r="O73" s="22"/>
      <c r="P73" s="22"/>
      <c r="Q73" s="21"/>
      <c r="R73" s="22"/>
      <c r="S73" s="22"/>
      <c r="T73" s="22"/>
      <c r="U73" s="23"/>
    </row>
    <row r="74" spans="12:21" x14ac:dyDescent="0.25">
      <c r="L74" s="21"/>
      <c r="M74" s="22"/>
      <c r="N74" s="22"/>
      <c r="O74" s="22"/>
      <c r="P74" s="22"/>
      <c r="Q74" s="21"/>
      <c r="R74" s="22"/>
      <c r="S74" s="22"/>
      <c r="T74" s="22"/>
      <c r="U74" s="23"/>
    </row>
    <row r="75" spans="12:21" x14ac:dyDescent="0.25">
      <c r="L75" s="21"/>
      <c r="M75" s="22"/>
      <c r="N75" s="22"/>
      <c r="O75" s="22"/>
      <c r="P75" s="22"/>
      <c r="Q75" s="21"/>
      <c r="R75" s="22"/>
      <c r="S75" s="22"/>
      <c r="T75" s="22"/>
      <c r="U75" s="23"/>
    </row>
    <row r="76" spans="12:21" x14ac:dyDescent="0.25">
      <c r="L76" s="21"/>
      <c r="M76" s="22"/>
      <c r="N76" s="22"/>
      <c r="O76" s="22"/>
      <c r="P76" s="22"/>
      <c r="Q76" s="21"/>
      <c r="R76" s="22"/>
      <c r="S76" s="22"/>
      <c r="T76" s="22"/>
      <c r="U76" s="23"/>
    </row>
    <row r="77" spans="12:21" x14ac:dyDescent="0.25">
      <c r="L77" s="21"/>
      <c r="M77" s="22"/>
      <c r="N77" s="22"/>
      <c r="O77" s="22"/>
      <c r="P77" s="22"/>
      <c r="Q77" s="21"/>
      <c r="R77" s="22"/>
      <c r="S77" s="22"/>
      <c r="T77" s="22"/>
      <c r="U77" s="23"/>
    </row>
    <row r="78" spans="12:21" x14ac:dyDescent="0.25">
      <c r="L78" s="21"/>
      <c r="M78" s="22"/>
      <c r="N78" s="22"/>
      <c r="O78" s="22"/>
      <c r="P78" s="22"/>
      <c r="Q78" s="21"/>
      <c r="R78" s="22"/>
      <c r="S78" s="22"/>
      <c r="T78" s="22"/>
      <c r="U78" s="23"/>
    </row>
    <row r="79" spans="12:21" x14ac:dyDescent="0.25">
      <c r="L79" s="21"/>
      <c r="M79" s="22"/>
      <c r="N79" s="22"/>
      <c r="O79" s="22"/>
      <c r="P79" s="22"/>
      <c r="Q79" s="21"/>
      <c r="R79" s="22"/>
      <c r="S79" s="22"/>
      <c r="T79" s="22"/>
      <c r="U79" s="23"/>
    </row>
    <row r="80" spans="12:21" x14ac:dyDescent="0.25">
      <c r="L80" s="21"/>
      <c r="M80" s="22"/>
      <c r="N80" s="22"/>
      <c r="O80" s="22"/>
      <c r="P80" s="22"/>
      <c r="Q80" s="21"/>
      <c r="R80" s="22"/>
      <c r="S80" s="22"/>
      <c r="T80" s="22"/>
      <c r="U80" s="23"/>
    </row>
    <row r="81" spans="12:21" x14ac:dyDescent="0.25">
      <c r="L81" s="21"/>
      <c r="M81" s="22"/>
      <c r="N81" s="22"/>
      <c r="O81" s="22"/>
      <c r="P81" s="22"/>
      <c r="Q81" s="21"/>
      <c r="R81" s="22"/>
      <c r="S81" s="22"/>
      <c r="T81" s="22"/>
      <c r="U81" s="23"/>
    </row>
    <row r="82" spans="12:21" x14ac:dyDescent="0.25">
      <c r="L82" s="21"/>
      <c r="M82" s="22"/>
      <c r="N82" s="22"/>
      <c r="O82" s="22"/>
      <c r="P82" s="22"/>
      <c r="Q82" s="21"/>
      <c r="R82" s="22"/>
      <c r="S82" s="22"/>
      <c r="T82" s="22"/>
      <c r="U82" s="23"/>
    </row>
    <row r="83" spans="12:21" x14ac:dyDescent="0.25">
      <c r="L83" s="21"/>
      <c r="M83" s="22"/>
      <c r="N83" s="22"/>
      <c r="O83" s="22"/>
      <c r="P83" s="22"/>
      <c r="Q83" s="21"/>
      <c r="R83" s="22"/>
      <c r="S83" s="22"/>
      <c r="T83" s="22"/>
      <c r="U83" s="23"/>
    </row>
    <row r="84" spans="12:21" x14ac:dyDescent="0.25">
      <c r="L84" s="21"/>
      <c r="M84" s="22"/>
      <c r="N84" s="22"/>
      <c r="O84" s="22"/>
      <c r="P84" s="22"/>
      <c r="Q84" s="21"/>
      <c r="R84" s="22"/>
      <c r="S84" s="22"/>
      <c r="T84" s="22"/>
      <c r="U84" s="23"/>
    </row>
    <row r="85" spans="12:21" x14ac:dyDescent="0.25">
      <c r="L85" s="21"/>
      <c r="M85" s="22"/>
      <c r="N85" s="22"/>
      <c r="O85" s="22"/>
      <c r="P85" s="22"/>
      <c r="Q85" s="21"/>
      <c r="R85" s="22"/>
      <c r="S85" s="22"/>
      <c r="T85" s="22"/>
      <c r="U85" s="23"/>
    </row>
    <row r="86" spans="12:21" x14ac:dyDescent="0.25">
      <c r="L86" s="21"/>
      <c r="M86" s="22"/>
      <c r="N86" s="22"/>
      <c r="O86" s="22"/>
      <c r="P86" s="22"/>
      <c r="Q86" s="21"/>
      <c r="R86" s="22"/>
      <c r="S86" s="22"/>
      <c r="T86" s="22"/>
      <c r="U86" s="23"/>
    </row>
    <row r="87" spans="12:21" x14ac:dyDescent="0.25">
      <c r="L87" s="21"/>
      <c r="M87" s="22"/>
      <c r="N87" s="22"/>
      <c r="O87" s="22"/>
      <c r="P87" s="22"/>
      <c r="Q87" s="21"/>
      <c r="R87" s="22"/>
      <c r="S87" s="22"/>
      <c r="T87" s="22"/>
      <c r="U87" s="23"/>
    </row>
    <row r="88" spans="12:21" x14ac:dyDescent="0.25">
      <c r="L88" s="21"/>
      <c r="M88" s="22"/>
      <c r="N88" s="22"/>
      <c r="O88" s="22"/>
      <c r="P88" s="22"/>
      <c r="Q88" s="21"/>
      <c r="R88" s="22"/>
      <c r="S88" s="22"/>
      <c r="T88" s="22"/>
      <c r="U88" s="23"/>
    </row>
    <row r="89" spans="12:21" x14ac:dyDescent="0.25">
      <c r="L89" s="21"/>
      <c r="M89" s="22"/>
      <c r="N89" s="22"/>
      <c r="O89" s="22"/>
      <c r="P89" s="22"/>
      <c r="Q89" s="21"/>
      <c r="R89" s="22"/>
      <c r="S89" s="22"/>
      <c r="T89" s="22"/>
      <c r="U89" s="23"/>
    </row>
    <row r="90" spans="12:21" x14ac:dyDescent="0.25">
      <c r="L90" s="21"/>
      <c r="M90" s="22"/>
      <c r="N90" s="22"/>
      <c r="O90" s="22"/>
      <c r="P90" s="22"/>
      <c r="Q90" s="21"/>
      <c r="R90" s="22"/>
      <c r="S90" s="22"/>
      <c r="T90" s="22"/>
      <c r="U90" s="23"/>
    </row>
    <row r="91" spans="12:21" x14ac:dyDescent="0.25">
      <c r="L91" s="21"/>
      <c r="M91" s="22"/>
      <c r="N91" s="22"/>
      <c r="O91" s="22"/>
      <c r="P91" s="22"/>
      <c r="Q91" s="21"/>
      <c r="R91" s="22"/>
      <c r="S91" s="22"/>
      <c r="T91" s="22"/>
      <c r="U91" s="23"/>
    </row>
    <row r="92" spans="12:21" x14ac:dyDescent="0.25">
      <c r="L92" s="21"/>
      <c r="M92" s="22"/>
      <c r="N92" s="22"/>
      <c r="O92" s="22"/>
      <c r="P92" s="22"/>
      <c r="Q92" s="21"/>
      <c r="R92" s="22"/>
      <c r="S92" s="22"/>
      <c r="T92" s="22"/>
      <c r="U92" s="23"/>
    </row>
    <row r="93" spans="12:21" x14ac:dyDescent="0.25">
      <c r="L93" s="21"/>
      <c r="M93" s="22"/>
      <c r="N93" s="22"/>
      <c r="O93" s="22"/>
      <c r="P93" s="22"/>
      <c r="Q93" s="21"/>
      <c r="R93" s="22"/>
      <c r="S93" s="22"/>
      <c r="T93" s="22"/>
      <c r="U93" s="23"/>
    </row>
    <row r="94" spans="12:21" x14ac:dyDescent="0.25">
      <c r="L94" s="21"/>
      <c r="M94" s="22"/>
      <c r="N94" s="22"/>
      <c r="O94" s="22"/>
      <c r="P94" s="22"/>
      <c r="Q94" s="21"/>
      <c r="R94" s="22"/>
      <c r="S94" s="22"/>
      <c r="T94" s="22"/>
      <c r="U94" s="23"/>
    </row>
    <row r="95" spans="12:21" x14ac:dyDescent="0.25">
      <c r="L95" s="21"/>
      <c r="M95" s="22"/>
      <c r="N95" s="22"/>
      <c r="O95" s="22"/>
      <c r="P95" s="22"/>
      <c r="Q95" s="21"/>
      <c r="R95" s="22"/>
      <c r="S95" s="22"/>
      <c r="T95" s="22"/>
      <c r="U95" s="23"/>
    </row>
    <row r="96" spans="12:21" x14ac:dyDescent="0.25">
      <c r="L96" s="21"/>
      <c r="M96" s="22"/>
      <c r="N96" s="22"/>
      <c r="O96" s="22"/>
      <c r="P96" s="22"/>
      <c r="Q96" s="21"/>
      <c r="R96" s="22"/>
      <c r="S96" s="22"/>
      <c r="T96" s="22"/>
      <c r="U96" s="23"/>
    </row>
    <row r="97" spans="12:21" x14ac:dyDescent="0.25">
      <c r="L97" s="21"/>
      <c r="M97" s="22"/>
      <c r="N97" s="22"/>
      <c r="O97" s="22"/>
      <c r="P97" s="22"/>
      <c r="Q97" s="21"/>
      <c r="R97" s="22"/>
      <c r="S97" s="22"/>
      <c r="T97" s="22"/>
      <c r="U97" s="23"/>
    </row>
    <row r="98" spans="12:21" x14ac:dyDescent="0.25">
      <c r="L98" s="21"/>
      <c r="M98" s="22"/>
      <c r="N98" s="22"/>
      <c r="O98" s="22"/>
      <c r="P98" s="22"/>
      <c r="Q98" s="21"/>
      <c r="R98" s="22"/>
      <c r="S98" s="22"/>
      <c r="T98" s="22"/>
      <c r="U98" s="23"/>
    </row>
    <row r="99" spans="12:21" x14ac:dyDescent="0.25">
      <c r="L99" s="21"/>
      <c r="M99" s="22"/>
      <c r="N99" s="22"/>
      <c r="O99" s="22"/>
      <c r="P99" s="22"/>
      <c r="Q99" s="21"/>
      <c r="R99" s="22"/>
      <c r="S99" s="22"/>
      <c r="T99" s="22"/>
      <c r="U99" s="23"/>
    </row>
    <row r="100" spans="12:21" x14ac:dyDescent="0.25">
      <c r="L100" s="21"/>
      <c r="M100" s="22"/>
      <c r="N100" s="22"/>
      <c r="O100" s="22"/>
      <c r="P100" s="22"/>
      <c r="Q100" s="21"/>
      <c r="R100" s="22"/>
      <c r="S100" s="22"/>
      <c r="T100" s="22"/>
      <c r="U100" s="23"/>
    </row>
    <row r="101" spans="12:21" x14ac:dyDescent="0.25">
      <c r="L101" s="21"/>
      <c r="M101" s="22"/>
      <c r="N101" s="22"/>
      <c r="O101" s="22"/>
      <c r="P101" s="22"/>
      <c r="Q101" s="21"/>
      <c r="R101" s="22"/>
      <c r="S101" s="22"/>
      <c r="T101" s="22"/>
      <c r="U101" s="23"/>
    </row>
    <row r="102" spans="12:21" x14ac:dyDescent="0.25">
      <c r="L102" s="21"/>
      <c r="M102" s="22"/>
      <c r="N102" s="22"/>
      <c r="O102" s="22"/>
      <c r="P102" s="22"/>
      <c r="Q102" s="21"/>
      <c r="R102" s="22"/>
      <c r="S102" s="22"/>
      <c r="T102" s="22"/>
      <c r="U102" s="23"/>
    </row>
    <row r="103" spans="12:21" x14ac:dyDescent="0.25">
      <c r="L103" s="21"/>
      <c r="M103" s="22"/>
      <c r="N103" s="22"/>
      <c r="O103" s="22"/>
      <c r="P103" s="22"/>
      <c r="Q103" s="21"/>
      <c r="R103" s="22"/>
      <c r="S103" s="22"/>
      <c r="T103" s="22"/>
      <c r="U103" s="23"/>
    </row>
    <row r="104" spans="12:21" x14ac:dyDescent="0.25">
      <c r="L104" s="21"/>
      <c r="M104" s="22"/>
      <c r="N104" s="22"/>
      <c r="O104" s="22"/>
      <c r="P104" s="22"/>
      <c r="Q104" s="21"/>
      <c r="R104" s="22"/>
      <c r="S104" s="22"/>
      <c r="T104" s="22"/>
      <c r="U104" s="23"/>
    </row>
    <row r="105" spans="12:21" x14ac:dyDescent="0.25">
      <c r="L105" s="21"/>
      <c r="M105" s="22"/>
      <c r="N105" s="22"/>
      <c r="O105" s="22"/>
      <c r="P105" s="22"/>
      <c r="Q105" s="21"/>
      <c r="R105" s="22"/>
      <c r="S105" s="22"/>
      <c r="T105" s="22"/>
      <c r="U105" s="23"/>
    </row>
    <row r="106" spans="12:21" x14ac:dyDescent="0.25">
      <c r="L106" s="21"/>
      <c r="M106" s="22"/>
      <c r="N106" s="22"/>
      <c r="O106" s="22"/>
      <c r="P106" s="22"/>
      <c r="Q106" s="21"/>
      <c r="R106" s="22"/>
      <c r="S106" s="22"/>
      <c r="T106" s="22"/>
      <c r="U106" s="23"/>
    </row>
    <row r="107" spans="12:21" x14ac:dyDescent="0.25">
      <c r="L107" s="21"/>
      <c r="M107" s="22"/>
      <c r="N107" s="22"/>
      <c r="O107" s="22"/>
      <c r="P107" s="22"/>
      <c r="Q107" s="21"/>
      <c r="R107" s="22"/>
      <c r="S107" s="22"/>
      <c r="T107" s="22"/>
      <c r="U107" s="23"/>
    </row>
    <row r="108" spans="12:21" x14ac:dyDescent="0.25">
      <c r="L108" s="21"/>
      <c r="M108" s="22"/>
      <c r="N108" s="22"/>
      <c r="O108" s="22"/>
      <c r="P108" s="22"/>
      <c r="Q108" s="21"/>
      <c r="R108" s="22"/>
      <c r="S108" s="22"/>
      <c r="T108" s="22"/>
      <c r="U108" s="23"/>
    </row>
    <row r="109" spans="12:21" x14ac:dyDescent="0.25">
      <c r="L109" s="21"/>
      <c r="M109" s="22"/>
      <c r="N109" s="22"/>
      <c r="O109" s="22"/>
      <c r="P109" s="22"/>
      <c r="Q109" s="21"/>
      <c r="R109" s="22"/>
      <c r="S109" s="22"/>
      <c r="T109" s="22"/>
      <c r="U109" s="23"/>
    </row>
    <row r="110" spans="12:21" x14ac:dyDescent="0.25">
      <c r="L110" s="21"/>
      <c r="M110" s="22"/>
      <c r="N110" s="22"/>
      <c r="O110" s="22"/>
      <c r="P110" s="22"/>
      <c r="Q110" s="21"/>
      <c r="R110" s="22"/>
      <c r="S110" s="22"/>
      <c r="T110" s="22"/>
      <c r="U110" s="23"/>
    </row>
    <row r="111" spans="12:21" x14ac:dyDescent="0.25">
      <c r="L111" s="21"/>
      <c r="M111" s="22"/>
      <c r="N111" s="22"/>
      <c r="O111" s="22"/>
      <c r="P111" s="22"/>
      <c r="Q111" s="21"/>
      <c r="R111" s="22"/>
      <c r="S111" s="22"/>
      <c r="T111" s="22"/>
      <c r="U111" s="23"/>
    </row>
    <row r="112" spans="12:21" x14ac:dyDescent="0.25">
      <c r="L112" s="21"/>
      <c r="M112" s="22"/>
      <c r="N112" s="22"/>
      <c r="O112" s="22"/>
      <c r="P112" s="22"/>
      <c r="Q112" s="21"/>
      <c r="R112" s="22"/>
      <c r="S112" s="22"/>
      <c r="T112" s="22"/>
      <c r="U112" s="23"/>
    </row>
    <row r="113" spans="12:21" x14ac:dyDescent="0.25">
      <c r="L113" s="21"/>
      <c r="M113" s="22"/>
      <c r="N113" s="22"/>
      <c r="O113" s="22"/>
      <c r="P113" s="22"/>
      <c r="Q113" s="21"/>
      <c r="R113" s="22"/>
      <c r="S113" s="22"/>
      <c r="T113" s="22"/>
      <c r="U113" s="23"/>
    </row>
    <row r="114" spans="12:21" x14ac:dyDescent="0.25">
      <c r="L114" s="21"/>
      <c r="M114" s="22"/>
      <c r="N114" s="22"/>
      <c r="O114" s="22"/>
      <c r="P114" s="22"/>
      <c r="Q114" s="21"/>
      <c r="R114" s="22"/>
      <c r="S114" s="22"/>
      <c r="T114" s="22"/>
      <c r="U114" s="23"/>
    </row>
    <row r="115" spans="12:21" x14ac:dyDescent="0.25">
      <c r="L115" s="21"/>
      <c r="M115" s="22"/>
      <c r="N115" s="22"/>
      <c r="O115" s="22"/>
      <c r="P115" s="22"/>
      <c r="Q115" s="21"/>
      <c r="R115" s="22"/>
      <c r="S115" s="22"/>
      <c r="T115" s="22"/>
      <c r="U115" s="23"/>
    </row>
    <row r="116" spans="12:21" x14ac:dyDescent="0.25">
      <c r="L116" s="21"/>
      <c r="M116" s="22"/>
      <c r="N116" s="22"/>
      <c r="O116" s="22"/>
      <c r="P116" s="22"/>
      <c r="Q116" s="21"/>
      <c r="R116" s="22"/>
      <c r="S116" s="22"/>
      <c r="T116" s="22"/>
      <c r="U116" s="23"/>
    </row>
    <row r="117" spans="12:21" x14ac:dyDescent="0.25">
      <c r="L117" s="21"/>
      <c r="M117" s="22"/>
      <c r="N117" s="22"/>
      <c r="O117" s="22"/>
      <c r="P117" s="22"/>
      <c r="Q117" s="21"/>
      <c r="R117" s="22"/>
      <c r="S117" s="22"/>
      <c r="T117" s="22"/>
      <c r="U117" s="23"/>
    </row>
    <row r="118" spans="12:21" x14ac:dyDescent="0.25">
      <c r="L118" s="21"/>
      <c r="M118" s="22"/>
      <c r="N118" s="22"/>
      <c r="O118" s="22"/>
      <c r="P118" s="22"/>
      <c r="Q118" s="21"/>
      <c r="R118" s="22"/>
      <c r="S118" s="22"/>
      <c r="T118" s="22"/>
      <c r="U118" s="23"/>
    </row>
    <row r="119" spans="12:21" x14ac:dyDescent="0.25">
      <c r="L119" s="21"/>
      <c r="M119" s="22"/>
      <c r="N119" s="22"/>
      <c r="O119" s="22"/>
      <c r="P119" s="22"/>
      <c r="Q119" s="21"/>
      <c r="R119" s="22"/>
      <c r="S119" s="22"/>
      <c r="T119" s="22"/>
      <c r="U119" s="23"/>
    </row>
    <row r="120" spans="12:21" x14ac:dyDescent="0.25">
      <c r="L120" s="21"/>
      <c r="M120" s="22"/>
      <c r="N120" s="22"/>
      <c r="O120" s="22"/>
      <c r="P120" s="22"/>
      <c r="Q120" s="21"/>
      <c r="R120" s="22"/>
      <c r="S120" s="22"/>
      <c r="T120" s="22"/>
      <c r="U120" s="23"/>
    </row>
    <row r="121" spans="12:21" x14ac:dyDescent="0.25">
      <c r="L121" s="21"/>
      <c r="M121" s="22"/>
      <c r="N121" s="22"/>
      <c r="O121" s="22"/>
      <c r="P121" s="22"/>
      <c r="Q121" s="21"/>
      <c r="R121" s="22"/>
      <c r="S121" s="22"/>
      <c r="T121" s="22"/>
      <c r="U121" s="23"/>
    </row>
    <row r="122" spans="12:21" x14ac:dyDescent="0.25">
      <c r="L122" s="21"/>
      <c r="M122" s="22"/>
      <c r="N122" s="22"/>
      <c r="O122" s="22"/>
      <c r="P122" s="22"/>
      <c r="Q122" s="21"/>
      <c r="R122" s="22"/>
      <c r="S122" s="22"/>
      <c r="T122" s="22"/>
      <c r="U122" s="23"/>
    </row>
    <row r="123" spans="12:21" x14ac:dyDescent="0.25">
      <c r="L123" s="21"/>
      <c r="M123" s="22"/>
      <c r="N123" s="22"/>
      <c r="O123" s="22"/>
      <c r="P123" s="22"/>
      <c r="Q123" s="21"/>
      <c r="R123" s="22"/>
      <c r="S123" s="22"/>
      <c r="T123" s="22"/>
      <c r="U123" s="23"/>
    </row>
    <row r="124" spans="12:21" x14ac:dyDescent="0.25">
      <c r="L124" s="21"/>
      <c r="M124" s="22"/>
      <c r="N124" s="22"/>
      <c r="O124" s="22"/>
      <c r="P124" s="22"/>
      <c r="Q124" s="21"/>
      <c r="R124" s="22"/>
      <c r="S124" s="22"/>
      <c r="T124" s="22"/>
      <c r="U124" s="23"/>
    </row>
    <row r="125" spans="12:21" x14ac:dyDescent="0.25">
      <c r="L125" s="21"/>
      <c r="M125" s="22"/>
      <c r="N125" s="22"/>
      <c r="O125" s="22"/>
      <c r="P125" s="22"/>
      <c r="Q125" s="21"/>
      <c r="R125" s="22"/>
      <c r="S125" s="22"/>
      <c r="T125" s="22"/>
      <c r="U125" s="23"/>
    </row>
    <row r="126" spans="12:21" x14ac:dyDescent="0.25">
      <c r="L126" s="21"/>
      <c r="M126" s="22"/>
      <c r="N126" s="22"/>
      <c r="O126" s="22"/>
      <c r="P126" s="22"/>
      <c r="Q126" s="21"/>
      <c r="R126" s="22"/>
      <c r="S126" s="22"/>
      <c r="T126" s="22"/>
      <c r="U126" s="23"/>
    </row>
    <row r="127" spans="12:21" x14ac:dyDescent="0.25">
      <c r="L127" s="21"/>
      <c r="M127" s="22"/>
      <c r="N127" s="22"/>
      <c r="O127" s="22"/>
      <c r="P127" s="22"/>
      <c r="Q127" s="21"/>
      <c r="R127" s="22"/>
      <c r="S127" s="22"/>
      <c r="T127" s="22"/>
      <c r="U127" s="23"/>
    </row>
    <row r="128" spans="12:21" x14ac:dyDescent="0.25">
      <c r="L128" s="21"/>
      <c r="M128" s="22"/>
      <c r="N128" s="22"/>
      <c r="O128" s="22"/>
      <c r="P128" s="22"/>
      <c r="Q128" s="21"/>
      <c r="R128" s="22"/>
      <c r="S128" s="22"/>
      <c r="T128" s="22"/>
      <c r="U128" s="23"/>
    </row>
    <row r="129" spans="12:21" x14ac:dyDescent="0.25">
      <c r="L129" s="21"/>
      <c r="M129" s="22"/>
      <c r="N129" s="22"/>
      <c r="O129" s="22"/>
      <c r="P129" s="22"/>
      <c r="Q129" s="21"/>
      <c r="R129" s="22"/>
      <c r="S129" s="22"/>
      <c r="T129" s="22"/>
      <c r="U129" s="23"/>
    </row>
    <row r="130" spans="12:21" x14ac:dyDescent="0.25">
      <c r="L130" s="21"/>
      <c r="M130" s="22"/>
      <c r="N130" s="22"/>
      <c r="O130" s="22"/>
      <c r="P130" s="22"/>
      <c r="Q130" s="21"/>
      <c r="R130" s="22"/>
      <c r="S130" s="22"/>
      <c r="T130" s="22"/>
      <c r="U130" s="23"/>
    </row>
    <row r="131" spans="12:21" x14ac:dyDescent="0.25">
      <c r="L131" s="21"/>
      <c r="M131" s="22"/>
      <c r="N131" s="22"/>
      <c r="O131" s="22"/>
      <c r="P131" s="22"/>
      <c r="Q131" s="21"/>
      <c r="R131" s="22"/>
      <c r="S131" s="22"/>
      <c r="T131" s="22"/>
      <c r="U131" s="23"/>
    </row>
    <row r="132" spans="12:21" x14ac:dyDescent="0.25">
      <c r="L132" s="21"/>
      <c r="M132" s="22"/>
      <c r="N132" s="22"/>
      <c r="O132" s="22"/>
      <c r="P132" s="22"/>
      <c r="Q132" s="21"/>
      <c r="R132" s="22"/>
      <c r="S132" s="22"/>
      <c r="T132" s="22"/>
      <c r="U132" s="23"/>
    </row>
    <row r="133" spans="12:21" x14ac:dyDescent="0.25">
      <c r="L133" s="21"/>
      <c r="M133" s="22"/>
      <c r="N133" s="22"/>
      <c r="O133" s="22"/>
      <c r="P133" s="22"/>
      <c r="Q133" s="21"/>
      <c r="R133" s="22"/>
      <c r="S133" s="22"/>
      <c r="T133" s="22"/>
      <c r="U133" s="23"/>
    </row>
    <row r="134" spans="12:21" x14ac:dyDescent="0.25">
      <c r="L134" s="21"/>
      <c r="M134" s="22"/>
      <c r="N134" s="22"/>
      <c r="O134" s="22"/>
      <c r="P134" s="22"/>
      <c r="Q134" s="21"/>
      <c r="R134" s="22"/>
      <c r="S134" s="22"/>
      <c r="T134" s="22"/>
      <c r="U134" s="23"/>
    </row>
    <row r="135" spans="12:21" x14ac:dyDescent="0.25">
      <c r="L135" s="21"/>
      <c r="M135" s="22"/>
      <c r="N135" s="22"/>
      <c r="O135" s="22"/>
      <c r="P135" s="22"/>
      <c r="Q135" s="21"/>
      <c r="R135" s="22"/>
      <c r="S135" s="22"/>
      <c r="T135" s="22"/>
      <c r="U135" s="23"/>
    </row>
    <row r="136" spans="12:21" x14ac:dyDescent="0.25">
      <c r="L136" s="21"/>
      <c r="M136" s="22"/>
      <c r="N136" s="22"/>
      <c r="O136" s="22"/>
      <c r="P136" s="22"/>
      <c r="Q136" s="21"/>
      <c r="R136" s="22"/>
      <c r="S136" s="22"/>
      <c r="T136" s="22"/>
      <c r="U136" s="23"/>
    </row>
    <row r="137" spans="12:21" x14ac:dyDescent="0.25">
      <c r="L137" s="21"/>
      <c r="M137" s="22"/>
      <c r="N137" s="22"/>
      <c r="O137" s="22"/>
      <c r="P137" s="22"/>
      <c r="Q137" s="21"/>
      <c r="R137" s="22"/>
      <c r="S137" s="22"/>
      <c r="T137" s="22"/>
      <c r="U137" s="23"/>
    </row>
    <row r="138" spans="12:21" x14ac:dyDescent="0.25">
      <c r="L138" s="21"/>
      <c r="M138" s="22"/>
      <c r="N138" s="22"/>
      <c r="O138" s="22"/>
      <c r="P138" s="22"/>
      <c r="Q138" s="21"/>
      <c r="R138" s="22"/>
      <c r="S138" s="22"/>
      <c r="T138" s="22"/>
      <c r="U138" s="23"/>
    </row>
    <row r="139" spans="12:21" x14ac:dyDescent="0.25">
      <c r="L139" s="21"/>
      <c r="M139" s="22"/>
      <c r="N139" s="22"/>
      <c r="O139" s="22"/>
      <c r="P139" s="22"/>
      <c r="Q139" s="21"/>
      <c r="R139" s="22"/>
      <c r="S139" s="22"/>
      <c r="T139" s="22"/>
      <c r="U139" s="23"/>
    </row>
    <row r="140" spans="12:21" x14ac:dyDescent="0.25">
      <c r="L140" s="21"/>
      <c r="M140" s="22"/>
      <c r="N140" s="22"/>
      <c r="O140" s="22"/>
      <c r="P140" s="22"/>
      <c r="Q140" s="21"/>
      <c r="R140" s="22"/>
      <c r="S140" s="22"/>
      <c r="T140" s="22"/>
      <c r="U140" s="23"/>
    </row>
    <row r="141" spans="12:21" x14ac:dyDescent="0.25">
      <c r="L141" s="21"/>
      <c r="M141" s="22"/>
      <c r="N141" s="22"/>
      <c r="O141" s="22"/>
      <c r="P141" s="22"/>
      <c r="Q141" s="21"/>
      <c r="R141" s="22"/>
      <c r="S141" s="22"/>
      <c r="T141" s="22"/>
      <c r="U141" s="23"/>
    </row>
    <row r="142" spans="12:21" x14ac:dyDescent="0.25">
      <c r="L142" s="21"/>
      <c r="M142" s="22"/>
      <c r="N142" s="22"/>
      <c r="O142" s="22"/>
      <c r="P142" s="22"/>
      <c r="Q142" s="21"/>
      <c r="R142" s="22"/>
      <c r="S142" s="22"/>
      <c r="T142" s="22"/>
      <c r="U142" s="23"/>
    </row>
    <row r="143" spans="12:21" x14ac:dyDescent="0.25">
      <c r="L143" s="21"/>
      <c r="M143" s="22"/>
      <c r="N143" s="22"/>
      <c r="O143" s="22"/>
      <c r="P143" s="22"/>
      <c r="Q143" s="21"/>
      <c r="R143" s="22"/>
      <c r="S143" s="22"/>
      <c r="T143" s="22"/>
      <c r="U143" s="23"/>
    </row>
    <row r="144" spans="12:21" x14ac:dyDescent="0.25">
      <c r="L144" s="21"/>
      <c r="M144" s="22"/>
      <c r="N144" s="22"/>
      <c r="O144" s="22"/>
      <c r="P144" s="22"/>
      <c r="Q144" s="21"/>
      <c r="R144" s="22"/>
      <c r="S144" s="22"/>
      <c r="T144" s="22"/>
      <c r="U144" s="23"/>
    </row>
    <row r="145" spans="12:21" x14ac:dyDescent="0.25">
      <c r="L145" s="21"/>
      <c r="M145" s="22"/>
      <c r="N145" s="22"/>
      <c r="O145" s="22"/>
      <c r="P145" s="22"/>
      <c r="Q145" s="21"/>
      <c r="R145" s="22"/>
      <c r="S145" s="22"/>
      <c r="T145" s="22"/>
      <c r="U145" s="23"/>
    </row>
    <row r="146" spans="12:21" x14ac:dyDescent="0.25">
      <c r="L146" s="21"/>
      <c r="M146" s="22"/>
      <c r="N146" s="22"/>
      <c r="O146" s="22"/>
      <c r="P146" s="22"/>
      <c r="Q146" s="21"/>
      <c r="R146" s="22"/>
      <c r="S146" s="22"/>
      <c r="T146" s="22"/>
      <c r="U146" s="23"/>
    </row>
    <row r="147" spans="12:21" x14ac:dyDescent="0.25">
      <c r="L147" s="21"/>
      <c r="M147" s="22"/>
      <c r="N147" s="22"/>
      <c r="O147" s="22"/>
      <c r="P147" s="22"/>
      <c r="Q147" s="21"/>
      <c r="R147" s="22"/>
      <c r="S147" s="22"/>
      <c r="T147" s="22"/>
      <c r="U147" s="23"/>
    </row>
    <row r="148" spans="12:21" x14ac:dyDescent="0.25">
      <c r="L148" s="21"/>
      <c r="M148" s="22"/>
      <c r="N148" s="22"/>
      <c r="O148" s="22"/>
      <c r="P148" s="22"/>
      <c r="Q148" s="21"/>
      <c r="R148" s="22"/>
      <c r="S148" s="22"/>
      <c r="T148" s="22"/>
      <c r="U148" s="23"/>
    </row>
    <row r="149" spans="12:21" x14ac:dyDescent="0.25">
      <c r="L149" s="21"/>
      <c r="M149" s="22"/>
      <c r="N149" s="22"/>
      <c r="O149" s="22"/>
      <c r="P149" s="22"/>
      <c r="Q149" s="21"/>
      <c r="R149" s="22"/>
      <c r="S149" s="22"/>
      <c r="T149" s="22"/>
      <c r="U149" s="23"/>
    </row>
    <row r="150" spans="12:21" x14ac:dyDescent="0.25">
      <c r="L150" s="21"/>
      <c r="M150" s="22"/>
      <c r="N150" s="22"/>
      <c r="O150" s="22"/>
      <c r="P150" s="22"/>
      <c r="Q150" s="21"/>
      <c r="R150" s="22"/>
      <c r="S150" s="22"/>
      <c r="T150" s="22"/>
      <c r="U150" s="23"/>
    </row>
    <row r="151" spans="12:21" x14ac:dyDescent="0.25">
      <c r="L151" s="21"/>
      <c r="M151" s="22"/>
      <c r="N151" s="22"/>
      <c r="O151" s="22"/>
      <c r="P151" s="22"/>
      <c r="Q151" s="21"/>
      <c r="R151" s="22"/>
      <c r="S151" s="22"/>
      <c r="T151" s="22"/>
      <c r="U151" s="23"/>
    </row>
    <row r="152" spans="12:21" x14ac:dyDescent="0.25">
      <c r="L152" s="21"/>
      <c r="M152" s="22"/>
      <c r="N152" s="22"/>
      <c r="O152" s="22"/>
      <c r="P152" s="22"/>
      <c r="Q152" s="21"/>
      <c r="R152" s="22"/>
      <c r="S152" s="22"/>
      <c r="T152" s="22"/>
      <c r="U152" s="23"/>
    </row>
    <row r="153" spans="12:21" x14ac:dyDescent="0.25">
      <c r="L153" s="21"/>
      <c r="M153" s="22"/>
      <c r="N153" s="22"/>
      <c r="O153" s="22"/>
      <c r="P153" s="22"/>
      <c r="Q153" s="21"/>
      <c r="R153" s="22"/>
      <c r="S153" s="22"/>
      <c r="T153" s="22"/>
      <c r="U153" s="23"/>
    </row>
    <row r="154" spans="12:21" x14ac:dyDescent="0.25">
      <c r="L154" s="21"/>
      <c r="M154" s="22"/>
      <c r="N154" s="22"/>
      <c r="O154" s="22"/>
      <c r="P154" s="22"/>
      <c r="Q154" s="21"/>
      <c r="R154" s="22"/>
      <c r="S154" s="22"/>
      <c r="T154" s="22"/>
      <c r="U154" s="23"/>
    </row>
    <row r="155" spans="12:21" x14ac:dyDescent="0.25">
      <c r="L155" s="21"/>
      <c r="M155" s="22"/>
      <c r="N155" s="22"/>
      <c r="O155" s="22"/>
      <c r="P155" s="22"/>
      <c r="Q155" s="21"/>
      <c r="R155" s="22"/>
      <c r="S155" s="22"/>
      <c r="T155" s="22"/>
      <c r="U155" s="23"/>
    </row>
    <row r="156" spans="12:21" x14ac:dyDescent="0.25">
      <c r="L156" s="21"/>
      <c r="M156" s="22"/>
      <c r="N156" s="22"/>
      <c r="O156" s="22"/>
      <c r="P156" s="22"/>
      <c r="Q156" s="21"/>
      <c r="R156" s="22"/>
      <c r="S156" s="22"/>
      <c r="T156" s="22"/>
      <c r="U156" s="23"/>
    </row>
    <row r="157" spans="12:21" x14ac:dyDescent="0.25">
      <c r="L157" s="21"/>
      <c r="M157" s="22"/>
      <c r="N157" s="22"/>
      <c r="O157" s="22"/>
      <c r="P157" s="22"/>
      <c r="Q157" s="21"/>
      <c r="R157" s="22"/>
      <c r="S157" s="22"/>
      <c r="T157" s="22"/>
      <c r="U157" s="23"/>
    </row>
    <row r="158" spans="12:21" x14ac:dyDescent="0.25">
      <c r="L158" s="21"/>
      <c r="M158" s="22"/>
      <c r="N158" s="22"/>
      <c r="O158" s="22"/>
      <c r="P158" s="22"/>
      <c r="Q158" s="21"/>
      <c r="R158" s="22"/>
      <c r="S158" s="22"/>
      <c r="T158" s="22"/>
      <c r="U158" s="23"/>
    </row>
    <row r="159" spans="12:21" x14ac:dyDescent="0.25">
      <c r="L159" s="21"/>
      <c r="M159" s="22"/>
      <c r="N159" s="22"/>
      <c r="O159" s="22"/>
      <c r="P159" s="22"/>
      <c r="Q159" s="21"/>
      <c r="R159" s="22"/>
      <c r="S159" s="22"/>
      <c r="T159" s="22"/>
      <c r="U159" s="23"/>
    </row>
    <row r="160" spans="12:21" x14ac:dyDescent="0.25">
      <c r="L160" s="21"/>
      <c r="M160" s="22"/>
      <c r="N160" s="22"/>
      <c r="O160" s="22"/>
      <c r="P160" s="22"/>
      <c r="Q160" s="21"/>
      <c r="R160" s="22"/>
      <c r="S160" s="22"/>
      <c r="T160" s="22"/>
      <c r="U160" s="23"/>
    </row>
    <row r="161" spans="12:21" x14ac:dyDescent="0.25">
      <c r="L161" s="21"/>
      <c r="M161" s="22"/>
      <c r="N161" s="22"/>
      <c r="O161" s="22"/>
      <c r="P161" s="22"/>
      <c r="Q161" s="21"/>
      <c r="R161" s="22"/>
      <c r="S161" s="22"/>
      <c r="T161" s="22"/>
      <c r="U161" s="23"/>
    </row>
    <row r="162" spans="12:21" x14ac:dyDescent="0.25">
      <c r="L162" s="21"/>
      <c r="M162" s="22"/>
      <c r="N162" s="22"/>
      <c r="O162" s="22"/>
      <c r="P162" s="22"/>
      <c r="Q162" s="21"/>
      <c r="R162" s="22"/>
      <c r="S162" s="22"/>
      <c r="T162" s="22"/>
      <c r="U162" s="23"/>
    </row>
    <row r="163" spans="12:21" x14ac:dyDescent="0.25">
      <c r="L163" s="21"/>
      <c r="M163" s="22"/>
      <c r="N163" s="22"/>
      <c r="O163" s="22"/>
      <c r="P163" s="22"/>
      <c r="Q163" s="21"/>
      <c r="R163" s="22"/>
      <c r="S163" s="22"/>
      <c r="T163" s="22"/>
      <c r="U163" s="23"/>
    </row>
    <row r="164" spans="12:21" x14ac:dyDescent="0.25">
      <c r="L164" s="21"/>
      <c r="M164" s="22"/>
      <c r="N164" s="22"/>
      <c r="O164" s="22"/>
      <c r="P164" s="22"/>
      <c r="Q164" s="21"/>
      <c r="R164" s="22"/>
      <c r="S164" s="22"/>
      <c r="T164" s="22"/>
      <c r="U164" s="23"/>
    </row>
    <row r="165" spans="12:21" x14ac:dyDescent="0.25">
      <c r="L165" s="21"/>
      <c r="M165" s="22"/>
      <c r="N165" s="22"/>
      <c r="O165" s="22"/>
      <c r="P165" s="22"/>
      <c r="Q165" s="21"/>
      <c r="R165" s="22"/>
      <c r="S165" s="22"/>
      <c r="T165" s="22"/>
      <c r="U165" s="23"/>
    </row>
    <row r="166" spans="12:21" x14ac:dyDescent="0.25">
      <c r="L166" s="21"/>
      <c r="M166" s="22"/>
      <c r="N166" s="22"/>
      <c r="O166" s="22"/>
      <c r="P166" s="22"/>
      <c r="Q166" s="21"/>
      <c r="R166" s="22"/>
      <c r="S166" s="22"/>
      <c r="T166" s="22"/>
      <c r="U166" s="23"/>
    </row>
    <row r="167" spans="12:21" x14ac:dyDescent="0.25">
      <c r="L167" s="21"/>
      <c r="M167" s="22"/>
      <c r="N167" s="22"/>
      <c r="O167" s="22"/>
      <c r="P167" s="22"/>
      <c r="Q167" s="21"/>
      <c r="R167" s="22"/>
      <c r="S167" s="22"/>
      <c r="T167" s="22"/>
      <c r="U167" s="23"/>
    </row>
    <row r="168" spans="12:21" x14ac:dyDescent="0.25">
      <c r="L168" s="21"/>
      <c r="M168" s="22"/>
      <c r="N168" s="22"/>
      <c r="O168" s="22"/>
      <c r="P168" s="22"/>
      <c r="Q168" s="21"/>
      <c r="R168" s="22"/>
      <c r="S168" s="22"/>
      <c r="T168" s="22"/>
      <c r="U168" s="23"/>
    </row>
    <row r="169" spans="12:21" x14ac:dyDescent="0.25">
      <c r="L169" s="21"/>
      <c r="M169" s="22"/>
      <c r="N169" s="22"/>
      <c r="O169" s="22"/>
      <c r="P169" s="22"/>
      <c r="Q169" s="21"/>
      <c r="R169" s="22"/>
      <c r="S169" s="22"/>
      <c r="T169" s="22"/>
      <c r="U169" s="23"/>
    </row>
    <row r="170" spans="12:21" x14ac:dyDescent="0.25">
      <c r="L170" s="21"/>
      <c r="M170" s="22"/>
      <c r="N170" s="22"/>
      <c r="O170" s="22"/>
      <c r="P170" s="22"/>
      <c r="Q170" s="21"/>
      <c r="R170" s="22"/>
      <c r="S170" s="22"/>
      <c r="T170" s="22"/>
      <c r="U170" s="23"/>
    </row>
    <row r="171" spans="12:21" x14ac:dyDescent="0.25">
      <c r="L171" s="21"/>
      <c r="M171" s="22"/>
      <c r="N171" s="22"/>
      <c r="O171" s="22"/>
      <c r="P171" s="22"/>
      <c r="Q171" s="21"/>
      <c r="R171" s="22"/>
      <c r="S171" s="22"/>
      <c r="T171" s="22"/>
      <c r="U171" s="23"/>
    </row>
    <row r="172" spans="12:21" x14ac:dyDescent="0.25">
      <c r="L172" s="21"/>
      <c r="M172" s="22"/>
      <c r="N172" s="22"/>
      <c r="O172" s="22"/>
      <c r="P172" s="22"/>
      <c r="Q172" s="21"/>
      <c r="R172" s="22"/>
      <c r="S172" s="22"/>
      <c r="T172" s="22"/>
      <c r="U172" s="23"/>
    </row>
    <row r="173" spans="12:21" x14ac:dyDescent="0.25">
      <c r="L173" s="21"/>
      <c r="M173" s="22"/>
      <c r="N173" s="22"/>
      <c r="O173" s="22"/>
      <c r="P173" s="22"/>
      <c r="Q173" s="21"/>
      <c r="R173" s="22"/>
      <c r="S173" s="22"/>
      <c r="T173" s="22"/>
      <c r="U173" s="23"/>
    </row>
    <row r="174" spans="12:21" x14ac:dyDescent="0.25">
      <c r="L174" s="21"/>
      <c r="M174" s="22"/>
      <c r="N174" s="22"/>
      <c r="O174" s="22"/>
      <c r="P174" s="22"/>
      <c r="Q174" s="21"/>
      <c r="R174" s="22"/>
      <c r="S174" s="22"/>
      <c r="T174" s="22"/>
      <c r="U174" s="23"/>
    </row>
    <row r="175" spans="12:21" x14ac:dyDescent="0.25">
      <c r="L175" s="21"/>
      <c r="M175" s="22"/>
      <c r="N175" s="22"/>
      <c r="O175" s="22"/>
      <c r="P175" s="22"/>
      <c r="Q175" s="21"/>
      <c r="R175" s="22"/>
      <c r="S175" s="22"/>
      <c r="T175" s="22"/>
      <c r="U175" s="23"/>
    </row>
    <row r="176" spans="12:21" x14ac:dyDescent="0.25">
      <c r="L176" s="21"/>
      <c r="M176" s="22"/>
      <c r="N176" s="22"/>
      <c r="O176" s="22"/>
      <c r="P176" s="22"/>
      <c r="Q176" s="21"/>
      <c r="R176" s="22"/>
      <c r="S176" s="22"/>
      <c r="T176" s="22"/>
      <c r="U176" s="23"/>
    </row>
    <row r="177" spans="12:21" x14ac:dyDescent="0.25">
      <c r="L177" s="21"/>
      <c r="M177" s="22"/>
      <c r="N177" s="22"/>
      <c r="O177" s="22"/>
      <c r="P177" s="22"/>
      <c r="Q177" s="21"/>
      <c r="R177" s="22"/>
      <c r="S177" s="22"/>
      <c r="T177" s="22"/>
      <c r="U177" s="23"/>
    </row>
    <row r="178" spans="12:21" x14ac:dyDescent="0.25">
      <c r="L178" s="21"/>
      <c r="M178" s="22"/>
      <c r="N178" s="22"/>
      <c r="O178" s="22"/>
      <c r="P178" s="22"/>
      <c r="Q178" s="21"/>
      <c r="R178" s="22"/>
      <c r="S178" s="22"/>
      <c r="T178" s="22"/>
      <c r="U178" s="23"/>
    </row>
    <row r="179" spans="12:21" x14ac:dyDescent="0.25">
      <c r="L179" s="21"/>
      <c r="M179" s="22"/>
      <c r="N179" s="22"/>
      <c r="O179" s="22"/>
      <c r="P179" s="22"/>
      <c r="Q179" s="21"/>
      <c r="R179" s="22"/>
      <c r="S179" s="22"/>
      <c r="T179" s="22"/>
      <c r="U179" s="23"/>
    </row>
    <row r="180" spans="12:21" x14ac:dyDescent="0.25">
      <c r="L180" s="21"/>
      <c r="M180" s="22"/>
      <c r="N180" s="22"/>
      <c r="O180" s="22"/>
      <c r="P180" s="22"/>
      <c r="Q180" s="21"/>
      <c r="R180" s="22"/>
      <c r="S180" s="22"/>
      <c r="T180" s="22"/>
      <c r="U180" s="23"/>
    </row>
    <row r="181" spans="12:21" x14ac:dyDescent="0.25">
      <c r="L181" s="21"/>
      <c r="M181" s="22"/>
      <c r="N181" s="22"/>
      <c r="O181" s="22"/>
      <c r="P181" s="22"/>
      <c r="Q181" s="21"/>
      <c r="R181" s="22"/>
      <c r="S181" s="22"/>
      <c r="T181" s="22"/>
      <c r="U181" s="23"/>
    </row>
    <row r="182" spans="12:21" x14ac:dyDescent="0.25">
      <c r="L182" s="21"/>
      <c r="M182" s="22"/>
      <c r="N182" s="22"/>
      <c r="O182" s="22"/>
      <c r="P182" s="22"/>
      <c r="Q182" s="21"/>
      <c r="R182" s="22"/>
      <c r="S182" s="22"/>
      <c r="T182" s="22"/>
      <c r="U182" s="23"/>
    </row>
    <row r="183" spans="12:21" x14ac:dyDescent="0.25">
      <c r="L183" s="21"/>
      <c r="M183" s="22"/>
      <c r="N183" s="22"/>
      <c r="O183" s="22"/>
      <c r="P183" s="22"/>
      <c r="Q183" s="21"/>
      <c r="R183" s="22"/>
      <c r="S183" s="22"/>
      <c r="T183" s="22"/>
      <c r="U183" s="23"/>
    </row>
    <row r="184" spans="12:21" x14ac:dyDescent="0.25">
      <c r="L184" s="21"/>
      <c r="M184" s="22"/>
      <c r="N184" s="22"/>
      <c r="O184" s="22"/>
      <c r="P184" s="22"/>
      <c r="Q184" s="21"/>
      <c r="R184" s="22"/>
      <c r="S184" s="22"/>
      <c r="T184" s="22"/>
      <c r="U184" s="23"/>
    </row>
    <row r="185" spans="12:21" x14ac:dyDescent="0.25">
      <c r="L185" s="21"/>
      <c r="M185" s="22"/>
      <c r="N185" s="22"/>
      <c r="O185" s="22"/>
      <c r="P185" s="22"/>
      <c r="Q185" s="21"/>
      <c r="R185" s="22"/>
      <c r="S185" s="22"/>
      <c r="T185" s="22"/>
      <c r="U185" s="23"/>
    </row>
    <row r="186" spans="12:21" x14ac:dyDescent="0.25">
      <c r="L186" s="21"/>
      <c r="M186" s="22"/>
      <c r="N186" s="22"/>
      <c r="O186" s="22"/>
      <c r="P186" s="22"/>
      <c r="Q186" s="21"/>
      <c r="R186" s="22"/>
      <c r="S186" s="22"/>
      <c r="T186" s="22"/>
      <c r="U186" s="23"/>
    </row>
    <row r="187" spans="12:21" x14ac:dyDescent="0.25">
      <c r="L187" s="21"/>
      <c r="M187" s="22"/>
      <c r="N187" s="22"/>
      <c r="O187" s="22"/>
      <c r="P187" s="22"/>
      <c r="Q187" s="21"/>
      <c r="R187" s="22"/>
      <c r="S187" s="22"/>
      <c r="T187" s="22"/>
      <c r="U187" s="23"/>
    </row>
    <row r="188" spans="12:21" x14ac:dyDescent="0.25">
      <c r="L188" s="21"/>
      <c r="M188" s="22"/>
      <c r="N188" s="22"/>
      <c r="O188" s="22"/>
      <c r="P188" s="22"/>
      <c r="Q188" s="21"/>
      <c r="R188" s="22"/>
      <c r="S188" s="22"/>
      <c r="T188" s="22"/>
      <c r="U188" s="23"/>
    </row>
    <row r="189" spans="12:21" x14ac:dyDescent="0.25">
      <c r="L189" s="21"/>
      <c r="M189" s="22"/>
      <c r="N189" s="22"/>
      <c r="O189" s="22"/>
      <c r="P189" s="22"/>
      <c r="Q189" s="21"/>
      <c r="R189" s="22"/>
      <c r="S189" s="22"/>
      <c r="T189" s="22"/>
      <c r="U189" s="23"/>
    </row>
    <row r="190" spans="12:21" x14ac:dyDescent="0.25">
      <c r="L190" s="21"/>
      <c r="M190" s="22"/>
      <c r="N190" s="22"/>
      <c r="O190" s="22"/>
      <c r="P190" s="22"/>
      <c r="Q190" s="21"/>
      <c r="R190" s="22"/>
      <c r="S190" s="22"/>
      <c r="T190" s="22"/>
      <c r="U190" s="23"/>
    </row>
    <row r="191" spans="12:21" x14ac:dyDescent="0.25">
      <c r="L191" s="21"/>
      <c r="M191" s="22"/>
      <c r="N191" s="22"/>
      <c r="O191" s="22"/>
      <c r="P191" s="22"/>
      <c r="Q191" s="21"/>
      <c r="R191" s="22"/>
      <c r="S191" s="22"/>
      <c r="T191" s="22"/>
      <c r="U191" s="23"/>
    </row>
    <row r="192" spans="12:21" x14ac:dyDescent="0.25">
      <c r="L192" s="21"/>
      <c r="M192" s="22"/>
      <c r="N192" s="22"/>
      <c r="O192" s="22"/>
      <c r="P192" s="22"/>
      <c r="Q192" s="21"/>
      <c r="R192" s="22"/>
      <c r="S192" s="22"/>
      <c r="T192" s="22"/>
      <c r="U192" s="23"/>
    </row>
    <row r="193" spans="12:21" x14ac:dyDescent="0.25">
      <c r="L193" s="21"/>
      <c r="M193" s="22"/>
      <c r="N193" s="22"/>
      <c r="O193" s="22"/>
      <c r="P193" s="22"/>
      <c r="Q193" s="21"/>
      <c r="R193" s="22"/>
      <c r="S193" s="22"/>
      <c r="T193" s="22"/>
      <c r="U193" s="23"/>
    </row>
    <row r="194" spans="12:21" x14ac:dyDescent="0.25">
      <c r="L194" s="21"/>
      <c r="M194" s="22"/>
      <c r="N194" s="22"/>
      <c r="O194" s="22"/>
      <c r="P194" s="22"/>
      <c r="Q194" s="21"/>
      <c r="R194" s="22"/>
      <c r="S194" s="22"/>
      <c r="T194" s="22"/>
      <c r="U194" s="23"/>
    </row>
    <row r="195" spans="12:21" x14ac:dyDescent="0.25">
      <c r="L195" s="21"/>
      <c r="M195" s="22"/>
      <c r="N195" s="22"/>
      <c r="O195" s="22"/>
      <c r="P195" s="22"/>
      <c r="Q195" s="21"/>
      <c r="R195" s="22"/>
      <c r="S195" s="22"/>
      <c r="T195" s="22"/>
      <c r="U195" s="23"/>
    </row>
    <row r="196" spans="12:21" x14ac:dyDescent="0.25">
      <c r="L196" s="21"/>
      <c r="M196" s="22"/>
      <c r="N196" s="22"/>
      <c r="O196" s="22"/>
      <c r="P196" s="22"/>
      <c r="Q196" s="21"/>
      <c r="R196" s="22"/>
      <c r="S196" s="22"/>
      <c r="T196" s="22"/>
      <c r="U196" s="23"/>
    </row>
    <row r="197" spans="12:21" x14ac:dyDescent="0.25">
      <c r="L197" s="21"/>
      <c r="M197" s="22"/>
      <c r="N197" s="22"/>
      <c r="O197" s="22"/>
      <c r="P197" s="22"/>
      <c r="Q197" s="21"/>
      <c r="R197" s="22"/>
      <c r="S197" s="22"/>
      <c r="T197" s="22"/>
      <c r="U197" s="23"/>
    </row>
    <row r="198" spans="12:21" x14ac:dyDescent="0.25">
      <c r="L198" s="21"/>
      <c r="M198" s="22"/>
      <c r="N198" s="22"/>
      <c r="O198" s="22"/>
      <c r="P198" s="22"/>
      <c r="Q198" s="21"/>
      <c r="R198" s="22"/>
      <c r="S198" s="22"/>
      <c r="T198" s="22"/>
      <c r="U198" s="23"/>
    </row>
    <row r="199" spans="12:21" x14ac:dyDescent="0.25">
      <c r="L199" s="21"/>
      <c r="M199" s="22"/>
      <c r="N199" s="22"/>
      <c r="O199" s="22"/>
      <c r="P199" s="22"/>
      <c r="Q199" s="21"/>
      <c r="R199" s="22"/>
      <c r="S199" s="22"/>
      <c r="T199" s="22"/>
      <c r="U199" s="23"/>
    </row>
    <row r="200" spans="12:21" x14ac:dyDescent="0.25">
      <c r="L200" s="21"/>
      <c r="M200" s="22"/>
      <c r="N200" s="22"/>
      <c r="O200" s="22"/>
      <c r="P200" s="22"/>
      <c r="Q200" s="21"/>
      <c r="R200" s="22"/>
      <c r="S200" s="22"/>
      <c r="T200" s="22"/>
      <c r="U200" s="23"/>
    </row>
    <row r="201" spans="12:21" x14ac:dyDescent="0.25">
      <c r="L201" s="21"/>
      <c r="M201" s="22"/>
      <c r="N201" s="22"/>
      <c r="O201" s="22"/>
      <c r="P201" s="22"/>
      <c r="Q201" s="21"/>
      <c r="R201" s="22"/>
      <c r="S201" s="22"/>
      <c r="T201" s="22"/>
      <c r="U201" s="23"/>
    </row>
    <row r="202" spans="12:21" x14ac:dyDescent="0.25">
      <c r="Q202" s="21"/>
      <c r="R202" s="22"/>
      <c r="S202" s="22"/>
      <c r="T202" s="22"/>
      <c r="U202" s="23"/>
    </row>
  </sheetData>
  <mergeCells count="2">
    <mergeCell ref="K1:L1"/>
    <mergeCell ref="K2:L2"/>
  </mergeCells>
  <dataValidations count="5">
    <dataValidation type="list" allowBlank="1" showInputMessage="1" sqref="A2 M5:M29">
      <formula1>Modifiers_List</formula1>
    </dataValidation>
    <dataValidation type="list" allowBlank="1" showInputMessage="1" showErrorMessage="1" sqref="B5:B29 B31">
      <formula1>$A$5:$A$34</formula1>
    </dataValidation>
    <dataValidation type="list" allowBlank="1" showInputMessage="1" sqref="G2">
      <formula1>BUFFS</formula1>
    </dataValidation>
    <dataValidation type="list" allowBlank="1" showInputMessage="1" showErrorMessage="1" sqref="L5:L263 Q5:Q254 V5:V10">
      <formula1>Types</formula1>
    </dataValidation>
    <dataValidation type="list" allowBlank="1" showInputMessage="1" showErrorMessage="1" sqref="R5:R262 W5:W10">
      <formula1>Modifiers_List</formula1>
    </dataValidation>
  </dataValidations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K29"/>
  <sheetViews>
    <sheetView workbookViewId="0">
      <selection activeCell="K5" sqref="K5"/>
    </sheetView>
  </sheetViews>
  <sheetFormatPr defaultRowHeight="15" x14ac:dyDescent="0.25"/>
  <cols>
    <col min="1" max="1" width="27.5703125" customWidth="1"/>
    <col min="3" max="3" width="13.85546875" customWidth="1"/>
    <col min="7" max="7" width="25.85546875" customWidth="1"/>
    <col min="8" max="8" width="27.5703125" customWidth="1"/>
    <col min="11" max="11" width="35.140625" bestFit="1" customWidth="1"/>
  </cols>
  <sheetData>
    <row r="2" spans="1:11" x14ac:dyDescent="0.25">
      <c r="A2" t="s">
        <v>0</v>
      </c>
      <c r="B2" t="s">
        <v>26</v>
      </c>
      <c r="G2" t="s">
        <v>27</v>
      </c>
      <c r="H2" t="s">
        <v>0</v>
      </c>
    </row>
    <row r="4" spans="1:11" x14ac:dyDescent="0.25">
      <c r="I4">
        <f>COUNTIF(K5:K29,"?*")</f>
        <v>4</v>
      </c>
    </row>
    <row r="5" spans="1:11" x14ac:dyDescent="0.25">
      <c r="A5" t="s">
        <v>1</v>
      </c>
      <c r="B5">
        <f>IF(ISNUMBER(SEARCH($B$2,A5)),MAX($B$4:B4)+1,0)</f>
        <v>1</v>
      </c>
      <c r="C5">
        <f>ROWS($C$5:C5)</f>
        <v>1</v>
      </c>
      <c r="G5">
        <f>IF(ISNUMBER(SEARCH($G$2,H5)),MAX($G$4:G4)+1,0)</f>
        <v>0</v>
      </c>
      <c r="H5" t="s">
        <v>1</v>
      </c>
      <c r="I5" t="str">
        <f ca="1">OFFSET($K$5,,,COUNTIF($K$5:$K$30,"?*"))</f>
        <v xml:space="preserve">Armor Bonus </v>
      </c>
      <c r="K5" t="str">
        <f>IFERROR(VLOOKUP(ROWS($K$4:K4),$G$5:$I$29,2,0),"")</f>
        <v xml:space="preserve">Armor Bonus </v>
      </c>
    </row>
    <row r="6" spans="1:11" x14ac:dyDescent="0.25">
      <c r="A6" t="s">
        <v>2</v>
      </c>
      <c r="B6">
        <f>IF(ISNUMBER(SEARCH($B$2,A6)),MAX($B$4:B5)+1,0)</f>
        <v>0</v>
      </c>
      <c r="C6">
        <f>ROWS($C$5:C6)</f>
        <v>2</v>
      </c>
      <c r="G6">
        <f>IF(ISNUMBER(SEARCH($G$2,H6)),MAX($G$4:G5)+1,0)</f>
        <v>0</v>
      </c>
      <c r="H6" t="s">
        <v>2</v>
      </c>
      <c r="K6" t="str">
        <f>IFERROR(VLOOKUP(ROWS($K$4:K5),$G$5:$I$29,2,0),"")</f>
        <v xml:space="preserve">Enhancement Armor Bonus </v>
      </c>
    </row>
    <row r="7" spans="1:11" x14ac:dyDescent="0.25">
      <c r="A7" t="s">
        <v>3</v>
      </c>
      <c r="B7">
        <f>IF(ISNUMBER(SEARCH($B$2,A7)),MAX($B$4:B6)+1,0)</f>
        <v>0</v>
      </c>
      <c r="C7">
        <f>ROWS($C$5:C7)</f>
        <v>3</v>
      </c>
      <c r="G7">
        <f>IF(ISNUMBER(SEARCH($G$2,H7)),MAX($G$4:G6)+1,0)</f>
        <v>1</v>
      </c>
      <c r="H7" t="s">
        <v>3</v>
      </c>
      <c r="K7" t="str">
        <f>IFERROR(VLOOKUP(ROWS($K$4:K6),$G$5:$I$29,2,0),"")</f>
        <v xml:space="preserve">Natural Armor Bonus </v>
      </c>
    </row>
    <row r="8" spans="1:11" x14ac:dyDescent="0.25">
      <c r="A8" t="s">
        <v>4</v>
      </c>
      <c r="B8">
        <f>IF(ISNUMBER(SEARCH($B$2,A8)),MAX($B$4:B7)+1,0)</f>
        <v>0</v>
      </c>
      <c r="C8">
        <f>ROWS($C$5:C8)</f>
        <v>4</v>
      </c>
      <c r="G8">
        <f>IF(ISNUMBER(SEARCH($G$2,H8)),MAX($G$4:G7)+1,0)</f>
        <v>0</v>
      </c>
      <c r="H8" t="s">
        <v>4</v>
      </c>
      <c r="K8" t="str">
        <f>IFERROR(VLOOKUP(ROWS($K$4:K7),$G$5:$I$29,2,0),"")</f>
        <v>Enhancement to Natural Armor Bonus</v>
      </c>
    </row>
    <row r="9" spans="1:11" x14ac:dyDescent="0.25">
      <c r="A9" t="s">
        <v>5</v>
      </c>
      <c r="B9">
        <f>IF(ISNUMBER(SEARCH($B$2,A9)),MAX($B$4:B8)+1,0)</f>
        <v>0</v>
      </c>
      <c r="C9">
        <f>ROWS($C$5:C9)</f>
        <v>5</v>
      </c>
      <c r="G9">
        <f>IF(ISNUMBER(SEARCH($G$2,H9)),MAX($G$4:G8)+1,0)</f>
        <v>0</v>
      </c>
      <c r="H9" t="s">
        <v>5</v>
      </c>
      <c r="K9" t="str">
        <f>IFERROR(VLOOKUP(ROWS($K$4:K8),$G$5:$I$29,2,0),"")</f>
        <v/>
      </c>
    </row>
    <row r="10" spans="1:11" x14ac:dyDescent="0.25">
      <c r="A10" t="s">
        <v>6</v>
      </c>
      <c r="B10">
        <f>IF(ISNUMBER(SEARCH($B$2,A10)),MAX($B$4:B9)+1,0)</f>
        <v>0</v>
      </c>
      <c r="C10">
        <f>ROWS($C$5:C10)</f>
        <v>6</v>
      </c>
      <c r="G10">
        <f>IF(ISNUMBER(SEARCH($G$2,H10)),MAX($G$4:G9)+1,0)</f>
        <v>0</v>
      </c>
      <c r="H10" t="s">
        <v>6</v>
      </c>
      <c r="K10" t="str">
        <f>IFERROR(VLOOKUP(ROWS($K$4:K9),$G$5:$I$29,2,0),"")</f>
        <v/>
      </c>
    </row>
    <row r="11" spans="1:11" x14ac:dyDescent="0.25">
      <c r="A11" t="s">
        <v>7</v>
      </c>
      <c r="B11">
        <f>IF(ISNUMBER(SEARCH($B$2,A11)),MAX($B$4:B10)+1,0)</f>
        <v>0</v>
      </c>
      <c r="C11">
        <f>ROWS($C$5:C11)</f>
        <v>7</v>
      </c>
      <c r="G11">
        <f>IF(ISNUMBER(SEARCH($G$2,H11)),MAX($G$4:G10)+1,0)</f>
        <v>0</v>
      </c>
      <c r="H11" t="s">
        <v>7</v>
      </c>
      <c r="K11" t="str">
        <f>IFERROR(VLOOKUP(ROWS($K$4:K10),$G$5:$I$29,2,0),"")</f>
        <v/>
      </c>
    </row>
    <row r="12" spans="1:11" x14ac:dyDescent="0.25">
      <c r="A12" t="s">
        <v>8</v>
      </c>
      <c r="B12">
        <f>IF(ISNUMBER(SEARCH($B$2,A12)),MAX($B$4:B11)+1,0)</f>
        <v>0</v>
      </c>
      <c r="C12">
        <f>ROWS($C$5:C12)</f>
        <v>8</v>
      </c>
      <c r="G12">
        <f>IF(ISNUMBER(SEARCH($G$2,H12)),MAX($G$4:G11)+1,0)</f>
        <v>0</v>
      </c>
      <c r="H12" t="s">
        <v>8</v>
      </c>
      <c r="K12" t="str">
        <f>IFERROR(VLOOKUP(ROWS($K$4:K11),$G$5:$I$29,2,0),"")</f>
        <v/>
      </c>
    </row>
    <row r="13" spans="1:11" x14ac:dyDescent="0.25">
      <c r="A13" t="s">
        <v>9</v>
      </c>
      <c r="B13">
        <f>IF(ISNUMBER(SEARCH($B$2,A13)),MAX($B$4:B12)+1,0)</f>
        <v>0</v>
      </c>
      <c r="C13">
        <f>ROWS($C$5:C13)</f>
        <v>9</v>
      </c>
      <c r="G13">
        <f>IF(ISNUMBER(SEARCH($G$2,H13)),MAX($G$4:G12)+1,0)</f>
        <v>2</v>
      </c>
      <c r="H13" t="s">
        <v>9</v>
      </c>
      <c r="K13" t="str">
        <f>IFERROR(VLOOKUP(ROWS($K$4:K12),$G$5:$I$29,2,0),"")</f>
        <v/>
      </c>
    </row>
    <row r="14" spans="1:11" x14ac:dyDescent="0.25">
      <c r="A14" t="s">
        <v>10</v>
      </c>
      <c r="B14">
        <f>IF(ISNUMBER(SEARCH($B$2,A14)),MAX($B$4:B13)+1,0)</f>
        <v>0</v>
      </c>
      <c r="C14">
        <f>ROWS($C$5:C14)</f>
        <v>10</v>
      </c>
      <c r="G14">
        <f>IF(ISNUMBER(SEARCH($G$2,H14)),MAX($G$4:G13)+1,0)</f>
        <v>0</v>
      </c>
      <c r="H14" t="s">
        <v>10</v>
      </c>
      <c r="K14" t="str">
        <f>IFERROR(VLOOKUP(ROWS($K$4:K13),$G$5:$I$29,2,0),"")</f>
        <v/>
      </c>
    </row>
    <row r="15" spans="1:11" x14ac:dyDescent="0.25">
      <c r="A15" t="s">
        <v>11</v>
      </c>
      <c r="B15">
        <f>IF(ISNUMBER(SEARCH($B$2,A15)),MAX($B$4:B14)+1,0)</f>
        <v>0</v>
      </c>
      <c r="C15">
        <f>ROWS($C$5:C15)</f>
        <v>11</v>
      </c>
      <c r="G15">
        <f>IF(ISNUMBER(SEARCH($G$2,H15)),MAX($G$4:G14)+1,0)</f>
        <v>0</v>
      </c>
      <c r="H15" t="s">
        <v>11</v>
      </c>
      <c r="K15" t="str">
        <f>IFERROR(VLOOKUP(ROWS($K$4:K14),$G$5:$I$29,2,0),"")</f>
        <v/>
      </c>
    </row>
    <row r="16" spans="1:11" x14ac:dyDescent="0.25">
      <c r="A16" t="s">
        <v>12</v>
      </c>
      <c r="B16">
        <f>IF(ISNUMBER(SEARCH($B$2,A16)),MAX($B$4:B15)+1,0)</f>
        <v>0</v>
      </c>
      <c r="C16">
        <f>ROWS($C$5:C16)</f>
        <v>12</v>
      </c>
      <c r="G16">
        <f>IF(ISNUMBER(SEARCH($G$2,H16)),MAX($G$4:G15)+1,0)</f>
        <v>0</v>
      </c>
      <c r="H16" t="s">
        <v>12</v>
      </c>
      <c r="K16" t="str">
        <f>IFERROR(VLOOKUP(ROWS($K$4:K15),$G$5:$I$29,2,0),"")</f>
        <v/>
      </c>
    </row>
    <row r="17" spans="1:11" x14ac:dyDescent="0.25">
      <c r="A17" t="s">
        <v>13</v>
      </c>
      <c r="B17">
        <f>IF(ISNUMBER(SEARCH($B$2,A17)),MAX($B$4:B16)+1,0)</f>
        <v>0</v>
      </c>
      <c r="C17">
        <f>ROWS($C$5:C17)</f>
        <v>13</v>
      </c>
      <c r="G17">
        <f>IF(ISNUMBER(SEARCH($G$2,H17)),MAX($G$4:G16)+1,0)</f>
        <v>3</v>
      </c>
      <c r="H17" t="s">
        <v>13</v>
      </c>
      <c r="K17" t="str">
        <f>IFERROR(VLOOKUP(ROWS($K$4:K16),$G$5:$I$29,2,0),"")</f>
        <v/>
      </c>
    </row>
    <row r="18" spans="1:11" x14ac:dyDescent="0.25">
      <c r="A18" t="s">
        <v>14</v>
      </c>
      <c r="B18">
        <f>IF(ISNUMBER(SEARCH($B$2,A18)),MAX($B$4:B17)+1,0)</f>
        <v>0</v>
      </c>
      <c r="C18">
        <f>ROWS($C$5:C18)</f>
        <v>14</v>
      </c>
      <c r="G18">
        <f>IF(ISNUMBER(SEARCH($G$2,H18)),MAX($G$4:G17)+1,0)</f>
        <v>4</v>
      </c>
      <c r="H18" t="s">
        <v>14</v>
      </c>
      <c r="K18" t="str">
        <f>IFERROR(VLOOKUP(ROWS($K$4:K17),$G$5:$I$29,2,0),"")</f>
        <v/>
      </c>
    </row>
    <row r="19" spans="1:11" x14ac:dyDescent="0.25">
      <c r="A19" t="s">
        <v>15</v>
      </c>
      <c r="B19">
        <f>IF(ISNUMBER(SEARCH($B$2,A19)),MAX($B$4:B18)+1,0)</f>
        <v>0</v>
      </c>
      <c r="C19">
        <f>ROWS($C$5:C19)</f>
        <v>15</v>
      </c>
      <c r="G19">
        <f>IF(ISNUMBER(SEARCH($G$2,H19)),MAX($G$4:G18)+1,0)</f>
        <v>0</v>
      </c>
      <c r="H19" t="s">
        <v>15</v>
      </c>
      <c r="K19" t="str">
        <f>IFERROR(VLOOKUP(ROWS($K$4:K18),$G$5:$I$29,2,0),"")</f>
        <v/>
      </c>
    </row>
    <row r="20" spans="1:11" x14ac:dyDescent="0.25">
      <c r="A20" t="s">
        <v>16</v>
      </c>
      <c r="B20">
        <f>IF(ISNUMBER(SEARCH($B$2,A20)),MAX($B$4:B19)+1,0)</f>
        <v>0</v>
      </c>
      <c r="C20">
        <f>ROWS($C$5:C20)</f>
        <v>16</v>
      </c>
      <c r="G20">
        <f>IF(ISNUMBER(SEARCH($G$2,H20)),MAX($G$4:G19)+1,0)</f>
        <v>0</v>
      </c>
      <c r="H20" t="s">
        <v>16</v>
      </c>
      <c r="K20" t="str">
        <f>IFERROR(VLOOKUP(ROWS($K$4:K19),$G$5:$I$29,2,0),"")</f>
        <v/>
      </c>
    </row>
    <row r="21" spans="1:11" x14ac:dyDescent="0.25">
      <c r="A21" t="s">
        <v>17</v>
      </c>
      <c r="B21">
        <f>IF(ISNUMBER(SEARCH($B$2,A21)),MAX($B$4:B20)+1,0)</f>
        <v>0</v>
      </c>
      <c r="C21">
        <f>ROWS($C$5:C21)</f>
        <v>17</v>
      </c>
      <c r="G21">
        <f>IF(ISNUMBER(SEARCH($G$2,H21)),MAX($G$4:G20)+1,0)</f>
        <v>0</v>
      </c>
      <c r="H21" t="s">
        <v>17</v>
      </c>
      <c r="K21" t="str">
        <f>IFERROR(VLOOKUP(ROWS($K$4:K20),$G$5:$I$29,2,0),"")</f>
        <v/>
      </c>
    </row>
    <row r="22" spans="1:11" x14ac:dyDescent="0.25">
      <c r="A22" t="s">
        <v>18</v>
      </c>
      <c r="B22">
        <f>IF(ISNUMBER(SEARCH($B$2,A22)),MAX($B$4:B21)+1,0)</f>
        <v>0</v>
      </c>
      <c r="C22">
        <f>ROWS($C$5:C22)</f>
        <v>18</v>
      </c>
      <c r="G22">
        <f>IF(ISNUMBER(SEARCH($G$2,H22)),MAX($G$4:G21)+1,0)</f>
        <v>0</v>
      </c>
      <c r="H22" t="s">
        <v>18</v>
      </c>
      <c r="K22" t="str">
        <f>IFERROR(VLOOKUP(ROWS($K$4:K21),$G$5:$I$29,2,0),"")</f>
        <v/>
      </c>
    </row>
    <row r="23" spans="1:11" x14ac:dyDescent="0.25">
      <c r="A23" t="s">
        <v>19</v>
      </c>
      <c r="B23">
        <f>IF(ISNUMBER(SEARCH($B$2,A23)),MAX($B$4:B22)+1,0)</f>
        <v>0</v>
      </c>
      <c r="C23">
        <f>ROWS($C$5:C23)</f>
        <v>19</v>
      </c>
      <c r="G23">
        <f>IF(ISNUMBER(SEARCH($G$2,H23)),MAX($G$4:G22)+1,0)</f>
        <v>0</v>
      </c>
      <c r="H23" t="s">
        <v>19</v>
      </c>
      <c r="K23" t="str">
        <f>IFERROR(VLOOKUP(ROWS($K$4:K22),$G$5:$I$29,2,0),"")</f>
        <v/>
      </c>
    </row>
    <row r="24" spans="1:11" x14ac:dyDescent="0.25">
      <c r="A24" t="s">
        <v>20</v>
      </c>
      <c r="B24">
        <f>IF(ISNUMBER(SEARCH($B$2,A24)),MAX($B$4:B23)+1,0)</f>
        <v>0</v>
      </c>
      <c r="C24">
        <f>ROWS($C$5:C24)</f>
        <v>20</v>
      </c>
      <c r="G24">
        <f>IF(ISNUMBER(SEARCH($G$2,H24)),MAX($G$4:G23)+1,0)</f>
        <v>0</v>
      </c>
      <c r="H24" t="s">
        <v>20</v>
      </c>
      <c r="K24" t="str">
        <f>IFERROR(VLOOKUP(ROWS($K$4:K23),$G$5:$I$29,2,0),"")</f>
        <v/>
      </c>
    </row>
    <row r="25" spans="1:11" x14ac:dyDescent="0.25">
      <c r="A25" t="s">
        <v>21</v>
      </c>
      <c r="B25">
        <f>IF(ISNUMBER(SEARCH($B$2,A25)),MAX($B$4:B24)+1,0)</f>
        <v>0</v>
      </c>
      <c r="C25">
        <f>ROWS($C$5:C25)</f>
        <v>21</v>
      </c>
      <c r="G25">
        <f>IF(ISNUMBER(SEARCH($G$2,H25)),MAX($G$4:G24)+1,0)</f>
        <v>0</v>
      </c>
      <c r="H25" t="s">
        <v>21</v>
      </c>
      <c r="K25" t="str">
        <f>IFERROR(VLOOKUP(ROWS($K$4:K24),$G$5:$I$29,2,0),"")</f>
        <v/>
      </c>
    </row>
    <row r="26" spans="1:11" x14ac:dyDescent="0.25">
      <c r="A26" t="s">
        <v>22</v>
      </c>
      <c r="B26">
        <f>IF(ISNUMBER(SEARCH($B$2,A26)),MAX($B$4:B25)+1,0)</f>
        <v>0</v>
      </c>
      <c r="C26">
        <f>ROWS($C$5:C26)</f>
        <v>22</v>
      </c>
      <c r="G26">
        <f>IF(ISNUMBER(SEARCH($G$2,H26)),MAX($G$4:G25)+1,0)</f>
        <v>0</v>
      </c>
      <c r="H26" t="s">
        <v>22</v>
      </c>
      <c r="K26" t="str">
        <f>IFERROR(VLOOKUP(ROWS($K$4:K25),$G$5:$I$29,2,0),"")</f>
        <v/>
      </c>
    </row>
    <row r="27" spans="1:11" x14ac:dyDescent="0.25">
      <c r="A27" t="s">
        <v>23</v>
      </c>
      <c r="B27">
        <f>IF(ISNUMBER(SEARCH($B$2,A27)),MAX($B$4:B26)+1,0)</f>
        <v>2</v>
      </c>
      <c r="C27">
        <f>ROWS($C$5:C27)</f>
        <v>23</v>
      </c>
      <c r="G27">
        <f>IF(ISNUMBER(SEARCH($G$2,H27)),MAX($G$4:G26)+1,0)</f>
        <v>0</v>
      </c>
      <c r="H27" t="s">
        <v>23</v>
      </c>
      <c r="K27" t="str">
        <f>IFERROR(VLOOKUP(ROWS($K$4:K26),$G$5:$I$29,2,0),"")</f>
        <v/>
      </c>
    </row>
    <row r="28" spans="1:11" x14ac:dyDescent="0.25">
      <c r="A28" t="s">
        <v>24</v>
      </c>
      <c r="B28">
        <f>IF(ISNUMBER(SEARCH($B$2,A28)),MAX($B$4:B27)+1,0)</f>
        <v>0</v>
      </c>
      <c r="C28">
        <f>ROWS($C$5:C28)</f>
        <v>24</v>
      </c>
      <c r="G28">
        <f>IF(ISNUMBER(SEARCH($G$2,H28)),MAX($G$4:G27)+1,0)</f>
        <v>0</v>
      </c>
      <c r="H28" t="s">
        <v>24</v>
      </c>
      <c r="K28" t="str">
        <f>IFERROR(VLOOKUP(ROWS($K$4:K27),$G$5:$I$29,2,0),"")</f>
        <v/>
      </c>
    </row>
    <row r="29" spans="1:11" x14ac:dyDescent="0.25">
      <c r="A29" t="s">
        <v>25</v>
      </c>
      <c r="C29">
        <f>ROWS($C$5:C29)</f>
        <v>25</v>
      </c>
      <c r="G29">
        <f>IF(ISNUMBER(SEARCH($G$2,H29)),MAX($G$4:G28)+1,0)</f>
        <v>0</v>
      </c>
      <c r="H29" t="s">
        <v>25</v>
      </c>
      <c r="K29" t="str">
        <f>IFERROR(VLOOKUP(ROWS($K$4:K28),$G$5:$I$29,2,0),"")</f>
        <v/>
      </c>
    </row>
  </sheetData>
  <dataConsolidate/>
  <dataValidations count="5">
    <dataValidation type="list" allowBlank="1" showInputMessage="1" showErrorMessage="1" sqref="A5:A29 H5:H29">
      <formula1>$A$5:$A$34</formula1>
    </dataValidation>
    <dataValidation type="list" allowBlank="1" showInputMessage="1" showErrorMessage="1" sqref="F8">
      <formula1>$A$5:$A$29</formula1>
    </dataValidation>
    <dataValidation type="list" allowBlank="1" showInputMessage="1" sqref="P11">
      <formula1>Modifiers_List</formula1>
    </dataValidation>
    <dataValidation type="list" allowBlank="1" showInputMessage="1" showErrorMessage="1" sqref="O7">
      <formula1>Modifiers_List</formula1>
    </dataValidation>
    <dataValidation type="list" allowBlank="1" showInputMessage="1" sqref="G2">
      <formula1>Modifiers_List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Φύλλο1</vt:lpstr>
      <vt:lpstr>FIRST SHEET</vt:lpstr>
      <vt:lpstr>NUM1</vt:lpstr>
      <vt:lpstr>NUM2</vt:lpstr>
      <vt:lpstr>NUM3</vt:lpstr>
      <vt:lpstr>BUFFS</vt:lpstr>
      <vt:lpstr>Modiefiers</vt:lpstr>
      <vt:lpstr>Types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2018-07-17T16:21:55Z</dcterms:modified>
</cp:coreProperties>
</file>